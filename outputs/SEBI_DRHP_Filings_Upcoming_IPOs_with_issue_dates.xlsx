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Upcoming IPOs" sheetId="1" state="visible" r:id="rId1"/>
    <sheet name="All DRHP Filings" sheetId="2" state="visible" r:id="rId2"/>
    <sheet name="Summary" sheetId="3" state="visible" r:id="rId3"/>
    <sheet name="Source &amp; Notes" sheetId="4" state="visible" r:id="rId4"/>
  </sheets>
  <definedNames>
    <definedName name="_xlnm._FilterDatabase" localSheetId="0" hidden="1">'Upcoming IPOs'!$A$1:$Z$195</definedName>
    <definedName name="_xlnm._FilterDatabase" localSheetId="1" hidden="1">'All DRHP Filings'!$A$1:$AB$2221</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dd\-mmm\-yyyy"/>
    <numFmt numFmtId="165" formatCode="#,##0.00;[RED]\(#,##0.00\)"/>
  </numFmts>
  <fonts count="9">
    <font>
      <name val="Calibri"/>
      <charset val="1"/>
      <family val="2"/>
      <color theme="1"/>
      <sz val="11"/>
    </font>
    <font>
      <name val="Arial"/>
      <family val="0"/>
      <sz val="10"/>
    </font>
    <font>
      <name val="Arial"/>
      <family val="0"/>
      <sz val="10"/>
    </font>
    <font>
      <name val="Arial"/>
      <family val="0"/>
      <sz val="10"/>
    </font>
    <font>
      <name val="Calibri"/>
      <charset val="1"/>
      <family val="0"/>
      <b val="1"/>
      <color rgb="FFFFFFFF"/>
      <sz val="10"/>
    </font>
    <font>
      <name val="Calibri"/>
      <charset val="1"/>
      <family val="0"/>
      <sz val="11"/>
    </font>
    <font>
      <name val="Calibri"/>
      <charset val="1"/>
      <family val="0"/>
      <color rgb="FF0563C1"/>
      <sz val="11"/>
      <u val="single"/>
    </font>
    <font>
      <name val="Calibri"/>
      <charset val="1"/>
      <family val="0"/>
      <b val="1"/>
      <sz val="11"/>
    </font>
    <font>
      <name val="Calibri"/>
      <charset val="1"/>
      <family val="0"/>
      <b val="1"/>
      <color rgb="FF1F3864"/>
      <sz val="12"/>
    </font>
  </fonts>
  <fills count="6">
    <fill>
      <patternFill/>
    </fill>
    <fill>
      <patternFill patternType="gray125"/>
    </fill>
    <fill>
      <patternFill patternType="solid">
        <fgColor rgb="FF1F3864"/>
        <bgColor rgb="FF333333"/>
      </patternFill>
    </fill>
    <fill>
      <patternFill patternType="solid">
        <fgColor rgb="FFFFF2CC"/>
        <bgColor rgb="FFFFFFFF"/>
      </patternFill>
    </fill>
    <fill>
      <patternFill patternType="solid">
        <fgColor rgb="FFE2EFDA"/>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3" fontId="5" fillId="0" borderId="1" applyAlignment="1" pivotButton="0" quotePrefix="0" xfId="0">
      <alignment horizontal="general" vertical="bottom"/>
    </xf>
    <xf numFmtId="0" fontId="5" fillId="0" borderId="1" applyAlignment="1" pivotButton="0" quotePrefix="0" xfId="0">
      <alignment horizontal="general" vertical="bottom"/>
    </xf>
    <xf numFmtId="164" fontId="5" fillId="0" borderId="1" applyAlignment="1" pivotButton="0" quotePrefix="0" xfId="0">
      <alignment horizontal="general" vertical="bottom"/>
    </xf>
    <xf numFmtId="165" fontId="5" fillId="0" borderId="1" applyAlignment="1" pivotButton="0" quotePrefix="0" xfId="0">
      <alignment horizontal="general" vertical="bottom"/>
    </xf>
    <xf numFmtId="0" fontId="6" fillId="0" borderId="1" applyAlignment="1" pivotButton="0" quotePrefix="0" xfId="0">
      <alignment horizontal="general" vertical="bottom"/>
    </xf>
    <xf numFmtId="3" fontId="7" fillId="3" borderId="1" applyAlignment="1" pivotButton="0" quotePrefix="0" xfId="0">
      <alignment horizontal="general" vertical="bottom"/>
    </xf>
    <xf numFmtId="0" fontId="8" fillId="0" borderId="0" applyAlignment="1" pivotButton="0" quotePrefix="0" xfId="0">
      <alignment horizontal="general" vertical="bottom"/>
    </xf>
    <xf numFmtId="0" fontId="7" fillId="0" borderId="0" applyAlignment="1" pivotButton="0" quotePrefix="0" xfId="0">
      <alignment horizontal="general" vertical="top"/>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3" fontId="5" fillId="0" borderId="1" applyAlignment="1" pivotButton="0" quotePrefix="0" xfId="0">
      <alignment horizontal="general" vertical="bottom"/>
    </xf>
    <xf numFmtId="0" fontId="5" fillId="0" borderId="1" applyAlignment="1" pivotButton="0" quotePrefix="0" xfId="0">
      <alignment horizontal="general" vertical="bottom"/>
    </xf>
    <xf numFmtId="164" fontId="5" fillId="0" borderId="1" applyAlignment="1" pivotButton="0" quotePrefix="0" xfId="0">
      <alignment horizontal="general" vertical="bottom"/>
    </xf>
    <xf numFmtId="165" fontId="5" fillId="0" borderId="1" applyAlignment="1" pivotButton="0" quotePrefix="0" xfId="0">
      <alignment horizontal="general" vertical="bottom"/>
    </xf>
    <xf numFmtId="0" fontId="6" fillId="0" borderId="1" applyAlignment="1" pivotButton="0" quotePrefix="0" xfId="0">
      <alignment horizontal="general" vertical="bottom"/>
    </xf>
    <xf numFmtId="164" fontId="5" fillId="4" borderId="1" applyAlignment="1" pivotButton="0" quotePrefix="0" xfId="0">
      <alignment horizontal="general" vertical="bottom"/>
    </xf>
    <xf numFmtId="0" fontId="5" fillId="4" borderId="1" applyAlignment="1" pivotButton="0" quotePrefix="0" xfId="0">
      <alignment horizontal="general" vertical="bottom"/>
    </xf>
    <xf numFmtId="3" fontId="7" fillId="3" borderId="1" applyAlignment="1" pivotButton="0" quotePrefix="0" xfId="0">
      <alignment horizontal="general" vertical="bottom"/>
    </xf>
    <xf numFmtId="0" fontId="8" fillId="0" borderId="0" applyAlignment="1" pivotButton="0" quotePrefix="0" xfId="0">
      <alignment horizontal="general" vertical="bottom"/>
    </xf>
    <xf numFmtId="0" fontId="7" fillId="0" borderId="0" applyAlignment="1" pivotButton="0" quotePrefix="0" xfId="0">
      <alignment horizontal="general" vertical="top"/>
    </xf>
    <xf numFmtId="0" fontId="5" fillId="0" borderId="0" applyAlignment="1" pivotButton="0" quotePrefix="0" xfId="0">
      <alignment horizontal="general" vertical="top" wrapText="1"/>
    </xf>
    <xf numFmtId="164" fontId="5" fillId="5" borderId="1" applyAlignment="1" pivotButton="0" quotePrefix="0" xfId="0">
      <alignment horizontal="general" vertical="bottom"/>
    </xf>
    <xf numFmtId="0" fontId="5" fillId="5"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www.sebi.gov.in/sebi_data/attachdocs/sep-2026/1790767812069_1376.pdf" TargetMode="External" Id="rId1" /><Relationship Type="http://schemas.openxmlformats.org/officeDocument/2006/relationships/hyperlink" Target="https://www.sebi.gov.in/filings/public-issues/sep-2026/s-d-international-limited_104826.html" TargetMode="External" Id="rId2" /><Relationship Type="http://schemas.openxmlformats.org/officeDocument/2006/relationships/hyperlink" Target="https://www.sebi.gov.in/sebi_data/attachdocs/sep-2026/1790767812069_1377.pdf" TargetMode="External" Id="rId3" /><Relationship Type="http://schemas.openxmlformats.org/officeDocument/2006/relationships/hyperlink" Target="https://www.sebi.gov.in/filings/public-issues/sep-2026/s-g-encon-limited_104828.html" TargetMode="External" Id="rId4" /><Relationship Type="http://schemas.openxmlformats.org/officeDocument/2006/relationships/hyperlink" Target="https://www.sebi.gov.in/sebi_data/attachdocs/sep-2026/1790767812069_1378.pdf" TargetMode="External" Id="rId5" /><Relationship Type="http://schemas.openxmlformats.org/officeDocument/2006/relationships/hyperlink" Target="https://www.sebi.gov.in/filings/public-issues/sep-2026/j-b-ecotex-limited_104830.html" TargetMode="External" Id="rId6" /><Relationship Type="http://schemas.openxmlformats.org/officeDocument/2006/relationships/hyperlink" Target="https://www.chittorgarh.com/ipo/j-b-ecotex-ipo/3311/" TargetMode="External" Id="rId7" /><Relationship Type="http://schemas.openxmlformats.org/officeDocument/2006/relationships/hyperlink" Target="https://www.sebi.gov.in/sebi_data/attachdocs/sep-2026/1790681405842_1375.pdf" TargetMode="External" Id="rId8" /><Relationship Type="http://schemas.openxmlformats.org/officeDocument/2006/relationships/hyperlink" Target="https://www.sebi.gov.in/filings/public-issues/sep-2026/ultravibrant-integrated-energy-limited_104809.html" TargetMode="External" Id="rId9" /><Relationship Type="http://schemas.openxmlformats.org/officeDocument/2006/relationships/hyperlink" Target="https://www.sebi.gov.in/sebi_data/attachdocs/sep-2026/1790743844411.pdf" TargetMode="External" Id="rId10" /><Relationship Type="http://schemas.openxmlformats.org/officeDocument/2006/relationships/hyperlink" Target="https://www.sebi.gov.in/filings/public-issues/sep-2026/iris-global-services-limited-drhp_104746.html" TargetMode="External" Id="rId11" /><Relationship Type="http://schemas.openxmlformats.org/officeDocument/2006/relationships/hyperlink" Target="https://www.sebi.gov.in/sebi_data/commondocs/sep-2026/Iris%20Global%20Services%20Limited%20-%20DAP_p.pdf" TargetMode="External" Id="rId12" /><Relationship Type="http://schemas.openxmlformats.org/officeDocument/2006/relationships/hyperlink" Target="https://www.sebi.gov.in/sebi_data/attachdocs/sep-2026/1790585630648.pdf" TargetMode="External" Id="rId13" /><Relationship Type="http://schemas.openxmlformats.org/officeDocument/2006/relationships/hyperlink" Target="https://www.sebi.gov.in/filings/public-issues/sep-2026/jsw-one-platforms-limited-drhp_104742.html" TargetMode="External" Id="rId14" /><Relationship Type="http://schemas.openxmlformats.org/officeDocument/2006/relationships/hyperlink" Target="https://www.sebi.gov.in/sebi_data/commondocs/sep-2026/JSW%20One%20Platforms%20Limited%20-%20Draft%20Abridged%20Prospectus_p.pdf" TargetMode="External" Id="rId15" /><Relationship Type="http://schemas.openxmlformats.org/officeDocument/2006/relationships/hyperlink" Target="https://www.chittorgarh.com/ipo/jsw-one-platform-ipo/3295/" TargetMode="External" Id="rId16" /><Relationship Type="http://schemas.openxmlformats.org/officeDocument/2006/relationships/hyperlink" Target="https://www.sebi.gov.in/sebi_data/attachdocs/sep-2026/1790320604407.pdf" TargetMode="External" Id="rId17" /><Relationship Type="http://schemas.openxmlformats.org/officeDocument/2006/relationships/hyperlink" Target="https://www.sebi.gov.in/filings/public-issues/sep-2026/anjali-labtech-limited-udrhp-i_104737.html" TargetMode="External" Id="rId18" /><Relationship Type="http://schemas.openxmlformats.org/officeDocument/2006/relationships/hyperlink" Target="https://www.sebi.gov.in/sebi_data/commondocs/sep-2026/Anjali%20Labtech%20Limited%20-%20DAP_p.pdf" TargetMode="External" Id="rId19" /><Relationship Type="http://schemas.openxmlformats.org/officeDocument/2006/relationships/hyperlink" Target="https://www.chittorgarh.com/ipo/anjali-labtech-ipo/2786/" TargetMode="External" Id="rId20" /><Relationship Type="http://schemas.openxmlformats.org/officeDocument/2006/relationships/hyperlink" Target="https://www.sebi.gov.in/sebi_data/attachdocs/sep-2026/1790076604769_1355.pdf" TargetMode="External" Id="rId21" /><Relationship Type="http://schemas.openxmlformats.org/officeDocument/2006/relationships/hyperlink" Target="https://www.sebi.gov.in/filings/public-issues/sep-2026/vardaan-biotech-limited-drhp_104652.html" TargetMode="External" Id="rId22" /><Relationship Type="http://schemas.openxmlformats.org/officeDocument/2006/relationships/hyperlink" Target="https://www.sebi.gov.in/sebi_data/commondocs/sep-2026/VARDAAN%20BIOTECH%20LIMITED_p.pdf" TargetMode="External" Id="rId23" /><Relationship Type="http://schemas.openxmlformats.org/officeDocument/2006/relationships/hyperlink" Target="https://www.barandbench.com/law-firms/dealstreet/legacy-law-offices-acts-on-vardaan-biotech-90-crore-ipo" TargetMode="External" Id="rId24" /><Relationship Type="http://schemas.openxmlformats.org/officeDocument/2006/relationships/hyperlink" Target="https://www.sebi.gov.in/sebi_data/attachdocs/sep-2026/1790058959002.pdf" TargetMode="External" Id="rId25" /><Relationship Type="http://schemas.openxmlformats.org/officeDocument/2006/relationships/hyperlink" Target="https://www.sebi.gov.in/filings/public-issues/sep-2026/hi-tech-flow-solutions-limited-drhp_104635.html" TargetMode="External" Id="rId26" /><Relationship Type="http://schemas.openxmlformats.org/officeDocument/2006/relationships/hyperlink" Target="https://www.sebi.gov.in/sebi_data/commondocs/sep-2026/HitechFlowSolutionsDAP_p.pdf" TargetMode="External" Id="rId27" /><Relationship Type="http://schemas.openxmlformats.org/officeDocument/2006/relationships/hyperlink" Target="https://www.sebi.gov.in/sebi_data/attachdocs/sep-2026/1789720399852.pdf" TargetMode="External" Id="rId28" /><Relationship Type="http://schemas.openxmlformats.org/officeDocument/2006/relationships/hyperlink" Target="https://www.sebi.gov.in/filings/public-issues/sep-2026/madhur-iron-and-steel-india-limited-drhp_104575.html" TargetMode="External" Id="rId29" /><Relationship Type="http://schemas.openxmlformats.org/officeDocument/2006/relationships/hyperlink" Target="https://www.sebi.gov.in/sebi_data/commondocs/sep-2026/Madhur%20Iron%20And%20Steel%20India%20Limited%20-%20Draft%20AP_p.pdf" TargetMode="External" Id="rId30" /><Relationship Type="http://schemas.openxmlformats.org/officeDocument/2006/relationships/hyperlink" Target="https://www.chittorgarh.com/ipo/madhur-iron-and-steel-ipo/2855/" TargetMode="External" Id="rId31" /><Relationship Type="http://schemas.openxmlformats.org/officeDocument/2006/relationships/hyperlink" Target="https://www.sebi.gov.in/sebi_data/attachdocs/sep-2026/1789731006415_1354.pdf" TargetMode="External" Id="rId32" /><Relationship Type="http://schemas.openxmlformats.org/officeDocument/2006/relationships/hyperlink" Target="https://www.sebi.gov.in/filings/public-issues/sep-2026/anchor-offshore-services-limited-drhp_104580.html" TargetMode="External" Id="rId33" /><Relationship Type="http://schemas.openxmlformats.org/officeDocument/2006/relationships/hyperlink" Target="https://www.sebi.gov.in/sebi_data/commondocs/sep-2026/Anchor%20Offshore%20Services%20Limited-DA_p.pdf" TargetMode="External" Id="rId34" /><Relationship Type="http://schemas.openxmlformats.org/officeDocument/2006/relationships/hyperlink" Target="https://www.sebi.gov.in/sebi_data/attachdocs/sep-2026/1789635115853.pdf" TargetMode="External" Id="rId35" /><Relationship Type="http://schemas.openxmlformats.org/officeDocument/2006/relationships/hyperlink" Target="https://www.sebi.gov.in/filings/public-issues/sep-2026/iberia-pharmaceuticals-india-limited-drhp_104542.html" TargetMode="External" Id="rId36" /><Relationship Type="http://schemas.openxmlformats.org/officeDocument/2006/relationships/hyperlink" Target="https://www.sebi.gov.in/sebi_data/commondocs/sep-2026/IBERIA%20PHARMACEUTICALS%20INDIA%20LIMITED_p.pdf" TargetMode="External" Id="rId37" /><Relationship Type="http://schemas.openxmlformats.org/officeDocument/2006/relationships/hyperlink" Target="https://www.sebi.gov.in/sebi_data/attachdocs/sep-2026/1789531323564.pdf" TargetMode="External" Id="rId38" /><Relationship Type="http://schemas.openxmlformats.org/officeDocument/2006/relationships/hyperlink" Target="https://www.sebi.gov.in/filings/public-issues/sep-2026/maharashtra-oil-extractions-limited-drhp_104503.html" TargetMode="External" Id="rId39" /><Relationship Type="http://schemas.openxmlformats.org/officeDocument/2006/relationships/hyperlink" Target="https://www.sebi.gov.in/sebi_data/commondocs/sep-2026/Maharashtra%20Oil%20Extractions%20Limited%20-%20DAP_p.pdf" TargetMode="External" Id="rId40" /><Relationship Type="http://schemas.openxmlformats.org/officeDocument/2006/relationships/hyperlink" Target="https://www.sebi.gov.in/sebi_data/attachdocs/sep-2026/1789104761658.pdf" TargetMode="External" Id="rId41" /><Relationship Type="http://schemas.openxmlformats.org/officeDocument/2006/relationships/hyperlink" Target="https://www.sebi.gov.in/filings/public-issues/sep-2026/nopaperforms-solutions-limited-udrhp-1_104427.html" TargetMode="External" Id="rId42" /><Relationship Type="http://schemas.openxmlformats.org/officeDocument/2006/relationships/hyperlink" Target="https://www.sebi.gov.in/sebi_data/commondocs/sep-2026/NOPAPERFORMS%20SOLUTIONS%20LIMITED%20-%20DAP_p.pdf" TargetMode="External" Id="rId43" /><Relationship Type="http://schemas.openxmlformats.org/officeDocument/2006/relationships/hyperlink" Target="https://www.chittorgarh.com/ipo/nopaperforms-solutions-ipo/2796/" TargetMode="External" Id="rId44" /><Relationship Type="http://schemas.openxmlformats.org/officeDocument/2006/relationships/hyperlink" Target="https://www.sebi.gov.in/sebi_data/attachdocs/sep-2026/1789111806400_1350.pdf" TargetMode="External" Id="rId45" /><Relationship Type="http://schemas.openxmlformats.org/officeDocument/2006/relationships/hyperlink" Target="https://www.sebi.gov.in/filings/public-issues/sep-2026/m-k-c-agro-fresh-limited-drhp_104430.html" TargetMode="External" Id="rId46" /><Relationship Type="http://schemas.openxmlformats.org/officeDocument/2006/relationships/hyperlink" Target="https://www.sebi.gov.in/sebi_data/commondocs/sep-2026/M%20K%20C%20AGRO%20FRESH%20LIMITED%20-%20DAP_p.pdf" TargetMode="External" Id="rId47" /><Relationship Type="http://schemas.openxmlformats.org/officeDocument/2006/relationships/hyperlink" Target="https://www.sebi.gov.in/sebi_data/attachdocs/sep-2026/1788937260208.PDF" TargetMode="External" Id="rId48" /><Relationship Type="http://schemas.openxmlformats.org/officeDocument/2006/relationships/hyperlink" Target="https://www.sebi.gov.in/filings/public-issues/sep-2026/torrent-gas-limited-udrhp-i_104350.html" TargetMode="External" Id="rId49" /><Relationship Type="http://schemas.openxmlformats.org/officeDocument/2006/relationships/hyperlink" Target="https://www.sebi.gov.in/sebi_data/commondocs/sep-2026/Torrent%20Gas%20Limited%20-%20DAP_p.pdf" TargetMode="External" Id="rId50" /><Relationship Type="http://schemas.openxmlformats.org/officeDocument/2006/relationships/hyperlink" Target="https://ipowatch.in/torrent-gas-ipo/" TargetMode="External" Id="rId51" /><Relationship Type="http://schemas.openxmlformats.org/officeDocument/2006/relationships/hyperlink" Target="https://www.sebi.gov.in/sebi_data/attachdocs/sep-2026/1788761365481.pdf" TargetMode="External" Id="rId52" /><Relationship Type="http://schemas.openxmlformats.org/officeDocument/2006/relationships/hyperlink" Target="https://www.sebi.gov.in/filings/public-issues/sep-2026/mahanadi-coalfields-ltd-drhp_104290.html" TargetMode="External" Id="rId53" /><Relationship Type="http://schemas.openxmlformats.org/officeDocument/2006/relationships/hyperlink" Target="https://www.sebi.gov.in/sebi_data/commondocs/sep-2026/Mahanadi%20Coalfields%20Limited%20_Draft%20Abridged%20Prospectus_p.pdf" TargetMode="External" Id="rId54" /><Relationship Type="http://schemas.openxmlformats.org/officeDocument/2006/relationships/hyperlink" Target="https://www.chittorgarh.com/ipo/mahanadi-coalfields-ipo/3247/" TargetMode="External" Id="rId55" /><Relationship Type="http://schemas.openxmlformats.org/officeDocument/2006/relationships/hyperlink" Target="https://www.sebi.gov.in/sebi_data/attachdocs/sep-2026/1788507005445_1348.pdf" TargetMode="External" Id="rId56" /><Relationship Type="http://schemas.openxmlformats.org/officeDocument/2006/relationships/hyperlink" Target="https://www.sebi.gov.in/filings/public-issues/sep-2026/india-exposition-mart-limited_104273.html" TargetMode="External" Id="rId57" /><Relationship Type="http://schemas.openxmlformats.org/officeDocument/2006/relationships/hyperlink" Target="https://www.chittorgarh.com/ipo/india-exposition-mart-ipo/3225/" TargetMode="External" Id="rId58" /><Relationship Type="http://schemas.openxmlformats.org/officeDocument/2006/relationships/hyperlink" Target="https://www.sebi.gov.in/sebi_data/attachdocs/sep-2026/1788245484072.pdf" TargetMode="External" Id="rId59" /><Relationship Type="http://schemas.openxmlformats.org/officeDocument/2006/relationships/hyperlink" Target="https://www.sebi.gov.in/filings/public-issues/sep-2026/sembcorp-green-infra-limited-drhp_104162.html" TargetMode="External" Id="rId60" /><Relationship Type="http://schemas.openxmlformats.org/officeDocument/2006/relationships/hyperlink" Target="https://www.sebi.gov.in/sebi_data/commondocs/sep-2026/Sembcorp%20Green%20Infra%20Limited%20-%20Draft%20Abridged%20Prospectus_p.pdf" TargetMode="External" Id="rId61" /><Relationship Type="http://schemas.openxmlformats.org/officeDocument/2006/relationships/hyperlink" Target="https://www.chittorgarh.com/ipo/sembcorp-green-infra-ipo/3240/" TargetMode="External" Id="rId62" /><Relationship Type="http://schemas.openxmlformats.org/officeDocument/2006/relationships/hyperlink" Target="https://www.sebi.gov.in/sebi_data/attachdocs/sep-2026/1788262207109_1345.pdf" TargetMode="External" Id="rId63" /><Relationship Type="http://schemas.openxmlformats.org/officeDocument/2006/relationships/hyperlink" Target="https://www.sebi.gov.in/filings/public-issues/sep-2026/kataria-dhulchand-pannalal-jewellers-limited-drhp_104178.html" TargetMode="External" Id="rId64" /><Relationship Type="http://schemas.openxmlformats.org/officeDocument/2006/relationships/hyperlink" Target="https://www.sebi.gov.in/sebi_data/commondocs/sep-2026/Kataria%20Dhulchand%20Pannalal%20Jewellers%20Ltd%20-%20DAP_p.pdf" TargetMode="External" Id="rId65" /><Relationship Type="http://schemas.openxmlformats.org/officeDocument/2006/relationships/hyperlink" Target="https://www.sebi.gov.in/sebi_data/attachdocs/sep-2026/1788238496589.pdf" TargetMode="External" Id="rId66" /><Relationship Type="http://schemas.openxmlformats.org/officeDocument/2006/relationships/hyperlink" Target="https://www.sebi.gov.in/filings/public-issues/sep-2026/aragen-life-sciences-limited-drhp_104157.html" TargetMode="External" Id="rId67" /><Relationship Type="http://schemas.openxmlformats.org/officeDocument/2006/relationships/hyperlink" Target="https://www.sebi.gov.in/sebi_data/commondocs/sep-2026/ARAGEN%20LIFE%20SCIENCES%20LIMITED%20-%20DAP_p.pdf" TargetMode="External" Id="rId68" /><Relationship Type="http://schemas.openxmlformats.org/officeDocument/2006/relationships/hyperlink" Target="https://ipowatch.in/aragen-life-sciences-ipo/" TargetMode="External" Id="rId69" /><Relationship Type="http://schemas.openxmlformats.org/officeDocument/2006/relationships/hyperlink" Target="https://www.sebi.gov.in/sebi_data/attachdocs/aug-2026/1787809930622.pdf" TargetMode="External" Id="rId70" /><Relationship Type="http://schemas.openxmlformats.org/officeDocument/2006/relationships/hyperlink" Target="https://www.sebi.gov.in/filings/public-issues/aug-2026/atomberg-technologies-limited-drhp_104037.html" TargetMode="External" Id="rId71" /><Relationship Type="http://schemas.openxmlformats.org/officeDocument/2006/relationships/hyperlink" Target="https://www.sebi.gov.in/sebi_data/commondocs/aug-2026/ATOMBERG%20TECHNOLOGIES%20LIMITED%20-%20AP_p.pdf" TargetMode="External" Id="rId72" /><Relationship Type="http://schemas.openxmlformats.org/officeDocument/2006/relationships/hyperlink" Target="https://www.chittorgarh.com/ipo/atomberg-technologies-ipo/3227/" TargetMode="External" Id="rId73" /><Relationship Type="http://schemas.openxmlformats.org/officeDocument/2006/relationships/hyperlink" Target="https://www.sebi.gov.in/sebi_data/attachdocs/aug-2026/1787650339639.pdf" TargetMode="External" Id="rId74" /><Relationship Type="http://schemas.openxmlformats.org/officeDocument/2006/relationships/hyperlink" Target="https://www.sebi.gov.in/filings/public-issues/aug-2026/nobel-hygiene-limited-drhp_103938.html" TargetMode="External" Id="rId75" /><Relationship Type="http://schemas.openxmlformats.org/officeDocument/2006/relationships/hyperlink" Target="https://www.sebi.gov.in/sebi_data/commondocs/aug-2026/Nobel%20Hygiene%20Limited%20-%20Draft%20Abridged%20Prospectus_p.pdf" TargetMode="External" Id="rId76" /><Relationship Type="http://schemas.openxmlformats.org/officeDocument/2006/relationships/hyperlink" Target="https://www.kotakneo.com/news/ipos/nobel-hygiene-files-drhp-for-rs-150-crore-ipo-after-profit-jumps-nearly-100-fold-in-fy26/" TargetMode="External" Id="rId77" /><Relationship Type="http://schemas.openxmlformats.org/officeDocument/2006/relationships/hyperlink" Target="https://www.sebi.gov.in/sebi_data/attachdocs/aug-2026/1787653298920.pdf" TargetMode="External" Id="rId78" /><Relationship Type="http://schemas.openxmlformats.org/officeDocument/2006/relationships/hyperlink" Target="https://www.sebi.gov.in/filings/public-issues/aug-2026/m-p-steel-india-limited-drhp_103990.html" TargetMode="External" Id="rId79" /><Relationship Type="http://schemas.openxmlformats.org/officeDocument/2006/relationships/hyperlink" Target="https://www.sebi.gov.in/sebi_data/commondocs/aug-2026/MPSteel-Draft%20Abridged%20Prospectus_p.pdf" TargetMode="External" Id="rId80" /><Relationship Type="http://schemas.openxmlformats.org/officeDocument/2006/relationships/hyperlink" Target="https://www.chittorgarh.com/ipo/m-p-steel-ipo/3229/" TargetMode="External" Id="rId81" /><Relationship Type="http://schemas.openxmlformats.org/officeDocument/2006/relationships/hyperlink" Target="https://www.sebi.gov.in/sebi_data/attachdocs/aug-2026/1787637173016.pdf" TargetMode="External" Id="rId82" /><Relationship Type="http://schemas.openxmlformats.org/officeDocument/2006/relationships/hyperlink" Target="https://www.sebi.gov.in/filings/public-issues/aug-2026/jay-jagdamba-limited-udrhp_103937.html" TargetMode="External" Id="rId83" /><Relationship Type="http://schemas.openxmlformats.org/officeDocument/2006/relationships/hyperlink" Target="https://www.sebi.gov.in/sebi_data/commondocs/aug-2026/Jay%20Jagdamba%20Limited%20Draft%20Abridged%20Prospectus_p.pdf" TargetMode="External" Id="rId84" /><Relationship Type="http://schemas.openxmlformats.org/officeDocument/2006/relationships/hyperlink" Target="https://www.chittorgarh.com/ipo/jay-jagdamba-ipo/2528/" TargetMode="External" Id="rId85" /><Relationship Type="http://schemas.openxmlformats.org/officeDocument/2006/relationships/hyperlink" Target="https://www.sebi.gov.in/sebi_data/attachdocs/aug-2026/1787804677669.pdf" TargetMode="External" Id="rId86" /><Relationship Type="http://schemas.openxmlformats.org/officeDocument/2006/relationships/hyperlink" Target="https://www.sebi.gov.in/filings/public-issues/aug-2026/avaada-electro-limited-udrhp_104034.html" TargetMode="External" Id="rId87" /><Relationship Type="http://schemas.openxmlformats.org/officeDocument/2006/relationships/hyperlink" Target="https://www.sebi.gov.in/sebi_data/commondocs/aug-2026/Avaada%20Electro%20Limited%20-%20Draft%20Abridged%20Prospectus_p.pdf" TargetMode="External" Id="rId88" /><Relationship Type="http://schemas.openxmlformats.org/officeDocument/2006/relationships/hyperlink" Target="https://www.chittorgarh.com/ipo/avaada-electro-ipo/2790/" TargetMode="External" Id="rId89" /><Relationship Type="http://schemas.openxmlformats.org/officeDocument/2006/relationships/hyperlink" Target="https://www.sebi.gov.in/sebi_data/attachdocs/aug-2026/1787803545833.pdf" TargetMode="External" Id="rId90" /><Relationship Type="http://schemas.openxmlformats.org/officeDocument/2006/relationships/hyperlink" Target="https://www.sebi.gov.in/filings/public-issues/aug-2026/gemini-edibles-and-fats-india-limited-drhp_104032.html" TargetMode="External" Id="rId91" /><Relationship Type="http://schemas.openxmlformats.org/officeDocument/2006/relationships/hyperlink" Target="https://www.sebi.gov.in/sebi_data/commondocs/aug-2026/Gemini%20Edibles%20&amp;%20Fats%20India%20Ltd.%20-%20Draft%20Abridged%20Prospectus_p.pdf" TargetMode="External" Id="rId92" /><Relationship Type="http://schemas.openxmlformats.org/officeDocument/2006/relationships/hyperlink" Target="https://www.chittorgarh.com/ipo/gemini-edibles-fats-india-ipo/3238/" TargetMode="External" Id="rId93" /><Relationship Type="http://schemas.openxmlformats.org/officeDocument/2006/relationships/hyperlink" Target="https://www.sebi.gov.in/sebi_data/attachdocs/aug-2026/1787311805039_1343.pdf" TargetMode="External" Id="rId94" /><Relationship Type="http://schemas.openxmlformats.org/officeDocument/2006/relationships/hyperlink" Target="https://www.sebi.gov.in/filings/public-issues/aug-2026/avtar-steel-limited-drhp_103867.html" TargetMode="External" Id="rId95" /><Relationship Type="http://schemas.openxmlformats.org/officeDocument/2006/relationships/hyperlink" Target="https://www.sebi.gov.in/sebi_data/commondocs/aug-2026/Avtar%20Steel%20Limited%20-%20Draft%20Abridged%20Prospectus_p.pdf" TargetMode="External" Id="rId96" /><Relationship Type="http://schemas.openxmlformats.org/officeDocument/2006/relationships/hyperlink" Target="https://www.businesstoday.in/markets/ipo-corner/story/avtar-steel-files-draft-ipo-papers-with-sebi-to-raise-rs-585-crore-through-fresh-issue-549604-2026-08-17" TargetMode="External" Id="rId97" /><Relationship Type="http://schemas.openxmlformats.org/officeDocument/2006/relationships/hyperlink" Target="https://www.sebi.gov.in/sebi_data/attachdocs/aug-2026/1787037217420.pdf" TargetMode="External" Id="rId98" /><Relationship Type="http://schemas.openxmlformats.org/officeDocument/2006/relationships/hyperlink" Target="https://www.sebi.gov.in/filings/public-issues/aug-2026/tablespace-technologies-limited-drhp_103710.html" TargetMode="External" Id="rId99" /><Relationship Type="http://schemas.openxmlformats.org/officeDocument/2006/relationships/hyperlink" Target="https://www.sebi.gov.in/sebi_data/commondocs/aug-2026/TABLESPACE%20TECHNOLOGIES%20LIMITED%20-%20DAP_p.pdf" TargetMode="External" Id="rId100" /><Relationship Type="http://schemas.openxmlformats.org/officeDocument/2006/relationships/hyperlink" Target="https://www.chittorgarh.com/ipo/tablespace-technologies-ipo/3218/" TargetMode="External" Id="rId101" /><Relationship Type="http://schemas.openxmlformats.org/officeDocument/2006/relationships/hyperlink" Target="https://www.sebi.gov.in/sebi_data/attachdocs/aug-2026/1787135219223.pdf" TargetMode="External" Id="rId102" /><Relationship Type="http://schemas.openxmlformats.org/officeDocument/2006/relationships/hyperlink" Target="https://www.sebi.gov.in/filings/public-issues/aug-2026/svatantra-microfin-limited-drhp_103765.html" TargetMode="External" Id="rId103" /><Relationship Type="http://schemas.openxmlformats.org/officeDocument/2006/relationships/hyperlink" Target="https://www.sebi.gov.in/sebi_data/commondocs/aug-2026/Svatantra%20Microfin%20Limited%20%20-%20DAP_p.pdf" TargetMode="External" Id="rId104" /><Relationship Type="http://schemas.openxmlformats.org/officeDocument/2006/relationships/hyperlink" Target="https://www.chittorgarh.com/ipo/svatantra-microfin-ipo/3220/" TargetMode="External" Id="rId105" /><Relationship Type="http://schemas.openxmlformats.org/officeDocument/2006/relationships/hyperlink" Target="https://www.sebi.gov.in/sebi_data/attachdocs/aug-2026/1787032236785.pdf" TargetMode="External" Id="rId106" /><Relationship Type="http://schemas.openxmlformats.org/officeDocument/2006/relationships/hyperlink" Target="https://www.sebi.gov.in/filings/public-issues/aug-2026/muthoot-fincorp-limited-drhp_103697.html" TargetMode="External" Id="rId107" /><Relationship Type="http://schemas.openxmlformats.org/officeDocument/2006/relationships/hyperlink" Target="https://www.sebi.gov.in/sebi_data/commondocs/aug-2026/Muthoot%20Fincorp%20DAP_p.pdf" TargetMode="External" Id="rId108" /><Relationship Type="http://schemas.openxmlformats.org/officeDocument/2006/relationships/hyperlink" Target="https://www.chittorgarh.com/ipo/muthoot-fincorp-ipo/3219/" TargetMode="External" Id="rId109" /><Relationship Type="http://schemas.openxmlformats.org/officeDocument/2006/relationships/hyperlink" Target="https://www.sebi.gov.in/sebi_data/attachdocs/aug-2026/1786705255144.pdf" TargetMode="External" Id="rId110" /><Relationship Type="http://schemas.openxmlformats.org/officeDocument/2006/relationships/hyperlink" Target="https://www.sebi.gov.in/filings/public-issues/aug-2026/zetwerk-manufacturing-businesses-limited-udrhp_103643.html" TargetMode="External" Id="rId111" /><Relationship Type="http://schemas.openxmlformats.org/officeDocument/2006/relationships/hyperlink" Target="https://www.sebi.gov.in/sebi_data/commondocs/aug-2026/Zetwerk%20Manufacturing%20Businesses%20Limited%20-%20DAP_p.pdf" TargetMode="External" Id="rId112" /><Relationship Type="http://schemas.openxmlformats.org/officeDocument/2006/relationships/hyperlink" Target="https://www.chittorgarh.com/ipo/zetwerk-ipo/3091/" TargetMode="External" Id="rId113" /><Relationship Type="http://schemas.openxmlformats.org/officeDocument/2006/relationships/hyperlink" Target="https://www.sebi.gov.in/sebi_data/attachdocs/aug-2026/1786692605529_1339.pdf" TargetMode="External" Id="rId114" /><Relationship Type="http://schemas.openxmlformats.org/officeDocument/2006/relationships/hyperlink" Target="https://www.sebi.gov.in/filings/public-issues/aug-2026/tonbo-imaging-india-limited-drhp_103625.html" TargetMode="External" Id="rId115" /><Relationship Type="http://schemas.openxmlformats.org/officeDocument/2006/relationships/hyperlink" Target="https://www.sebi.gov.in/sebi_data/commondocs/aug-2026/Tonbo%20Imaging%20India%20Limited%20-%20DAP_p.pdf" TargetMode="External" Id="rId116" /><Relationship Type="http://schemas.openxmlformats.org/officeDocument/2006/relationships/hyperlink" Target="https://www.chittorgarh.com/ipo/tonbo-imaging-india-ipo/3215/" TargetMode="External" Id="rId117" /><Relationship Type="http://schemas.openxmlformats.org/officeDocument/2006/relationships/hyperlink" Target="https://www.sebi.gov.in/sebi_data/attachdocs/aug-2026/1786684492213.pdf" TargetMode="External" Id="rId118" /><Relationship Type="http://schemas.openxmlformats.org/officeDocument/2006/relationships/hyperlink" Target="https://www.sebi.gov.in/filings/public-issues/aug-2026/ags-health-limited-udrhp_103617.html" TargetMode="External" Id="rId119" /><Relationship Type="http://schemas.openxmlformats.org/officeDocument/2006/relationships/hyperlink" Target="https://www.sebi.gov.in/sebi_data/commondocs/aug-2026/AGS%20Health%20Limited%20-%20AP_p.pdf" TargetMode="External" Id="rId120" /><Relationship Type="http://schemas.openxmlformats.org/officeDocument/2006/relationships/hyperlink" Target="https://www.chittorgarh.com/ipo/ags-health-ipo/3093/" TargetMode="External" Id="rId121" /><Relationship Type="http://schemas.openxmlformats.org/officeDocument/2006/relationships/hyperlink" Target="https://www.sebi.gov.in/sebi_data/attachdocs/sep-2026/1789018300594.pdf" TargetMode="External" Id="rId122" /><Relationship Type="http://schemas.openxmlformats.org/officeDocument/2006/relationships/hyperlink" Target="https://www.sebi.gov.in/filings/public-issues/aug-2026/eaaa-india-alternatives-limited_104397.html" TargetMode="External" Id="rId123" /><Relationship Type="http://schemas.openxmlformats.org/officeDocument/2006/relationships/hyperlink" Target="https://www.chittorgarh.com/ipo/eaaa-india-alternatives-ipo/2061/" TargetMode="External" Id="rId124" /><Relationship Type="http://schemas.openxmlformats.org/officeDocument/2006/relationships/hyperlink" Target="https://www.sebi.gov.in/sebi_data/attachdocs/aug-2026/1786519804294_1338.pdf" TargetMode="External" Id="rId125" /><Relationship Type="http://schemas.openxmlformats.org/officeDocument/2006/relationships/hyperlink" Target="https://www.sebi.gov.in/filings/public-issues/aug-2026/j-pan-tubular-components-limited-drhp_103499.html" TargetMode="External" Id="rId126" /><Relationship Type="http://schemas.openxmlformats.org/officeDocument/2006/relationships/hyperlink" Target="https://www.sebi.gov.in/sebi_data/commondocs/aug-2026/J%20PAN%20TUBULAR%20COMPONENTS%20LIMITED%20-%20DAP_p.pdf" TargetMode="External" Id="rId127" /><Relationship Type="http://schemas.openxmlformats.org/officeDocument/2006/relationships/hyperlink" Target="https://www.chittorgarh.com/ipo/j-pan-tubular-components-ipo/3191/" TargetMode="External" Id="rId128" /><Relationship Type="http://schemas.openxmlformats.org/officeDocument/2006/relationships/hyperlink" Target="https://www.sebi.gov.in/sebi_data/attachdocs/aug-2026/1786439399725.pdf" TargetMode="External" Id="rId129" /><Relationship Type="http://schemas.openxmlformats.org/officeDocument/2006/relationships/hyperlink" Target="https://www.sebi.gov.in/filings/public-issues/aug-2026/beauty-garage-limited-drhp_103479.html" TargetMode="External" Id="rId130" /><Relationship Type="http://schemas.openxmlformats.org/officeDocument/2006/relationships/hyperlink" Target="https://www.sebi.gov.in/sebi_data/commondocs/aug-2026/BEAUTY%20GARAGE%20LIMITED%20-%20AP_p.pdf" TargetMode="External" Id="rId131" /><Relationship Type="http://schemas.openxmlformats.org/officeDocument/2006/relationships/hyperlink" Target="https://www.chittorgarh.com/ipo/beauty-garage-ipo/3208/" TargetMode="External" Id="rId132" /><Relationship Type="http://schemas.openxmlformats.org/officeDocument/2006/relationships/hyperlink" Target="https://www.sebi.gov.in/sebi_data/attachdocs/aug-2026/1786357330303.pdf" TargetMode="External" Id="rId133" /><Relationship Type="http://schemas.openxmlformats.org/officeDocument/2006/relationships/hyperlink" Target="https://www.sebi.gov.in/filings/public-issues/aug-2026/arjun-jewellers-limited-drhp_103462.html" TargetMode="External" Id="rId134" /><Relationship Type="http://schemas.openxmlformats.org/officeDocument/2006/relationships/hyperlink" Target="https://www.sebi.gov.in/sebi_data/commondocs/aug-2026/Arjun%20Jewellers%20Limited%20-%20DAP_p.pdf" TargetMode="External" Id="rId135" /><Relationship Type="http://schemas.openxmlformats.org/officeDocument/2006/relationships/hyperlink" Target="https://www.chittorgarh.com/ipo/arjun-jewellers-ipo/2741/" TargetMode="External" Id="rId136" /><Relationship Type="http://schemas.openxmlformats.org/officeDocument/2006/relationships/hyperlink" Target="https://www.sebi.gov.in/sebi_data/attachdocs/aug-2026/1785994501228.pdf" TargetMode="External" Id="rId137" /><Relationship Type="http://schemas.openxmlformats.org/officeDocument/2006/relationships/hyperlink" Target="https://www.sebi.gov.in/filings/public-issues/aug-2026/encube-ethicals-limited-drhp_103383.html" TargetMode="External" Id="rId138" /><Relationship Type="http://schemas.openxmlformats.org/officeDocument/2006/relationships/hyperlink" Target="https://www.sebi.gov.in/sebi_data/commondocs/aug-2026/Encube%20Ethicals%20Limited%20-%20AP_p.pdf" TargetMode="External" Id="rId139" /><Relationship Type="http://schemas.openxmlformats.org/officeDocument/2006/relationships/hyperlink" Target="https://www.chittorgarh.com/ipo/encube-ethicals-ipo/3211/" TargetMode="External" Id="rId140" /><Relationship Type="http://schemas.openxmlformats.org/officeDocument/2006/relationships/hyperlink" Target="https://www.sebi.gov.in/sebi_data/attachdocs/aug-2026/1785915007745_1334.pdf" TargetMode="External" Id="rId141" /><Relationship Type="http://schemas.openxmlformats.org/officeDocument/2006/relationships/hyperlink" Target="https://www.sebi.gov.in/filings/public-issues/aug-2026/advanced-sys-tek-limited-drhp_103353.html" TargetMode="External" Id="rId142" /><Relationship Type="http://schemas.openxmlformats.org/officeDocument/2006/relationships/hyperlink" Target="https://www.sebi.gov.in/sebi_data/commondocs/aug-2026/Advanced%20Sys-Tek%20Limited%20%20-%20DAP_p.pdf" TargetMode="External" Id="rId143" /><Relationship Type="http://schemas.openxmlformats.org/officeDocument/2006/relationships/hyperlink" Target="https://www.chittorgarh.com/ipo/advanced-sys-tek-ipo/1997/" TargetMode="External" Id="rId144" /><Relationship Type="http://schemas.openxmlformats.org/officeDocument/2006/relationships/hyperlink" Target="https://www.sebi.gov.in/sebi_data/attachdocs/jul-2026/1785497407202_1315.pdf" TargetMode="External" Id="rId145" /><Relationship Type="http://schemas.openxmlformats.org/officeDocument/2006/relationships/hyperlink" Target="https://www.sebi.gov.in/filings/public-issues/jul-2026/master-chains-n-jewels-limited-drhp_103287.html" TargetMode="External" Id="rId146" /><Relationship Type="http://schemas.openxmlformats.org/officeDocument/2006/relationships/hyperlink" Target="https://www.sebi.gov.in/sebi_data/commondocs/aug-2026/Master%20Chains%20N%20Jewels%20Limited%20-%20AP_p.pdf" TargetMode="External" Id="rId147" /><Relationship Type="http://schemas.openxmlformats.org/officeDocument/2006/relationships/hyperlink" Target="https://www.ipoplatform.com/ipo/master-chains-n-jewels-ipo/4746" TargetMode="External" Id="rId148" /><Relationship Type="http://schemas.openxmlformats.org/officeDocument/2006/relationships/hyperlink" Target="https://www.sebi.gov.in/sebi_data/attachdocs/jul-2026/1785375006183_1314.pdf" TargetMode="External" Id="rId149" /><Relationship Type="http://schemas.openxmlformats.org/officeDocument/2006/relationships/hyperlink" Target="https://www.sebi.gov.in/filings/public-issues/jul-2026/yogiji-digi-limited-drhp_103106.html" TargetMode="External" Id="rId150" /><Relationship Type="http://schemas.openxmlformats.org/officeDocument/2006/relationships/hyperlink" Target="https://www.sebi.gov.in/sebi_data/commondocs/jul-2026/YOGIJI%20DIGI%20LIMITED_p.pdf" TargetMode="External" Id="rId151" /><Relationship Type="http://schemas.openxmlformats.org/officeDocument/2006/relationships/hyperlink" Target="https://www.chittorgarh.com/ipo/yogiji-digi-ipo/3198/" TargetMode="External" Id="rId152" /><Relationship Type="http://schemas.openxmlformats.org/officeDocument/2006/relationships/hyperlink" Target="https://www.sebi.gov.in/sebi_data/attachdocs/jul-2026/1785315631246.pdf" TargetMode="External" Id="rId153" /><Relationship Type="http://schemas.openxmlformats.org/officeDocument/2006/relationships/hyperlink" Target="https://www.sebi.gov.in/filings/public-issues/jul-2026/indian-gas-exchange-limited-drhp_102988.html" TargetMode="External" Id="rId154" /><Relationship Type="http://schemas.openxmlformats.org/officeDocument/2006/relationships/hyperlink" Target="https://www.sebi.gov.in/sebi_data/commondocs/jul-2026/Indian%20Gas%20Exchange%20Limited_p.pdf" TargetMode="External" Id="rId155" /><Relationship Type="http://schemas.openxmlformats.org/officeDocument/2006/relationships/hyperlink" Target="https://www.chittorgarh.com/ipo/indian-gas-exchange-ipo/3193/" TargetMode="External" Id="rId156" /><Relationship Type="http://schemas.openxmlformats.org/officeDocument/2006/relationships/hyperlink" Target="https://www.sebi.gov.in/sebi_data/attachdocs/aug-2026/1786343435455.pdf" TargetMode="External" Id="rId157" /><Relationship Type="http://schemas.openxmlformats.org/officeDocument/2006/relationships/hyperlink" Target="https://www.sebi.gov.in/filings/public-issues/jul-2026/ifl-finance-ltd-drhp_103313.html" TargetMode="External" Id="rId158" /><Relationship Type="http://schemas.openxmlformats.org/officeDocument/2006/relationships/hyperlink" Target="https://www.sebi.gov.in/sebi_data/commondocs/aug-2026/IFL%20Finance%20Ltd-%20DAP_p.pdf" TargetMode="External" Id="rId159" /><Relationship Type="http://schemas.openxmlformats.org/officeDocument/2006/relationships/hyperlink" Target="https://www.chittorgarh.com/ipo/ifl-finance-ipo/3200/" TargetMode="External" Id="rId160" /><Relationship Type="http://schemas.openxmlformats.org/officeDocument/2006/relationships/hyperlink" Target="https://www.sebi.gov.in/sebi_data/attachdocs/jul-2026/1784187006424_1304.pdf" TargetMode="External" Id="rId161" /><Relationship Type="http://schemas.openxmlformats.org/officeDocument/2006/relationships/hyperlink" Target="https://www.sebi.gov.in/filings/public-issues/jul-2026/gni-infrastructure-limited-drhp_102874.html" TargetMode="External" Id="rId162" /><Relationship Type="http://schemas.openxmlformats.org/officeDocument/2006/relationships/hyperlink" Target="https://www.sebi.gov.in/sebi_data/commondocs/jul-2026/GNI%20INFRASTRUCTURE%20LIMITED%20-%20DA_p.pdf" TargetMode="External" Id="rId163" /><Relationship Type="http://schemas.openxmlformats.org/officeDocument/2006/relationships/hyperlink" Target="https://www.chittorgarh.com/ipo/gni-infrastructure-ipo/3176/" TargetMode="External" Id="rId164" /><Relationship Type="http://schemas.openxmlformats.org/officeDocument/2006/relationships/hyperlink" Target="https://www.sebi.gov.in/sebi_data/attachdocs/jul-2026/1783588088633.pdf" TargetMode="External" Id="rId165" /><Relationship Type="http://schemas.openxmlformats.org/officeDocument/2006/relationships/hyperlink" Target="https://www.sebi.gov.in/filings/public-issues/jul-2026/ratnadeep-retail-limited-drhp_102720.html" TargetMode="External" Id="rId166" /><Relationship Type="http://schemas.openxmlformats.org/officeDocument/2006/relationships/hyperlink" Target="https://www.sebi.gov.in/sebi_data/commondocs/jul-2026/Ratnadeep%20Retail%20Limited%20-%20DAP_p.pdf" TargetMode="External" Id="rId167" /><Relationship Type="http://schemas.openxmlformats.org/officeDocument/2006/relationships/hyperlink" Target="https://www.chittorgarh.com/ipo/ratnadeep-retail-ipo/3181/" TargetMode="External" Id="rId168" /><Relationship Type="http://schemas.openxmlformats.org/officeDocument/2006/relationships/hyperlink" Target="https://www.sebi.gov.in/sebi_data/attachdocs/jul-2026/1783572277499.pdf" TargetMode="External" Id="rId169" /><Relationship Type="http://schemas.openxmlformats.org/officeDocument/2006/relationships/hyperlink" Target="https://www.sebi.gov.in/filings/public-issues/jul-2026/cult-fit-limited-drhp_102714.html" TargetMode="External" Id="rId170" /><Relationship Type="http://schemas.openxmlformats.org/officeDocument/2006/relationships/hyperlink" Target="https://www.sebi.gov.in/sebi_data/commondocs/jul-2026/CULT.FIT%20Limited%20-%20AP_p.pdf" TargetMode="External" Id="rId171" /><Relationship Type="http://schemas.openxmlformats.org/officeDocument/2006/relationships/hyperlink" Target="https://www.chittorgarh.com/ipo/cultfit-ipo/3189/" TargetMode="External" Id="rId172" /><Relationship Type="http://schemas.openxmlformats.org/officeDocument/2006/relationships/hyperlink" Target="https://www.sebi.gov.in/sebi_data/attachdocs/jul-2026/1783495804607_1303.pdf" TargetMode="External" Id="rId173" /><Relationship Type="http://schemas.openxmlformats.org/officeDocument/2006/relationships/hyperlink" Target="https://www.sebi.gov.in/filings/public-issues/jul-2026/tmc-transformers-india-limited-drhp_102680.html" TargetMode="External" Id="rId174" /><Relationship Type="http://schemas.openxmlformats.org/officeDocument/2006/relationships/hyperlink" Target="https://www.sebi.gov.in/sebi_data/commondocs/jul-2026/TMC%20Transformers%20India%20Limited%20-%20Abri_p.pdf" TargetMode="External" Id="rId175" /><Relationship Type="http://schemas.openxmlformats.org/officeDocument/2006/relationships/hyperlink" Target="https://www.chittorgarh.com/ipo/tmc-transformers-india-ipo/3177/" TargetMode="External" Id="rId176" /><Relationship Type="http://schemas.openxmlformats.org/officeDocument/2006/relationships/hyperlink" Target="https://www.sebi.gov.in/sebi_data/attachdocs/jul-2026/1783492351929.pdf" TargetMode="External" Id="rId177" /><Relationship Type="http://schemas.openxmlformats.org/officeDocument/2006/relationships/hyperlink" Target="https://www.sebi.gov.in/filings/public-issues/jul-2026/innoterra-limited-drhp_102678.html" TargetMode="External" Id="rId178" /><Relationship Type="http://schemas.openxmlformats.org/officeDocument/2006/relationships/hyperlink" Target="https://www.sebi.gov.in/sebi_data/commondocs/jul-2026/INNOTERRA%20LIMITED%20-%20Abri_p.pdf" TargetMode="External" Id="rId179" /><Relationship Type="http://schemas.openxmlformats.org/officeDocument/2006/relationships/hyperlink" Target="https://www.chittorgarh.com/ipo/innoterra-ipo/3175/" TargetMode="External" Id="rId180" /><Relationship Type="http://schemas.openxmlformats.org/officeDocument/2006/relationships/hyperlink" Target="https://www.sebi.gov.in/sebi_data/attachdocs/jul-2026/1783337424176_1299.pdf" TargetMode="External" Id="rId181" /><Relationship Type="http://schemas.openxmlformats.org/officeDocument/2006/relationships/hyperlink" Target="https://www.sebi.gov.in/filings/public-issues/jul-2026/swara-baby-products-limited-drhp_102609.html" TargetMode="External" Id="rId182" /><Relationship Type="http://schemas.openxmlformats.org/officeDocument/2006/relationships/hyperlink" Target="https://www.sebi.gov.in/sebi_data/commondocs/jul-2026/SWARA%20Baby%20Products%20Limited%20-%20DAP_p.pdf" TargetMode="External" Id="rId183" /><Relationship Type="http://schemas.openxmlformats.org/officeDocument/2006/relationships/hyperlink" Target="https://www.chittorgarh.com/ipo/swara-baby-products-ipo/3186/" TargetMode="External" Id="rId184" /><Relationship Type="http://schemas.openxmlformats.org/officeDocument/2006/relationships/hyperlink" Target="https://www.sebi.gov.in/sebi_data/attachdocs/jul-2026/1783418315173.pdf" TargetMode="External" Id="rId185" /><Relationship Type="http://schemas.openxmlformats.org/officeDocument/2006/relationships/hyperlink" Target="https://www.sebi.gov.in/filings/public-issues/jul-2026/stalwart-people-services-india-limited-drhp_102607.html" TargetMode="External" Id="rId186" /><Relationship Type="http://schemas.openxmlformats.org/officeDocument/2006/relationships/hyperlink" Target="https://www.sebi.gov.in/sebi_data/commondocs/jul-2026/Stalwart%20People%20Services%20India%20Limited%20-%20Abri_p.pdf" TargetMode="External" Id="rId187" /><Relationship Type="http://schemas.openxmlformats.org/officeDocument/2006/relationships/hyperlink" Target="https://www.chittorgarh.com/ipo/stalwart-people-services-india-ipo/3168/" TargetMode="External" Id="rId188" /><Relationship Type="http://schemas.openxmlformats.org/officeDocument/2006/relationships/hyperlink" Target="https://www.sebi.gov.in/sebi_data/attachdocs/jul-2026/1783337424176_1300.pdf" TargetMode="External" Id="rId189" /><Relationship Type="http://schemas.openxmlformats.org/officeDocument/2006/relationships/hyperlink" Target="https://www.sebi.gov.in/filings/public-issues/jul-2026/pragyawan-technologies-limited-drhp_102611.html" TargetMode="External" Id="rId190" /><Relationship Type="http://schemas.openxmlformats.org/officeDocument/2006/relationships/hyperlink" Target="https://www.sebi.gov.in/sebi_data/commondocs/jul-2026/Pragyawan%20Technologies%20Limited%20-%20Abriged_p.PDF" TargetMode="External" Id="rId191" /><Relationship Type="http://schemas.openxmlformats.org/officeDocument/2006/relationships/hyperlink" Target="https://www.chittorgarh.com/ipo/pragyawan-technologies-ipo/3172/" TargetMode="External" Id="rId192" /><Relationship Type="http://schemas.openxmlformats.org/officeDocument/2006/relationships/hyperlink" Target="https://www.sebi.gov.in/sebi_data/attachdocs/jul-2026/1783323004810_1297.pdf" TargetMode="External" Id="rId193" /><Relationship Type="http://schemas.openxmlformats.org/officeDocument/2006/relationships/hyperlink" Target="https://www.sebi.gov.in/filings/public-issues/jul-2026/functional-and-innovative-foods-limited-drhp_102603.html" TargetMode="External" Id="rId194" /><Relationship Type="http://schemas.openxmlformats.org/officeDocument/2006/relationships/hyperlink" Target="https://www.sebi.gov.in/sebi_data/commondocs/jul-2026/Functional%20&amp;%20Innovative%20Foods%20Limited-%20Abri_p.pdf" TargetMode="External" Id="rId195" /><Relationship Type="http://schemas.openxmlformats.org/officeDocument/2006/relationships/hyperlink" Target="https://www.kotakneo.com/news/ipos/functional-and-innovative-foods-ipo-gets-sebi-nod-85-lakh-shares/" TargetMode="External" Id="rId196" /><Relationship Type="http://schemas.openxmlformats.org/officeDocument/2006/relationships/hyperlink" Target="https://www.sebi.gov.in/sebi_data/attachdocs/jul-2026/1782991807154_1296.pdf" TargetMode="External" Id="rId197" /><Relationship Type="http://schemas.openxmlformats.org/officeDocument/2006/relationships/hyperlink" Target="https://www.sebi.gov.in/filings/public-issues/jul-2026/eswari-global-metal-industries-limited-drhp_102541.html" TargetMode="External" Id="rId198" /><Relationship Type="http://schemas.openxmlformats.org/officeDocument/2006/relationships/hyperlink" Target="https://www.sebi.gov.in/sebi_data/commondocs/jul-2026/GLOBAL%20-%20DAP_p.pdf" TargetMode="External" Id="rId199" /><Relationship Type="http://schemas.openxmlformats.org/officeDocument/2006/relationships/hyperlink" Target="https://www.chittorgarh.com/ipo/eswari-global-metal-ipo/3169/" TargetMode="External" Id="rId200" /><Relationship Type="http://schemas.openxmlformats.org/officeDocument/2006/relationships/hyperlink" Target="https://www.sebi.gov.in/sebi_data/attachdocs/jul-2026/1782889460153.pdf" TargetMode="External" Id="rId201" /><Relationship Type="http://schemas.openxmlformats.org/officeDocument/2006/relationships/hyperlink" Target="https://www.sebi.gov.in/filings/public-issues/jul-2026/social-worth-technologies-limited-drhp_102477.html" TargetMode="External" Id="rId202" /><Relationship Type="http://schemas.openxmlformats.org/officeDocument/2006/relationships/hyperlink" Target="https://www.sebi.gov.in/sebi_data/commondocs/jul-2026/Social%20Worth%20Technologies%20-%20DA_p.pdf" TargetMode="External" Id="rId203" /><Relationship Type="http://schemas.openxmlformats.org/officeDocument/2006/relationships/hyperlink" Target="https://www.chittorgarh.com/ipo/social-worth-technologies-ipo/3164/" TargetMode="External" Id="rId204" /><Relationship Type="http://schemas.openxmlformats.org/officeDocument/2006/relationships/hyperlink" Target="https://www.sebi.gov.in/sebi_data/attachdocs/jul-2026/1783322148504.pdf" TargetMode="External" Id="rId205" /><Relationship Type="http://schemas.openxmlformats.org/officeDocument/2006/relationships/hyperlink" Target="https://www.sebi.gov.in/filings/public-issues/jul-2026/renfra-energy-india-ltd-drhp_102601.html" TargetMode="External" Id="rId206" /><Relationship Type="http://schemas.openxmlformats.org/officeDocument/2006/relationships/hyperlink" Target="https://www.sebi.gov.in/sebi_data/commondocs/jul-2026/REIL%20Abridged_p.pdf" TargetMode="External" Id="rId207" /><Relationship Type="http://schemas.openxmlformats.org/officeDocument/2006/relationships/hyperlink" Target="https://www.chittorgarh.com/ipo/renfra-energy-india-ipo/3173/" TargetMode="External" Id="rId208" /><Relationship Type="http://schemas.openxmlformats.org/officeDocument/2006/relationships/hyperlink" Target="https://www.sebi.gov.in/sebi_data/attachdocs/jul-2026/1782887237115.pdf" TargetMode="External" Id="rId209" /><Relationship Type="http://schemas.openxmlformats.org/officeDocument/2006/relationships/hyperlink" Target="https://www.sebi.gov.in/filings/public-issues/jul-2026/mann-fleet-partners-limited-drhp_102474.html" TargetMode="External" Id="rId210" /><Relationship Type="http://schemas.openxmlformats.org/officeDocument/2006/relationships/hyperlink" Target="https://www.sebi.gov.in/sebi_data/commondocs/jul-2026/Maan%20Fleet%20Partners%20Limited%20-%20DRPH_p.pdf" TargetMode="External" Id="rId211" /><Relationship Type="http://schemas.openxmlformats.org/officeDocument/2006/relationships/hyperlink" Target="https://www.chittorgarh.com/ipo/mann-fleet-partners-ipo/3166/" TargetMode="External" Id="rId212" /><Relationship Type="http://schemas.openxmlformats.org/officeDocument/2006/relationships/hyperlink" Target="https://www.sebi.gov.in/sebi_data/attachdocs/jun-2026/1782797745198.pdf" TargetMode="External" Id="rId213" /><Relationship Type="http://schemas.openxmlformats.org/officeDocument/2006/relationships/hyperlink" Target="https://www.sebi.gov.in/filings/public-issues/jun-2026/oravel-stays-limited-udrhp-i_102455.html" TargetMode="External" Id="rId214" /><Relationship Type="http://schemas.openxmlformats.org/officeDocument/2006/relationships/hyperlink" Target="https://www.sebi.gov.in/sebi_data/commondocs/jun-2026/ORAVEL%20STAYS%20LIMITED%20-%20Abridged_p.pdf" TargetMode="External" Id="rId215" /><Relationship Type="http://schemas.openxmlformats.org/officeDocument/2006/relationships/hyperlink" Target="https://www.chittorgarh.com/ipo/oyo-ipo/2843/" TargetMode="External" Id="rId216" /><Relationship Type="http://schemas.openxmlformats.org/officeDocument/2006/relationships/hyperlink" Target="https://www.sebi.gov.in/sebi_data/attachdocs/jun-2026/1782706923073.pdf" TargetMode="External" Id="rId217" /><Relationship Type="http://schemas.openxmlformats.org/officeDocument/2006/relationships/hyperlink" Target="https://www.sebi.gov.in/filings/public-issues/jun-2026/ujin-pharma-ltd-drhp_102424.html" TargetMode="External" Id="rId218" /><Relationship Type="http://schemas.openxmlformats.org/officeDocument/2006/relationships/hyperlink" Target="https://www.sebi.gov.in/sebi_data/commondocs/jun-2026/Ujin%20Pharma%20Ltd.%20-%20Draft%20Abridged%20Prospectus_p.pdf" TargetMode="External" Id="rId219" /><Relationship Type="http://schemas.openxmlformats.org/officeDocument/2006/relationships/hyperlink" Target="https://www.chittorgarh.com/ipo/ujin-pharma-ipo/3154/" TargetMode="External" Id="rId220" /><Relationship Type="http://schemas.openxmlformats.org/officeDocument/2006/relationships/hyperlink" Target="https://www.sebi.gov.in/sebi_data/attachdocs/jun-2026/1782383217036.pdf" TargetMode="External" Id="rId221" /><Relationship Type="http://schemas.openxmlformats.org/officeDocument/2006/relationships/hyperlink" Target="https://www.sebi.gov.in/filings/public-issues/jun-2026/sky-alloys-and-power-limited-drhp_102415.html" TargetMode="External" Id="rId222" /><Relationship Type="http://schemas.openxmlformats.org/officeDocument/2006/relationships/hyperlink" Target="https://www.sebi.gov.in/sebi_data/commondocs/jun-2026/Sky%20Alloys%20and%20Power%20Limited%20-%20Abri_p.pdf" TargetMode="External" Id="rId223" /><Relationship Type="http://schemas.openxmlformats.org/officeDocument/2006/relationships/hyperlink" Target="https://www.chittorgarh.com/ipo/sky-alloys-and-power-ipo/2776/" TargetMode="External" Id="rId224" /><Relationship Type="http://schemas.openxmlformats.org/officeDocument/2006/relationships/hyperlink" Target="https://www.sebi.gov.in/sebi_data/attachdocs/jun-2026/1781870482419.PDF" TargetMode="External" Id="rId225" /><Relationship Type="http://schemas.openxmlformats.org/officeDocument/2006/relationships/hyperlink" Target="https://www.sebi.gov.in/filings/public-issues/jun-2026/jio-platforms-ltd-drhp_102248.html" TargetMode="External" Id="rId226" /><Relationship Type="http://schemas.openxmlformats.org/officeDocument/2006/relationships/hyperlink" Target="https://www.sebi.gov.in/sebi_data/commondocs/jun-2026/Jio%20Platforms%20Ltd_p.PDF" TargetMode="External" Id="rId227" /><Relationship Type="http://schemas.openxmlformats.org/officeDocument/2006/relationships/hyperlink" Target="https://www.chittorgarh.com/ipo/jio-platforms-ipo/3152/" TargetMode="External" Id="rId228" /><Relationship Type="http://schemas.openxmlformats.org/officeDocument/2006/relationships/hyperlink" Target="https://www.sebi.gov.in/sebi_data/attachdocs/jun-2026/1781761057174.pdf" TargetMode="External" Id="rId229" /><Relationship Type="http://schemas.openxmlformats.org/officeDocument/2006/relationships/hyperlink" Target="https://www.sebi.gov.in/filings/public-issues/jun-2026/paras-healthcare-limited-drhp_102187.html" TargetMode="External" Id="rId230" /><Relationship Type="http://schemas.openxmlformats.org/officeDocument/2006/relationships/hyperlink" Target="https://www.sebi.gov.in/sebi_data/commondocs/jun-2026/Paras%20Healthcare%20Limited%20-%20Abridged_p.pdf" TargetMode="External" Id="rId231" /><Relationship Type="http://schemas.openxmlformats.org/officeDocument/2006/relationships/hyperlink" Target="https://www.chittorgarh.com/ipo/paras-healthcare-ipo/2256/" TargetMode="External" Id="rId232" /><Relationship Type="http://schemas.openxmlformats.org/officeDocument/2006/relationships/hyperlink" Target="https://www.sebi.gov.in/sebi_data/attachdocs/jun-2026/1780983427091.pdf" TargetMode="External" Id="rId233" /><Relationship Type="http://schemas.openxmlformats.org/officeDocument/2006/relationships/hyperlink" Target="https://www.sebi.gov.in/filings/public-issues/jun-2026/zepto-limited-udrhp1_101929.html" TargetMode="External" Id="rId234" /><Relationship Type="http://schemas.openxmlformats.org/officeDocument/2006/relationships/hyperlink" Target="https://www.sebi.gov.in/sebi_data/commondocs/jun-2026/Zepto%20Limited%20-%20abridged_p.pdf" TargetMode="External" Id="rId235" /><Relationship Type="http://schemas.openxmlformats.org/officeDocument/2006/relationships/hyperlink" Target="https://www.chittorgarh.com/ipo/zepto-ipo/2819/" TargetMode="External" Id="rId236" /><Relationship Type="http://schemas.openxmlformats.org/officeDocument/2006/relationships/hyperlink" Target="https://www.sebi.gov.in/sebi_data/attachdocs/jun-2026/1780558204915_1257.pdf" TargetMode="External" Id="rId237" /><Relationship Type="http://schemas.openxmlformats.org/officeDocument/2006/relationships/hyperlink" Target="https://www.sebi.gov.in/filings/public-issues/jun-2026/pushp-brand-india-limited_101826.html" TargetMode="External" Id="rId238" /><Relationship Type="http://schemas.openxmlformats.org/officeDocument/2006/relationships/hyperlink" Target="https://www.sebi.gov.in/sebi_data/commondocs/jun-2026/Pushp%20Brand%20India%20Limited%20-%20DAP_p.pdf" TargetMode="External" Id="rId239" /><Relationship Type="http://schemas.openxmlformats.org/officeDocument/2006/relationships/hyperlink" Target="https://www.chittorgarh.com/ipo/pushp-brand-india-ipo/3137/" TargetMode="External" Id="rId240" /><Relationship Type="http://schemas.openxmlformats.org/officeDocument/2006/relationships/hyperlink" Target="https://www.sebi.gov.in/sebi_data/attachdocs/jun-2026/1780389306989.pdf" TargetMode="External" Id="rId241" /><Relationship Type="http://schemas.openxmlformats.org/officeDocument/2006/relationships/hyperlink" Target="https://www.sebi.gov.in/filings/public-issues/jun-2026/matangi-rubber-limited-drhp_101764.html" TargetMode="External" Id="rId242" /><Relationship Type="http://schemas.openxmlformats.org/officeDocument/2006/relationships/hyperlink" Target="https://www.sebi.gov.in/sebi_data/commondocs/jun-2026/Matangi%20Rubber%20Limited%20-%20Abridged_p.pdf" TargetMode="External" Id="rId243" /><Relationship Type="http://schemas.openxmlformats.org/officeDocument/2006/relationships/hyperlink" Target="https://www.sebi.gov.in/sebi_data/attachdocs/jun-2026/1780373627534.pdf" TargetMode="External" Id="rId244" /><Relationship Type="http://schemas.openxmlformats.org/officeDocument/2006/relationships/hyperlink" Target="https://www.sebi.gov.in/filings/public-issues/jun-2026/arohan-financial-services-limited-drhp_101753.html" TargetMode="External" Id="rId245" /><Relationship Type="http://schemas.openxmlformats.org/officeDocument/2006/relationships/hyperlink" Target="https://www.sebi.gov.in/sebi_data/commondocs/jun-2026/Arohan%20Financial%20Services%20Limited%20-%20DRHP_p.pdf" TargetMode="External" Id="rId246" /><Relationship Type="http://schemas.openxmlformats.org/officeDocument/2006/relationships/hyperlink" Target="https://www.chittorgarh.com/ipo/arohan-financial-services-ipo/3135/" TargetMode="External" Id="rId247" /><Relationship Type="http://schemas.openxmlformats.org/officeDocument/2006/relationships/hyperlink" Target="https://www.sebi.gov.in/sebi_data/attachdocs/may-2026/1779262204888_1256.pdf" TargetMode="External" Id="rId248" /><Relationship Type="http://schemas.openxmlformats.org/officeDocument/2006/relationships/hyperlink" Target="https://www.sebi.gov.in/filings/public-issues/may-2026/m-k-sons-fine-jewels-limited_101528.html" TargetMode="External" Id="rId249" /><Relationship Type="http://schemas.openxmlformats.org/officeDocument/2006/relationships/hyperlink" Target="https://www.sebi.gov.in/sebi_data/commondocs/jun-2026/M%20K%20SONS%20-%20Draft%20Abridged%20Prospectus_p.pdf" TargetMode="External" Id="rId250" /><Relationship Type="http://schemas.openxmlformats.org/officeDocument/2006/relationships/hyperlink" Target="https://www.chittorgarh.com/ipo/mksons-fine-jewels-ipo/3100/" TargetMode="External" Id="rId251" /><Relationship Type="http://schemas.openxmlformats.org/officeDocument/2006/relationships/hyperlink" Target="https://www.sebi.gov.in/sebi_data/attachdocs/may-2026/1778844606056_1254.pdf" TargetMode="External" Id="rId252" /><Relationship Type="http://schemas.openxmlformats.org/officeDocument/2006/relationships/hyperlink" Target="https://www.sebi.gov.in/filings/public-issues/may-2026/gaurik-fashions-limited-drhp_101469.html" TargetMode="External" Id="rId253" /><Relationship Type="http://schemas.openxmlformats.org/officeDocument/2006/relationships/hyperlink" Target="https://www.sebi.gov.in/sebi_data/commondocs/sep-2026/Gaurik%20Fashions%20Limited%20-%20DAP_p.pdf" TargetMode="External" Id="rId254" /><Relationship Type="http://schemas.openxmlformats.org/officeDocument/2006/relationships/hyperlink" Target="https://www.chittorgarh.com/ipo/gaurik-fashions-ipo/3098/" TargetMode="External" Id="rId255" /><Relationship Type="http://schemas.openxmlformats.org/officeDocument/2006/relationships/hyperlink" Target="https://www.sebi.gov.in/sebi_data/attachdocs/may-2026/1778754857352.pdf" TargetMode="External" Id="rId256" /><Relationship Type="http://schemas.openxmlformats.org/officeDocument/2006/relationships/hyperlink" Target="https://www.sebi.gov.in/filings/public-issues/may-2026/online-instruments-india-limited-drhp_101429.html" TargetMode="External" Id="rId257" /><Relationship Type="http://schemas.openxmlformats.org/officeDocument/2006/relationships/hyperlink" Target="https://www.sebi.gov.in/sebi_data/commondocs/may-2026/Online%20Instruments%20india%20Limite-AP_p.pdf" TargetMode="External" Id="rId258" /><Relationship Type="http://schemas.openxmlformats.org/officeDocument/2006/relationships/hyperlink" Target="https://www.chittorgarh.com/ipo/online-instruments-india-ipo/3099/" TargetMode="External" Id="rId259" /><Relationship Type="http://schemas.openxmlformats.org/officeDocument/2006/relationships/hyperlink" Target="https://www.sebi.gov.in/sebi_data/attachdocs/may-2026/1778757509849.pdf" TargetMode="External" Id="rId260" /><Relationship Type="http://schemas.openxmlformats.org/officeDocument/2006/relationships/hyperlink" Target="https://www.sebi.gov.in/filings/public-issues/may-2026/incred-holdings-limited-udrhp-1_101433.html" TargetMode="External" Id="rId261" /><Relationship Type="http://schemas.openxmlformats.org/officeDocument/2006/relationships/hyperlink" Target="https://www.sebi.gov.in/sebi_data/commondocs/may-2026/Incred%20Holdings%20Limited-Abridged%20prospectus_p.pdf" TargetMode="External" Id="rId262" /><Relationship Type="http://schemas.openxmlformats.org/officeDocument/2006/relationships/hyperlink" Target="https://www.chittorgarh.com/ipo/incred-holdings-ipo/2797/" TargetMode="External" Id="rId263" /><Relationship Type="http://schemas.openxmlformats.org/officeDocument/2006/relationships/hyperlink" Target="https://www.sebi.gov.in/sebi_data/attachdocs/apr-2026/1777447805864_1234.pdf" TargetMode="External" Id="rId264" /><Relationship Type="http://schemas.openxmlformats.org/officeDocument/2006/relationships/hyperlink" Target="https://www.sebi.gov.in/filings/public-issues/apr-2026/playsimple-games-limited-drhp_101159.html" TargetMode="External" Id="rId265" /><Relationship Type="http://schemas.openxmlformats.org/officeDocument/2006/relationships/hyperlink" Target="https://www.sebi.gov.in/sebi_data/commondocs/may-2026/Playsimple%20Games%20Limited_p.pdf" TargetMode="External" Id="rId266" /><Relationship Type="http://schemas.openxmlformats.org/officeDocument/2006/relationships/hyperlink" Target="https://www.chittorgarh.com/ipo/playsimple-games-ipo/3087/" TargetMode="External" Id="rId267" /><Relationship Type="http://schemas.openxmlformats.org/officeDocument/2006/relationships/hyperlink" Target="https://www.sebi.gov.in/sebi_data/attachdocs/apr-2026/1776843005609_1228.pdf" TargetMode="External" Id="rId268" /><Relationship Type="http://schemas.openxmlformats.org/officeDocument/2006/relationships/hyperlink" Target="https://www.sebi.gov.in/filings/public-issues/apr-2026/punjab-carbonic-limited-drhp_101039.html" TargetMode="External" Id="rId269" /><Relationship Type="http://schemas.openxmlformats.org/officeDocument/2006/relationships/hyperlink" Target="https://www.sebi.gov.in/sebi_data/commondocs/may-2026/Draft_Abridged_Prospectus_PCL_p.pdf" TargetMode="External" Id="rId270" /><Relationship Type="http://schemas.openxmlformats.org/officeDocument/2006/relationships/hyperlink" Target="https://www.chittorgarh.com/ipo/punjab-carbonic-ipo/2984/" TargetMode="External" Id="rId271" /><Relationship Type="http://schemas.openxmlformats.org/officeDocument/2006/relationships/hyperlink" Target="https://www.sebi.gov.in/sebi_data/attachdocs/apr-2026/1776339007769_1226.pdf" TargetMode="External" Id="rId272" /><Relationship Type="http://schemas.openxmlformats.org/officeDocument/2006/relationships/hyperlink" Target="https://www.sebi.gov.in/filings/public-issues/apr-2026/monomark-engineering-india-limited-drhp_100945.html" TargetMode="External" Id="rId273" /><Relationship Type="http://schemas.openxmlformats.org/officeDocument/2006/relationships/hyperlink" Target="https://www.sebi.gov.in/sebi_data/commondocs/aug-2026/Monomark%20Engineering%20-%20AP_p.pdf" TargetMode="External" Id="rId274" /><Relationship Type="http://schemas.openxmlformats.org/officeDocument/2006/relationships/hyperlink" Target="https://www.chittorgarh.com/ipo/monomark-engineering-ipo/2972/" TargetMode="External" Id="rId275" /><Relationship Type="http://schemas.openxmlformats.org/officeDocument/2006/relationships/hyperlink" Target="https://www.sebi.gov.in/sebi_data/attachdocs/apr-2026/1776339007769_1227.pdf" TargetMode="External" Id="rId276" /><Relationship Type="http://schemas.openxmlformats.org/officeDocument/2006/relationships/hyperlink" Target="https://www.sebi.gov.in/filings/public-issues/apr-2026/absolute-projects-india-limited-drhp_100947.html" TargetMode="External" Id="rId277" /><Relationship Type="http://schemas.openxmlformats.org/officeDocument/2006/relationships/hyperlink" Target="https://www.sebi.gov.in/sebi_data/commondocs/jul-2026/Absolute%20Projects%20India%20Limited%20-%20DAP_p.pdf" TargetMode="External" Id="rId278" /><Relationship Type="http://schemas.openxmlformats.org/officeDocument/2006/relationships/hyperlink" Target="https://www.chittorgarh.com/ipo/absolute-project-india-ipo/2983/" TargetMode="External" Id="rId279" /><Relationship Type="http://schemas.openxmlformats.org/officeDocument/2006/relationships/hyperlink" Target="https://www.sebi.gov.in/sebi_data/attachdocs/apr-2026/1775806206718_1224.pdf" TargetMode="External" Id="rId280" /><Relationship Type="http://schemas.openxmlformats.org/officeDocument/2006/relationships/hyperlink" Target="https://www.sebi.gov.in/filings/public-issues/apr-2026/t-c-terrytex-limited-drhp_100856.html" TargetMode="External" Id="rId281" /><Relationship Type="http://schemas.openxmlformats.org/officeDocument/2006/relationships/hyperlink" Target="https://www.sebi.gov.in/sebi_data/commondocs/apr-2026/TC%20TERRYTEX%20LIMITED-Abridged%20Prospectus_p.pdf" TargetMode="External" Id="rId282" /><Relationship Type="http://schemas.openxmlformats.org/officeDocument/2006/relationships/hyperlink" Target="https://www.chittorgarh.com/ipo/tc-terrytex-ipo/2994/" TargetMode="External" Id="rId283" /><Relationship Type="http://schemas.openxmlformats.org/officeDocument/2006/relationships/hyperlink" Target="https://www.sebi.gov.in/sebi_data/attachdocs/apr-2026/1775819035932.pdf" TargetMode="External" Id="rId284" /><Relationship Type="http://schemas.openxmlformats.org/officeDocument/2006/relationships/hyperlink" Target="https://www.sebi.gov.in/filings/public-issues/apr-2026/expression-360-services-india-limited-drhp_100861.html" TargetMode="External" Id="rId285" /><Relationship Type="http://schemas.openxmlformats.org/officeDocument/2006/relationships/hyperlink" Target="https://www.sebi.gov.in/sebi_data/commondocs/apr-2026/Expression%20360%20Services%20India%20Limited-Abridged%20Prospectus_p.pdf" TargetMode="External" Id="rId286" /><Relationship Type="http://schemas.openxmlformats.org/officeDocument/2006/relationships/hyperlink" Target="https://www.chittorgarh.com/ipo/expression-360-services-ipo/3081/" TargetMode="External" Id="rId287" /><Relationship Type="http://schemas.openxmlformats.org/officeDocument/2006/relationships/hyperlink" Target="https://www.sebi.gov.in/sebi_data/attachdocs/apr-2026/1775633415124_1218.pdf" TargetMode="External" Id="rId288" /><Relationship Type="http://schemas.openxmlformats.org/officeDocument/2006/relationships/hyperlink" Target="https://www.sebi.gov.in/filings/public-issues/apr-2026/sathya-agencies-limited-drhp_100796.html" TargetMode="External" Id="rId289" /><Relationship Type="http://schemas.openxmlformats.org/officeDocument/2006/relationships/hyperlink" Target="https://www.sebi.gov.in/sebi_data/commondocs/apr-2026/Sathya%20Agencies%20Limited-Abridged%20Prospectus_p.pdf" TargetMode="External" Id="rId290" /><Relationship Type="http://schemas.openxmlformats.org/officeDocument/2006/relationships/hyperlink" Target="https://www.chittorgarh.com/ipo/sathya-agencies-ipo/2976/" TargetMode="External" Id="rId291" /><Relationship Type="http://schemas.openxmlformats.org/officeDocument/2006/relationships/hyperlink" Target="https://www.sebi.gov.in/sebi_data/attachdocs/apr-2026/1775633415124_1221.pdf" TargetMode="External" Id="rId292" /><Relationship Type="http://schemas.openxmlformats.org/officeDocument/2006/relationships/hyperlink" Target="https://www.sebi.gov.in/filings/public-issues/apr-2026/nityas-gems-and-jewellery-limited-drhp_100802.html" TargetMode="External" Id="rId293" /><Relationship Type="http://schemas.openxmlformats.org/officeDocument/2006/relationships/hyperlink" Target="https://www.sebi.gov.in/sebi_data/commondocs/apr-2026/Nityas%20Gems%20and%20Jewellery%20Limited-Abridged%20Prospectus_p.pdf" TargetMode="External" Id="rId294" /><Relationship Type="http://schemas.openxmlformats.org/officeDocument/2006/relationships/hyperlink" Target="https://www.chittorgarh.com/ipo/nityas-gems-jewellery-ipo/2974/" TargetMode="External" Id="rId295" /><Relationship Type="http://schemas.openxmlformats.org/officeDocument/2006/relationships/hyperlink" Target="https://www.sebi.gov.in/sebi_data/attachdocs/apr-2026/1775633415124_1222.pdf" TargetMode="External" Id="rId296" /><Relationship Type="http://schemas.openxmlformats.org/officeDocument/2006/relationships/hyperlink" Target="https://www.sebi.gov.in/filings/public-issues/apr-2026/gujarat-victory-forgings-limited-drhp_100804.html" TargetMode="External" Id="rId297" /><Relationship Type="http://schemas.openxmlformats.org/officeDocument/2006/relationships/hyperlink" Target="https://www.sebi.gov.in/sebi_data/commondocs/apr-2026/GUJARAT%20VICTORY%20FORGINGS%20LIMITED-Abridged%20Prospectus_p.pdf" TargetMode="External" Id="rId298" /><Relationship Type="http://schemas.openxmlformats.org/officeDocument/2006/relationships/hyperlink" Target="https://www.chittorgarh.com/ipo/gujarat-victory-forging-ipo/2975/" TargetMode="External" Id="rId299" /><Relationship Type="http://schemas.openxmlformats.org/officeDocument/2006/relationships/hyperlink" Target="https://www.sebi.gov.in/sebi_data/attachdocs/apr-2026/1775633415124_1219.pdf" TargetMode="External" Id="rId300" /><Relationship Type="http://schemas.openxmlformats.org/officeDocument/2006/relationships/hyperlink" Target="https://www.sebi.gov.in/filings/public-issues/apr-2026/bvishal-oil-and-energy-limited-drhp_100798.html" TargetMode="External" Id="rId301" /><Relationship Type="http://schemas.openxmlformats.org/officeDocument/2006/relationships/hyperlink" Target="https://www.sebi.gov.in/sebi_data/commondocs/apr-2026/Bvishal%20Oil%20and%20Energy%20Limited-Abridged%20Prospectus_p.pdf" TargetMode="External" Id="rId302" /><Relationship Type="http://schemas.openxmlformats.org/officeDocument/2006/relationships/hyperlink" Target="https://www.chittorgarh.com/ipo/bvishal-oil-and-energy-ipo/2988/" TargetMode="External" Id="rId303" /><Relationship Type="http://schemas.openxmlformats.org/officeDocument/2006/relationships/hyperlink" Target="https://www.sebi.gov.in/sebi_data/attachdocs/apr-2026/1775547017596_1205.pdf" TargetMode="External" Id="rId304" /><Relationship Type="http://schemas.openxmlformats.org/officeDocument/2006/relationships/hyperlink" Target="https://www.sebi.gov.in/filings/public-issues/apr-2026/sadbhav-futuretech-limited_100753.html" TargetMode="External" Id="rId305" /><Relationship Type="http://schemas.openxmlformats.org/officeDocument/2006/relationships/hyperlink" Target="https://www.chittorgarh.com/ipo/sadbhav-futuretech-ipo/2986/" TargetMode="External" Id="rId306" /><Relationship Type="http://schemas.openxmlformats.org/officeDocument/2006/relationships/hyperlink" Target="https://www.sebi.gov.in/sebi_data/attachdocs/apr-2026/1776677194481.pdf" TargetMode="External" Id="rId307" /><Relationship Type="http://schemas.openxmlformats.org/officeDocument/2006/relationships/hyperlink" Target="https://www.sebi.gov.in/filings/public-issues/apr-2026/kay-jay-forgings-limited-drhp_100975.html" TargetMode="External" Id="rId308" /><Relationship Type="http://schemas.openxmlformats.org/officeDocument/2006/relationships/hyperlink" Target="https://www.sebi.gov.in/sebi_data/commondocs/apr-2026/Kay%20Jay%20Forgings%20Limited-Abridged%20Prospectus_p.pdf" TargetMode="External" Id="rId309" /><Relationship Type="http://schemas.openxmlformats.org/officeDocument/2006/relationships/hyperlink" Target="https://www.chittorgarh.com/ipo/kay-jay-forgings-ipo/2997/" TargetMode="External" Id="rId310" /><Relationship Type="http://schemas.openxmlformats.org/officeDocument/2006/relationships/hyperlink" Target="https://www.sebi.gov.in/sebi_data/attachdocs/apr-2026/1775547017596_1211.pdf" TargetMode="External" Id="rId311" /><Relationship Type="http://schemas.openxmlformats.org/officeDocument/2006/relationships/hyperlink" Target="https://www.sebi.gov.in/filings/public-issues/apr-2026/intellius-recode-limited-drhp_100765.html" TargetMode="External" Id="rId312" /><Relationship Type="http://schemas.openxmlformats.org/officeDocument/2006/relationships/hyperlink" Target="https://www.sebi.gov.in/sebi_data/commondocs/apr-2026/Intellius%20Recode%20Ltd%20-%20Abridged%20Prospectus_p.pdf" TargetMode="External" Id="rId313" /><Relationship Type="http://schemas.openxmlformats.org/officeDocument/2006/relationships/hyperlink" Target="https://www.chittorgarh.com/ipo/intellius-recode-ipo/2968/" TargetMode="External" Id="rId314" /><Relationship Type="http://schemas.openxmlformats.org/officeDocument/2006/relationships/hyperlink" Target="https://www.sebi.gov.in/sebi_data/attachdocs/apr-2026/1775105578692.pdf" TargetMode="External" Id="rId315" /><Relationship Type="http://schemas.openxmlformats.org/officeDocument/2006/relationships/hyperlink" Target="https://www.sebi.gov.in/filings/public-issues/apr-2026/rkb-global-limited-drhp_100702.html" TargetMode="External" Id="rId316" /><Relationship Type="http://schemas.openxmlformats.org/officeDocument/2006/relationships/hyperlink" Target="https://www.sebi.gov.in/sebi_data/commondocs/apr-2026/RKB%20Global%20Limited%20-%20Abridged%20prospectus_p.pdf" TargetMode="External" Id="rId317" /><Relationship Type="http://schemas.openxmlformats.org/officeDocument/2006/relationships/hyperlink" Target="https://www.chittorgarh.com/ipo/rkb-global-ipo/2952/" TargetMode="External" Id="rId318" /><Relationship Type="http://schemas.openxmlformats.org/officeDocument/2006/relationships/hyperlink" Target="https://www.sebi.gov.in/sebi_data/attachdocs/apr-2026/1775115013296_1202.pdf" TargetMode="External" Id="rId319" /><Relationship Type="http://schemas.openxmlformats.org/officeDocument/2006/relationships/hyperlink" Target="https://www.sebi.gov.in/filings/public-issues/apr-2026/pioneer-fil-med-limited-drhp_100715.html" TargetMode="External" Id="rId320" /><Relationship Type="http://schemas.openxmlformats.org/officeDocument/2006/relationships/hyperlink" Target="https://www.sebi.gov.in/sebi_data/commondocs/apr-2026/Pioneer%20Fil-Med%20Limited-Draft%20Abridged%20Prospectus_p.pdf" TargetMode="External" Id="rId321" /><Relationship Type="http://schemas.openxmlformats.org/officeDocument/2006/relationships/hyperlink" Target="https://www.chittorgarh.com/ipo/pioneer-fil-med-ipo/2967/" TargetMode="External" Id="rId322" /><Relationship Type="http://schemas.openxmlformats.org/officeDocument/2006/relationships/hyperlink" Target="https://www.sebi.gov.in/sebi_data/attachdocs/apr-2026/1775129403770_1203.pdf" TargetMode="External" Id="rId323" /><Relationship Type="http://schemas.openxmlformats.org/officeDocument/2006/relationships/hyperlink" Target="https://www.sebi.gov.in/filings/public-issues/apr-2026/cosmic-pv-power-limited-drhp_100718.html" TargetMode="External" Id="rId324" /><Relationship Type="http://schemas.openxmlformats.org/officeDocument/2006/relationships/hyperlink" Target="https://www.sebi.gov.in/sebi_data/commondocs/apr-2026/COSMIC%20PV%20POWER%20LIMITED-Abridged%20prospectus_p.pdf" TargetMode="External" Id="rId325" /><Relationship Type="http://schemas.openxmlformats.org/officeDocument/2006/relationships/hyperlink" Target="https://www.chittorgarh.com/ipo/cosmic-pv-power-ipo/2980/" TargetMode="External" Id="rId326" /><Relationship Type="http://schemas.openxmlformats.org/officeDocument/2006/relationships/hyperlink" Target="https://www.sebi.gov.in/sebi_data/attachdocs/apr-2026/1775120802263.pdf" TargetMode="External" Id="rId327" /><Relationship Type="http://schemas.openxmlformats.org/officeDocument/2006/relationships/hyperlink" Target="https://www.sebi.gov.in/filings/public-issues/mar-2026/laxyo-limited-drhp_100686.html" TargetMode="External" Id="rId328" /><Relationship Type="http://schemas.openxmlformats.org/officeDocument/2006/relationships/hyperlink" Target="https://www.sebi.gov.in/sebi_data/commondocs/apr-2026/Laxyo%20Limited-Draft%20Abridged%20Prospectus_p.pdf" TargetMode="External" Id="rId329" /><Relationship Type="http://schemas.openxmlformats.org/officeDocument/2006/relationships/hyperlink" Target="https://www.chittorgarh.com/ipo/laxyo-ipo/2957/" TargetMode="External" Id="rId330" /><Relationship Type="http://schemas.openxmlformats.org/officeDocument/2006/relationships/hyperlink" Target="https://www.sebi.gov.in/sebi_data/attachdocs/apr-2026/1775016379965.pdf" TargetMode="External" Id="rId331" /><Relationship Type="http://schemas.openxmlformats.org/officeDocument/2006/relationships/hyperlink" Target="https://www.sebi.gov.in/filings/public-issues/mar-2026/bharat-pet-limited-drhp_100673.html" TargetMode="External" Id="rId332" /><Relationship Type="http://schemas.openxmlformats.org/officeDocument/2006/relationships/hyperlink" Target="https://www.sebi.gov.in/sebi_data/commondocs/apr-2026/Bharat%20PET%20Limited-Abridged%20Prospectus_p.pdf" TargetMode="External" Id="rId333" /><Relationship Type="http://schemas.openxmlformats.org/officeDocument/2006/relationships/hyperlink" Target="https://www.chittorgarh.com/ipo/bharat-pet-ipo/2958/" TargetMode="External" Id="rId334" /><Relationship Type="http://schemas.openxmlformats.org/officeDocument/2006/relationships/hyperlink" Target="https://www.sebi.gov.in/sebi_data/attachdocs/mar-2026/1774596605715_1174.pdf" TargetMode="External" Id="rId335" /><Relationship Type="http://schemas.openxmlformats.org/officeDocument/2006/relationships/hyperlink" Target="https://www.sebi.gov.in/filings/public-issues/mar-2026/polite-powertech-limited_100624.html" TargetMode="External" Id="rId336" /><Relationship Type="http://schemas.openxmlformats.org/officeDocument/2006/relationships/hyperlink" Target="https://www.chittorgarh.com/ipo/polite-powertech-ipo/2947/" TargetMode="External" Id="rId337" /><Relationship Type="http://schemas.openxmlformats.org/officeDocument/2006/relationships/hyperlink" Target="https://www.sebi.gov.in/sebi_data/attachdocs/mar-2026/1774421203748.pdf" TargetMode="External" Id="rId338" /><Relationship Type="http://schemas.openxmlformats.org/officeDocument/2006/relationships/hyperlink" Target="https://www.sebi.gov.in/filings/public-issues/mar-2026/trenzet-infra-limited-drhp_100553.html" TargetMode="External" Id="rId339" /><Relationship Type="http://schemas.openxmlformats.org/officeDocument/2006/relationships/hyperlink" Target="https://www.sebi.gov.in/sebi_data/commondocs/apr-2026/Trenzet%20Infra%20Limited-Abridged%20Prospectus_p.pdf" TargetMode="External" Id="rId340" /><Relationship Type="http://schemas.openxmlformats.org/officeDocument/2006/relationships/hyperlink" Target="https://www.chittorgarh.com/ipo/trenzet-infra-ipo/2951/" TargetMode="External" Id="rId341" /><Relationship Type="http://schemas.openxmlformats.org/officeDocument/2006/relationships/hyperlink" Target="https://www.sebi.gov.in/sebi_data/attachdocs/mar-2026/1774337405679_1155.pdf" TargetMode="External" Id="rId342" /><Relationship Type="http://schemas.openxmlformats.org/officeDocument/2006/relationships/hyperlink" Target="https://www.sebi.gov.in/filings/public-issues/mar-2026/truhome-finance-limited_100519.html" TargetMode="External" Id="rId343" /><Relationship Type="http://schemas.openxmlformats.org/officeDocument/2006/relationships/hyperlink" Target="https://www.chittorgarh.com/ipo/truhome-finance-ipo/2941/" TargetMode="External" Id="rId344" /><Relationship Type="http://schemas.openxmlformats.org/officeDocument/2006/relationships/hyperlink" Target="https://www.sebi.gov.in/sebi_data/attachdocs/mar-2026/1773055805156_1135.pdf" TargetMode="External" Id="rId345" /><Relationship Type="http://schemas.openxmlformats.org/officeDocument/2006/relationships/hyperlink" Target="https://www.sebi.gov.in/filings/public-issues/mar-2026/sunil-gold-india-limited_100202.html" TargetMode="External" Id="rId346" /><Relationship Type="http://schemas.openxmlformats.org/officeDocument/2006/relationships/hyperlink" Target="https://www.chittorgarh.com/ipo/sunil-gold-india-ipo/2939/" TargetMode="External" Id="rId347" /><Relationship Type="http://schemas.openxmlformats.org/officeDocument/2006/relationships/hyperlink" Target="https://www.sebi.gov.in/sebi_data/attachdocs/mar-2026/1773106204965_1136.pdf" TargetMode="External" Id="rId348" /><Relationship Type="http://schemas.openxmlformats.org/officeDocument/2006/relationships/hyperlink" Target="https://www.sebi.gov.in/filings/public-issues/mar-2026/shreni-shares-limited_100212.html" TargetMode="External" Id="rId349" /><Relationship Type="http://schemas.openxmlformats.org/officeDocument/2006/relationships/hyperlink" Target="https://www.chittorgarh.com/ipo/shreni-shares-ipo/2935/" TargetMode="External" Id="rId350" /><Relationship Type="http://schemas.openxmlformats.org/officeDocument/2006/relationships/hyperlink" Target="https://www.sebi.gov.in/sebi_data/attachdocs/feb-2026/1771241407162_1117.pdf" TargetMode="External" Id="rId351" /><Relationship Type="http://schemas.openxmlformats.org/officeDocument/2006/relationships/hyperlink" Target="https://www.sebi.gov.in/filings/public-issues/feb-2026/bonfiglioli-transmissions-limited_99781.html" TargetMode="External" Id="rId352" /><Relationship Type="http://schemas.openxmlformats.org/officeDocument/2006/relationships/hyperlink" Target="https://www.chittorgarh.com/ipo/bonfiglioli-transmissions-ipo/2861/" TargetMode="External" Id="rId353" /><Relationship Type="http://schemas.openxmlformats.org/officeDocument/2006/relationships/hyperlink" Target="https://www.sebi.gov.in/sebi_data/attachdocs/feb-2026/1770358047774.pdf" TargetMode="External" Id="rId354" /><Relationship Type="http://schemas.openxmlformats.org/officeDocument/2006/relationships/hyperlink" Target="https://www.sebi.gov.in/filings/public-issues/feb-2026/srit-india-limited-drhp_99558.html" TargetMode="External" Id="rId355" /><Relationship Type="http://schemas.openxmlformats.org/officeDocument/2006/relationships/hyperlink" Target="https://www.chittorgarh.com/ipo/srit-india-ipo/2858/" TargetMode="External" Id="rId356" /><Relationship Type="http://schemas.openxmlformats.org/officeDocument/2006/relationships/hyperlink" Target="https://www.sebi.gov.in/sebi_data/attachdocs/feb-2026/1770183523459.pdf" TargetMode="External" Id="rId357" /><Relationship Type="http://schemas.openxmlformats.org/officeDocument/2006/relationships/hyperlink" Target="https://www.sebi.gov.in/filings/public-issues/feb-2026/marri-retail-limited-drhp_99483.html" TargetMode="External" Id="rId358" /><Relationship Type="http://schemas.openxmlformats.org/officeDocument/2006/relationships/hyperlink" Target="https://www.chittorgarh.com/ipo/marri-retail-ipo/2857/" TargetMode="External" Id="rId359" /><Relationship Type="http://schemas.openxmlformats.org/officeDocument/2006/relationships/hyperlink" Target="https://www.sebi.gov.in/sebi_data/attachdocs/feb-2026/1770114408329.pdf" TargetMode="External" Id="rId360" /><Relationship Type="http://schemas.openxmlformats.org/officeDocument/2006/relationships/hyperlink" Target="https://www.sebi.gov.in/filings/public-issues/jan-2026/bombay-coated-and-special-steels-limited_99471.html" TargetMode="External" Id="rId361" /><Relationship Type="http://schemas.openxmlformats.org/officeDocument/2006/relationships/hyperlink" Target="https://www.chittorgarh.com/ipo/bombay-coated-and-special-steels-ipo/2671/" TargetMode="External" Id="rId362" /><Relationship Type="http://schemas.openxmlformats.org/officeDocument/2006/relationships/hyperlink" Target="https://www.sebi.gov.in/sebi_data/attachdocs/jan-2026/1769161833282.pdf" TargetMode="External" Id="rId363" /><Relationship Type="http://schemas.openxmlformats.org/officeDocument/2006/relationships/hyperlink" Target="https://www.sebi.gov.in/filings/public-issues/jan-2026/phonepe-limited-udrhp-i_99285.html" TargetMode="External" Id="rId364" /><Relationship Type="http://schemas.openxmlformats.org/officeDocument/2006/relationships/hyperlink" Target="https://www.chittorgarh.com/ipo/phonepe-ipo/2634/" TargetMode="External" Id="rId365" /><Relationship Type="http://schemas.openxmlformats.org/officeDocument/2006/relationships/hyperlink" Target="https://www.sebi.gov.in/sebi_data/attachdocs/jan-2026/1769065345546.pdf" TargetMode="External" Id="rId366" /><Relationship Type="http://schemas.openxmlformats.org/officeDocument/2006/relationships/hyperlink" Target="https://www.sebi.gov.in/filings/public-issues/jan-2026/advanta-enterprises-limited-drhp_99228.html" TargetMode="External" Id="rId367" /><Relationship Type="http://schemas.openxmlformats.org/officeDocument/2006/relationships/hyperlink" Target="https://www.chittorgarh.com/ipo/advanta-enterprises-ipo/2854/" TargetMode="External" Id="rId368" /><Relationship Type="http://schemas.openxmlformats.org/officeDocument/2006/relationships/hyperlink" Target="https://www.sebi.gov.in/sebi_data/attachdocs/jan-2026/1768908606102_1097.pdf" TargetMode="External" Id="rId369" /><Relationship Type="http://schemas.openxmlformats.org/officeDocument/2006/relationships/hyperlink" Target="https://www.sebi.gov.in/filings/public-issues/jan-2026/rodec-pharma-limited_99167.html" TargetMode="External" Id="rId370" /><Relationship Type="http://schemas.openxmlformats.org/officeDocument/2006/relationships/hyperlink" Target="https://www.chittorgarh.com/ipo/rodec-pharma-ipo/2852/" TargetMode="External" Id="rId371" /><Relationship Type="http://schemas.openxmlformats.org/officeDocument/2006/relationships/hyperlink" Target="https://www.sebi.gov.in/sebi_data/attachdocs/jan-2026/1768303804000_1096.pdf" TargetMode="External" Id="rId372" /><Relationship Type="http://schemas.openxmlformats.org/officeDocument/2006/relationships/hyperlink" Target="https://www.sebi.gov.in/filings/public-issues/jan-2026/hindustan-laboratories-limited_99041.html" TargetMode="External" Id="rId373" /><Relationship Type="http://schemas.openxmlformats.org/officeDocument/2006/relationships/hyperlink" Target="https://www.chittorgarh.com/ipo/hindustan-laboratories-ipo/2850/" TargetMode="External" Id="rId374" /><Relationship Type="http://schemas.openxmlformats.org/officeDocument/2006/relationships/hyperlink" Target="https://www.sebi.gov.in/sebi_data/attachdocs/jan-2026/1768202159183.pdf" TargetMode="External" Id="rId375" /><Relationship Type="http://schemas.openxmlformats.org/officeDocument/2006/relationships/hyperlink" Target="https://www.sebi.gov.in/filings/public-issues/jan-2026/vishal-nirmiti-limited_98883.html" TargetMode="External" Id="rId376" /><Relationship Type="http://schemas.openxmlformats.org/officeDocument/2006/relationships/hyperlink" Target="https://ipowatch.in/vishal-nirmiti-ipo/" TargetMode="External" Id="rId377" /><Relationship Type="http://schemas.openxmlformats.org/officeDocument/2006/relationships/hyperlink" Target="https://www.sebi.gov.in/sebi_data/attachdocs/jan-2026/1767762940433.pdf" TargetMode="External" Id="rId378" /><Relationship Type="http://schemas.openxmlformats.org/officeDocument/2006/relationships/hyperlink" Target="https://www.sebi.gov.in/filings/public-issues/jan-2026/surgiwear-limited_98949.html" TargetMode="External" Id="rId379" /><Relationship Type="http://schemas.openxmlformats.org/officeDocument/2006/relationships/hyperlink" Target="https://www.chittorgarh.com/ipo/g-surgiwear-ipo/2832/" TargetMode="External" Id="rId380" /><Relationship Type="http://schemas.openxmlformats.org/officeDocument/2006/relationships/hyperlink" Target="https://www.sebi.gov.in/sebi_data/attachdocs/jan-2026/1767339026316_1046.pdf" TargetMode="External" Id="rId381" /><Relationship Type="http://schemas.openxmlformats.org/officeDocument/2006/relationships/hyperlink" Target="https://www.sebi.gov.in/filings/public-issues/jan-2026/travelstack-tech-limited_98786.html" TargetMode="External" Id="rId382" /><Relationship Type="http://schemas.openxmlformats.org/officeDocument/2006/relationships/hyperlink" Target="https://www.chittorgarh.com/ipo/travelstack-tech-ipo/2811/" TargetMode="External" Id="rId383" /><Relationship Type="http://schemas.openxmlformats.org/officeDocument/2006/relationships/hyperlink" Target="https://www.sebi.gov.in/sebi_data/attachdocs/jan-2026/1767339026316_1047.pdf" TargetMode="External" Id="rId384" /><Relationship Type="http://schemas.openxmlformats.org/officeDocument/2006/relationships/hyperlink" Target="https://www.sebi.gov.in/filings/public-issues/jan-2026/neolite-zkw-lightings-limited_98788.html" TargetMode="External" Id="rId385" /><Relationship Type="http://schemas.openxmlformats.org/officeDocument/2006/relationships/hyperlink" Target="https://www.chittorgarh.com/ipo/neolite-zkw-lightings-ipo/2828/" TargetMode="External" Id="rId386" /><Relationship Type="http://schemas.openxmlformats.org/officeDocument/2006/relationships/hyperlink" Target="https://www.sebi.gov.in/sebi_data/attachdocs/jan-2026/1767339026316_1048.pdf" TargetMode="External" Id="rId387" /><Relationship Type="http://schemas.openxmlformats.org/officeDocument/2006/relationships/hyperlink" Target="https://www.sebi.gov.in/filings/public-issues/jan-2026/mehta-hitech-industries-limited_98790.html" TargetMode="External" Id="rId388" /><Relationship Type="http://schemas.openxmlformats.org/officeDocument/2006/relationships/hyperlink" Target="https://www.chittorgarh.com/ipo/mehta-hitech-ipo/2833/" TargetMode="External" Id="rId389" /><Relationship Type="http://schemas.openxmlformats.org/officeDocument/2006/relationships/hyperlink" Target="https://www.sebi.gov.in/sebi_data/attachdocs/jan-2026/1767353409824_1050.pdf" TargetMode="External" Id="rId390" /><Relationship Type="http://schemas.openxmlformats.org/officeDocument/2006/relationships/hyperlink" Target="https://www.sebi.gov.in/filings/public-issues/jan-2026/krishna-buildspace-limited_98809.html" TargetMode="External" Id="rId391" /><Relationship Type="http://schemas.openxmlformats.org/officeDocument/2006/relationships/hyperlink" Target="https://www.chittorgarh.com/ipo/krishna-buildspace-ipo/2839/" TargetMode="External" Id="rId392" /><Relationship Type="http://schemas.openxmlformats.org/officeDocument/2006/relationships/hyperlink" Target="https://www.sebi.gov.in/sebi_data/attachdocs/dec-2025/1767161602994.pdf" TargetMode="External" Id="rId393" /><Relationship Type="http://schemas.openxmlformats.org/officeDocument/2006/relationships/hyperlink" Target="https://www.sebi.gov.in/filings/public-issues/dec-2025/casagrand-premier-builder-limited-drhp_98765.html" TargetMode="External" Id="rId394" /><Relationship Type="http://schemas.openxmlformats.org/officeDocument/2006/relationships/hyperlink" Target="https://www.chittorgarh.com/ipo/casagrand-premier-builder-ipo/2183/" TargetMode="External" Id="rId395" /><Relationship Type="http://schemas.openxmlformats.org/officeDocument/2006/relationships/hyperlink" Target="https://www.sebi.gov.in/sebi_data/attachdocs/dec-2025/1767007811746_1043.pdf" TargetMode="External" Id="rId396" /><Relationship Type="http://schemas.openxmlformats.org/officeDocument/2006/relationships/hyperlink" Target="https://www.sebi.gov.in/filings/public-issues/dec-2025/yatayat-corporation-india-limited_98716.html" TargetMode="External" Id="rId397" /><Relationship Type="http://schemas.openxmlformats.org/officeDocument/2006/relationships/hyperlink" Target="https://www.chittorgarh.com/ipo/yatayat-corp-india-ipo/2818/" TargetMode="External" Id="rId398" /><Relationship Type="http://schemas.openxmlformats.org/officeDocument/2006/relationships/hyperlink" Target="https://www.sebi.gov.in/sebi_data/attachdocs/dec-2025/1766991289537.pdf" TargetMode="External" Id="rId399" /><Relationship Type="http://schemas.openxmlformats.org/officeDocument/2006/relationships/hyperlink" Target="https://www.sebi.gov.in/filings/public-issues/dec-2025/wog-technologies-limited-drhp_98710.html" TargetMode="External" Id="rId400" /><Relationship Type="http://schemas.openxmlformats.org/officeDocument/2006/relationships/hyperlink" Target="https://www.chittorgarh.com/ipo/wog-technologies-ipo/2821/" TargetMode="External" Id="rId401" /><Relationship Type="http://schemas.openxmlformats.org/officeDocument/2006/relationships/hyperlink" Target="https://www.sebi.gov.in/sebi_data/attachdocs/dec-2025/1766375089872.pdf" TargetMode="External" Id="rId402" /><Relationship Type="http://schemas.openxmlformats.org/officeDocument/2006/relationships/hyperlink" Target="https://www.sebi.gov.in/filings/public-issues/dec-2025/crystal-crop-protection-limited-drhp_98530.html" TargetMode="External" Id="rId403" /><Relationship Type="http://schemas.openxmlformats.org/officeDocument/2006/relationships/hyperlink" Target="https://ipowatch.in/crystal-crop-protection-ipo/" TargetMode="External" Id="rId404" /><Relationship Type="http://schemas.openxmlformats.org/officeDocument/2006/relationships/hyperlink" Target="https://www.sebi.gov.in/sebi_data/attachdocs/dec-2025/1766142033748.pdf" TargetMode="External" Id="rId405" /><Relationship Type="http://schemas.openxmlformats.org/officeDocument/2006/relationships/hyperlink" Target="https://www.sebi.gov.in/filings/public-issues/dec-2025/shivganga-drillers-limited-drhp_98515.html" TargetMode="External" Id="rId406" /><Relationship Type="http://schemas.openxmlformats.org/officeDocument/2006/relationships/hyperlink" Target="https://www.chittorgarh.com/ipo/shivganga-drillers-ipo/2810/" TargetMode="External" Id="rId407" /><Relationship Type="http://schemas.openxmlformats.org/officeDocument/2006/relationships/hyperlink" Target="https://www.sebi.gov.in/sebi_data/attachdocs/dec-2025/1766129404848_1041.pdf" TargetMode="External" Id="rId408" /><Relationship Type="http://schemas.openxmlformats.org/officeDocument/2006/relationships/hyperlink" Target="https://www.sebi.gov.in/filings/public-issues/dec-2025/renny-strips-limited_98494.html" TargetMode="External" Id="rId409" /><Relationship Type="http://schemas.openxmlformats.org/officeDocument/2006/relationships/hyperlink" Target="https://www.chittorgarh.com/ipo/renny-strips-ipo/2807/" TargetMode="External" Id="rId410" /><Relationship Type="http://schemas.openxmlformats.org/officeDocument/2006/relationships/hyperlink" Target="https://www.sebi.gov.in/sebi_data/attachdocs/dec-2025/1766107805579_1040.pdf" TargetMode="External" Id="rId411" /><Relationship Type="http://schemas.openxmlformats.org/officeDocument/2006/relationships/hyperlink" Target="https://www.sebi.gov.in/filings/public-issues/dec-2025/aspri-spirits-limited_98473.html" TargetMode="External" Id="rId412" /><Relationship Type="http://schemas.openxmlformats.org/officeDocument/2006/relationships/hyperlink" Target="https://www.chittorgarh.com/ipo/aspri-spirits-ipo/2806/" TargetMode="External" Id="rId413" /><Relationship Type="http://schemas.openxmlformats.org/officeDocument/2006/relationships/hyperlink" Target="https://www.sebi.gov.in/sebi_data/attachdocs/dec-2025/1765261442709.pdf" TargetMode="External" Id="rId414" /><Relationship Type="http://schemas.openxmlformats.org/officeDocument/2006/relationships/hyperlink" Target="https://www.sebi.gov.in/filings/public-issues/dec-2025/acevector-limited-udrhp_98252.html" TargetMode="External" Id="rId415" /><Relationship Type="http://schemas.openxmlformats.org/officeDocument/2006/relationships/hyperlink" Target="https://www.ipoji.com/ipo/acevector-ipo" TargetMode="External" Id="rId416" /><Relationship Type="http://schemas.openxmlformats.org/officeDocument/2006/relationships/hyperlink" Target="https://www.sebi.gov.in/sebi_data/attachdocs/nov-2025/1764331093856.pdf" TargetMode="External" Id="rId417" /><Relationship Type="http://schemas.openxmlformats.org/officeDocument/2006/relationships/hyperlink" Target="https://www.sebi.gov.in/filings/public-issues/nov-2025/hero-fincorp-limited-drhp_98032.html" TargetMode="External" Id="rId418" /><Relationship Type="http://schemas.openxmlformats.org/officeDocument/2006/relationships/hyperlink" Target="https://www.chittorgarh.com/ipo/hero-fincorp-ipo/2250/" TargetMode="External" Id="rId419" /><Relationship Type="http://schemas.openxmlformats.org/officeDocument/2006/relationships/hyperlink" Target="https://www.sebi.gov.in/sebi_data/attachdocs/nov-2025/1764232197013.pdf" TargetMode="External" Id="rId420" /><Relationship Type="http://schemas.openxmlformats.org/officeDocument/2006/relationships/hyperlink" Target="https://www.sebi.gov.in/filings/public-issues/nov-2025/milestone-gears-limited-drhp_97973.html" TargetMode="External" Id="rId421" /><Relationship Type="http://schemas.openxmlformats.org/officeDocument/2006/relationships/hyperlink" Target="https://www.chittorgarh.com/ipo/milestone-gears-ipo/2799/" TargetMode="External" Id="rId422" /><Relationship Type="http://schemas.openxmlformats.org/officeDocument/2006/relationships/hyperlink" Target="https://www.sebi.gov.in/sebi_data/attachdocs/nov-2025/1762508222639.pdf" TargetMode="External" Id="rId423" /><Relationship Type="http://schemas.openxmlformats.org/officeDocument/2006/relationships/hyperlink" Target="https://www.sebi.gov.in/filings/public-issues/nov-2025/sael-industries-limited_97667.html" TargetMode="External" Id="rId424" /><Relationship Type="http://schemas.openxmlformats.org/officeDocument/2006/relationships/hyperlink" Target="https://www.chittorgarh.com/ipo/sael-industries-ipo/2793/" TargetMode="External" Id="rId425" /><Relationship Type="http://schemas.openxmlformats.org/officeDocument/2006/relationships/hyperlink" Target="https://www.sebi.gov.in/sebi_data/attachdocs/oct-2025/1761711834836.pdf" TargetMode="External" Id="rId426" /><Relationship Type="http://schemas.openxmlformats.org/officeDocument/2006/relationships/hyperlink" Target="https://www.sebi.gov.in/filings/public-issues/oct-2025/imagine-marketing-limited-udrhp_97510.html" TargetMode="External" Id="rId427" /><Relationship Type="http://schemas.openxmlformats.org/officeDocument/2006/relationships/hyperlink" Target="https://www.chittorgarh.com/ipo/boat-ipo/2310/" TargetMode="External" Id="rId428" /><Relationship Type="http://schemas.openxmlformats.org/officeDocument/2006/relationships/hyperlink" Target="https://www.sebi.gov.in/sebi_data/attachdocs/oct-2025/1761204614130_1020.pdf" TargetMode="External" Id="rId429" /><Relationship Type="http://schemas.openxmlformats.org/officeDocument/2006/relationships/hyperlink" Target="https://www.sebi.gov.in/filings/public-issues/oct-2025/integris-medtech-limited_97425.html" TargetMode="External" Id="rId430" /><Relationship Type="http://schemas.openxmlformats.org/officeDocument/2006/relationships/hyperlink" Target="https://www.chittorgarh.com/ipo/integris-medtech-ipo/2774/" TargetMode="External" Id="rId431" /><Relationship Type="http://schemas.openxmlformats.org/officeDocument/2006/relationships/hyperlink" Target="https://www.sebi.gov.in/sebi_data/attachdocs/oct-2025/1761219007321_1021.pdf" TargetMode="External" Id="rId432" /><Relationship Type="http://schemas.openxmlformats.org/officeDocument/2006/relationships/hyperlink" Target="https://www.sebi.gov.in/filings/public-issues/oct-2025/duroflex-limited_97438.html" TargetMode="External" Id="rId433" /><Relationship Type="http://schemas.openxmlformats.org/officeDocument/2006/relationships/hyperlink" Target="https://www.chittorgarh.com/ipo/duroflex-ipo/2777/" TargetMode="External" Id="rId434" /><Relationship Type="http://schemas.openxmlformats.org/officeDocument/2006/relationships/hyperlink" Target="https://www.sebi.gov.in/sebi_data/attachdocs/oct-2025/1761628612556.pdf" TargetMode="External" Id="rId435" /><Relationship Type="http://schemas.openxmlformats.org/officeDocument/2006/relationships/hyperlink" Target="https://www.sebi.gov.in/filings/public-issues/oct-2025/sify-infinit-spaces-limited-drhp_97481.html" TargetMode="External" Id="rId436" /><Relationship Type="http://schemas.openxmlformats.org/officeDocument/2006/relationships/hyperlink" Target="https://www.chittorgarh.com/ipo/sify-infinit-spaces-ipo/2781/" TargetMode="External" Id="rId437" /><Relationship Type="http://schemas.openxmlformats.org/officeDocument/2006/relationships/hyperlink" Target="https://www.sebi.gov.in/sebi_data/attachdocs/oct-2025/1760605051795.pdf" TargetMode="External" Id="rId438" /><Relationship Type="http://schemas.openxmlformats.org/officeDocument/2006/relationships/hyperlink" Target="https://www.sebi.gov.in/filings/public-issues/oct-2025/rays-power-infra-limited-drhp_97355.html" TargetMode="External" Id="rId439" /><Relationship Type="http://schemas.openxmlformats.org/officeDocument/2006/relationships/hyperlink" Target="https://www.chittorgarh.com/ipo/rays-power-infra-ipo/2692/" TargetMode="External" Id="rId440" /><Relationship Type="http://schemas.openxmlformats.org/officeDocument/2006/relationships/hyperlink" Target="https://www.sebi.gov.in/sebi_data/attachdocs/oct-2025/1760076891744.pdf" TargetMode="External" Id="rId441" /><Relationship Type="http://schemas.openxmlformats.org/officeDocument/2006/relationships/hyperlink" Target="https://www.sebi.gov.in/filings/public-issues/oct-2025/hotel-polo-towers-limited-drhp_97223.html" TargetMode="External" Id="rId442" /><Relationship Type="http://schemas.openxmlformats.org/officeDocument/2006/relationships/hyperlink" Target="https://www.chittorgarh.com/ipo/hotel-polo-towers-ipo/2649/" TargetMode="External" Id="rId443" /><Relationship Type="http://schemas.openxmlformats.org/officeDocument/2006/relationships/hyperlink" Target="https://www.sebi.gov.in/sebi_data/attachdocs/oct-2025/1760081406764_1011.pdf" TargetMode="External" Id="rId444" /><Relationship Type="http://schemas.openxmlformats.org/officeDocument/2006/relationships/hyperlink" Target="https://www.sebi.gov.in/filings/public-issues/oct-2025/bvg-india-limited_97227.html" TargetMode="External" Id="rId445" /><Relationship Type="http://schemas.openxmlformats.org/officeDocument/2006/relationships/hyperlink" Target="https://www.chittorgarh.com/ipo/bvg-india-ipo/2684/" TargetMode="External" Id="rId446" /><Relationship Type="http://schemas.openxmlformats.org/officeDocument/2006/relationships/hyperlink" Target="https://www.sebi.gov.in/sebi_data/attachdocs/oct-2025/1760002256727.pdf" TargetMode="External" Id="rId447" /><Relationship Type="http://schemas.openxmlformats.org/officeDocument/2006/relationships/hyperlink" Target="https://www.sebi.gov.in/filings/public-issues/oct-2025/vishvaraj-environment-limited-drhp_97182.html" TargetMode="External" Id="rId448" /><Relationship Type="http://schemas.openxmlformats.org/officeDocument/2006/relationships/hyperlink" Target="https://www.chittorgarh.com/ipo/vishvaraj-environment-ipo/2672/" TargetMode="External" Id="rId449" /><Relationship Type="http://schemas.openxmlformats.org/officeDocument/2006/relationships/hyperlink" Target="https://www.sebi.gov.in/sebi_data/attachdocs/oct-2025/1760000743042.pdf" TargetMode="External" Id="rId450" /><Relationship Type="http://schemas.openxmlformats.org/officeDocument/2006/relationships/hyperlink" Target="https://www.sebi.gov.in/filings/public-issues/oct-2025/sterlite-electric-limited-drhp_97181.html" TargetMode="External" Id="rId451" /><Relationship Type="http://schemas.openxmlformats.org/officeDocument/2006/relationships/hyperlink" Target="https://www.chittorgarh.com/ipo/sterlite-electric-ipo/2679/" TargetMode="External" Id="rId452" /><Relationship Type="http://schemas.openxmlformats.org/officeDocument/2006/relationships/hyperlink" Target="https://www.sebi.gov.in/sebi_data/attachdocs/oct-2025/1759988098283.pdf" TargetMode="External" Id="rId453" /><Relationship Type="http://schemas.openxmlformats.org/officeDocument/2006/relationships/hyperlink" Target="https://www.sebi.gov.in/filings/public-issues/oct-2025/runwal-developers-limited-drhp_97161.html" TargetMode="External" Id="rId454" /><Relationship Type="http://schemas.openxmlformats.org/officeDocument/2006/relationships/hyperlink" Target="https://www.chittorgarh.com/ipo/runwal-developers-ipo/2690/" TargetMode="External" Id="rId455" /><Relationship Type="http://schemas.openxmlformats.org/officeDocument/2006/relationships/hyperlink" Target="https://www.sebi.gov.in/sebi_data/attachdocs/oct-2025/1760009417606_1002.pdf" TargetMode="External" Id="rId456" /><Relationship Type="http://schemas.openxmlformats.org/officeDocument/2006/relationships/hyperlink" Target="https://www.sebi.gov.in/filings/public-issues/oct-2025/r-k-steel-manufacturing-company-limited_97187.html" TargetMode="External" Id="rId457" /><Relationship Type="http://schemas.openxmlformats.org/officeDocument/2006/relationships/hyperlink" Target="https://www.chittorgarh.com/ipo/rk-steel-manufacturing-ipo/2687/" TargetMode="External" Id="rId458" /><Relationship Type="http://schemas.openxmlformats.org/officeDocument/2006/relationships/hyperlink" Target="https://www.sebi.gov.in/sebi_data/attachdocs/oct-2025/1759995019453_998.pdf" TargetMode="External" Id="rId459" /><Relationship Type="http://schemas.openxmlformats.org/officeDocument/2006/relationships/hyperlink" Target="https://www.sebi.gov.in/filings/public-issues/oct-2025/pride-hotels-limited_97173.html" TargetMode="External" Id="rId460" /><Relationship Type="http://schemas.openxmlformats.org/officeDocument/2006/relationships/hyperlink" Target="https://www.chittorgarh.com/ipo/pride-hotels-ipo/2683/" TargetMode="External" Id="rId461" /><Relationship Type="http://schemas.openxmlformats.org/officeDocument/2006/relationships/hyperlink" Target="https://www.sebi.gov.in/sebi_data/attachdocs/oct-2025/1760009417606_1007.pdf" TargetMode="External" Id="rId462" /><Relationship Type="http://schemas.openxmlformats.org/officeDocument/2006/relationships/hyperlink" Target="https://www.sebi.gov.in/filings/public-issues/oct-2025/learnfluence-education-limited_97197.html" TargetMode="External" Id="rId463" /><Relationship Type="http://schemas.openxmlformats.org/officeDocument/2006/relationships/hyperlink" Target="https://www.chittorgarh.com/ipo/learnfluence-education-ipo/2669/" TargetMode="External" Id="rId464" /><Relationship Type="http://schemas.openxmlformats.org/officeDocument/2006/relationships/hyperlink" Target="https://www.sebi.gov.in/sebi_data/attachdocs/oct-2025/1759985997171.pdf" TargetMode="External" Id="rId465" /><Relationship Type="http://schemas.openxmlformats.org/officeDocument/2006/relationships/hyperlink" Target="https://www.sebi.gov.in/filings/public-issues/oct-2025/lalbaba-engineering-limited-drhp_97160.html" TargetMode="External" Id="rId466" /><Relationship Type="http://schemas.openxmlformats.org/officeDocument/2006/relationships/hyperlink" Target="https://www.chittorgarh.com/ipo/lalbaba-engineering-ipo/2660/" TargetMode="External" Id="rId467" /><Relationship Type="http://schemas.openxmlformats.org/officeDocument/2006/relationships/hyperlink" Target="https://www.sebi.gov.in/sebi_data/attachdocs/oct-2025/1760009417606_1008.pdf" TargetMode="External" Id="rId468" /><Relationship Type="http://schemas.openxmlformats.org/officeDocument/2006/relationships/hyperlink" Target="https://www.sebi.gov.in/filings/public-issues/oct-2025/jerai-fitness-limited_97199.html" TargetMode="External" Id="rId469" /><Relationship Type="http://schemas.openxmlformats.org/officeDocument/2006/relationships/hyperlink" Target="https://www.chittorgarh.com/ipo/jerai-fintess-ipo/2664/" TargetMode="External" Id="rId470" /><Relationship Type="http://schemas.openxmlformats.org/officeDocument/2006/relationships/hyperlink" Target="https://www.sebi.gov.in/sebi_data/attachdocs/oct-2025/1759993428893.pdf" TargetMode="External" Id="rId471" /><Relationship Type="http://schemas.openxmlformats.org/officeDocument/2006/relationships/hyperlink" Target="https://www.sebi.gov.in/filings/public-issues/oct-2025/cj-darcl-logistics-limited-drhp_97166.html" TargetMode="External" Id="rId472" /><Relationship Type="http://schemas.openxmlformats.org/officeDocument/2006/relationships/hyperlink" Target="https://www.sebi.gov.in/sebi_data/commondocs/sep-2026/CJ%20Darcl%20-%20Addendum%20to%20DRHP%20-%20Final%20Layout_p.pdf" TargetMode="External" Id="rId473" /><Relationship Type="http://schemas.openxmlformats.org/officeDocument/2006/relationships/hyperlink" Target="https://www.chittorgarh.com/ipo/cj-darcl-logistics-ipo/2680/" TargetMode="External" Id="rId474" /><Relationship Type="http://schemas.openxmlformats.org/officeDocument/2006/relationships/hyperlink" Target="https://www.sebi.gov.in/sebi_data/attachdocs/oct-2025/1759995019453_1001.pdf" TargetMode="External" Id="rId475" /><Relationship Type="http://schemas.openxmlformats.org/officeDocument/2006/relationships/hyperlink" Target="https://www.sebi.gov.in/filings/public-issues/oct-2025/associated-power-structures-limited_97179.html" TargetMode="External" Id="rId476" /><Relationship Type="http://schemas.openxmlformats.org/officeDocument/2006/relationships/hyperlink" Target="https://www.chittorgarh.com/ipo/associated-power-structures-ipo/2650/" TargetMode="External" Id="rId477" /><Relationship Type="http://schemas.openxmlformats.org/officeDocument/2006/relationships/hyperlink" Target="https://www.sebi.gov.in/sebi_data/attachdocs/oct-2025/1759995019453_999.pdf" TargetMode="External" Id="rId478" /><Relationship Type="http://schemas.openxmlformats.org/officeDocument/2006/relationships/hyperlink" Target="https://www.sebi.gov.in/filings/public-issues/oct-2025/aarvee-engineering-consultants-limited_97175.html" TargetMode="External" Id="rId479" /><Relationship Type="http://schemas.openxmlformats.org/officeDocument/2006/relationships/hyperlink" Target="https://www.chittorgarh.com/ipo/aarvee-engineering-consultants-ipo/2637/" TargetMode="External" Id="rId480" /><Relationship Type="http://schemas.openxmlformats.org/officeDocument/2006/relationships/hyperlink" Target="https://www.sebi.gov.in/sebi_data/attachdocs/oct-2025/1759906912149.pdf" TargetMode="External" Id="rId481" /><Relationship Type="http://schemas.openxmlformats.org/officeDocument/2006/relationships/hyperlink" Target="https://www.sebi.gov.in/filings/public-issues/oct-2025/virupaksha-organics-limited-drhp_97120.html" TargetMode="External" Id="rId482" /><Relationship Type="http://schemas.openxmlformats.org/officeDocument/2006/relationships/hyperlink" Target="https://www.chittorgarh.com/ipo/virupaksha-organics-ipo/2691/" TargetMode="External" Id="rId483" /><Relationship Type="http://schemas.openxmlformats.org/officeDocument/2006/relationships/hyperlink" Target="https://www.sebi.gov.in/sebi_data/attachdocs/oct-2025/1759918079758.pdf" TargetMode="External" Id="rId484" /><Relationship Type="http://schemas.openxmlformats.org/officeDocument/2006/relationships/hyperlink" Target="https://www.sebi.gov.in/filings/public-issues/oct-2025/shah-investor-s-home-limited-drhp_97135.html" TargetMode="External" Id="rId485" /><Relationship Type="http://schemas.openxmlformats.org/officeDocument/2006/relationships/hyperlink" Target="https://www.chittorgarh.com/ipo/shah-investors-home-ipo/2657/" TargetMode="External" Id="rId486" /><Relationship Type="http://schemas.openxmlformats.org/officeDocument/2006/relationships/hyperlink" Target="https://www.sebi.gov.in/sebi_data/attachdocs/oct-2025/1759921908126.pdf" TargetMode="External" Id="rId487" /><Relationship Type="http://schemas.openxmlformats.org/officeDocument/2006/relationships/hyperlink" Target="https://www.sebi.gov.in/filings/public-issues/oct-2025/rkcpl-limited-drhp_97140.html" TargetMode="External" Id="rId488" /><Relationship Type="http://schemas.openxmlformats.org/officeDocument/2006/relationships/hyperlink" Target="https://www.chittorgarh.com/ipo/rkcpl-ipo/2633/" TargetMode="External" Id="rId489" /><Relationship Type="http://schemas.openxmlformats.org/officeDocument/2006/relationships/hyperlink" Target="https://www.sebi.gov.in/sebi_data/attachdocs/oct-2025/1759925748914.pdf" TargetMode="External" Id="rId490" /><Relationship Type="http://schemas.openxmlformats.org/officeDocument/2006/relationships/hyperlink" Target="https://www.sebi.gov.in/filings/public-issues/oct-2025/hd-fire-protect-limited-drhp_97144.html" TargetMode="External" Id="rId491" /><Relationship Type="http://schemas.openxmlformats.org/officeDocument/2006/relationships/hyperlink" Target="https://www.chittorgarh.com/ipo/hd-fire-protect-ipo/2628/" TargetMode="External" Id="rId492" /><Relationship Type="http://schemas.openxmlformats.org/officeDocument/2006/relationships/hyperlink" Target="https://www.sebi.gov.in/sebi_data/attachdocs/oct-2025/1759901381010.pdf" TargetMode="External" Id="rId493" /><Relationship Type="http://schemas.openxmlformats.org/officeDocument/2006/relationships/hyperlink" Target="https://www.sebi.gov.in/filings/public-issues/oct-2025/grand-housing-limited-drhp_97117.html" TargetMode="External" Id="rId494" /><Relationship Type="http://schemas.openxmlformats.org/officeDocument/2006/relationships/hyperlink" Target="https://www.chittorgarh.com/ipo/grand-housing-ipo/2685/" TargetMode="External" Id="rId495" /><Relationship Type="http://schemas.openxmlformats.org/officeDocument/2006/relationships/hyperlink" Target="https://www.sebi.gov.in/sebi_data/attachdocs/oct-2025/1759921018406.pdf" TargetMode="External" Id="rId496" /><Relationship Type="http://schemas.openxmlformats.org/officeDocument/2006/relationships/hyperlink" Target="https://www.sebi.gov.in/filings/public-issues/oct-2025/deon-energy-limited-drhp_97139.html" TargetMode="External" Id="rId497" /><Relationship Type="http://schemas.openxmlformats.org/officeDocument/2006/relationships/hyperlink" Target="https://www.chittorgarh.com/ipo/deon-energy-ipo/2642/" TargetMode="External" Id="rId498" /><Relationship Type="http://schemas.openxmlformats.org/officeDocument/2006/relationships/hyperlink" Target="https://www.sebi.gov.in/sebi_data/attachdocs/oct-2025/1759918220979.pdf" TargetMode="External" Id="rId499" /><Relationship Type="http://schemas.openxmlformats.org/officeDocument/2006/relationships/hyperlink" Target="https://www.sebi.gov.in/filings/public-issues/oct-2025/commtel-networks-limited-drhp_97138.html" TargetMode="External" Id="rId500" /><Relationship Type="http://schemas.openxmlformats.org/officeDocument/2006/relationships/hyperlink" Target="https://www.chittorgarh.com/ipo/commtel-networks-ipo/2656/" TargetMode="External" Id="rId501" /><Relationship Type="http://schemas.openxmlformats.org/officeDocument/2006/relationships/hyperlink" Target="https://www.sebi.gov.in/sebi_data/attachdocs/oct-2025/1759923004723_994.pdf" TargetMode="External" Id="rId502" /><Relationship Type="http://schemas.openxmlformats.org/officeDocument/2006/relationships/hyperlink" Target="https://www.sebi.gov.in/filings/public-issues/oct-2025/bonbloc-technologies-limited_97141.html" TargetMode="External" Id="rId503" /><Relationship Type="http://schemas.openxmlformats.org/officeDocument/2006/relationships/hyperlink" Target="https://www.chittorgarh.com/ipo/bonbloc-technologies-ipo/2645/" TargetMode="External" Id="rId504" /><Relationship Type="http://schemas.openxmlformats.org/officeDocument/2006/relationships/hyperlink" Target="https://www.sebi.gov.in/sebi_data/attachdocs/oct-2025/1759918166128.pdf" TargetMode="External" Id="rId505" /><Relationship Type="http://schemas.openxmlformats.org/officeDocument/2006/relationships/hyperlink" Target="https://www.sebi.gov.in/filings/public-issues/oct-2025/appl-containers-limited-drhp_97137.html" TargetMode="External" Id="rId506" /><Relationship Type="http://schemas.openxmlformats.org/officeDocument/2006/relationships/hyperlink" Target="https://www.chittorgarh.com/ipo/appl-containers-ipo/2643/" TargetMode="External" Id="rId507" /><Relationship Type="http://schemas.openxmlformats.org/officeDocument/2006/relationships/hyperlink" Target="https://www.sebi.gov.in/sebi_data/attachdocs/oct-2025/1759820241318.PDF" TargetMode="External" Id="rId508" /><Relationship Type="http://schemas.openxmlformats.org/officeDocument/2006/relationships/hyperlink" Target="https://www.sebi.gov.in/filings/public-issues/oct-2025/dhariwal-buildtech-limited-drhp_97090.html" TargetMode="External" Id="rId509" /><Relationship Type="http://schemas.openxmlformats.org/officeDocument/2006/relationships/hyperlink" Target="https://www.chittorgarh.com/ipo/dhariwal-buildtech-ipo/2652/" TargetMode="External" Id="rId510" /><Relationship Type="http://schemas.openxmlformats.org/officeDocument/2006/relationships/hyperlink" Target="https://www.sebi.gov.in/sebi_data/attachdocs/oct-2025/1759750210525_990.pdf" TargetMode="External" Id="rId511" /><Relationship Type="http://schemas.openxmlformats.org/officeDocument/2006/relationships/hyperlink" Target="https://www.sebi.gov.in/filings/public-issues/oct-2025/eldeco-infrastructure-and-properties-limited_97071.html" TargetMode="External" Id="rId512" /><Relationship Type="http://schemas.openxmlformats.org/officeDocument/2006/relationships/hyperlink" Target="https://www.chittorgarh.com/ipo/eldeco-infrastructure-properties-ipo/2689/" TargetMode="External" Id="rId513" /><Relationship Type="http://schemas.openxmlformats.org/officeDocument/2006/relationships/hyperlink" Target="https://www.sebi.gov.in/sebi_data/attachdocs/oct-2025/1759476612614_982.pdf" TargetMode="External" Id="rId514" /><Relationship Type="http://schemas.openxmlformats.org/officeDocument/2006/relationships/hyperlink" Target="https://www.sebi.gov.in/filings/public-issues/oct-2025/premier-industrial-corporation-limited_97037.html" TargetMode="External" Id="rId515" /><Relationship Type="http://schemas.openxmlformats.org/officeDocument/2006/relationships/hyperlink" Target="https://www.chittorgarh.com/ipo/premier-industrial-corporation-ipo/2674/" TargetMode="External" Id="rId516" /><Relationship Type="http://schemas.openxmlformats.org/officeDocument/2006/relationships/hyperlink" Target="https://www.sebi.gov.in/sebi_data/attachdocs/oct-2025/1759368606185_979.pdf" TargetMode="External" Id="rId517" /><Relationship Type="http://schemas.openxmlformats.org/officeDocument/2006/relationships/hyperlink" Target="https://www.sebi.gov.in/filings/public-issues/oct-2025/rotomag-enertec-limited_97024.html" TargetMode="External" Id="rId518" /><Relationship Type="http://schemas.openxmlformats.org/officeDocument/2006/relationships/hyperlink" Target="https://www.chittorgarh.com/ipo/rotomag-enertec-ipo/2662/" TargetMode="External" Id="rId519" /><Relationship Type="http://schemas.openxmlformats.org/officeDocument/2006/relationships/hyperlink" Target="https://www.sebi.gov.in/sebi_data/attachdocs/oct-2025/1760415698411.PDF" TargetMode="External" Id="rId520" /><Relationship Type="http://schemas.openxmlformats.org/officeDocument/2006/relationships/hyperlink" Target="https://www.sebi.gov.in/filings/public-issues/oct-2025/oswal-cables-drhp_97284.html" TargetMode="External" Id="rId521" /><Relationship Type="http://schemas.openxmlformats.org/officeDocument/2006/relationships/hyperlink" Target="https://www.chittorgarh.com/ipo/oswal-cables-ipo/2677/" TargetMode="External" Id="rId522" /><Relationship Type="http://schemas.openxmlformats.org/officeDocument/2006/relationships/hyperlink" Target="https://www.sebi.gov.in/sebi_data/attachdocs/oct-2025/1759318215777_973.pdf" TargetMode="External" Id="rId523" /><Relationship Type="http://schemas.openxmlformats.org/officeDocument/2006/relationships/hyperlink" Target="https://www.sebi.gov.in/filings/public-issues/oct-2025/alcobrew-distilleries-india-limited_97005.html" TargetMode="External" Id="rId524" /><Relationship Type="http://schemas.openxmlformats.org/officeDocument/2006/relationships/hyperlink" Target="https://www.chittorgarh.com/ipo/alcobrew-distilleries-india-ipo/2639/" TargetMode="External" Id="rId525" /><Relationship Type="http://schemas.openxmlformats.org/officeDocument/2006/relationships/hyperlink" Target="https://www.sebi.gov.in/sebi_data/attachdocs/sep-2025/1759217407843_966.pdf" TargetMode="External" Id="rId526" /><Relationship Type="http://schemas.openxmlformats.org/officeDocument/2006/relationships/hyperlink" Target="https://www.sebi.gov.in/filings/public-issues/sep-2025/parijat-industries-india-limited_96966.html" TargetMode="External" Id="rId527" /><Relationship Type="http://schemas.openxmlformats.org/officeDocument/2006/relationships/hyperlink" Target="https://www.chittorgarh.com/ipo/parijat-industries-ipo/2640/" TargetMode="External" Id="rId528" /><Relationship Type="http://schemas.openxmlformats.org/officeDocument/2006/relationships/hyperlink" Target="https://www.sebi.gov.in/sebi_data/attachdocs/sep-2025/1758936615167_957.pdf" TargetMode="External" Id="rId529" /><Relationship Type="http://schemas.openxmlformats.org/officeDocument/2006/relationships/hyperlink" Target="https://www.sebi.gov.in/filings/public-issues/sep-2025/medicap-healthcare-limited_96876.html" TargetMode="External" Id="rId530" /><Relationship Type="http://schemas.openxmlformats.org/officeDocument/2006/relationships/hyperlink" Target="https://www.chittorgarh.com/ipo/medicap-healthcare-ipo/2619/" TargetMode="External" Id="rId531" /><Relationship Type="http://schemas.openxmlformats.org/officeDocument/2006/relationships/hyperlink" Target="https://www.sebi.gov.in/sebi_data/attachdocs/sep-2025/1758612610710_953.pdf" TargetMode="External" Id="rId532" /><Relationship Type="http://schemas.openxmlformats.org/officeDocument/2006/relationships/hyperlink" Target="https://www.sebi.gov.in/filings/public-issues/sep-2025/shriram-food-industry-limited_96783.html" TargetMode="External" Id="rId533" /><Relationship Type="http://schemas.openxmlformats.org/officeDocument/2006/relationships/hyperlink" Target="https://www.chittorgarh.com/ipo/shriram-food-industry-ipo/2613/" TargetMode="External" Id="rId534" /><Relationship Type="http://schemas.openxmlformats.org/officeDocument/2006/relationships/hyperlink" Target="https://www.sebi.gov.in/sebi_data/attachdocs/sep-2025/1758279614350.pdf" TargetMode="External" Id="rId535" /><Relationship Type="http://schemas.openxmlformats.org/officeDocument/2006/relationships/hyperlink" Target="https://www.sebi.gov.in/filings/public-issues/sep-2025/cotec-healthcare-limited-drhp_96701.html" TargetMode="External" Id="rId536" /><Relationship Type="http://schemas.openxmlformats.org/officeDocument/2006/relationships/hyperlink" Target="https://www.chittorgarh.com/ipo/cotec-healthcare-ipo/2611/" TargetMode="External" Id="rId537" /><Relationship Type="http://schemas.openxmlformats.org/officeDocument/2006/relationships/hyperlink" Target="https://www.sebi.gov.in/sebi_data/attachdocs/sep-2025/1757932215749.pdf" TargetMode="External" Id="rId538" /><Relationship Type="http://schemas.openxmlformats.org/officeDocument/2006/relationships/hyperlink" Target="https://www.sebi.gov.in/filings/public-issues/sep-2025/chartered-speed-limited-drhp_96608.html" TargetMode="External" Id="rId539" /><Relationship Type="http://schemas.openxmlformats.org/officeDocument/2006/relationships/hyperlink" Target="https://www.chittorgarh.com/ipo/chartered-speed-ipo/2596/" TargetMode="External" Id="rId540" /><Relationship Type="http://schemas.openxmlformats.org/officeDocument/2006/relationships/hyperlink" Target="https://www.sebi.gov.in/sebi_data/attachdocs/sep-2025/1757668063664.pdf" TargetMode="External" Id="rId541" /><Relationship Type="http://schemas.openxmlformats.org/officeDocument/2006/relationships/hyperlink" Target="https://www.sebi.gov.in/filings/public-issues/sep-2025/eldorado-agritech-limited-drhp_96600.html" TargetMode="External" Id="rId542" /><Relationship Type="http://schemas.openxmlformats.org/officeDocument/2006/relationships/hyperlink" Target="https://www.chittorgarh.com/ipo/eldorado-agritech-ipo/2588/" TargetMode="External" Id="rId543" /><Relationship Type="http://schemas.openxmlformats.org/officeDocument/2006/relationships/hyperlink" Target="https://www.sebi.gov.in/sebi_data/attachdocs/sep-2025/1757417405397_945.pdf" TargetMode="External" Id="rId544" /><Relationship Type="http://schemas.openxmlformats.org/officeDocument/2006/relationships/hyperlink" Target="https://www.sebi.gov.in/filings/public-issues/sep-2025/shivalaya-construction-limited_96495.html" TargetMode="External" Id="rId545" /><Relationship Type="http://schemas.openxmlformats.org/officeDocument/2006/relationships/hyperlink" Target="https://www.chittorgarh.com/ipo/shivalaya-construction-ipo/2593/" TargetMode="External" Id="rId546" /><Relationship Type="http://schemas.openxmlformats.org/officeDocument/2006/relationships/hyperlink" Target="https://www.sebi.gov.in/sebi_data/attachdocs/sep-2025/1757403007624_943.pdf" TargetMode="External" Id="rId547" /><Relationship Type="http://schemas.openxmlformats.org/officeDocument/2006/relationships/hyperlink" Target="https://www.sebi.gov.in/filings/public-issues/sep-2025/sfc-environmental-technologies-limited_96473.html" TargetMode="External" Id="rId548" /><Relationship Type="http://schemas.openxmlformats.org/officeDocument/2006/relationships/hyperlink" Target="https://www.chittorgarh.com/ipo/sfc-environmental-technologies-ipo/2070/" TargetMode="External" Id="rId549" /><Relationship Type="http://schemas.openxmlformats.org/officeDocument/2006/relationships/hyperlink" Target="https://www.sebi.gov.in/sebi_data/attachdocs/sep-2025/1757122205056_940.pdf" TargetMode="External" Id="rId550" /><Relationship Type="http://schemas.openxmlformats.org/officeDocument/2006/relationships/hyperlink" Target="https://www.sebi.gov.in/filings/public-issues/sep-2025/ukb-electronis-limited_96456.html" TargetMode="External" Id="rId551" /><Relationship Type="http://schemas.openxmlformats.org/officeDocument/2006/relationships/hyperlink" Target="https://www.chittorgarh.com/ipo/ukb-electronics-ipo/2587/" TargetMode="External" Id="rId552" /><Relationship Type="http://schemas.openxmlformats.org/officeDocument/2006/relationships/hyperlink" Target="https://www.sebi.gov.in/sebi_data/attachdocs/sep-2025/1758514124562.pdf" TargetMode="External" Id="rId553" /><Relationship Type="http://schemas.openxmlformats.org/officeDocument/2006/relationships/hyperlink" Target="https://www.sebi.gov.in/filings/public-issues/sep-2025/supreet-chemicals-limited-drhp_96737.html" TargetMode="External" Id="rId554" /><Relationship Type="http://schemas.openxmlformats.org/officeDocument/2006/relationships/hyperlink" Target="https://www.chittorgarh.com/ipo/supreet-chemicals-ipo/2598/" TargetMode="External" Id="rId555" /><Relationship Type="http://schemas.openxmlformats.org/officeDocument/2006/relationships/hyperlink" Target="https://www.sebi.gov.in/sebi_data/attachdocs/aug-2025/1756107066531_928.pdf" TargetMode="External" Id="rId556" /><Relationship Type="http://schemas.openxmlformats.org/officeDocument/2006/relationships/hyperlink" Target="https://www.sebi.gov.in/filings/public-issues/aug-2025/rsb-retail-india-limited_96283.html" TargetMode="External" Id="rId557" /><Relationship Type="http://schemas.openxmlformats.org/officeDocument/2006/relationships/hyperlink" Target="https://www.chittorgarh.com/ipo/rsb-retail-india-ipo/2571/" TargetMode="External" Id="rId558" /><Relationship Type="http://schemas.openxmlformats.org/officeDocument/2006/relationships/hyperlink" Target="https://www.sebi.gov.in/sebi_data/attachdocs/aug-2025/1755070204199_915.pdf" TargetMode="External" Id="rId559" /><Relationship Type="http://schemas.openxmlformats.org/officeDocument/2006/relationships/hyperlink" Target="https://www.sebi.gov.in/filings/public-issues/aug-2025/transline-technologies-limited_96056.html" TargetMode="External" Id="rId560" /><Relationship Type="http://schemas.openxmlformats.org/officeDocument/2006/relationships/hyperlink" Target="https://www.chittorgarh.com/ipo/transline-technologies-ipo/2575/" TargetMode="External" Id="rId561" /><Relationship Type="http://schemas.openxmlformats.org/officeDocument/2006/relationships/hyperlink" Target="https://www.sebi.gov.in/sebi_data/attachdocs/aug-2025/1754998206920_914.pdf" TargetMode="External" Id="rId562" /><Relationship Type="http://schemas.openxmlformats.org/officeDocument/2006/relationships/hyperlink" Target="https://www.sebi.gov.in/filings/public-issues/aug-2025/bls-polymers-limited_96028.html" TargetMode="External" Id="rId563" /><Relationship Type="http://schemas.openxmlformats.org/officeDocument/2006/relationships/hyperlink" Target="https://www.chittorgarh.com/ipo/bls-polymers-ipo/2559/" TargetMode="External" Id="rId564" /><Relationship Type="http://schemas.openxmlformats.org/officeDocument/2006/relationships/hyperlink" Target="https://www.sebi.gov.in/sebi_data/attachdocs/aug-2025/1754887182581.pdf" TargetMode="External" Id="rId565" /><Relationship Type="http://schemas.openxmlformats.org/officeDocument/2006/relationships/hyperlink" Target="https://www.sebi.gov.in/filings/public-issues/aug-2025/steel-infra-solutions-company-limited-drhp_95961.html" TargetMode="External" Id="rId566" /><Relationship Type="http://schemas.openxmlformats.org/officeDocument/2006/relationships/hyperlink" Target="https://www.chittorgarh.com/ipo/siscol-ipo/2553/" TargetMode="External" Id="rId567" /><Relationship Type="http://schemas.openxmlformats.org/officeDocument/2006/relationships/hyperlink" Target="https://www.sebi.gov.in/sebi_data/attachdocs/aug-2025/1754887054517.pdf" TargetMode="External" Id="rId568" /><Relationship Type="http://schemas.openxmlformats.org/officeDocument/2006/relationships/hyperlink" Target="https://www.sebi.gov.in/filings/public-issues/aug-2025/silver-consumers-electricals-limited-drhp_95959.html" TargetMode="External" Id="rId569" /><Relationship Type="http://schemas.openxmlformats.org/officeDocument/2006/relationships/hyperlink" Target="https://www.chittorgarh.com/ipo/silver-consumer-electricals-ipo/2562/" TargetMode="External" Id="rId570" /><Relationship Type="http://schemas.openxmlformats.org/officeDocument/2006/relationships/hyperlink" Target="https://www.sebi.gov.in/sebi_data/attachdocs/aug-2025/1754031254931.pdf" TargetMode="External" Id="rId571" /><Relationship Type="http://schemas.openxmlformats.org/officeDocument/2006/relationships/hyperlink" Target="https://www.sebi.gov.in/filings/public-issues/aug-2025/lamtuf-limited_95754.html" TargetMode="External" Id="rId572" /><Relationship Type="http://schemas.openxmlformats.org/officeDocument/2006/relationships/hyperlink" Target="https://www.chittorgarh.com/ipo/lamtuf-ipo/2537/" TargetMode="External" Id="rId573" /><Relationship Type="http://schemas.openxmlformats.org/officeDocument/2006/relationships/hyperlink" Target="https://www.sebi.gov.in/sebi_data/attachdocs/jul-2025/1753961405691_889.pdf" TargetMode="External" Id="rId574" /><Relationship Type="http://schemas.openxmlformats.org/officeDocument/2006/relationships/hyperlink" Target="https://www.sebi.gov.in/filings/public-issues/jul-2025/sahajanand-medical-technologies-limited_95741.html" TargetMode="External" Id="rId575" /><Relationship Type="http://schemas.openxmlformats.org/officeDocument/2006/relationships/hyperlink" Target="https://www.chittorgarh.com/ipo/sahajanand-medical-technologies-ipo/2550/" TargetMode="External" Id="rId576" /><Relationship Type="http://schemas.openxmlformats.org/officeDocument/2006/relationships/hyperlink" Target="https://www.sebi.gov.in/sebi_data/attachdocs/jul-2025/1753925406298_885.pdf" TargetMode="External" Id="rId577" /><Relationship Type="http://schemas.openxmlformats.org/officeDocument/2006/relationships/hyperlink" Target="https://www.sebi.gov.in/filings/public-issues/jul-2025/executive-centre-india-limited_95722.html" TargetMode="External" Id="rId578" /><Relationship Type="http://schemas.openxmlformats.org/officeDocument/2006/relationships/hyperlink" Target="https://www.chittorgarh.com/ipo/executive-centre-ipo/2544/" TargetMode="External" Id="rId579" /><Relationship Type="http://schemas.openxmlformats.org/officeDocument/2006/relationships/hyperlink" Target="https://www.sebi.gov.in/sebi_data/attachdocs/jul-2025/1753270215879_878.pdf" TargetMode="External" Id="rId580" /><Relationship Type="http://schemas.openxmlformats.org/officeDocument/2006/relationships/hyperlink" Target="https://www.sebi.gov.in/filings/public-issues/jul-2025/oswal-energies-limited_95557.html" TargetMode="External" Id="rId581" /><Relationship Type="http://schemas.openxmlformats.org/officeDocument/2006/relationships/hyperlink" Target="https://www.chittorgarh.com/ipo/oswal-energies-ipo/2540/" TargetMode="External" Id="rId582" /><Relationship Type="http://schemas.openxmlformats.org/officeDocument/2006/relationships/hyperlink" Target="https://www.sebi.gov.in/sebi_data/attachdocs/jul-2025/1753171926581.pdf" TargetMode="External" Id="rId583" /><Relationship Type="http://schemas.openxmlformats.org/officeDocument/2006/relationships/hyperlink" Target="https://www.sebi.gov.in/filings/public-issues/jul-2025/orient-cables-limited-drhp_95503.html" TargetMode="External" Id="rId584" /><Relationship Type="http://schemas.openxmlformats.org/officeDocument/2006/relationships/hyperlink" Target="https://ipowatch.in/orient-cables-ipo/" TargetMode="External" Id="rId585" /><Relationship Type="http://schemas.openxmlformats.org/officeDocument/2006/relationships/hyperlink" Target="https://www.sebi.gov.in/sebi_data/attachdocs/jul-2025/1752665404329_867.pdf" TargetMode="External" Id="rId586" /><Relationship Type="http://schemas.openxmlformats.org/officeDocument/2006/relationships/hyperlink" Target="https://www.sebi.gov.in/filings/public-issues/jul-2025/aggcon-equipments-international-limited_95349.html" TargetMode="External" Id="rId587" /><Relationship Type="http://schemas.openxmlformats.org/officeDocument/2006/relationships/hyperlink" Target="https://www.chittorgarh.com/ipo/aggcon-equipments-international-ipo/2531/" TargetMode="External" Id="rId588" /><Relationship Type="http://schemas.openxmlformats.org/officeDocument/2006/relationships/hyperlink" Target="https://www.sebi.gov.in/sebi_data/attachdocs/jul-2025/1752219016712_862.pdf" TargetMode="External" Id="rId589" /><Relationship Type="http://schemas.openxmlformats.org/officeDocument/2006/relationships/hyperlink" Target="https://www.sebi.gov.in/filings/public-issues/jul-2025/allied-engineering-works-limited_95201.html" TargetMode="External" Id="rId590" /><Relationship Type="http://schemas.openxmlformats.org/officeDocument/2006/relationships/hyperlink" Target="https://www.chittorgarh.com/ipo/allied-engineering-works-ipo/2519/" TargetMode="External" Id="rId591" /><Relationship Type="http://schemas.openxmlformats.org/officeDocument/2006/relationships/hyperlink" Target="https://www.sebi.gov.in/sebi_data/attachdocs/jul-2025/1751959819550_855.pdf" TargetMode="External" Id="rId592" /><Relationship Type="http://schemas.openxmlformats.org/officeDocument/2006/relationships/hyperlink" Target="https://www.sebi.gov.in/filings/public-issues/jul-2025/safex-chemicals-india-limited_95115.html" TargetMode="External" Id="rId593" /><Relationship Type="http://schemas.openxmlformats.org/officeDocument/2006/relationships/hyperlink" Target="https://www.chittorgarh.com/ipo/safex-chemicals-ipo/2520/" TargetMode="External" Id="rId594" /><Relationship Type="http://schemas.openxmlformats.org/officeDocument/2006/relationships/hyperlink" Target="https://www.sebi.gov.in/sebi_data/attachdocs/aug-2026/1787315835585.pdf" TargetMode="External" Id="rId595" /><Relationship Type="http://schemas.openxmlformats.org/officeDocument/2006/relationships/hyperlink" Target="https://www.sebi.gov.in/filings/public-issues/jul-2025/german-green-steel-and-power-limited-drhp_95113.html" TargetMode="External" Id="rId596" /><Relationship Type="http://schemas.openxmlformats.org/officeDocument/2006/relationships/hyperlink" Target="https://www.chittorgarh.com/ipo/german-green-steel-and-power-ipo/2497/" TargetMode="External" Id="rId597" /><Relationship Type="http://schemas.openxmlformats.org/officeDocument/2006/relationships/hyperlink" Target="https://www.sebi.gov.in/sebi_data/attachdocs/jul-2025/1751542207660_843.pdf" TargetMode="External" Id="rId598" /><Relationship Type="http://schemas.openxmlformats.org/officeDocument/2006/relationships/hyperlink" Target="https://www.sebi.gov.in/filings/public-issues/jul-2025/sillverton-industries-limited_95023.html" TargetMode="External" Id="rId599" /><Relationship Type="http://schemas.openxmlformats.org/officeDocument/2006/relationships/hyperlink" Target="https://www.chittorgarh.com/ipo/sillverton-industries-ipo/2499/" TargetMode="External" Id="rId600" /><Relationship Type="http://schemas.openxmlformats.org/officeDocument/2006/relationships/hyperlink" Target="https://www.sebi.gov.in/sebi_data/attachdocs/jul-2025/1751527808198_840.pdf" TargetMode="External" Id="rId601" /><Relationship Type="http://schemas.openxmlformats.org/officeDocument/2006/relationships/hyperlink" Target="https://www.sebi.gov.in/filings/public-issues/jul-2025/rayzon-solar-limited_95011.html" TargetMode="External" Id="rId602" /><Relationship Type="http://schemas.openxmlformats.org/officeDocument/2006/relationships/hyperlink" Target="https://www.chittorgarh.com/ipo/rayzon-solar-ipo/2490/" TargetMode="External" Id="rId603" /><Relationship Type="http://schemas.openxmlformats.org/officeDocument/2006/relationships/hyperlink" Target="https://www.sebi.gov.in/sebi_data/attachdocs/jul-2025/1751527808198_841.pdf" TargetMode="External" Id="rId604" /><Relationship Type="http://schemas.openxmlformats.org/officeDocument/2006/relationships/hyperlink" Target="https://www.sebi.gov.in/filings/public-issues/jul-2025/curefoods-india-limited_95013.html" TargetMode="External" Id="rId605" /><Relationship Type="http://schemas.openxmlformats.org/officeDocument/2006/relationships/hyperlink" Target="https://curvedtrading.com/articles/en/investing/curefoods-ipo/" TargetMode="External" Id="rId606" /><Relationship Type="http://schemas.openxmlformats.org/officeDocument/2006/relationships/hyperlink" Target="https://www.sebi.gov.in/sebi_data/attachdocs/jul-2025/1751542207660_845.pdf" TargetMode="External" Id="rId607" /><Relationship Type="http://schemas.openxmlformats.org/officeDocument/2006/relationships/hyperlink" Target="https://www.sebi.gov.in/filings/public-issues/jul-2025/amir-chand-jagdish-kumar-exports-limited_95027.html" TargetMode="External" Id="rId608" /><Relationship Type="http://schemas.openxmlformats.org/officeDocument/2006/relationships/hyperlink" Target="https://www.chittorgarh.com/ipo/amir-chand-jagdish-kumar-ipo/2501/" TargetMode="External" Id="rId609" /><Relationship Type="http://schemas.openxmlformats.org/officeDocument/2006/relationships/hyperlink" Target="https://www.sebi.gov.in/sebi_data/attachdocs/jul-2025/1751455806758_838.pdf" TargetMode="External" Id="rId610" /><Relationship Type="http://schemas.openxmlformats.org/officeDocument/2006/relationships/hyperlink" Target="https://www.sebi.gov.in/filings/public-issues/jul-2025/foodlink-fandb-holdings-india-limited_94988.html" TargetMode="External" Id="rId611" /><Relationship Type="http://schemas.openxmlformats.org/officeDocument/2006/relationships/hyperlink" Target="https://www.chittorgarh.com/ipo/foodlink-fb-ipo/2493/" TargetMode="External" Id="rId612" /><Relationship Type="http://schemas.openxmlformats.org/officeDocument/2006/relationships/hyperlink" Target="https://www.sebi.gov.in/sebi_data/attachdocs/jun-2025/1751268605601_824.pdf" TargetMode="External" Id="rId613" /><Relationship Type="http://schemas.openxmlformats.org/officeDocument/2006/relationships/hyperlink" Target="https://www.sebi.gov.in/filings/public-issues/jun-2025/earthood-services-limited_94857.html" TargetMode="External" Id="rId614" /><Relationship Type="http://schemas.openxmlformats.org/officeDocument/2006/relationships/hyperlink" Target="https://www.chittorgarh.com/ipo/earthood-services-ipo/2071/" TargetMode="External" Id="rId615" /><Relationship Type="http://schemas.openxmlformats.org/officeDocument/2006/relationships/hyperlink" Target="https://www.sebi.gov.in/sebi_data/attachdocs/jul-2025/1751348686934.pdf" TargetMode="External" Id="rId616" /><Relationship Type="http://schemas.openxmlformats.org/officeDocument/2006/relationships/hyperlink" Target="https://www.sebi.gov.in/filings/public-issues/jun-2025/credila-financial-services-limited-udrhp-1_94914.html" TargetMode="External" Id="rId617" /><Relationship Type="http://schemas.openxmlformats.org/officeDocument/2006/relationships/hyperlink" Target="https://www.chittorgarh.com/ipo/credila-financial-services-ipo/2263/" TargetMode="External" Id="rId618" /><Relationship Type="http://schemas.openxmlformats.org/officeDocument/2006/relationships/hyperlink" Target="https://www.sebi.gov.in/sebi_data/attachdocs/jun-2025/1749727806894_815.pdf" TargetMode="External" Id="rId619" /><Relationship Type="http://schemas.openxmlformats.org/officeDocument/2006/relationships/hyperlink" Target="https://www.sebi.gov.in/filings/public-issues/jun-2025/tea-post-limited_94561.html" TargetMode="External" Id="rId620" /><Relationship Type="http://schemas.openxmlformats.org/officeDocument/2006/relationships/hyperlink" Target="https://www.chittorgarh.com/ipo/tea-post-ipo/2442/" TargetMode="External" Id="rId621" /><Relationship Type="http://schemas.openxmlformats.org/officeDocument/2006/relationships/hyperlink" Target="https://www.sebi.gov.in/sebi_data/attachdocs/jun-2025/1749024129717.PDF" TargetMode="External" Id="rId622" /><Relationship Type="http://schemas.openxmlformats.org/officeDocument/2006/relationships/hyperlink" Target="https://www.sebi.gov.in/filings/public-issues/jun-2025/drhp-of-neilsoft-limited_94392.html" TargetMode="External" Id="rId623" /><Relationship Type="http://schemas.openxmlformats.org/officeDocument/2006/relationships/hyperlink" Target="https://www.chittorgarh.com/ipo/neilsoft-ipo/2056/" TargetMode="External" Id="rId624" /><Relationship Type="http://schemas.openxmlformats.org/officeDocument/2006/relationships/hyperlink" Target="https://www.sebi.gov.in/sebi_data/attachdocs/may-2025/1748604604661_809.pdf" TargetMode="External" Id="rId625" /><Relationship Type="http://schemas.openxmlformats.org/officeDocument/2006/relationships/hyperlink" Target="https://www.sebi.gov.in/filings/public-issues/may-2025/fusion-cx-limited_94311.html" TargetMode="External" Id="rId626" /><Relationship Type="http://schemas.openxmlformats.org/officeDocument/2006/relationships/hyperlink" Target="https://www.chittorgarh.com/ipo/fusion-cx-ipo/2455/" TargetMode="External" Id="rId627" /><Relationship Type="http://schemas.openxmlformats.org/officeDocument/2006/relationships/hyperlink" Target="https://www.sebi.gov.in/sebi_data/attachdocs/may-2025/1748518220350_802.pdf" TargetMode="External" Id="rId628" /><Relationship Type="http://schemas.openxmlformats.org/officeDocument/2006/relationships/hyperlink" Target="https://www.sebi.gov.in/filings/public-issues/may-2025/kanodia-cement-limited_94269.html" TargetMode="External" Id="rId629" /><Relationship Type="http://schemas.openxmlformats.org/officeDocument/2006/relationships/hyperlink" Target="https://www.chittorgarh.com/ipo/kanodia-cement-ipo/2452/" TargetMode="External" Id="rId630" /><Relationship Type="http://schemas.openxmlformats.org/officeDocument/2006/relationships/hyperlink" Target="https://www.sebi.gov.in/sebi_data/attachdocs/may-2025/1747654204318_791.pdf" TargetMode="External" Id="rId631" /><Relationship Type="http://schemas.openxmlformats.org/officeDocument/2006/relationships/hyperlink" Target="https://www.sebi.gov.in/filings/public-issues/may-2025/ravi-infrabuild-projects-limited_94029.html" TargetMode="External" Id="rId632" /><Relationship Type="http://schemas.openxmlformats.org/officeDocument/2006/relationships/hyperlink" Target="https://www.chittorgarh.com/ipo/ravi-infrabuild-ipo/2436/" TargetMode="External" Id="rId633" /><Relationship Type="http://schemas.openxmlformats.org/officeDocument/2006/relationships/hyperlink" Target="https://www.sebi.gov.in/sebi_data/attachdocs/may-2025/1747395399489.pdf" TargetMode="External" Id="rId634" /><Relationship Type="http://schemas.openxmlformats.org/officeDocument/2006/relationships/hyperlink" Target="https://www.sebi.gov.in/filings/public-issues/may-2025/drhp-of-mouri-tech-limited_93994.html" TargetMode="External" Id="rId635" /><Relationship Type="http://schemas.openxmlformats.org/officeDocument/2006/relationships/hyperlink" Target="https://www.chittorgarh.com/ipo/mouri-tech-ipo/2151/" TargetMode="External" Id="rId636" /><Relationship Type="http://schemas.openxmlformats.org/officeDocument/2006/relationships/hyperlink" Target="https://www.sebi.gov.in/sebi_data/attachdocs/apr-2025/1745839805301_772.pdf" TargetMode="External" Id="rId637" /><Relationship Type="http://schemas.openxmlformats.org/officeDocument/2006/relationships/hyperlink" Target="https://www.sebi.gov.in/filings/public-issues/apr-2025/prestige-hospitality-ventures-limited_93682.html" TargetMode="External" Id="rId638" /><Relationship Type="http://schemas.openxmlformats.org/officeDocument/2006/relationships/hyperlink" Target="https://www.chittorgarh.com/ipo/prestige-hospitality-ventures-ipo/2420/" TargetMode="External" Id="rId639" /><Relationship Type="http://schemas.openxmlformats.org/officeDocument/2006/relationships/hyperlink" Target="https://www.sebi.gov.in/sebi_data/attachdocs/apr-2025/1744097406765_766.pdf" TargetMode="External" Id="rId640" /><Relationship Type="http://schemas.openxmlformats.org/officeDocument/2006/relationships/hyperlink" Target="https://www.sebi.gov.in/filings/public-issues/apr-2025/sis-cash-services-limited_93365.html" TargetMode="External" Id="rId641" /><Relationship Type="http://schemas.openxmlformats.org/officeDocument/2006/relationships/hyperlink" Target="https://www.chittorgarh.com/ipo/sis-prosegur-ipo/2316/" TargetMode="External" Id="rId642" /><Relationship Type="http://schemas.openxmlformats.org/officeDocument/2006/relationships/hyperlink" Target="https://www.sebi.gov.in/sebi_data/attachdocs/apr-2025/1743679807520_759.pdf" TargetMode="External" Id="rId643" /><Relationship Type="http://schemas.openxmlformats.org/officeDocument/2006/relationships/hyperlink" Target="https://www.sebi.gov.in/filings/public-issues/apr-2025/sai-infinium-limited_93289.html" TargetMode="External" Id="rId644" /><Relationship Type="http://schemas.openxmlformats.org/officeDocument/2006/relationships/hyperlink" Target="https://www.chittorgarh.com/ipo/sai-infinium-ipo/2299/" TargetMode="External" Id="rId645" /><Relationship Type="http://schemas.openxmlformats.org/officeDocument/2006/relationships/hyperlink" Target="https://www.sebi.gov.in/sebi_data/attachdocs/apr-2025/1743679807520_760.pdf" TargetMode="External" Id="rId646" /><Relationship Type="http://schemas.openxmlformats.org/officeDocument/2006/relationships/hyperlink" Target="https://www.sebi.gov.in/filings/public-issues/apr-2025/runwal-enterprises-limited_93291.html" TargetMode="External" Id="rId647" /><Relationship Type="http://schemas.openxmlformats.org/officeDocument/2006/relationships/hyperlink" Target="https://www.chittorgarh.com/ipo/runwal-enterprises-ipo/2298/" TargetMode="External" Id="rId648" /><Relationship Type="http://schemas.openxmlformats.org/officeDocument/2006/relationships/hyperlink" Target="https://www.sebi.gov.in/sebi_data/attachdocs/apr-2025/1743507022624_750.pdf" TargetMode="External" Id="rId649" /><Relationship Type="http://schemas.openxmlformats.org/officeDocument/2006/relationships/hyperlink" Target="https://www.sebi.gov.in/filings/public-issues/apr-2025/prozeal-green-energy-limited_93174.html" TargetMode="External" Id="rId650" /><Relationship Type="http://schemas.openxmlformats.org/officeDocument/2006/relationships/hyperlink" Target="https://www.chittorgarh.com/ipo/prozeal-green-energy-ipo/2288/" TargetMode="External" Id="rId651" /><Relationship Type="http://schemas.openxmlformats.org/officeDocument/2006/relationships/hyperlink" Target="https://www.sebi.gov.in/sebi_data/attachdocs/apr-2025/1743492605814_747.pdf" TargetMode="External" Id="rId652" /><Relationship Type="http://schemas.openxmlformats.org/officeDocument/2006/relationships/hyperlink" Target="https://www.sebi.gov.in/filings/public-issues/apr-2025/ardee-engineering-limited_93160.html" TargetMode="External" Id="rId653" /><Relationship Type="http://schemas.openxmlformats.org/officeDocument/2006/relationships/hyperlink" Target="https://www.chittorgarh.com/ipo/ardee-engineering-ipo/2283/" TargetMode="External" Id="rId654" /></Relationships>
</file>

<file path=xl/worksheets/_rels/sheet2.xml.rels><Relationships xmlns="http://schemas.openxmlformats.org/package/2006/relationships"><Relationship Type="http://schemas.openxmlformats.org/officeDocument/2006/relationships/hyperlink" Target="https://www.sebi.gov.in/sebi_data/attachdocs/sep-2026/1790767812069_1378.pdf" TargetMode="External" Id="rId1" /><Relationship Type="http://schemas.openxmlformats.org/officeDocument/2006/relationships/hyperlink" Target="https://www.sebi.gov.in/filings/public-issues/sep-2026/j-b-ecotex-limited_104830.html" TargetMode="External" Id="rId2" /><Relationship Type="http://schemas.openxmlformats.org/officeDocument/2006/relationships/hyperlink" Target="https://www.chittorgarh.com/ipo/j-b-ecotex-ipo/3311/" TargetMode="External" Id="rId3" /><Relationship Type="http://schemas.openxmlformats.org/officeDocument/2006/relationships/hyperlink" Target="https://www.sebi.gov.in/sebi_data/attachdocs/sep-2026/1790767812069_1377.pdf" TargetMode="External" Id="rId4" /><Relationship Type="http://schemas.openxmlformats.org/officeDocument/2006/relationships/hyperlink" Target="https://www.sebi.gov.in/filings/public-issues/sep-2026/s-g-encon-limited_104828.html" TargetMode="External" Id="rId5" /><Relationship Type="http://schemas.openxmlformats.org/officeDocument/2006/relationships/hyperlink" Target="https://www.sebi.gov.in/sebi_data/attachdocs/sep-2026/1790767812069_1376.pdf" TargetMode="External" Id="rId6" /><Relationship Type="http://schemas.openxmlformats.org/officeDocument/2006/relationships/hyperlink" Target="https://www.sebi.gov.in/filings/public-issues/sep-2026/s-d-international-limited_104826.html" TargetMode="External" Id="rId7" /><Relationship Type="http://schemas.openxmlformats.org/officeDocument/2006/relationships/hyperlink" Target="https://www.sebi.gov.in/sebi_data/attachdocs/sep-2026/1790681405842_1375.pdf" TargetMode="External" Id="rId8" /><Relationship Type="http://schemas.openxmlformats.org/officeDocument/2006/relationships/hyperlink" Target="https://www.sebi.gov.in/filings/public-issues/sep-2026/ultravibrant-integrated-energy-limited_104809.html" TargetMode="External" Id="rId9" /><Relationship Type="http://schemas.openxmlformats.org/officeDocument/2006/relationships/hyperlink" Target="https://www.sebi.gov.in/sebi_data/attachdocs/sep-2026/1790743844411.pdf" TargetMode="External" Id="rId10" /><Relationship Type="http://schemas.openxmlformats.org/officeDocument/2006/relationships/hyperlink" Target="https://www.sebi.gov.in/filings/public-issues/sep-2026/iris-global-services-limited-drhp_104746.html" TargetMode="External" Id="rId11" /><Relationship Type="http://schemas.openxmlformats.org/officeDocument/2006/relationships/hyperlink" Target="https://www.sebi.gov.in/sebi_data/commondocs/sep-2026/Iris%20Global%20Services%20Limited%20-%20DAP_p.pdf" TargetMode="External" Id="rId12" /><Relationship Type="http://schemas.openxmlformats.org/officeDocument/2006/relationships/hyperlink" Target="https://www.sebi.gov.in/sebi_data/attachdocs/sep-2026/1790585630648.pdf" TargetMode="External" Id="rId13" /><Relationship Type="http://schemas.openxmlformats.org/officeDocument/2006/relationships/hyperlink" Target="https://www.sebi.gov.in/filings/public-issues/sep-2026/jsw-one-platforms-limited-drhp_104742.html" TargetMode="External" Id="rId14" /><Relationship Type="http://schemas.openxmlformats.org/officeDocument/2006/relationships/hyperlink" Target="https://www.sebi.gov.in/sebi_data/commondocs/sep-2026/JSW%20One%20Platforms%20Limited%20-%20Draft%20Abridged%20Prospectus_p.pdf" TargetMode="External" Id="rId15" /><Relationship Type="http://schemas.openxmlformats.org/officeDocument/2006/relationships/hyperlink" Target="https://www.chittorgarh.com/ipo/jsw-one-platform-ipo/3295/" TargetMode="External" Id="rId16" /><Relationship Type="http://schemas.openxmlformats.org/officeDocument/2006/relationships/hyperlink" Target="https://www.sebi.gov.in/sebi_data/attachdocs/sep-2026/1790320604407.pdf" TargetMode="External" Id="rId17" /><Relationship Type="http://schemas.openxmlformats.org/officeDocument/2006/relationships/hyperlink" Target="https://www.sebi.gov.in/filings/public-issues/sep-2026/anjali-labtech-limited-udrhp-i_104737.html" TargetMode="External" Id="rId18" /><Relationship Type="http://schemas.openxmlformats.org/officeDocument/2006/relationships/hyperlink" Target="https://www.sebi.gov.in/sebi_data/commondocs/sep-2026/Anjali%20Labtech%20Limited%20-%20DAP_p.pdf" TargetMode="External" Id="rId19" /><Relationship Type="http://schemas.openxmlformats.org/officeDocument/2006/relationships/hyperlink" Target="https://www.chittorgarh.com/ipo/anjali-labtech-ipo/2786/" TargetMode="External" Id="rId20" /><Relationship Type="http://schemas.openxmlformats.org/officeDocument/2006/relationships/hyperlink" Target="https://www.sebi.gov.in/sebi_data/attachdocs/sep-2026/1790076604769_1355.pdf" TargetMode="External" Id="rId21" /><Relationship Type="http://schemas.openxmlformats.org/officeDocument/2006/relationships/hyperlink" Target="https://www.sebi.gov.in/filings/public-issues/sep-2026/vardaan-biotech-limited-drhp_104652.html" TargetMode="External" Id="rId22" /><Relationship Type="http://schemas.openxmlformats.org/officeDocument/2006/relationships/hyperlink" Target="https://www.sebi.gov.in/sebi_data/commondocs/sep-2026/VARDAAN%20BIOTECH%20LIMITED_p.pdf" TargetMode="External" Id="rId23" /><Relationship Type="http://schemas.openxmlformats.org/officeDocument/2006/relationships/hyperlink" Target="https://www.barandbench.com/law-firms/dealstreet/legacy-law-offices-acts-on-vardaan-biotech-90-crore-ipo" TargetMode="External" Id="rId24" /><Relationship Type="http://schemas.openxmlformats.org/officeDocument/2006/relationships/hyperlink" Target="https://www.sebi.gov.in/sebi_data/attachdocs/sep-2026/1790058959002.pdf" TargetMode="External" Id="rId25" /><Relationship Type="http://schemas.openxmlformats.org/officeDocument/2006/relationships/hyperlink" Target="https://www.sebi.gov.in/filings/public-issues/sep-2026/hi-tech-flow-solutions-limited-drhp_104635.html" TargetMode="External" Id="rId26" /><Relationship Type="http://schemas.openxmlformats.org/officeDocument/2006/relationships/hyperlink" Target="https://www.sebi.gov.in/sebi_data/commondocs/sep-2026/HitechFlowSolutionsDAP_p.pdf" TargetMode="External" Id="rId27" /><Relationship Type="http://schemas.openxmlformats.org/officeDocument/2006/relationships/hyperlink" Target="https://www.sebi.gov.in/sebi_data/attachdocs/sep-2026/1789731006415_1354.pdf" TargetMode="External" Id="rId28" /><Relationship Type="http://schemas.openxmlformats.org/officeDocument/2006/relationships/hyperlink" Target="https://www.sebi.gov.in/filings/public-issues/sep-2026/anchor-offshore-services-limited-drhp_104580.html" TargetMode="External" Id="rId29" /><Relationship Type="http://schemas.openxmlformats.org/officeDocument/2006/relationships/hyperlink" Target="https://www.sebi.gov.in/sebi_data/commondocs/sep-2026/Anchor%20Offshore%20Services%20Limited-DA_p.pdf" TargetMode="External" Id="rId30" /><Relationship Type="http://schemas.openxmlformats.org/officeDocument/2006/relationships/hyperlink" Target="https://www.sebi.gov.in/sebi_data/attachdocs/sep-2026/1789720399852.pdf" TargetMode="External" Id="rId31" /><Relationship Type="http://schemas.openxmlformats.org/officeDocument/2006/relationships/hyperlink" Target="https://www.sebi.gov.in/filings/public-issues/sep-2026/madhur-iron-and-steel-india-limited-drhp_104575.html" TargetMode="External" Id="rId32" /><Relationship Type="http://schemas.openxmlformats.org/officeDocument/2006/relationships/hyperlink" Target="https://www.sebi.gov.in/sebi_data/commondocs/sep-2026/Madhur%20Iron%20And%20Steel%20India%20Limited%20-%20Draft%20AP_p.pdf" TargetMode="External" Id="rId33" /><Relationship Type="http://schemas.openxmlformats.org/officeDocument/2006/relationships/hyperlink" Target="https://www.chittorgarh.com/ipo/madhur-iron-and-steel-ipo/2855/" TargetMode="External" Id="rId34" /><Relationship Type="http://schemas.openxmlformats.org/officeDocument/2006/relationships/hyperlink" Target="https://www.sebi.gov.in/sebi_data/attachdocs/sep-2026/1789635115853.pdf" TargetMode="External" Id="rId35" /><Relationship Type="http://schemas.openxmlformats.org/officeDocument/2006/relationships/hyperlink" Target="https://www.sebi.gov.in/filings/public-issues/sep-2026/iberia-pharmaceuticals-india-limited-drhp_104542.html" TargetMode="External" Id="rId36" /><Relationship Type="http://schemas.openxmlformats.org/officeDocument/2006/relationships/hyperlink" Target="https://www.sebi.gov.in/sebi_data/commondocs/sep-2026/IBERIA%20PHARMACEUTICALS%20INDIA%20LIMITED_p.pdf" TargetMode="External" Id="rId37" /><Relationship Type="http://schemas.openxmlformats.org/officeDocument/2006/relationships/hyperlink" Target="https://www.sebi.gov.in/sebi_data/attachdocs/sep-2026/1789624666577.pdf" TargetMode="External" Id="rId38" /><Relationship Type="http://schemas.openxmlformats.org/officeDocument/2006/relationships/hyperlink" Target="https://www.sebi.gov.in/filings/public-issues/sep-2026/rayzon-solar-limited-addendum-to-the-drhp_104532.html" TargetMode="External" Id="rId39" /><Relationship Type="http://schemas.openxmlformats.org/officeDocument/2006/relationships/hyperlink" Target="https://www.chittorgarh.com/ipo/rayzon-solar-ipo/2490/" TargetMode="External" Id="rId40" /><Relationship Type="http://schemas.openxmlformats.org/officeDocument/2006/relationships/hyperlink" Target="https://www.sebi.gov.in/sebi_data/attachdocs/sep-2026/1789549247423.pdf" TargetMode="External" Id="rId41" /><Relationship Type="http://schemas.openxmlformats.org/officeDocument/2006/relationships/hyperlink" Target="https://www.sebi.gov.in/filings/public-issues/sep-2026/sterlite-electric-limited-second-addendum-to-drhp_104506.html" TargetMode="External" Id="rId42" /><Relationship Type="http://schemas.openxmlformats.org/officeDocument/2006/relationships/hyperlink" Target="https://www.chittorgarh.com/ipo/sterlite-electric-ipo/2679/" TargetMode="External" Id="rId43" /><Relationship Type="http://schemas.openxmlformats.org/officeDocument/2006/relationships/hyperlink" Target="https://www.sebi.gov.in/sebi_data/attachdocs/sep-2026/1789531323564.pdf" TargetMode="External" Id="rId44" /><Relationship Type="http://schemas.openxmlformats.org/officeDocument/2006/relationships/hyperlink" Target="https://www.sebi.gov.in/filings/public-issues/sep-2026/maharashtra-oil-extractions-limited-drhp_104503.html" TargetMode="External" Id="rId45" /><Relationship Type="http://schemas.openxmlformats.org/officeDocument/2006/relationships/hyperlink" Target="https://www.sebi.gov.in/sebi_data/commondocs/sep-2026/Maharashtra%20Oil%20Extractions%20Limited%20-%20DAP_p.pdf" TargetMode="External" Id="rId46" /><Relationship Type="http://schemas.openxmlformats.org/officeDocument/2006/relationships/hyperlink" Target="https://www.sebi.gov.in/sebi_data/attachdocs/sep-2026/1789448460012.pdf" TargetMode="External" Id="rId47" /><Relationship Type="http://schemas.openxmlformats.org/officeDocument/2006/relationships/hyperlink" Target="https://www.sebi.gov.in/filings/public-issues/sep-2026/german-green-steel-and-power-limited-addendum-ii-to-drhp_104480.html" TargetMode="External" Id="rId48" /><Relationship Type="http://schemas.openxmlformats.org/officeDocument/2006/relationships/hyperlink" Target="https://www.chittorgarh.com/ipo/german-green-steel-and-power-ipo/2497/" TargetMode="External" Id="rId49" /><Relationship Type="http://schemas.openxmlformats.org/officeDocument/2006/relationships/hyperlink" Target="https://www.sebi.gov.in/sebi_data/attachdocs/sep-2026/1789111806400_1350.pdf" TargetMode="External" Id="rId50" /><Relationship Type="http://schemas.openxmlformats.org/officeDocument/2006/relationships/hyperlink" Target="https://www.sebi.gov.in/filings/public-issues/sep-2026/m-k-c-agro-fresh-limited-drhp_104430.html" TargetMode="External" Id="rId51" /><Relationship Type="http://schemas.openxmlformats.org/officeDocument/2006/relationships/hyperlink" Target="https://www.sebi.gov.in/sebi_data/commondocs/sep-2026/M%20K%20C%20AGRO%20FRESH%20LIMITED%20-%20DAP_p.pdf" TargetMode="External" Id="rId52" /><Relationship Type="http://schemas.openxmlformats.org/officeDocument/2006/relationships/hyperlink" Target="https://www.sebi.gov.in/sebi_data/attachdocs/sep-2026/1789104761658.pdf" TargetMode="External" Id="rId53" /><Relationship Type="http://schemas.openxmlformats.org/officeDocument/2006/relationships/hyperlink" Target="https://www.sebi.gov.in/filings/public-issues/sep-2026/nopaperforms-solutions-limited-udrhp-1_104427.html" TargetMode="External" Id="rId54" /><Relationship Type="http://schemas.openxmlformats.org/officeDocument/2006/relationships/hyperlink" Target="https://www.sebi.gov.in/sebi_data/commondocs/sep-2026/NOPAPERFORMS%20SOLUTIONS%20LIMITED%20-%20DAP_p.pdf" TargetMode="External" Id="rId55" /><Relationship Type="http://schemas.openxmlformats.org/officeDocument/2006/relationships/hyperlink" Target="https://www.chittorgarh.com/ipo/nopaperforms-solutions-ipo/2796/" TargetMode="External" Id="rId56" /><Relationship Type="http://schemas.openxmlformats.org/officeDocument/2006/relationships/hyperlink" Target="https://www.sebi.gov.in/sebi_data/attachdocs/sep-2026/1789099604614.pdf" TargetMode="External" Id="rId57" /><Relationship Type="http://schemas.openxmlformats.org/officeDocument/2006/relationships/hyperlink" Target="https://www.sebi.gov.in/filings/public-issues/sep-2026/runwal-enterprises-limited-addendum-to-drhp_104424.html" TargetMode="External" Id="rId58" /><Relationship Type="http://schemas.openxmlformats.org/officeDocument/2006/relationships/hyperlink" Target="https://www.chittorgarh.com/ipo/runwal-enterprises-ipo/2298/" TargetMode="External" Id="rId59" /><Relationship Type="http://schemas.openxmlformats.org/officeDocument/2006/relationships/hyperlink" Target="https://www.sebi.gov.in/sebi_data/attachdocs/sep-2026/1789618323211.pdf" TargetMode="External" Id="rId60" /><Relationship Type="http://schemas.openxmlformats.org/officeDocument/2006/relationships/hyperlink" Target="https://www.sebi.gov.in/filings/public-issues/sep-2026/incred-holdings-limited-corrigendum-to-udrhp_104399.html" TargetMode="External" Id="rId61" /><Relationship Type="http://schemas.openxmlformats.org/officeDocument/2006/relationships/hyperlink" Target="https://www.chittorgarh.com/ipo/incred-holdings-ipo/2797/" TargetMode="External" Id="rId62" /><Relationship Type="http://schemas.openxmlformats.org/officeDocument/2006/relationships/hyperlink" Target="https://www.sebi.gov.in/sebi_data/attachdocs/sep-2026/1788937260208.PDF" TargetMode="External" Id="rId63" /><Relationship Type="http://schemas.openxmlformats.org/officeDocument/2006/relationships/hyperlink" Target="https://www.sebi.gov.in/filings/public-issues/sep-2026/torrent-gas-limited-udrhp-i_104350.html" TargetMode="External" Id="rId64" /><Relationship Type="http://schemas.openxmlformats.org/officeDocument/2006/relationships/hyperlink" Target="https://www.sebi.gov.in/sebi_data/commondocs/sep-2026/Torrent%20Gas%20Limited%20-%20DAP_p.pdf" TargetMode="External" Id="rId65" /><Relationship Type="http://schemas.openxmlformats.org/officeDocument/2006/relationships/hyperlink" Target="https://ipowatch.in/torrent-gas-ipo/" TargetMode="External" Id="rId66" /><Relationship Type="http://schemas.openxmlformats.org/officeDocument/2006/relationships/hyperlink" Target="https://www.sebi.gov.in/sebi_data/attachdocs/sep-2026/1788844179347.pdf" TargetMode="External" Id="rId67" /><Relationship Type="http://schemas.openxmlformats.org/officeDocument/2006/relationships/hyperlink" Target="https://www.sebi.gov.in/filings/public-issues/sep-2026/hero-motors-limited-corrigendum-to-addendum-_104330.html" TargetMode="External" Id="rId68" /><Relationship Type="http://schemas.openxmlformats.org/officeDocument/2006/relationships/hyperlink" Target="https://www.sebi.gov.in/sebi_data/attachdocs/sep-2026/1788761365481.pdf" TargetMode="External" Id="rId69" /><Relationship Type="http://schemas.openxmlformats.org/officeDocument/2006/relationships/hyperlink" Target="https://www.sebi.gov.in/filings/public-issues/sep-2026/mahanadi-coalfields-ltd-drhp_104290.html" TargetMode="External" Id="rId70" /><Relationship Type="http://schemas.openxmlformats.org/officeDocument/2006/relationships/hyperlink" Target="https://www.sebi.gov.in/sebi_data/commondocs/sep-2026/Mahanadi%20Coalfields%20Limited%20_Draft%20Abridged%20Prospectus_p.pdf" TargetMode="External" Id="rId71" /><Relationship Type="http://schemas.openxmlformats.org/officeDocument/2006/relationships/hyperlink" Target="https://www.chittorgarh.com/ipo/mahanadi-coalfields-ipo/3247/" TargetMode="External" Id="rId72" /><Relationship Type="http://schemas.openxmlformats.org/officeDocument/2006/relationships/hyperlink" Target="https://www.sebi.gov.in/sebi_data/attachdocs/sep-2026/1788516638656.pdf" TargetMode="External" Id="rId73" /><Relationship Type="http://schemas.openxmlformats.org/officeDocument/2006/relationships/hyperlink" Target="https://www.sebi.gov.in/filings/public-issues/sep-2026/gaurik-fashions-limited-addendum-to-drhp_104276.html" TargetMode="External" Id="rId74" /><Relationship Type="http://schemas.openxmlformats.org/officeDocument/2006/relationships/hyperlink" Target="https://www.chittorgarh.com/ipo/gaurik-fashions-ipo/3098/" TargetMode="External" Id="rId75" /><Relationship Type="http://schemas.openxmlformats.org/officeDocument/2006/relationships/hyperlink" Target="https://www.sebi.gov.in/sebi_data/attachdocs/sep-2026/1788507005445_1348.pdf" TargetMode="External" Id="rId76" /><Relationship Type="http://schemas.openxmlformats.org/officeDocument/2006/relationships/hyperlink" Target="https://www.sebi.gov.in/filings/public-issues/sep-2026/india-exposition-mart-limited_104273.html" TargetMode="External" Id="rId77" /><Relationship Type="http://schemas.openxmlformats.org/officeDocument/2006/relationships/hyperlink" Target="https://www.chittorgarh.com/ipo/india-exposition-mart-ipo/3225/" TargetMode="External" Id="rId78" /><Relationship Type="http://schemas.openxmlformats.org/officeDocument/2006/relationships/hyperlink" Target="https://www.sebi.gov.in/sebi_data/attachdocs/sep-2026/1788262207109_1345.pdf" TargetMode="External" Id="rId79" /><Relationship Type="http://schemas.openxmlformats.org/officeDocument/2006/relationships/hyperlink" Target="https://www.sebi.gov.in/filings/public-issues/sep-2026/kataria-dhulchand-pannalal-jewellers-limited-drhp_104178.html" TargetMode="External" Id="rId80" /><Relationship Type="http://schemas.openxmlformats.org/officeDocument/2006/relationships/hyperlink" Target="https://www.sebi.gov.in/sebi_data/commondocs/sep-2026/Kataria%20Dhulchand%20Pannalal%20Jewellers%20Ltd%20-%20DAP_p.pdf" TargetMode="External" Id="rId81" /><Relationship Type="http://schemas.openxmlformats.org/officeDocument/2006/relationships/hyperlink" Target="https://www.sebi.gov.in/sebi_data/attachdocs/sep-2026/1788245484072.pdf" TargetMode="External" Id="rId82" /><Relationship Type="http://schemas.openxmlformats.org/officeDocument/2006/relationships/hyperlink" Target="https://www.sebi.gov.in/filings/public-issues/sep-2026/sembcorp-green-infra-limited-drhp_104162.html" TargetMode="External" Id="rId83" /><Relationship Type="http://schemas.openxmlformats.org/officeDocument/2006/relationships/hyperlink" Target="https://www.sebi.gov.in/sebi_data/commondocs/sep-2026/Sembcorp%20Green%20Infra%20Limited%20-%20Draft%20Abridged%20Prospectus_p.pdf" TargetMode="External" Id="rId84" /><Relationship Type="http://schemas.openxmlformats.org/officeDocument/2006/relationships/hyperlink" Target="https://www.chittorgarh.com/ipo/sembcorp-green-infra-ipo/3240/" TargetMode="External" Id="rId85" /><Relationship Type="http://schemas.openxmlformats.org/officeDocument/2006/relationships/hyperlink" Target="https://www.sebi.gov.in/sebi_data/attachdocs/sep-2026/1788238496589.pdf" TargetMode="External" Id="rId86" /><Relationship Type="http://schemas.openxmlformats.org/officeDocument/2006/relationships/hyperlink" Target="https://www.sebi.gov.in/filings/public-issues/sep-2026/aragen-life-sciences-limited-drhp_104157.html" TargetMode="External" Id="rId87" /><Relationship Type="http://schemas.openxmlformats.org/officeDocument/2006/relationships/hyperlink" Target="https://www.sebi.gov.in/sebi_data/commondocs/sep-2026/ARAGEN%20LIFE%20SCIENCES%20LIMITED%20-%20DAP_p.pdf" TargetMode="External" Id="rId88" /><Relationship Type="http://schemas.openxmlformats.org/officeDocument/2006/relationships/hyperlink" Target="https://ipowatch.in/aragen-life-sciences-ipo/" TargetMode="External" Id="rId89" /><Relationship Type="http://schemas.openxmlformats.org/officeDocument/2006/relationships/hyperlink" Target="https://www.sebi.gov.in/sebi_data/attachdocs/aug-2026/1788154946517.PDF" TargetMode="External" Id="rId90" /><Relationship Type="http://schemas.openxmlformats.org/officeDocument/2006/relationships/hyperlink" Target="https://www.sebi.gov.in/filings/public-issues/aug-2026/hero-motors-limited-addendum-to-drhp_104121.html" TargetMode="External" Id="rId91" /><Relationship Type="http://schemas.openxmlformats.org/officeDocument/2006/relationships/hyperlink" Target="https://www.sebi.gov.in/sebi_data/attachdocs/aug-2026/1787809930622.pdf" TargetMode="External" Id="rId92" /><Relationship Type="http://schemas.openxmlformats.org/officeDocument/2006/relationships/hyperlink" Target="https://www.sebi.gov.in/filings/public-issues/aug-2026/atomberg-technologies-limited-drhp_104037.html" TargetMode="External" Id="rId93" /><Relationship Type="http://schemas.openxmlformats.org/officeDocument/2006/relationships/hyperlink" Target="https://www.sebi.gov.in/sebi_data/commondocs/aug-2026/ATOMBERG%20TECHNOLOGIES%20LIMITED%20-%20AP_p.pdf" TargetMode="External" Id="rId94" /><Relationship Type="http://schemas.openxmlformats.org/officeDocument/2006/relationships/hyperlink" Target="https://www.chittorgarh.com/ipo/atomberg-technologies-ipo/3227/" TargetMode="External" Id="rId95" /><Relationship Type="http://schemas.openxmlformats.org/officeDocument/2006/relationships/hyperlink" Target="https://www.sebi.gov.in/sebi_data/attachdocs/aug-2026/1787804373286.pdf" TargetMode="External" Id="rId96" /><Relationship Type="http://schemas.openxmlformats.org/officeDocument/2006/relationships/hyperlink" Target="https://www.sebi.gov.in/filings/public-issues/aug-2026/karamtara-engineering-limited-addendum-to-drhp_104033.html" TargetMode="External" Id="rId97" /><Relationship Type="http://schemas.openxmlformats.org/officeDocument/2006/relationships/hyperlink" Target="https://www.sebi.gov.in/sebi_data/attachdocs/sep-2026/1788764099334.pdf" TargetMode="External" Id="rId98" /><Relationship Type="http://schemas.openxmlformats.org/officeDocument/2006/relationships/hyperlink" Target="https://www.sebi.gov.in/filings/public-issues/aug-2026/armee-infotech-limited-addendum-ii-to-drhp_104294.html" TargetMode="External" Id="rId99" /><Relationship Type="http://schemas.openxmlformats.org/officeDocument/2006/relationships/hyperlink" Target="https://www.sebi.gov.in/sebi_data/attachdocs/aug-2026/1787804677669.pdf" TargetMode="External" Id="rId100" /><Relationship Type="http://schemas.openxmlformats.org/officeDocument/2006/relationships/hyperlink" Target="https://www.sebi.gov.in/filings/public-issues/aug-2026/avaada-electro-limited-udrhp_104034.html" TargetMode="External" Id="rId101" /><Relationship Type="http://schemas.openxmlformats.org/officeDocument/2006/relationships/hyperlink" Target="https://www.sebi.gov.in/sebi_data/commondocs/aug-2026/Avaada%20Electro%20Limited%20-%20Draft%20Abridged%20Prospectus_p.pdf" TargetMode="External" Id="rId102" /><Relationship Type="http://schemas.openxmlformats.org/officeDocument/2006/relationships/hyperlink" Target="https://www.chittorgarh.com/ipo/avaada-electro-ipo/2790/" TargetMode="External" Id="rId103" /><Relationship Type="http://schemas.openxmlformats.org/officeDocument/2006/relationships/hyperlink" Target="https://www.sebi.gov.in/sebi_data/attachdocs/aug-2026/1787653298920.pdf" TargetMode="External" Id="rId104" /><Relationship Type="http://schemas.openxmlformats.org/officeDocument/2006/relationships/hyperlink" Target="https://www.sebi.gov.in/filings/public-issues/aug-2026/m-p-steel-india-limited-drhp_103990.html" TargetMode="External" Id="rId105" /><Relationship Type="http://schemas.openxmlformats.org/officeDocument/2006/relationships/hyperlink" Target="https://www.sebi.gov.in/sebi_data/commondocs/aug-2026/MPSteel-Draft%20Abridged%20Prospectus_p.pdf" TargetMode="External" Id="rId106" /><Relationship Type="http://schemas.openxmlformats.org/officeDocument/2006/relationships/hyperlink" Target="https://www.chittorgarh.com/ipo/m-p-steel-ipo/3229/" TargetMode="External" Id="rId107" /><Relationship Type="http://schemas.openxmlformats.org/officeDocument/2006/relationships/hyperlink" Target="https://www.sebi.gov.in/sebi_data/attachdocs/aug-2026/1787650339639.pdf" TargetMode="External" Id="rId108" /><Relationship Type="http://schemas.openxmlformats.org/officeDocument/2006/relationships/hyperlink" Target="https://www.sebi.gov.in/filings/public-issues/aug-2026/nobel-hygiene-limited-drhp_103938.html" TargetMode="External" Id="rId109" /><Relationship Type="http://schemas.openxmlformats.org/officeDocument/2006/relationships/hyperlink" Target="https://www.sebi.gov.in/sebi_data/commondocs/aug-2026/Nobel%20Hygiene%20Limited%20-%20Draft%20Abridged%20Prospectus_p.pdf" TargetMode="External" Id="rId110" /><Relationship Type="http://schemas.openxmlformats.org/officeDocument/2006/relationships/hyperlink" Target="https://www.kotakneo.com/news/ipos/nobel-hygiene-files-drhp-for-rs-150-crore-ipo-after-profit-jumps-nearly-100-fold-in-fy26/" TargetMode="External" Id="rId111" /><Relationship Type="http://schemas.openxmlformats.org/officeDocument/2006/relationships/hyperlink" Target="https://www.sebi.gov.in/sebi_data/attachdocs/aug-2026/1787637173016.pdf" TargetMode="External" Id="rId112" /><Relationship Type="http://schemas.openxmlformats.org/officeDocument/2006/relationships/hyperlink" Target="https://www.sebi.gov.in/filings/public-issues/aug-2026/jay-jagdamba-limited-udrhp_103937.html" TargetMode="External" Id="rId113" /><Relationship Type="http://schemas.openxmlformats.org/officeDocument/2006/relationships/hyperlink" Target="https://www.sebi.gov.in/sebi_data/commondocs/aug-2026/Jay%20Jagdamba%20Limited%20Draft%20Abridged%20Prospectus_p.pdf" TargetMode="External" Id="rId114" /><Relationship Type="http://schemas.openxmlformats.org/officeDocument/2006/relationships/hyperlink" Target="https://www.chittorgarh.com/ipo/jay-jagdamba-ipo/2528/" TargetMode="External" Id="rId115" /><Relationship Type="http://schemas.openxmlformats.org/officeDocument/2006/relationships/hyperlink" Target="https://www.sebi.gov.in/sebi_data/attachdocs/aug-2026/1787564691044.pdf" TargetMode="External" Id="rId116" /><Relationship Type="http://schemas.openxmlformats.org/officeDocument/2006/relationships/hyperlink" Target="https://www.sebi.gov.in/filings/public-issues/aug-2026/t-c-terrytex-limited-addendum-cum-corrigendum-to-drhp_103904.html" TargetMode="External" Id="rId117" /><Relationship Type="http://schemas.openxmlformats.org/officeDocument/2006/relationships/hyperlink" Target="https://www.chittorgarh.com/ipo/tc-terrytex-ipo/2994/" TargetMode="External" Id="rId118" /><Relationship Type="http://schemas.openxmlformats.org/officeDocument/2006/relationships/hyperlink" Target="https://www.sebi.gov.in/sebi_data/attachdocs/aug-2026/1787803545833.pdf" TargetMode="External" Id="rId119" /><Relationship Type="http://schemas.openxmlformats.org/officeDocument/2006/relationships/hyperlink" Target="https://www.sebi.gov.in/filings/public-issues/aug-2026/gemini-edibles-and-fats-india-limited-drhp_104032.html" TargetMode="External" Id="rId120" /><Relationship Type="http://schemas.openxmlformats.org/officeDocument/2006/relationships/hyperlink" Target="https://www.sebi.gov.in/sebi_data/commondocs/aug-2026/Gemini%20Edibles%20&amp;%20Fats%20India%20Ltd.%20-%20Draft%20Abridged%20Prospectus_p.pdf" TargetMode="External" Id="rId121" /><Relationship Type="http://schemas.openxmlformats.org/officeDocument/2006/relationships/hyperlink" Target="https://www.chittorgarh.com/ipo/gemini-edibles-fats-india-ipo/3238/" TargetMode="External" Id="rId122" /><Relationship Type="http://schemas.openxmlformats.org/officeDocument/2006/relationships/hyperlink" Target="https://www.sebi.gov.in/sebi_data/attachdocs/aug-2026/1787311805039_1343.pdf" TargetMode="External" Id="rId123" /><Relationship Type="http://schemas.openxmlformats.org/officeDocument/2006/relationships/hyperlink" Target="https://www.sebi.gov.in/filings/public-issues/aug-2026/avtar-steel-limited-drhp_103867.html" TargetMode="External" Id="rId124" /><Relationship Type="http://schemas.openxmlformats.org/officeDocument/2006/relationships/hyperlink" Target="https://www.sebi.gov.in/sebi_data/commondocs/aug-2026/Avtar%20Steel%20Limited%20-%20Draft%20Abridged%20Prospectus_p.pdf" TargetMode="External" Id="rId125" /><Relationship Type="http://schemas.openxmlformats.org/officeDocument/2006/relationships/hyperlink" Target="https://www.businesstoday.in/markets/ipo-corner/story/avtar-steel-files-draft-ipo-papers-with-sebi-to-raise-rs-585-crore-through-fresh-issue-549604-2026-08-17" TargetMode="External" Id="rId126" /><Relationship Type="http://schemas.openxmlformats.org/officeDocument/2006/relationships/hyperlink" Target="https://www.sebi.gov.in/sebi_data/attachdocs/aug-2026/1787122256209.pdf" TargetMode="External" Id="rId127" /><Relationship Type="http://schemas.openxmlformats.org/officeDocument/2006/relationships/hyperlink" Target="https://www.sebi.gov.in/filings/public-issues/aug-2026/lumino-industries-limited-corrigendum-to-drhp_103755.html" TargetMode="External" Id="rId128" /><Relationship Type="http://schemas.openxmlformats.org/officeDocument/2006/relationships/hyperlink" Target="https://www.sebi.gov.in/sebi_data/attachdocs/aug-2026/1787037217420.pdf" TargetMode="External" Id="rId129" /><Relationship Type="http://schemas.openxmlformats.org/officeDocument/2006/relationships/hyperlink" Target="https://www.sebi.gov.in/filings/public-issues/aug-2026/tablespace-technologies-limited-drhp_103710.html" TargetMode="External" Id="rId130" /><Relationship Type="http://schemas.openxmlformats.org/officeDocument/2006/relationships/hyperlink" Target="https://www.sebi.gov.in/sebi_data/commondocs/aug-2026/TABLESPACE%20TECHNOLOGIES%20LIMITED%20-%20DAP_p.pdf" TargetMode="External" Id="rId131" /><Relationship Type="http://schemas.openxmlformats.org/officeDocument/2006/relationships/hyperlink" Target="https://www.chittorgarh.com/ipo/tablespace-technologies-ipo/3218/" TargetMode="External" Id="rId132" /><Relationship Type="http://schemas.openxmlformats.org/officeDocument/2006/relationships/hyperlink" Target="https://www.sebi.gov.in/sebi_data/attachdocs/aug-2026/1787135219223.pdf" TargetMode="External" Id="rId133" /><Relationship Type="http://schemas.openxmlformats.org/officeDocument/2006/relationships/hyperlink" Target="https://www.sebi.gov.in/filings/public-issues/aug-2026/svatantra-microfin-limited-drhp_103765.html" TargetMode="External" Id="rId134" /><Relationship Type="http://schemas.openxmlformats.org/officeDocument/2006/relationships/hyperlink" Target="https://www.sebi.gov.in/sebi_data/commondocs/aug-2026/Svatantra%20Microfin%20Limited%20%20-%20DAP_p.pdf" TargetMode="External" Id="rId135" /><Relationship Type="http://schemas.openxmlformats.org/officeDocument/2006/relationships/hyperlink" Target="https://www.chittorgarh.com/ipo/svatantra-microfin-ipo/3220/" TargetMode="External" Id="rId136" /><Relationship Type="http://schemas.openxmlformats.org/officeDocument/2006/relationships/hyperlink" Target="https://www.sebi.gov.in/sebi_data/attachdocs/aug-2026/1787032236785.pdf" TargetMode="External" Id="rId137" /><Relationship Type="http://schemas.openxmlformats.org/officeDocument/2006/relationships/hyperlink" Target="https://www.sebi.gov.in/filings/public-issues/aug-2026/muthoot-fincorp-limited-drhp_103697.html" TargetMode="External" Id="rId138" /><Relationship Type="http://schemas.openxmlformats.org/officeDocument/2006/relationships/hyperlink" Target="https://www.sebi.gov.in/sebi_data/commondocs/aug-2026/Muthoot%20Fincorp%20DAP_p.pdf" TargetMode="External" Id="rId139" /><Relationship Type="http://schemas.openxmlformats.org/officeDocument/2006/relationships/hyperlink" Target="https://www.chittorgarh.com/ipo/muthoot-fincorp-ipo/3219/" TargetMode="External" Id="rId140" /><Relationship Type="http://schemas.openxmlformats.org/officeDocument/2006/relationships/hyperlink" Target="https://www.sebi.gov.in/sebi_data/attachdocs/aug-2026/1787549595096.pdf" TargetMode="External" Id="rId141" /><Relationship Type="http://schemas.openxmlformats.org/officeDocument/2006/relationships/hyperlink" Target="https://www.sebi.gov.in/filings/public-issues/aug-2026/german-green-steel-and-power-ltd-addendum-to-drhp_103895.html" TargetMode="External" Id="rId142" /><Relationship Type="http://schemas.openxmlformats.org/officeDocument/2006/relationships/hyperlink" Target="https://www.chittorgarh.com/ipo/german-green-steel-and-power-ipo/2497/" TargetMode="External" Id="rId143" /><Relationship Type="http://schemas.openxmlformats.org/officeDocument/2006/relationships/hyperlink" Target="https://www.sebi.gov.in/sebi_data/attachdocs/aug-2026/1786705255144.pdf" TargetMode="External" Id="rId144" /><Relationship Type="http://schemas.openxmlformats.org/officeDocument/2006/relationships/hyperlink" Target="https://www.sebi.gov.in/filings/public-issues/aug-2026/zetwerk-manufacturing-businesses-limited-udrhp_103643.html" TargetMode="External" Id="rId145" /><Relationship Type="http://schemas.openxmlformats.org/officeDocument/2006/relationships/hyperlink" Target="https://www.sebi.gov.in/sebi_data/commondocs/aug-2026/Zetwerk%20Manufacturing%20Businesses%20Limited%20-%20DAP_p.pdf" TargetMode="External" Id="rId146" /><Relationship Type="http://schemas.openxmlformats.org/officeDocument/2006/relationships/hyperlink" Target="https://www.chittorgarh.com/ipo/zetwerk-ipo/3091/" TargetMode="External" Id="rId147" /><Relationship Type="http://schemas.openxmlformats.org/officeDocument/2006/relationships/hyperlink" Target="https://www.sebi.gov.in/sebi_data/attachdocs/aug-2026/1786692605529_1339.pdf" TargetMode="External" Id="rId148" /><Relationship Type="http://schemas.openxmlformats.org/officeDocument/2006/relationships/hyperlink" Target="https://www.sebi.gov.in/filings/public-issues/aug-2026/tonbo-imaging-india-limited-drhp_103625.html" TargetMode="External" Id="rId149" /><Relationship Type="http://schemas.openxmlformats.org/officeDocument/2006/relationships/hyperlink" Target="https://www.sebi.gov.in/sebi_data/commondocs/aug-2026/Tonbo%20Imaging%20India%20Limited%20-%20DAP_p.pdf" TargetMode="External" Id="rId150" /><Relationship Type="http://schemas.openxmlformats.org/officeDocument/2006/relationships/hyperlink" Target="https://www.chittorgarh.com/ipo/tonbo-imaging-india-ipo/3215/" TargetMode="External" Id="rId151" /><Relationship Type="http://schemas.openxmlformats.org/officeDocument/2006/relationships/hyperlink" Target="https://www.sebi.gov.in/sebi_data/attachdocs/aug-2026/1786688657210.pdf" TargetMode="External" Id="rId152" /><Relationship Type="http://schemas.openxmlformats.org/officeDocument/2006/relationships/hyperlink" Target="https://www.sebi.gov.in/filings/public-issues/aug-2026/sillverton-industries-limited-addendum-ii_103621.html" TargetMode="External" Id="rId153" /><Relationship Type="http://schemas.openxmlformats.org/officeDocument/2006/relationships/hyperlink" Target="https://www.chittorgarh.com/ipo/sillverton-industries-ipo/2499/" TargetMode="External" Id="rId154" /><Relationship Type="http://schemas.openxmlformats.org/officeDocument/2006/relationships/hyperlink" Target="https://www.sebi.gov.in/sebi_data/attachdocs/aug-2026/1786684492213.pdf" TargetMode="External" Id="rId155" /><Relationship Type="http://schemas.openxmlformats.org/officeDocument/2006/relationships/hyperlink" Target="https://www.sebi.gov.in/filings/public-issues/aug-2026/ags-health-limited-udrhp_103617.html" TargetMode="External" Id="rId156" /><Relationship Type="http://schemas.openxmlformats.org/officeDocument/2006/relationships/hyperlink" Target="https://www.sebi.gov.in/sebi_data/commondocs/aug-2026/AGS%20Health%20Limited%20-%20AP_p.pdf" TargetMode="External" Id="rId157" /><Relationship Type="http://schemas.openxmlformats.org/officeDocument/2006/relationships/hyperlink" Target="https://www.chittorgarh.com/ipo/ags-health-ipo/3093/" TargetMode="External" Id="rId158" /><Relationship Type="http://schemas.openxmlformats.org/officeDocument/2006/relationships/hyperlink" Target="https://www.sebi.gov.in/sebi_data/attachdocs/sep-2026/1789018300594.pdf" TargetMode="External" Id="rId159" /><Relationship Type="http://schemas.openxmlformats.org/officeDocument/2006/relationships/hyperlink" Target="https://www.sebi.gov.in/filings/public-issues/aug-2026/eaaa-india-alternatives-limited_104397.html" TargetMode="External" Id="rId160" /><Relationship Type="http://schemas.openxmlformats.org/officeDocument/2006/relationships/hyperlink" Target="https://www.chittorgarh.com/ipo/eaaa-india-alternatives-ipo/2061/" TargetMode="External" Id="rId161" /><Relationship Type="http://schemas.openxmlformats.org/officeDocument/2006/relationships/hyperlink" Target="https://www.sebi.gov.in/sebi_data/attachdocs/aug-2026/1786519804294_1338.pdf" TargetMode="External" Id="rId162" /><Relationship Type="http://schemas.openxmlformats.org/officeDocument/2006/relationships/hyperlink" Target="https://www.sebi.gov.in/filings/public-issues/aug-2026/j-pan-tubular-components-limited-drhp_103499.html" TargetMode="External" Id="rId163" /><Relationship Type="http://schemas.openxmlformats.org/officeDocument/2006/relationships/hyperlink" Target="https://www.sebi.gov.in/sebi_data/commondocs/aug-2026/J%20PAN%20TUBULAR%20COMPONENTS%20LIMITED%20-%20DAP_p.pdf" TargetMode="External" Id="rId164" /><Relationship Type="http://schemas.openxmlformats.org/officeDocument/2006/relationships/hyperlink" Target="https://www.chittorgarh.com/ipo/j-pan-tubular-components-ipo/3191/" TargetMode="External" Id="rId165" /><Relationship Type="http://schemas.openxmlformats.org/officeDocument/2006/relationships/hyperlink" Target="https://www.sebi.gov.in/sebi_data/attachdocs/aug-2026/1786439399725.pdf" TargetMode="External" Id="rId166" /><Relationship Type="http://schemas.openxmlformats.org/officeDocument/2006/relationships/hyperlink" Target="https://www.sebi.gov.in/filings/public-issues/aug-2026/beauty-garage-limited-drhp_103479.html" TargetMode="External" Id="rId167" /><Relationship Type="http://schemas.openxmlformats.org/officeDocument/2006/relationships/hyperlink" Target="https://www.sebi.gov.in/sebi_data/commondocs/aug-2026/BEAUTY%20GARAGE%20LIMITED%20-%20AP_p.pdf" TargetMode="External" Id="rId168" /><Relationship Type="http://schemas.openxmlformats.org/officeDocument/2006/relationships/hyperlink" Target="https://www.chittorgarh.com/ipo/beauty-garage-ipo/3208/" TargetMode="External" Id="rId169" /><Relationship Type="http://schemas.openxmlformats.org/officeDocument/2006/relationships/hyperlink" Target="https://www.sebi.gov.in/sebi_data/attachdocs/aug-2026/1786357330303.pdf" TargetMode="External" Id="rId170" /><Relationship Type="http://schemas.openxmlformats.org/officeDocument/2006/relationships/hyperlink" Target="https://www.sebi.gov.in/filings/public-issues/aug-2026/arjun-jewellers-limited-drhp_103462.html" TargetMode="External" Id="rId171" /><Relationship Type="http://schemas.openxmlformats.org/officeDocument/2006/relationships/hyperlink" Target="https://www.sebi.gov.in/sebi_data/commondocs/aug-2026/Arjun%20Jewellers%20Limited%20-%20DAP_p.pdf" TargetMode="External" Id="rId172" /><Relationship Type="http://schemas.openxmlformats.org/officeDocument/2006/relationships/hyperlink" Target="https://www.chittorgarh.com/ipo/arjun-jewellers-ipo/2741/" TargetMode="External" Id="rId173" /><Relationship Type="http://schemas.openxmlformats.org/officeDocument/2006/relationships/hyperlink" Target="https://www.sebi.gov.in/sebi_data/attachdocs/aug-2026/1785994501228.pdf" TargetMode="External" Id="rId174" /><Relationship Type="http://schemas.openxmlformats.org/officeDocument/2006/relationships/hyperlink" Target="https://www.sebi.gov.in/filings/public-issues/aug-2026/encube-ethicals-limited-drhp_103383.html" TargetMode="External" Id="rId175" /><Relationship Type="http://schemas.openxmlformats.org/officeDocument/2006/relationships/hyperlink" Target="https://www.sebi.gov.in/sebi_data/commondocs/aug-2026/Encube%20Ethicals%20Limited%20-%20AP_p.pdf" TargetMode="External" Id="rId176" /><Relationship Type="http://schemas.openxmlformats.org/officeDocument/2006/relationships/hyperlink" Target="https://www.chittorgarh.com/ipo/encube-ethicals-ipo/3211/" TargetMode="External" Id="rId177" /><Relationship Type="http://schemas.openxmlformats.org/officeDocument/2006/relationships/hyperlink" Target="https://www.sebi.gov.in/sebi_data/attachdocs/aug-2026/1785915007745_1334.pdf" TargetMode="External" Id="rId178" /><Relationship Type="http://schemas.openxmlformats.org/officeDocument/2006/relationships/hyperlink" Target="https://www.sebi.gov.in/filings/public-issues/aug-2026/advanced-sys-tek-limited-drhp_103353.html" TargetMode="External" Id="rId179" /><Relationship Type="http://schemas.openxmlformats.org/officeDocument/2006/relationships/hyperlink" Target="https://www.sebi.gov.in/sebi_data/commondocs/aug-2026/Advanced%20Sys-Tek%20Limited%20%20-%20DAP_p.pdf" TargetMode="External" Id="rId180" /><Relationship Type="http://schemas.openxmlformats.org/officeDocument/2006/relationships/hyperlink" Target="https://www.chittorgarh.com/ipo/advanced-sys-tek-ipo/1997/" TargetMode="External" Id="rId181" /><Relationship Type="http://schemas.openxmlformats.org/officeDocument/2006/relationships/hyperlink" Target="https://www.sebi.gov.in/filings/public-issues/aug-2026/veritas-finance-limited-rhp_103304.html" TargetMode="External" Id="rId182" /><Relationship Type="http://schemas.openxmlformats.org/officeDocument/2006/relationships/hyperlink" Target="https://www.sebi.gov.in/sebi_data/commondocs/aug-2026/Veritas%20Finance%20Limited%20-%20AP_p.pdf" TargetMode="External" Id="rId183" /><Relationship Type="http://schemas.openxmlformats.org/officeDocument/2006/relationships/hyperlink" Target="https://www.business-standard.com/markets/ipo/veritas-finance-ltd-ipo-71574" TargetMode="External" Id="rId184" /><Relationship Type="http://schemas.openxmlformats.org/officeDocument/2006/relationships/hyperlink" Target="https://www.sebi.gov.in/sebi_data/attachdocs/aug-2026/1785733290632.PDF" TargetMode="External" Id="rId185" /><Relationship Type="http://schemas.openxmlformats.org/officeDocument/2006/relationships/hyperlink" Target="https://www.sebi.gov.in/filings/public-issues/aug-2026/hero-motors-limited-corrigendum-to-drhp_103180.html" TargetMode="External" Id="rId186" /><Relationship Type="http://schemas.openxmlformats.org/officeDocument/2006/relationships/hyperlink" Target="https://www.sebi.gov.in/sebi_data/attachdocs/jul-2026/1785497407202_1315.pdf" TargetMode="External" Id="rId187" /><Relationship Type="http://schemas.openxmlformats.org/officeDocument/2006/relationships/hyperlink" Target="https://www.sebi.gov.in/filings/public-issues/jul-2026/master-chains-n-jewels-limited-drhp_103287.html" TargetMode="External" Id="rId188" /><Relationship Type="http://schemas.openxmlformats.org/officeDocument/2006/relationships/hyperlink" Target="https://www.sebi.gov.in/sebi_data/commondocs/aug-2026/Master%20Chains%20N%20Jewels%20Limited%20-%20AP_p.pdf" TargetMode="External" Id="rId189" /><Relationship Type="http://schemas.openxmlformats.org/officeDocument/2006/relationships/hyperlink" Target="https://www.ipoplatform.com/ipo/master-chains-n-jewels-ipo/4746" TargetMode="External" Id="rId190" /><Relationship Type="http://schemas.openxmlformats.org/officeDocument/2006/relationships/hyperlink" Target="https://www.sebi.gov.in/sebi_data/attachdocs/aug-2026/1786343435455.pdf" TargetMode="External" Id="rId191" /><Relationship Type="http://schemas.openxmlformats.org/officeDocument/2006/relationships/hyperlink" Target="https://www.sebi.gov.in/filings/public-issues/jul-2026/ifl-finance-ltd-drhp_103313.html" TargetMode="External" Id="rId192" /><Relationship Type="http://schemas.openxmlformats.org/officeDocument/2006/relationships/hyperlink" Target="https://www.sebi.gov.in/sebi_data/commondocs/aug-2026/IFL%20Finance%20Ltd-%20DAP_p.pdf" TargetMode="External" Id="rId193" /><Relationship Type="http://schemas.openxmlformats.org/officeDocument/2006/relationships/hyperlink" Target="https://www.chittorgarh.com/ipo/ifl-finance-ipo/3200/" TargetMode="External" Id="rId194" /><Relationship Type="http://schemas.openxmlformats.org/officeDocument/2006/relationships/hyperlink" Target="https://www.sebi.gov.in/sebi_data/attachdocs/jul-2026/1785375006183_1314.pdf" TargetMode="External" Id="rId195" /><Relationship Type="http://schemas.openxmlformats.org/officeDocument/2006/relationships/hyperlink" Target="https://www.sebi.gov.in/filings/public-issues/jul-2026/yogiji-digi-limited-drhp_103106.html" TargetMode="External" Id="rId196" /><Relationship Type="http://schemas.openxmlformats.org/officeDocument/2006/relationships/hyperlink" Target="https://www.sebi.gov.in/sebi_data/commondocs/jul-2026/YOGIJI%20DIGI%20LIMITED_p.pdf" TargetMode="External" Id="rId197" /><Relationship Type="http://schemas.openxmlformats.org/officeDocument/2006/relationships/hyperlink" Target="https://www.chittorgarh.com/ipo/yogiji-digi-ipo/3198/" TargetMode="External" Id="rId198" /><Relationship Type="http://schemas.openxmlformats.org/officeDocument/2006/relationships/hyperlink" Target="https://www.sebi.gov.in/sebi_data/attachdocs/jul-2026/1785315631246.pdf" TargetMode="External" Id="rId199" /><Relationship Type="http://schemas.openxmlformats.org/officeDocument/2006/relationships/hyperlink" Target="https://www.sebi.gov.in/filings/public-issues/jul-2026/indian-gas-exchange-limited-drhp_102988.html" TargetMode="External" Id="rId200" /><Relationship Type="http://schemas.openxmlformats.org/officeDocument/2006/relationships/hyperlink" Target="https://www.sebi.gov.in/sebi_data/commondocs/jul-2026/Indian%20Gas%20Exchange%20Limited_p.pdf" TargetMode="External" Id="rId201" /><Relationship Type="http://schemas.openxmlformats.org/officeDocument/2006/relationships/hyperlink" Target="https://www.chittorgarh.com/ipo/indian-gas-exchange-ipo/3193/" TargetMode="External" Id="rId202" /><Relationship Type="http://schemas.openxmlformats.org/officeDocument/2006/relationships/hyperlink" Target="https://www.sebi.gov.in/sebi_data/attachdocs/jul-2026/1784713947754.pdf" TargetMode="External" Id="rId203" /><Relationship Type="http://schemas.openxmlformats.org/officeDocument/2006/relationships/hyperlink" Target="https://www.sebi.gov.in/filings/public-issues/jul-2026/fusion-cx-limited-addendum-to-drhp_102992.html" TargetMode="External" Id="rId204" /><Relationship Type="http://schemas.openxmlformats.org/officeDocument/2006/relationships/hyperlink" Target="https://www.chittorgarh.com/ipo/fusion-cx-ipo/2455/" TargetMode="External" Id="rId205" /><Relationship Type="http://schemas.openxmlformats.org/officeDocument/2006/relationships/hyperlink" Target="https://www.sebi.gov.in/sebi_data/attachdocs/jul-2026/1784187006424_1304.pdf" TargetMode="External" Id="rId206" /><Relationship Type="http://schemas.openxmlformats.org/officeDocument/2006/relationships/hyperlink" Target="https://www.sebi.gov.in/filings/public-issues/jul-2026/gni-infrastructure-limited-drhp_102874.html" TargetMode="External" Id="rId207" /><Relationship Type="http://schemas.openxmlformats.org/officeDocument/2006/relationships/hyperlink" Target="https://www.sebi.gov.in/sebi_data/commondocs/jul-2026/GNI%20INFRASTRUCTURE%20LIMITED%20-%20DA_p.pdf" TargetMode="External" Id="rId208" /><Relationship Type="http://schemas.openxmlformats.org/officeDocument/2006/relationships/hyperlink" Target="https://www.chittorgarh.com/ipo/gni-infrastructure-ipo/3176/" TargetMode="External" Id="rId209" /><Relationship Type="http://schemas.openxmlformats.org/officeDocument/2006/relationships/hyperlink" Target="https://www.sebi.gov.in/sebi_data/attachdocs/jul-2026/1784180102896.PDF" TargetMode="External" Id="rId210" /><Relationship Type="http://schemas.openxmlformats.org/officeDocument/2006/relationships/hyperlink" Target="https://www.sebi.gov.in/filings/public-issues/jul-2026/behari-lal-engineering-limited-corrigendum-to-drhp_102871.html" TargetMode="External" Id="rId211" /><Relationship Type="http://schemas.openxmlformats.org/officeDocument/2006/relationships/hyperlink" Target="https://www.sebi.gov.in/sebi_data/attachdocs/jul-2026/1783588088633.pdf" TargetMode="External" Id="rId212" /><Relationship Type="http://schemas.openxmlformats.org/officeDocument/2006/relationships/hyperlink" Target="https://www.sebi.gov.in/filings/public-issues/jul-2026/ratnadeep-retail-limited-drhp_102720.html" TargetMode="External" Id="rId213" /><Relationship Type="http://schemas.openxmlformats.org/officeDocument/2006/relationships/hyperlink" Target="https://www.sebi.gov.in/sebi_data/commondocs/jul-2026/Ratnadeep%20Retail%20Limited%20-%20DAP_p.pdf" TargetMode="External" Id="rId214" /><Relationship Type="http://schemas.openxmlformats.org/officeDocument/2006/relationships/hyperlink" Target="https://www.chittorgarh.com/ipo/ratnadeep-retail-ipo/3181/" TargetMode="External" Id="rId215" /><Relationship Type="http://schemas.openxmlformats.org/officeDocument/2006/relationships/hyperlink" Target="https://www.sebi.gov.in/sebi_data/attachdocs/jul-2026/1783572277499.pdf" TargetMode="External" Id="rId216" /><Relationship Type="http://schemas.openxmlformats.org/officeDocument/2006/relationships/hyperlink" Target="https://www.sebi.gov.in/filings/public-issues/jul-2026/cult-fit-limited-drhp_102714.html" TargetMode="External" Id="rId217" /><Relationship Type="http://schemas.openxmlformats.org/officeDocument/2006/relationships/hyperlink" Target="https://www.sebi.gov.in/sebi_data/commondocs/jul-2026/CULT.FIT%20Limited%20-%20AP_p.pdf" TargetMode="External" Id="rId218" /><Relationship Type="http://schemas.openxmlformats.org/officeDocument/2006/relationships/hyperlink" Target="https://www.chittorgarh.com/ipo/cultfit-ipo/3189/" TargetMode="External" Id="rId219" /><Relationship Type="http://schemas.openxmlformats.org/officeDocument/2006/relationships/hyperlink" Target="https://www.sebi.gov.in/sebi_data/attachdocs/jul-2026/1783495804607_1303.pdf" TargetMode="External" Id="rId220" /><Relationship Type="http://schemas.openxmlformats.org/officeDocument/2006/relationships/hyperlink" Target="https://www.sebi.gov.in/filings/public-issues/jul-2026/tmc-transformers-india-limited-drhp_102680.html" TargetMode="External" Id="rId221" /><Relationship Type="http://schemas.openxmlformats.org/officeDocument/2006/relationships/hyperlink" Target="https://www.sebi.gov.in/sebi_data/commondocs/jul-2026/TMC%20Transformers%20India%20Limited%20-%20Abri_p.pdf" TargetMode="External" Id="rId222" /><Relationship Type="http://schemas.openxmlformats.org/officeDocument/2006/relationships/hyperlink" Target="https://www.chittorgarh.com/ipo/tmc-transformers-india-ipo/3177/" TargetMode="External" Id="rId223" /><Relationship Type="http://schemas.openxmlformats.org/officeDocument/2006/relationships/hyperlink" Target="https://www.sebi.gov.in/sebi_data/attachdocs/jul-2026/1783492351929.pdf" TargetMode="External" Id="rId224" /><Relationship Type="http://schemas.openxmlformats.org/officeDocument/2006/relationships/hyperlink" Target="https://www.sebi.gov.in/filings/public-issues/jul-2026/innoterra-limited-drhp_102678.html" TargetMode="External" Id="rId225" /><Relationship Type="http://schemas.openxmlformats.org/officeDocument/2006/relationships/hyperlink" Target="https://www.sebi.gov.in/sebi_data/commondocs/jul-2026/INNOTERRA%20LIMITED%20-%20Abri_p.pdf" TargetMode="External" Id="rId226" /><Relationship Type="http://schemas.openxmlformats.org/officeDocument/2006/relationships/hyperlink" Target="https://www.chittorgarh.com/ipo/innoterra-ipo/3175/" TargetMode="External" Id="rId227" /><Relationship Type="http://schemas.openxmlformats.org/officeDocument/2006/relationships/hyperlink" Target="https://www.sebi.gov.in/sebi_data/attachdocs/jul-2026/1783337424176_1300.pdf" TargetMode="External" Id="rId228" /><Relationship Type="http://schemas.openxmlformats.org/officeDocument/2006/relationships/hyperlink" Target="https://www.sebi.gov.in/filings/public-issues/jul-2026/pragyawan-technologies-limited-drhp_102611.html" TargetMode="External" Id="rId229" /><Relationship Type="http://schemas.openxmlformats.org/officeDocument/2006/relationships/hyperlink" Target="https://www.sebi.gov.in/sebi_data/commondocs/jul-2026/Pragyawan%20Technologies%20Limited%20-%20Abriged_p.PDF" TargetMode="External" Id="rId230" /><Relationship Type="http://schemas.openxmlformats.org/officeDocument/2006/relationships/hyperlink" Target="https://www.chittorgarh.com/ipo/pragyawan-technologies-ipo/3172/" TargetMode="External" Id="rId231" /><Relationship Type="http://schemas.openxmlformats.org/officeDocument/2006/relationships/hyperlink" Target="https://www.sebi.gov.in/sebi_data/attachdocs/jul-2026/1783337424176_1299.pdf" TargetMode="External" Id="rId232" /><Relationship Type="http://schemas.openxmlformats.org/officeDocument/2006/relationships/hyperlink" Target="https://www.sebi.gov.in/filings/public-issues/jul-2026/swara-baby-products-limited-drhp_102609.html" TargetMode="External" Id="rId233" /><Relationship Type="http://schemas.openxmlformats.org/officeDocument/2006/relationships/hyperlink" Target="https://www.sebi.gov.in/sebi_data/commondocs/jul-2026/SWARA%20Baby%20Products%20Limited%20-%20DAP_p.pdf" TargetMode="External" Id="rId234" /><Relationship Type="http://schemas.openxmlformats.org/officeDocument/2006/relationships/hyperlink" Target="https://www.chittorgarh.com/ipo/swara-baby-products-ipo/3186/" TargetMode="External" Id="rId235" /><Relationship Type="http://schemas.openxmlformats.org/officeDocument/2006/relationships/hyperlink" Target="https://www.sebi.gov.in/sebi_data/attachdocs/jul-2026/1783418315173.pdf" TargetMode="External" Id="rId236" /><Relationship Type="http://schemas.openxmlformats.org/officeDocument/2006/relationships/hyperlink" Target="https://www.sebi.gov.in/filings/public-issues/jul-2026/stalwart-people-services-india-limited-drhp_102607.html" TargetMode="External" Id="rId237" /><Relationship Type="http://schemas.openxmlformats.org/officeDocument/2006/relationships/hyperlink" Target="https://www.sebi.gov.in/sebi_data/commondocs/jul-2026/Stalwart%20People%20Services%20India%20Limited%20-%20Abri_p.pdf" TargetMode="External" Id="rId238" /><Relationship Type="http://schemas.openxmlformats.org/officeDocument/2006/relationships/hyperlink" Target="https://www.chittorgarh.com/ipo/stalwart-people-services-india-ipo/3168/" TargetMode="External" Id="rId239" /><Relationship Type="http://schemas.openxmlformats.org/officeDocument/2006/relationships/hyperlink" Target="https://www.sebi.gov.in/sebi_data/attachdocs/jul-2026/1783323004810_1297.pdf" TargetMode="External" Id="rId240" /><Relationship Type="http://schemas.openxmlformats.org/officeDocument/2006/relationships/hyperlink" Target="https://www.sebi.gov.in/filings/public-issues/jul-2026/functional-and-innovative-foods-limited-drhp_102603.html" TargetMode="External" Id="rId241" /><Relationship Type="http://schemas.openxmlformats.org/officeDocument/2006/relationships/hyperlink" Target="https://www.sebi.gov.in/sebi_data/commondocs/jul-2026/Functional%20&amp;%20Innovative%20Foods%20Limited-%20Abri_p.pdf" TargetMode="External" Id="rId242" /><Relationship Type="http://schemas.openxmlformats.org/officeDocument/2006/relationships/hyperlink" Target="https://www.kotakneo.com/news/ipos/functional-and-innovative-foods-ipo-gets-sebi-nod-85-lakh-shares/" TargetMode="External" Id="rId243" /><Relationship Type="http://schemas.openxmlformats.org/officeDocument/2006/relationships/hyperlink" Target="https://www.sebi.gov.in/sebi_data/attachdocs/jul-2026/1783059278187.pdf" TargetMode="External" Id="rId244" /><Relationship Type="http://schemas.openxmlformats.org/officeDocument/2006/relationships/hyperlink" Target="https://www.sebi.gov.in/filings/public-issues/jul-2026/jesons-industries-limited-addendum-to-drhp_102564.html" TargetMode="External" Id="rId245" /><Relationship Type="http://schemas.openxmlformats.org/officeDocument/2006/relationships/hyperlink" Target="https://www.business-standard.com/markets/ipo/jesons-industries-ltd-ipo-27109" TargetMode="External" Id="rId246" /><Relationship Type="http://schemas.openxmlformats.org/officeDocument/2006/relationships/hyperlink" Target="https://www.sebi.gov.in/sebi_data/attachdocs/jul-2026/1782991807154_1296.pdf" TargetMode="External" Id="rId247" /><Relationship Type="http://schemas.openxmlformats.org/officeDocument/2006/relationships/hyperlink" Target="https://www.sebi.gov.in/filings/public-issues/jul-2026/eswari-global-metal-industries-limited-drhp_102541.html" TargetMode="External" Id="rId248" /><Relationship Type="http://schemas.openxmlformats.org/officeDocument/2006/relationships/hyperlink" Target="https://www.sebi.gov.in/sebi_data/commondocs/jul-2026/GLOBAL%20-%20DAP_p.pdf" TargetMode="External" Id="rId249" /><Relationship Type="http://schemas.openxmlformats.org/officeDocument/2006/relationships/hyperlink" Target="https://www.chittorgarh.com/ipo/eswari-global-metal-ipo/3169/" TargetMode="External" Id="rId250" /><Relationship Type="http://schemas.openxmlformats.org/officeDocument/2006/relationships/hyperlink" Target="https://www.sebi.gov.in/sebi_data/attachdocs/jul-2026/1783322148504.pdf" TargetMode="External" Id="rId251" /><Relationship Type="http://schemas.openxmlformats.org/officeDocument/2006/relationships/hyperlink" Target="https://www.sebi.gov.in/filings/public-issues/jul-2026/renfra-energy-india-ltd-drhp_102601.html" TargetMode="External" Id="rId252" /><Relationship Type="http://schemas.openxmlformats.org/officeDocument/2006/relationships/hyperlink" Target="https://www.sebi.gov.in/sebi_data/commondocs/jul-2026/REIL%20Abridged_p.pdf" TargetMode="External" Id="rId253" /><Relationship Type="http://schemas.openxmlformats.org/officeDocument/2006/relationships/hyperlink" Target="https://www.chittorgarh.com/ipo/renfra-energy-india-ipo/3173/" TargetMode="External" Id="rId254" /><Relationship Type="http://schemas.openxmlformats.org/officeDocument/2006/relationships/hyperlink" Target="https://www.sebi.gov.in/sebi_data/attachdocs/jul-2026/1782889460153.pdf" TargetMode="External" Id="rId255" /><Relationship Type="http://schemas.openxmlformats.org/officeDocument/2006/relationships/hyperlink" Target="https://www.sebi.gov.in/filings/public-issues/jul-2026/social-worth-technologies-limited-drhp_102477.html" TargetMode="External" Id="rId256" /><Relationship Type="http://schemas.openxmlformats.org/officeDocument/2006/relationships/hyperlink" Target="https://www.sebi.gov.in/sebi_data/commondocs/jul-2026/Social%20Worth%20Technologies%20-%20DA_p.pdf" TargetMode="External" Id="rId257" /><Relationship Type="http://schemas.openxmlformats.org/officeDocument/2006/relationships/hyperlink" Target="https://www.chittorgarh.com/ipo/social-worth-technologies-ipo/3164/" TargetMode="External" Id="rId258" /><Relationship Type="http://schemas.openxmlformats.org/officeDocument/2006/relationships/hyperlink" Target="https://www.sebi.gov.in/sebi_data/attachdocs/jul-2026/1782887237115.pdf" TargetMode="External" Id="rId259" /><Relationship Type="http://schemas.openxmlformats.org/officeDocument/2006/relationships/hyperlink" Target="https://www.sebi.gov.in/filings/public-issues/jul-2026/mann-fleet-partners-limited-drhp_102474.html" TargetMode="External" Id="rId260" /><Relationship Type="http://schemas.openxmlformats.org/officeDocument/2006/relationships/hyperlink" Target="https://www.sebi.gov.in/sebi_data/commondocs/jul-2026/Maan%20Fleet%20Partners%20Limited%20-%20DRPH_p.pdf" TargetMode="External" Id="rId261" /><Relationship Type="http://schemas.openxmlformats.org/officeDocument/2006/relationships/hyperlink" Target="https://www.chittorgarh.com/ipo/mann-fleet-partners-ipo/3166/" TargetMode="External" Id="rId262" /><Relationship Type="http://schemas.openxmlformats.org/officeDocument/2006/relationships/hyperlink" Target="https://www.sebi.gov.in/sebi_data/attachdocs/jun-2026/1782797745198.pdf" TargetMode="External" Id="rId263" /><Relationship Type="http://schemas.openxmlformats.org/officeDocument/2006/relationships/hyperlink" Target="https://www.sebi.gov.in/filings/public-issues/jun-2026/oravel-stays-limited-udrhp-i_102455.html" TargetMode="External" Id="rId264" /><Relationship Type="http://schemas.openxmlformats.org/officeDocument/2006/relationships/hyperlink" Target="https://www.sebi.gov.in/sebi_data/commondocs/jun-2026/ORAVEL%20STAYS%20LIMITED%20-%20Abridged_p.pdf" TargetMode="External" Id="rId265" /><Relationship Type="http://schemas.openxmlformats.org/officeDocument/2006/relationships/hyperlink" Target="https://www.chittorgarh.com/ipo/oyo-ipo/2843/" TargetMode="External" Id="rId266" /><Relationship Type="http://schemas.openxmlformats.org/officeDocument/2006/relationships/hyperlink" Target="https://www.sebi.gov.in/sebi_data/attachdocs/jun-2026/1782706923073.pdf" TargetMode="External" Id="rId267" /><Relationship Type="http://schemas.openxmlformats.org/officeDocument/2006/relationships/hyperlink" Target="https://www.sebi.gov.in/filings/public-issues/jun-2026/ujin-pharma-ltd-drhp_102424.html" TargetMode="External" Id="rId268" /><Relationship Type="http://schemas.openxmlformats.org/officeDocument/2006/relationships/hyperlink" Target="https://www.sebi.gov.in/sebi_data/commondocs/jun-2026/Ujin%20Pharma%20Ltd.%20-%20Draft%20Abridged%20Prospectus_p.pdf" TargetMode="External" Id="rId269" /><Relationship Type="http://schemas.openxmlformats.org/officeDocument/2006/relationships/hyperlink" Target="https://www.chittorgarh.com/ipo/ujin-pharma-ipo/3154/" TargetMode="External" Id="rId270" /><Relationship Type="http://schemas.openxmlformats.org/officeDocument/2006/relationships/hyperlink" Target="https://www.sebi.gov.in/sebi_data/attachdocs/jun-2026/1782383217036.pdf" TargetMode="External" Id="rId271" /><Relationship Type="http://schemas.openxmlformats.org/officeDocument/2006/relationships/hyperlink" Target="https://www.sebi.gov.in/filings/public-issues/jun-2026/sky-alloys-and-power-limited-drhp_102415.html" TargetMode="External" Id="rId272" /><Relationship Type="http://schemas.openxmlformats.org/officeDocument/2006/relationships/hyperlink" Target="https://www.sebi.gov.in/sebi_data/commondocs/jun-2026/Sky%20Alloys%20and%20Power%20Limited%20-%20Abri_p.pdf" TargetMode="External" Id="rId273" /><Relationship Type="http://schemas.openxmlformats.org/officeDocument/2006/relationships/hyperlink" Target="https://www.chittorgarh.com/ipo/sky-alloys-and-power-ipo/2776/" TargetMode="External" Id="rId274" /><Relationship Type="http://schemas.openxmlformats.org/officeDocument/2006/relationships/hyperlink" Target="https://www.sebi.gov.in/sebi_data/attachdocs/jun-2026/1781870482419.PDF" TargetMode="External" Id="rId275" /><Relationship Type="http://schemas.openxmlformats.org/officeDocument/2006/relationships/hyperlink" Target="https://www.sebi.gov.in/filings/public-issues/jun-2026/jio-platforms-ltd-drhp_102248.html" TargetMode="External" Id="rId276" /><Relationship Type="http://schemas.openxmlformats.org/officeDocument/2006/relationships/hyperlink" Target="https://www.sebi.gov.in/sebi_data/commondocs/jun-2026/Jio%20Platforms%20Ltd_p.PDF" TargetMode="External" Id="rId277" /><Relationship Type="http://schemas.openxmlformats.org/officeDocument/2006/relationships/hyperlink" Target="https://www.chittorgarh.com/ipo/jio-platforms-ipo/3152/" TargetMode="External" Id="rId278" /><Relationship Type="http://schemas.openxmlformats.org/officeDocument/2006/relationships/hyperlink" Target="https://www.sebi.gov.in/sebi_data/attachdocs/jun-2026/1781762714647.pdf" TargetMode="External" Id="rId279" /><Relationship Type="http://schemas.openxmlformats.org/officeDocument/2006/relationships/hyperlink" Target="https://www.sebi.gov.in/filings/public-issues/jun-2026/national-stock-exchange-of-india-limited-drhp_102189.html" TargetMode="External" Id="rId280" /><Relationship Type="http://schemas.openxmlformats.org/officeDocument/2006/relationships/hyperlink" Target="https://www.sebi.gov.in/sebi_data/commondocs/jun-2026/National%20Stock%20Exchange%20of%20India%20Ltd%20-%20Abridged_p.pdf" TargetMode="External" Id="rId281" /><Relationship Type="http://schemas.openxmlformats.org/officeDocument/2006/relationships/hyperlink" Target="https://www.sebi.gov.in/sebi_data/attachdocs/jun-2026/1781761649731.pdf" TargetMode="External" Id="rId282" /><Relationship Type="http://schemas.openxmlformats.org/officeDocument/2006/relationships/hyperlink" Target="https://www.sebi.gov.in/filings/public-issues/jun-2026/varmora-granito-limited-addendum-to-drhp_102188.html" TargetMode="External" Id="rId283" /><Relationship Type="http://schemas.openxmlformats.org/officeDocument/2006/relationships/hyperlink" Target="https://www.sebi.gov.in/sebi_data/attachdocs/jun-2026/1781761057174.pdf" TargetMode="External" Id="rId284" /><Relationship Type="http://schemas.openxmlformats.org/officeDocument/2006/relationships/hyperlink" Target="https://www.sebi.gov.in/filings/public-issues/jun-2026/paras-healthcare-limited-drhp_102187.html" TargetMode="External" Id="rId285" /><Relationship Type="http://schemas.openxmlformats.org/officeDocument/2006/relationships/hyperlink" Target="https://www.sebi.gov.in/sebi_data/commondocs/jun-2026/Paras%20Healthcare%20Limited%20-%20Abridged_p.pdf" TargetMode="External" Id="rId286" /><Relationship Type="http://schemas.openxmlformats.org/officeDocument/2006/relationships/hyperlink" Target="https://www.chittorgarh.com/ipo/paras-healthcare-ipo/2256/" TargetMode="External" Id="rId287" /><Relationship Type="http://schemas.openxmlformats.org/officeDocument/2006/relationships/hyperlink" Target="https://www.sebi.gov.in/sebi_data/attachdocs/jun-2026/1781525718091.pdf" TargetMode="External" Id="rId288" /><Relationship Type="http://schemas.openxmlformats.org/officeDocument/2006/relationships/hyperlink" Target="https://www.sebi.gov.in/filings/public-issues/jun-2026/pioneer-fil-med-limited-corrigendum-to-drhp_102126.html" TargetMode="External" Id="rId289" /><Relationship Type="http://schemas.openxmlformats.org/officeDocument/2006/relationships/hyperlink" Target="https://www.chittorgarh.com/ipo/pioneer-fil-med-ipo/2967/" TargetMode="External" Id="rId290" /><Relationship Type="http://schemas.openxmlformats.org/officeDocument/2006/relationships/hyperlink" Target="https://www.sebi.gov.in/sebi_data/attachdocs/jun-2026/1781154417775.pdf" TargetMode="External" Id="rId291" /><Relationship Type="http://schemas.openxmlformats.org/officeDocument/2006/relationships/hyperlink" Target="https://www.sebi.gov.in/filings/public-issues/jun-2026/caliber-mining-and-logistics-limited-corrigendum-to-drhp_102053.html" TargetMode="External" Id="rId292" /><Relationship Type="http://schemas.openxmlformats.org/officeDocument/2006/relationships/hyperlink" Target="https://www.sebi.gov.in/sebi_data/attachdocs/jun-2026/1781090594066.pdf" TargetMode="External" Id="rId293" /><Relationship Type="http://schemas.openxmlformats.org/officeDocument/2006/relationships/hyperlink" Target="https://www.sebi.gov.in/filings/public-issues/jun-2026/aastha-spintex-limited-addendum-to-drhp_102025.html" TargetMode="External" Id="rId294" /><Relationship Type="http://schemas.openxmlformats.org/officeDocument/2006/relationships/hyperlink" Target="https://www.sebi.gov.in/sebi_data/attachdocs/jun-2026/1780983427091.pdf" TargetMode="External" Id="rId295" /><Relationship Type="http://schemas.openxmlformats.org/officeDocument/2006/relationships/hyperlink" Target="https://www.sebi.gov.in/filings/public-issues/jun-2026/zepto-limited-udrhp1_101929.html" TargetMode="External" Id="rId296" /><Relationship Type="http://schemas.openxmlformats.org/officeDocument/2006/relationships/hyperlink" Target="https://www.sebi.gov.in/sebi_data/commondocs/jun-2026/Zepto%20Limited%20-%20abridged_p.pdf" TargetMode="External" Id="rId297" /><Relationship Type="http://schemas.openxmlformats.org/officeDocument/2006/relationships/hyperlink" Target="https://www.chittorgarh.com/ipo/zepto-ipo/2819/" TargetMode="External" Id="rId298" /><Relationship Type="http://schemas.openxmlformats.org/officeDocument/2006/relationships/hyperlink" Target="https://www.sebi.gov.in/sebi_data/attachdocs/jun-2026/1780558204915_1257.pdf" TargetMode="External" Id="rId299" /><Relationship Type="http://schemas.openxmlformats.org/officeDocument/2006/relationships/hyperlink" Target="https://www.sebi.gov.in/filings/public-issues/jun-2026/pushp-brand-india-limited_101826.html" TargetMode="External" Id="rId300" /><Relationship Type="http://schemas.openxmlformats.org/officeDocument/2006/relationships/hyperlink" Target="https://www.sebi.gov.in/sebi_data/commondocs/jun-2026/Pushp%20Brand%20India%20Limited%20-%20DAP_p.pdf" TargetMode="External" Id="rId301" /><Relationship Type="http://schemas.openxmlformats.org/officeDocument/2006/relationships/hyperlink" Target="https://www.chittorgarh.com/ipo/pushp-brand-india-ipo/3137/" TargetMode="External" Id="rId302" /><Relationship Type="http://schemas.openxmlformats.org/officeDocument/2006/relationships/hyperlink" Target="https://www.sebi.gov.in/sebi_data/attachdocs/jun-2026/1780468372100.pdf" TargetMode="External" Id="rId303" /><Relationship Type="http://schemas.openxmlformats.org/officeDocument/2006/relationships/hyperlink" Target="https://www.sebi.gov.in/filings/public-issues/jun-2026/laser-power-and-infra-limited-corrigendum-to-drhp_101792.html" TargetMode="External" Id="rId304" /><Relationship Type="http://schemas.openxmlformats.org/officeDocument/2006/relationships/hyperlink" Target="https://www.sebi.gov.in/sebi_data/attachdocs/jun-2026/1780389306989.pdf" TargetMode="External" Id="rId305" /><Relationship Type="http://schemas.openxmlformats.org/officeDocument/2006/relationships/hyperlink" Target="https://www.sebi.gov.in/filings/public-issues/jun-2026/matangi-rubber-limited-drhp_101764.html" TargetMode="External" Id="rId306" /><Relationship Type="http://schemas.openxmlformats.org/officeDocument/2006/relationships/hyperlink" Target="https://www.sebi.gov.in/sebi_data/commondocs/jun-2026/Matangi%20Rubber%20Limited%20-%20Abridged_p.pdf" TargetMode="External" Id="rId307" /><Relationship Type="http://schemas.openxmlformats.org/officeDocument/2006/relationships/hyperlink" Target="https://www.sebi.gov.in/sebi_data/attachdocs/jun-2026/1780373627534.pdf" TargetMode="External" Id="rId308" /><Relationship Type="http://schemas.openxmlformats.org/officeDocument/2006/relationships/hyperlink" Target="https://www.sebi.gov.in/filings/public-issues/jun-2026/arohan-financial-services-limited-drhp_101753.html" TargetMode="External" Id="rId309" /><Relationship Type="http://schemas.openxmlformats.org/officeDocument/2006/relationships/hyperlink" Target="https://www.sebi.gov.in/sebi_data/commondocs/jun-2026/Arohan%20Financial%20Services%20Limited%20-%20DRHP_p.pdf" TargetMode="External" Id="rId310" /><Relationship Type="http://schemas.openxmlformats.org/officeDocument/2006/relationships/hyperlink" Target="https://www.chittorgarh.com/ipo/arohan-financial-services-ipo/3135/" TargetMode="External" Id="rId311" /><Relationship Type="http://schemas.openxmlformats.org/officeDocument/2006/relationships/hyperlink" Target="https://www.sebi.gov.in/sebi_data/attachdocs/jun-2026/1780296496868.pdf" TargetMode="External" Id="rId312" /><Relationship Type="http://schemas.openxmlformats.org/officeDocument/2006/relationships/hyperlink" Target="https://www.sebi.gov.in/filings/public-issues/jun-2026/laser-power-and-infra-limited-addendum-to-drhp_101721.html" TargetMode="External" Id="rId313" /><Relationship Type="http://schemas.openxmlformats.org/officeDocument/2006/relationships/hyperlink" Target="https://www.sebi.gov.in/sebi_data/attachdocs/may-2026/1780048215478.pdf" TargetMode="External" Id="rId314" /><Relationship Type="http://schemas.openxmlformats.org/officeDocument/2006/relationships/hyperlink" Target="https://www.sebi.gov.in/filings/public-issues/may-2026/dhoot-transmission-limited-udrhp-1_101683.html" TargetMode="External" Id="rId315" /><Relationship Type="http://schemas.openxmlformats.org/officeDocument/2006/relationships/hyperlink" Target="https://www.sebi.gov.in/sebi_data/commondocs/may-2026/Incred%20Holdings%20Limited%20-%20Abridged%20prospectus_p.pdf" TargetMode="External" Id="rId316" /><Relationship Type="http://schemas.openxmlformats.org/officeDocument/2006/relationships/hyperlink" Target="https://www.sebi.gov.in/sebi_data/attachdocs/may-2026/1779262204888_1256.pdf" TargetMode="External" Id="rId317" /><Relationship Type="http://schemas.openxmlformats.org/officeDocument/2006/relationships/hyperlink" Target="https://www.sebi.gov.in/filings/public-issues/may-2026/m-k-sons-fine-jewels-limited_101528.html" TargetMode="External" Id="rId318" /><Relationship Type="http://schemas.openxmlformats.org/officeDocument/2006/relationships/hyperlink" Target="https://www.sebi.gov.in/sebi_data/commondocs/jun-2026/M%20K%20SONS%20-%20Draft%20Abridged%20Prospectus_p.pdf" TargetMode="External" Id="rId319" /><Relationship Type="http://schemas.openxmlformats.org/officeDocument/2006/relationships/hyperlink" Target="https://www.chittorgarh.com/ipo/mksons-fine-jewels-ipo/3100/" TargetMode="External" Id="rId320" /><Relationship Type="http://schemas.openxmlformats.org/officeDocument/2006/relationships/hyperlink" Target="https://www.sebi.gov.in/sebi_data/attachdocs/may-2026/1778844606056_1254.pdf" TargetMode="External" Id="rId321" /><Relationship Type="http://schemas.openxmlformats.org/officeDocument/2006/relationships/hyperlink" Target="https://www.sebi.gov.in/filings/public-issues/may-2026/gaurik-fashions-limited-drhp_101469.html" TargetMode="External" Id="rId322" /><Relationship Type="http://schemas.openxmlformats.org/officeDocument/2006/relationships/hyperlink" Target="https://www.sebi.gov.in/sebi_data/commondocs/sep-2026/Gaurik%20Fashions%20Limited%20-%20DAP_p.pdf" TargetMode="External" Id="rId323" /><Relationship Type="http://schemas.openxmlformats.org/officeDocument/2006/relationships/hyperlink" Target="https://www.chittorgarh.com/ipo/gaurik-fashions-ipo/3098/" TargetMode="External" Id="rId324" /><Relationship Type="http://schemas.openxmlformats.org/officeDocument/2006/relationships/hyperlink" Target="https://www.sebi.gov.in/sebi_data/attachdocs/may-2026/1778757509849.pdf" TargetMode="External" Id="rId325" /><Relationship Type="http://schemas.openxmlformats.org/officeDocument/2006/relationships/hyperlink" Target="https://www.sebi.gov.in/filings/public-issues/may-2026/incred-holdings-limited-udrhp-1_101433.html" TargetMode="External" Id="rId326" /><Relationship Type="http://schemas.openxmlformats.org/officeDocument/2006/relationships/hyperlink" Target="https://www.sebi.gov.in/sebi_data/commondocs/may-2026/Incred%20Holdings%20Limited-Abridged%20prospectus_p.pdf" TargetMode="External" Id="rId327" /><Relationship Type="http://schemas.openxmlformats.org/officeDocument/2006/relationships/hyperlink" Target="https://www.chittorgarh.com/ipo/incred-holdings-ipo/2797/" TargetMode="External" Id="rId328" /><Relationship Type="http://schemas.openxmlformats.org/officeDocument/2006/relationships/hyperlink" Target="https://www.sebi.gov.in/sebi_data/attachdocs/may-2026/1778754857352.pdf" TargetMode="External" Id="rId329" /><Relationship Type="http://schemas.openxmlformats.org/officeDocument/2006/relationships/hyperlink" Target="https://www.sebi.gov.in/filings/public-issues/may-2026/online-instruments-india-limited-drhp_101429.html" TargetMode="External" Id="rId330" /><Relationship Type="http://schemas.openxmlformats.org/officeDocument/2006/relationships/hyperlink" Target="https://www.sebi.gov.in/sebi_data/commondocs/may-2026/Online%20Instruments%20india%20Limite-AP_p.pdf" TargetMode="External" Id="rId331" /><Relationship Type="http://schemas.openxmlformats.org/officeDocument/2006/relationships/hyperlink" Target="https://www.chittorgarh.com/ipo/online-instruments-india-ipo/3099/" TargetMode="External" Id="rId332" /><Relationship Type="http://schemas.openxmlformats.org/officeDocument/2006/relationships/hyperlink" Target="https://www.sebi.gov.in/sebi_data/attachdocs/may-2026/1777962146070.PDF" TargetMode="External" Id="rId333" /><Relationship Type="http://schemas.openxmlformats.org/officeDocument/2006/relationships/hyperlink" Target="https://www.sebi.gov.in/filings/public-issues/may-2026/jindal-supreme-india-limited-drhp_101256.html" TargetMode="External" Id="rId334" /><Relationship Type="http://schemas.openxmlformats.org/officeDocument/2006/relationships/hyperlink" Target="https://www.sebi.gov.in/sebi_data/commondocs/may-2026/Jindal%20Supreme%20India%20Limited%20-%20AP_p.pdf" TargetMode="External" Id="rId335" /><Relationship Type="http://schemas.openxmlformats.org/officeDocument/2006/relationships/hyperlink" Target="https://www.sebi.gov.in/sebi_data/attachdocs/apr-2026/1777447805864_1234.pdf" TargetMode="External" Id="rId336" /><Relationship Type="http://schemas.openxmlformats.org/officeDocument/2006/relationships/hyperlink" Target="https://www.sebi.gov.in/filings/public-issues/apr-2026/playsimple-games-limited-drhp_101159.html" TargetMode="External" Id="rId337" /><Relationship Type="http://schemas.openxmlformats.org/officeDocument/2006/relationships/hyperlink" Target="https://www.sebi.gov.in/sebi_data/commondocs/may-2026/Playsimple%20Games%20Limited_p.pdf" TargetMode="External" Id="rId338" /><Relationship Type="http://schemas.openxmlformats.org/officeDocument/2006/relationships/hyperlink" Target="https://www.chittorgarh.com/ipo/playsimple-games-ipo/3087/" TargetMode="External" Id="rId339" /><Relationship Type="http://schemas.openxmlformats.org/officeDocument/2006/relationships/hyperlink" Target="https://www.sebi.gov.in/sebi_data/attachdocs/apr-2026/1776843005609_1228.pdf" TargetMode="External" Id="rId340" /><Relationship Type="http://schemas.openxmlformats.org/officeDocument/2006/relationships/hyperlink" Target="https://www.sebi.gov.in/filings/public-issues/apr-2026/punjab-carbonic-limited-drhp_101039.html" TargetMode="External" Id="rId341" /><Relationship Type="http://schemas.openxmlformats.org/officeDocument/2006/relationships/hyperlink" Target="https://www.sebi.gov.in/sebi_data/commondocs/may-2026/Draft_Abridged_Prospectus_PCL_p.pdf" TargetMode="External" Id="rId342" /><Relationship Type="http://schemas.openxmlformats.org/officeDocument/2006/relationships/hyperlink" Target="https://www.chittorgarh.com/ipo/punjab-carbonic-ipo/2984/" TargetMode="External" Id="rId343" /><Relationship Type="http://schemas.openxmlformats.org/officeDocument/2006/relationships/hyperlink" Target="https://www.sebi.gov.in/sebi_data/attachdocs/apr-2026/1776339007769_1227.pdf" TargetMode="External" Id="rId344" /><Relationship Type="http://schemas.openxmlformats.org/officeDocument/2006/relationships/hyperlink" Target="https://www.sebi.gov.in/filings/public-issues/apr-2026/absolute-projects-india-limited-drhp_100947.html" TargetMode="External" Id="rId345" /><Relationship Type="http://schemas.openxmlformats.org/officeDocument/2006/relationships/hyperlink" Target="https://www.sebi.gov.in/sebi_data/commondocs/jul-2026/Absolute%20Projects%20India%20Limited%20-%20DAP_p.pdf" TargetMode="External" Id="rId346" /><Relationship Type="http://schemas.openxmlformats.org/officeDocument/2006/relationships/hyperlink" Target="https://www.chittorgarh.com/ipo/absolute-project-india-ipo/2983/" TargetMode="External" Id="rId347" /><Relationship Type="http://schemas.openxmlformats.org/officeDocument/2006/relationships/hyperlink" Target="https://www.sebi.gov.in/sebi_data/attachdocs/apr-2026/1776339007769_1226.pdf" TargetMode="External" Id="rId348" /><Relationship Type="http://schemas.openxmlformats.org/officeDocument/2006/relationships/hyperlink" Target="https://www.sebi.gov.in/filings/public-issues/apr-2026/monomark-engineering-india-limited-drhp_100945.html" TargetMode="External" Id="rId349" /><Relationship Type="http://schemas.openxmlformats.org/officeDocument/2006/relationships/hyperlink" Target="https://www.sebi.gov.in/sebi_data/commondocs/aug-2026/Monomark%20Engineering%20-%20AP_p.pdf" TargetMode="External" Id="rId350" /><Relationship Type="http://schemas.openxmlformats.org/officeDocument/2006/relationships/hyperlink" Target="https://www.chittorgarh.com/ipo/monomark-engineering-ipo/2972/" TargetMode="External" Id="rId351" /><Relationship Type="http://schemas.openxmlformats.org/officeDocument/2006/relationships/hyperlink" Target="https://www.sebi.gov.in/sebi_data/attachdocs/apr-2026/1776248390185.pdf" TargetMode="External" Id="rId352" /><Relationship Type="http://schemas.openxmlformats.org/officeDocument/2006/relationships/hyperlink" Target="https://www.sebi.gov.in/filings/public-issues/apr-2026/prasol-chemicals-limited-corrigendum-to-drhp-2_100930.html" TargetMode="External" Id="rId353" /><Relationship Type="http://schemas.openxmlformats.org/officeDocument/2006/relationships/hyperlink" Target="https://www.sebi.gov.in/sebi_data/attachdocs/apr-2026/1775819035932.pdf" TargetMode="External" Id="rId354" /><Relationship Type="http://schemas.openxmlformats.org/officeDocument/2006/relationships/hyperlink" Target="https://www.sebi.gov.in/filings/public-issues/apr-2026/expression-360-services-india-limited-drhp_100861.html" TargetMode="External" Id="rId355" /><Relationship Type="http://schemas.openxmlformats.org/officeDocument/2006/relationships/hyperlink" Target="https://www.sebi.gov.in/sebi_data/commondocs/apr-2026/Expression%20360%20Services%20India%20Limited-Abridged%20Prospectus_p.pdf" TargetMode="External" Id="rId356" /><Relationship Type="http://schemas.openxmlformats.org/officeDocument/2006/relationships/hyperlink" Target="https://www.chittorgarh.com/ipo/expression-360-services-ipo/3081/" TargetMode="External" Id="rId357" /><Relationship Type="http://schemas.openxmlformats.org/officeDocument/2006/relationships/hyperlink" Target="https://www.sebi.gov.in/sebi_data/attachdocs/apr-2026/1775806206718_1224.pdf" TargetMode="External" Id="rId358" /><Relationship Type="http://schemas.openxmlformats.org/officeDocument/2006/relationships/hyperlink" Target="https://www.sebi.gov.in/filings/public-issues/apr-2026/t-c-terrytex-limited-drhp_100856.html" TargetMode="External" Id="rId359" /><Relationship Type="http://schemas.openxmlformats.org/officeDocument/2006/relationships/hyperlink" Target="https://www.sebi.gov.in/sebi_data/commondocs/apr-2026/TC%20TERRYTEX%20LIMITED-Abridged%20Prospectus_p.pdf" TargetMode="External" Id="rId360" /><Relationship Type="http://schemas.openxmlformats.org/officeDocument/2006/relationships/hyperlink" Target="https://www.chittorgarh.com/ipo/tc-terrytex-ipo/2994/" TargetMode="External" Id="rId361" /><Relationship Type="http://schemas.openxmlformats.org/officeDocument/2006/relationships/hyperlink" Target="https://www.sebi.gov.in/sebi_data/attachdocs/apr-2026/1775633415124_1222.pdf" TargetMode="External" Id="rId362" /><Relationship Type="http://schemas.openxmlformats.org/officeDocument/2006/relationships/hyperlink" Target="https://www.sebi.gov.in/filings/public-issues/apr-2026/gujarat-victory-forgings-limited-drhp_100804.html" TargetMode="External" Id="rId363" /><Relationship Type="http://schemas.openxmlformats.org/officeDocument/2006/relationships/hyperlink" Target="https://www.sebi.gov.in/sebi_data/commondocs/apr-2026/GUJARAT%20VICTORY%20FORGINGS%20LIMITED-Abridged%20Prospectus_p.pdf" TargetMode="External" Id="rId364" /><Relationship Type="http://schemas.openxmlformats.org/officeDocument/2006/relationships/hyperlink" Target="https://www.chittorgarh.com/ipo/gujarat-victory-forging-ipo/2975/" TargetMode="External" Id="rId365" /><Relationship Type="http://schemas.openxmlformats.org/officeDocument/2006/relationships/hyperlink" Target="https://www.sebi.gov.in/sebi_data/attachdocs/apr-2026/1775633415124_1221.pdf" TargetMode="External" Id="rId366" /><Relationship Type="http://schemas.openxmlformats.org/officeDocument/2006/relationships/hyperlink" Target="https://www.sebi.gov.in/filings/public-issues/apr-2026/nityas-gems-and-jewellery-limited-drhp_100802.html" TargetMode="External" Id="rId367" /><Relationship Type="http://schemas.openxmlformats.org/officeDocument/2006/relationships/hyperlink" Target="https://www.sebi.gov.in/sebi_data/commondocs/apr-2026/Nityas%20Gems%20and%20Jewellery%20Limited-Abridged%20Prospectus_p.pdf" TargetMode="External" Id="rId368" /><Relationship Type="http://schemas.openxmlformats.org/officeDocument/2006/relationships/hyperlink" Target="https://www.chittorgarh.com/ipo/nityas-gems-jewellery-ipo/2974/" TargetMode="External" Id="rId369" /><Relationship Type="http://schemas.openxmlformats.org/officeDocument/2006/relationships/hyperlink" Target="https://www.sebi.gov.in/sebi_data/attachdocs/apr-2026/1775633415124_1219.pdf" TargetMode="External" Id="rId370" /><Relationship Type="http://schemas.openxmlformats.org/officeDocument/2006/relationships/hyperlink" Target="https://www.sebi.gov.in/filings/public-issues/apr-2026/bvishal-oil-and-energy-limited-drhp_100798.html" TargetMode="External" Id="rId371" /><Relationship Type="http://schemas.openxmlformats.org/officeDocument/2006/relationships/hyperlink" Target="https://www.sebi.gov.in/sebi_data/commondocs/apr-2026/Bvishal%20Oil%20and%20Energy%20Limited-Abridged%20Prospectus_p.pdf" TargetMode="External" Id="rId372" /><Relationship Type="http://schemas.openxmlformats.org/officeDocument/2006/relationships/hyperlink" Target="https://www.chittorgarh.com/ipo/bvishal-oil-and-energy-ipo/2988/" TargetMode="External" Id="rId373" /><Relationship Type="http://schemas.openxmlformats.org/officeDocument/2006/relationships/hyperlink" Target="https://www.sebi.gov.in/sebi_data/attachdocs/apr-2026/1775633415124_1218.pdf" TargetMode="External" Id="rId374" /><Relationship Type="http://schemas.openxmlformats.org/officeDocument/2006/relationships/hyperlink" Target="https://www.sebi.gov.in/filings/public-issues/apr-2026/sathya-agencies-limited-drhp_100796.html" TargetMode="External" Id="rId375" /><Relationship Type="http://schemas.openxmlformats.org/officeDocument/2006/relationships/hyperlink" Target="https://www.sebi.gov.in/sebi_data/commondocs/apr-2026/Sathya%20Agencies%20Limited-Abridged%20Prospectus_p.pdf" TargetMode="External" Id="rId376" /><Relationship Type="http://schemas.openxmlformats.org/officeDocument/2006/relationships/hyperlink" Target="https://www.chittorgarh.com/ipo/sathya-agencies-ipo/2976/" TargetMode="External" Id="rId377" /><Relationship Type="http://schemas.openxmlformats.org/officeDocument/2006/relationships/hyperlink" Target="https://www.sebi.gov.in/sebi_data/attachdocs/apr-2026/1776677194481.pdf" TargetMode="External" Id="rId378" /><Relationship Type="http://schemas.openxmlformats.org/officeDocument/2006/relationships/hyperlink" Target="https://www.sebi.gov.in/filings/public-issues/apr-2026/kay-jay-forgings-limited-drhp_100975.html" TargetMode="External" Id="rId379" /><Relationship Type="http://schemas.openxmlformats.org/officeDocument/2006/relationships/hyperlink" Target="https://www.sebi.gov.in/sebi_data/commondocs/apr-2026/Kay%20Jay%20Forgings%20Limited-Abridged%20Prospectus_p.pdf" TargetMode="External" Id="rId380" /><Relationship Type="http://schemas.openxmlformats.org/officeDocument/2006/relationships/hyperlink" Target="https://www.chittorgarh.com/ipo/kay-jay-forgings-ipo/2997/" TargetMode="External" Id="rId381" /><Relationship Type="http://schemas.openxmlformats.org/officeDocument/2006/relationships/hyperlink" Target="https://www.sebi.gov.in/sebi_data/attachdocs/apr-2026/1776080041259.pdf" TargetMode="External" Id="rId382" /><Relationship Type="http://schemas.openxmlformats.org/officeDocument/2006/relationships/hyperlink" Target="https://www.sebi.gov.in/filings/public-issues/apr-2026/adroit-industries-india-limited-drhp_100909.html" TargetMode="External" Id="rId383" /><Relationship Type="http://schemas.openxmlformats.org/officeDocument/2006/relationships/hyperlink" Target="https://www.sebi.gov.in/sebi_data/commondocs/apr-2026/Adroit%20Industries%20India)Limited-Abridged%20Prospectus_p.pdf" TargetMode="External" Id="rId384" /><Relationship Type="http://schemas.openxmlformats.org/officeDocument/2006/relationships/hyperlink" Target="https://www.sebi.gov.in/sebi_data/attachdocs/apr-2026/1775547017596_1211.pdf" TargetMode="External" Id="rId385" /><Relationship Type="http://schemas.openxmlformats.org/officeDocument/2006/relationships/hyperlink" Target="https://www.sebi.gov.in/filings/public-issues/apr-2026/intellius-recode-limited-drhp_100765.html" TargetMode="External" Id="rId386" /><Relationship Type="http://schemas.openxmlformats.org/officeDocument/2006/relationships/hyperlink" Target="https://www.sebi.gov.in/sebi_data/commondocs/apr-2026/Intellius%20Recode%20Ltd%20-%20Abridged%20Prospectus_p.pdf" TargetMode="External" Id="rId387" /><Relationship Type="http://schemas.openxmlformats.org/officeDocument/2006/relationships/hyperlink" Target="https://www.chittorgarh.com/ipo/intellius-recode-ipo/2968/" TargetMode="External" Id="rId388" /><Relationship Type="http://schemas.openxmlformats.org/officeDocument/2006/relationships/hyperlink" Target="https://www.sebi.gov.in/sebi_data/attachdocs/apr-2026/1775547017596_1210.pdf" TargetMode="External" Id="rId389" /><Relationship Type="http://schemas.openxmlformats.org/officeDocument/2006/relationships/hyperlink" Target="https://www.sebi.gov.in/filings/public-issues/apr-2026/manipal-health-enterprises-limited-drhp_100763.html" TargetMode="External" Id="rId390" /><Relationship Type="http://schemas.openxmlformats.org/officeDocument/2006/relationships/hyperlink" Target="https://www.sebi.gov.in/sebi_data/commondocs/apr-2026/Manipal%20Health%20Enterprises%20Limited-Abridged%20Prospectus_p.pdf" TargetMode="External" Id="rId391" /><Relationship Type="http://schemas.openxmlformats.org/officeDocument/2006/relationships/hyperlink" Target="https://www.sebi.gov.in/sebi_data/attachdocs/apr-2026/1775547017596_1205.pdf" TargetMode="External" Id="rId392" /><Relationship Type="http://schemas.openxmlformats.org/officeDocument/2006/relationships/hyperlink" Target="https://www.sebi.gov.in/filings/public-issues/apr-2026/sadbhav-futuretech-limited_100753.html" TargetMode="External" Id="rId393" /><Relationship Type="http://schemas.openxmlformats.org/officeDocument/2006/relationships/hyperlink" Target="https://www.chittorgarh.com/ipo/sadbhav-futuretech-ipo/2986/" TargetMode="External" Id="rId394" /><Relationship Type="http://schemas.openxmlformats.org/officeDocument/2006/relationships/hyperlink" Target="https://www.sebi.gov.in/sebi_data/attachdocs/apr-2026/1775525404083_1204.pdf" TargetMode="External" Id="rId395" /><Relationship Type="http://schemas.openxmlformats.org/officeDocument/2006/relationships/hyperlink" Target="https://www.sebi.gov.in/filings/public-issues/apr-2026/rentomojo-limited-drhp_100746.html" TargetMode="External" Id="rId396" /><Relationship Type="http://schemas.openxmlformats.org/officeDocument/2006/relationships/hyperlink" Target="https://www.sebi.gov.in/sebi_data/commondocs/apr-2026/Rentomojo%20Limited-Draft%20Abridged%20Prospectus_p.pdf" TargetMode="External" Id="rId397" /><Relationship Type="http://schemas.openxmlformats.org/officeDocument/2006/relationships/hyperlink" Target="https://www.sebi.gov.in/sebi_data/attachdocs/apr-2026/1775129403770_1203.pdf" TargetMode="External" Id="rId398" /><Relationship Type="http://schemas.openxmlformats.org/officeDocument/2006/relationships/hyperlink" Target="https://www.sebi.gov.in/filings/public-issues/apr-2026/cosmic-pv-power-limited-drhp_100718.html" TargetMode="External" Id="rId399" /><Relationship Type="http://schemas.openxmlformats.org/officeDocument/2006/relationships/hyperlink" Target="https://www.sebi.gov.in/sebi_data/commondocs/apr-2026/COSMIC%20PV%20POWER%20LIMITED-Abridged%20prospectus_p.pdf" TargetMode="External" Id="rId400" /><Relationship Type="http://schemas.openxmlformats.org/officeDocument/2006/relationships/hyperlink" Target="https://www.chittorgarh.com/ipo/cosmic-pv-power-ipo/2980/" TargetMode="External" Id="rId401" /><Relationship Type="http://schemas.openxmlformats.org/officeDocument/2006/relationships/hyperlink" Target="https://www.sebi.gov.in/sebi_data/attachdocs/apr-2026/1775115013296_1202.pdf" TargetMode="External" Id="rId402" /><Relationship Type="http://schemas.openxmlformats.org/officeDocument/2006/relationships/hyperlink" Target="https://www.sebi.gov.in/filings/public-issues/apr-2026/pioneer-fil-med-limited-drhp_100715.html" TargetMode="External" Id="rId403" /><Relationship Type="http://schemas.openxmlformats.org/officeDocument/2006/relationships/hyperlink" Target="https://www.sebi.gov.in/sebi_data/commondocs/apr-2026/Pioneer%20Fil-Med%20Limited-Draft%20Abridged%20Prospectus_p.pdf" TargetMode="External" Id="rId404" /><Relationship Type="http://schemas.openxmlformats.org/officeDocument/2006/relationships/hyperlink" Target="https://www.chittorgarh.com/ipo/pioneer-fil-med-ipo/2967/" TargetMode="External" Id="rId405" /><Relationship Type="http://schemas.openxmlformats.org/officeDocument/2006/relationships/hyperlink" Target="https://www.sebi.gov.in/sebi_data/attachdocs/apr-2026/1775105578692.pdf" TargetMode="External" Id="rId406" /><Relationship Type="http://schemas.openxmlformats.org/officeDocument/2006/relationships/hyperlink" Target="https://www.sebi.gov.in/filings/public-issues/apr-2026/rkb-global-limited-drhp_100702.html" TargetMode="External" Id="rId407" /><Relationship Type="http://schemas.openxmlformats.org/officeDocument/2006/relationships/hyperlink" Target="https://www.sebi.gov.in/sebi_data/commondocs/apr-2026/RKB%20Global%20Limited%20-%20Abridged%20prospectus_p.pdf" TargetMode="External" Id="rId408" /><Relationship Type="http://schemas.openxmlformats.org/officeDocument/2006/relationships/hyperlink" Target="https://www.chittorgarh.com/ipo/rkb-global-ipo/2952/" TargetMode="External" Id="rId409" /><Relationship Type="http://schemas.openxmlformats.org/officeDocument/2006/relationships/hyperlink" Target="https://www.sebi.gov.in/sebi_data/attachdocs/apr-2026/1775120802263.pdf" TargetMode="External" Id="rId410" /><Relationship Type="http://schemas.openxmlformats.org/officeDocument/2006/relationships/hyperlink" Target="https://www.sebi.gov.in/filings/public-issues/mar-2026/laxyo-limited-drhp_100686.html" TargetMode="External" Id="rId411" /><Relationship Type="http://schemas.openxmlformats.org/officeDocument/2006/relationships/hyperlink" Target="https://www.sebi.gov.in/sebi_data/commondocs/apr-2026/Laxyo%20Limited-Draft%20Abridged%20Prospectus_p.pdf" TargetMode="External" Id="rId412" /><Relationship Type="http://schemas.openxmlformats.org/officeDocument/2006/relationships/hyperlink" Target="https://www.chittorgarh.com/ipo/laxyo-ipo/2957/" TargetMode="External" Id="rId413" /><Relationship Type="http://schemas.openxmlformats.org/officeDocument/2006/relationships/hyperlink" Target="https://www.sebi.gov.in/sebi_data/attachdocs/apr-2026/1775016379965.pdf" TargetMode="External" Id="rId414" /><Relationship Type="http://schemas.openxmlformats.org/officeDocument/2006/relationships/hyperlink" Target="https://www.sebi.gov.in/filings/public-issues/mar-2026/bharat-pet-limited-drhp_100673.html" TargetMode="External" Id="rId415" /><Relationship Type="http://schemas.openxmlformats.org/officeDocument/2006/relationships/hyperlink" Target="https://www.sebi.gov.in/sebi_data/commondocs/apr-2026/Bharat%20PET%20Limited-Abridged%20Prospectus_p.pdf" TargetMode="External" Id="rId416" /><Relationship Type="http://schemas.openxmlformats.org/officeDocument/2006/relationships/hyperlink" Target="https://www.chittorgarh.com/ipo/bharat-pet-ipo/2958/" TargetMode="External" Id="rId417" /><Relationship Type="http://schemas.openxmlformats.org/officeDocument/2006/relationships/hyperlink" Target="https://www.sebi.gov.in/sebi_data/attachdocs/mar-2026/1774843345474.pdf" TargetMode="External" Id="rId418" /><Relationship Type="http://schemas.openxmlformats.org/officeDocument/2006/relationships/hyperlink" Target="https://www.sebi.gov.in/filings/public-issues/mar-2026/r-k-steel-manufacturing-company-limited-addendum-to-drhp_100660.html" TargetMode="External" Id="rId419" /><Relationship Type="http://schemas.openxmlformats.org/officeDocument/2006/relationships/hyperlink" Target="https://www.chittorgarh.com/ipo/rk-steel-manufacturing-ipo/2687/" TargetMode="External" Id="rId420" /><Relationship Type="http://schemas.openxmlformats.org/officeDocument/2006/relationships/hyperlink" Target="https://www.sebi.gov.in/sebi_data/attachdocs/mar-2026/1774596605715_1174.pdf" TargetMode="External" Id="rId421" /><Relationship Type="http://schemas.openxmlformats.org/officeDocument/2006/relationships/hyperlink" Target="https://www.sebi.gov.in/filings/public-issues/mar-2026/polite-powertech-limited_100624.html" TargetMode="External" Id="rId422" /><Relationship Type="http://schemas.openxmlformats.org/officeDocument/2006/relationships/hyperlink" Target="https://www.chittorgarh.com/ipo/polite-powertech-ipo/2947/" TargetMode="External" Id="rId423" /><Relationship Type="http://schemas.openxmlformats.org/officeDocument/2006/relationships/hyperlink" Target="https://www.sebi.gov.in/sebi_data/attachdocs/mar-2026/1774421203748.pdf" TargetMode="External" Id="rId424" /><Relationship Type="http://schemas.openxmlformats.org/officeDocument/2006/relationships/hyperlink" Target="https://www.sebi.gov.in/filings/public-issues/mar-2026/trenzet-infra-limited-drhp_100553.html" TargetMode="External" Id="rId425" /><Relationship Type="http://schemas.openxmlformats.org/officeDocument/2006/relationships/hyperlink" Target="https://www.sebi.gov.in/sebi_data/commondocs/apr-2026/Trenzet%20Infra%20Limited-Abridged%20Prospectus_p.pdf" TargetMode="External" Id="rId426" /><Relationship Type="http://schemas.openxmlformats.org/officeDocument/2006/relationships/hyperlink" Target="https://www.chittorgarh.com/ipo/trenzet-infra-ipo/2951/" TargetMode="External" Id="rId427" /><Relationship Type="http://schemas.openxmlformats.org/officeDocument/2006/relationships/hyperlink" Target="https://www.sebi.gov.in/sebi_data/attachdocs/mar-2026/1774350064957.pdf" TargetMode="External" Id="rId428" /><Relationship Type="http://schemas.openxmlformats.org/officeDocument/2006/relationships/hyperlink" Target="https://www.sebi.gov.in/filings/public-issues/mar-2026/sterlite-electric-limited-addendum-to-drhp_100529.html" TargetMode="External" Id="rId429" /><Relationship Type="http://schemas.openxmlformats.org/officeDocument/2006/relationships/hyperlink" Target="https://www.chittorgarh.com/ipo/sterlite-electric-ipo/2679/" TargetMode="External" Id="rId430" /><Relationship Type="http://schemas.openxmlformats.org/officeDocument/2006/relationships/hyperlink" Target="https://www.sebi.gov.in/sebi_data/attachdocs/mar-2026/1774337405679_1155.pdf" TargetMode="External" Id="rId431" /><Relationship Type="http://schemas.openxmlformats.org/officeDocument/2006/relationships/hyperlink" Target="https://www.sebi.gov.in/filings/public-issues/mar-2026/truhome-finance-limited_100519.html" TargetMode="External" Id="rId432" /><Relationship Type="http://schemas.openxmlformats.org/officeDocument/2006/relationships/hyperlink" Target="https://www.chittorgarh.com/ipo/truhome-finance-ipo/2941/" TargetMode="External" Id="rId433" /><Relationship Type="http://schemas.openxmlformats.org/officeDocument/2006/relationships/hyperlink" Target="https://www.sebi.gov.in/sebi_data/attachdocs/mar-2026/1774324758355.pdf" TargetMode="External" Id="rId434" /><Relationship Type="http://schemas.openxmlformats.org/officeDocument/2006/relationships/hyperlink" Target="https://www.sebi.gov.in/filings/public-issues/mar-2026/sbi-funds-management-limited-drhp_100517.html" TargetMode="External" Id="rId435" /><Relationship Type="http://schemas.openxmlformats.org/officeDocument/2006/relationships/hyperlink" Target="https://www.sebi.gov.in/sebi_data/commondocs/apr-2026/SBI%20Funds%20Management%20Limited%20-Abridged%20Prospectus_p.pdf" TargetMode="External" Id="rId436" /><Relationship Type="http://schemas.openxmlformats.org/officeDocument/2006/relationships/hyperlink" Target="https://www.sebi.gov.in/sebi_data/attachdocs/mar-2026/1773106204965_1136.pdf" TargetMode="External" Id="rId437" /><Relationship Type="http://schemas.openxmlformats.org/officeDocument/2006/relationships/hyperlink" Target="https://www.sebi.gov.in/filings/public-issues/mar-2026/shreni-shares-limited_100212.html" TargetMode="External" Id="rId438" /><Relationship Type="http://schemas.openxmlformats.org/officeDocument/2006/relationships/hyperlink" Target="https://www.chittorgarh.com/ipo/shreni-shares-ipo/2935/" TargetMode="External" Id="rId439" /><Relationship Type="http://schemas.openxmlformats.org/officeDocument/2006/relationships/hyperlink" Target="https://www.sebi.gov.in/sebi_data/attachdocs/mar-2026/1773055805156_1135.pdf" TargetMode="External" Id="rId440" /><Relationship Type="http://schemas.openxmlformats.org/officeDocument/2006/relationships/hyperlink" Target="https://www.sebi.gov.in/filings/public-issues/mar-2026/sunil-gold-india-limited_100202.html" TargetMode="External" Id="rId441" /><Relationship Type="http://schemas.openxmlformats.org/officeDocument/2006/relationships/hyperlink" Target="https://www.chittorgarh.com/ipo/sunil-gold-india-ipo/2939/" TargetMode="External" Id="rId442" /><Relationship Type="http://schemas.openxmlformats.org/officeDocument/2006/relationships/hyperlink" Target="https://www.sebi.gov.in/sebi_data/attachdocs/mar-2026/1773041406985_1134.pdf" TargetMode="External" Id="rId443" /><Relationship Type="http://schemas.openxmlformats.org/officeDocument/2006/relationships/hyperlink" Target="https://www.sebi.gov.in/filings/public-issues/mar-2026/moneyview-limited_100187.html" TargetMode="External" Id="rId444" /><Relationship Type="http://schemas.openxmlformats.org/officeDocument/2006/relationships/hyperlink" Target="https://www.sebi.gov.in/sebi_data/attachdocs/feb-2026/1771916207969.pdf" TargetMode="External" Id="rId445" /><Relationship Type="http://schemas.openxmlformats.org/officeDocument/2006/relationships/hyperlink" Target="https://www.sebi.gov.in/filings/public-issues/feb-2026/sael-industries-limited-addendum-to-drhp_99927.html" TargetMode="External" Id="rId446" /><Relationship Type="http://schemas.openxmlformats.org/officeDocument/2006/relationships/hyperlink" Target="https://www.chittorgarh.com/ipo/sael-industries-ipo/2793/" TargetMode="External" Id="rId447" /><Relationship Type="http://schemas.openxmlformats.org/officeDocument/2006/relationships/hyperlink" Target="https://www.sebi.gov.in/sebi_data/attachdocs/feb-2026/1771327806640_1118.pdf" TargetMode="External" Id="rId448" /><Relationship Type="http://schemas.openxmlformats.org/officeDocument/2006/relationships/hyperlink" Target="https://www.sebi.gov.in/filings/public-issues/feb-2026/rays-of-belief-limited_99815.html" TargetMode="External" Id="rId449" /><Relationship Type="http://schemas.openxmlformats.org/officeDocument/2006/relationships/hyperlink" Target="https://www.sebi.gov.in/sebi_data/attachdocs/feb-2026/1771241407162_1117.pdf" TargetMode="External" Id="rId450" /><Relationship Type="http://schemas.openxmlformats.org/officeDocument/2006/relationships/hyperlink" Target="https://www.sebi.gov.in/filings/public-issues/feb-2026/bonfiglioli-transmissions-limited_99781.html" TargetMode="External" Id="rId451" /><Relationship Type="http://schemas.openxmlformats.org/officeDocument/2006/relationships/hyperlink" Target="https://www.chittorgarh.com/ipo/bonfiglioli-transmissions-ipo/2861/" TargetMode="External" Id="rId452" /><Relationship Type="http://schemas.openxmlformats.org/officeDocument/2006/relationships/hyperlink" Target="https://www.sebi.gov.in/sebi_data/attachdocs/feb-2026/1770791150896.pdf" TargetMode="External" Id="rId453" /><Relationship Type="http://schemas.openxmlformats.org/officeDocument/2006/relationships/hyperlink" Target="https://www.sebi.gov.in/filings/public-issues/feb-2026/bonbloc-technologies-limited-addendum-cum-corrigendum_99677.html" TargetMode="External" Id="rId454" /><Relationship Type="http://schemas.openxmlformats.org/officeDocument/2006/relationships/hyperlink" Target="https://www.chittorgarh.com/ipo/bonbloc-technologies-ipo/2645/" TargetMode="External" Id="rId455" /><Relationship Type="http://schemas.openxmlformats.org/officeDocument/2006/relationships/hyperlink" Target="https://www.sebi.gov.in/sebi_data/attachdocs/feb-2026/1770369581215.pdf" TargetMode="External" Id="rId456" /><Relationship Type="http://schemas.openxmlformats.org/officeDocument/2006/relationships/hyperlink" Target="https://www.sebi.gov.in/filings/public-issues/feb-2026/madhur-iron-and-steel-india-limited-drhp_99564.html" TargetMode="External" Id="rId457" /><Relationship Type="http://schemas.openxmlformats.org/officeDocument/2006/relationships/hyperlink" Target="https://www.chittorgarh.com/ipo/madhur-iron-and-steel-ipo/2855/" TargetMode="External" Id="rId458" /><Relationship Type="http://schemas.openxmlformats.org/officeDocument/2006/relationships/hyperlink" Target="https://www.sebi.gov.in/sebi_data/attachdocs/feb-2026/1770358837666.pdf" TargetMode="External" Id="rId459" /><Relationship Type="http://schemas.openxmlformats.org/officeDocument/2006/relationships/hyperlink" Target="https://www.sebi.gov.in/filings/public-issues/feb-2026/sillverton-industries-limited-addendum-to-drhp_99560.html" TargetMode="External" Id="rId460" /><Relationship Type="http://schemas.openxmlformats.org/officeDocument/2006/relationships/hyperlink" Target="https://www.chittorgarh.com/ipo/sillverton-industries-ipo/2499/" TargetMode="External" Id="rId461" /><Relationship Type="http://schemas.openxmlformats.org/officeDocument/2006/relationships/hyperlink" Target="https://www.sebi.gov.in/sebi_data/attachdocs/feb-2026/1770358047774.pdf" TargetMode="External" Id="rId462" /><Relationship Type="http://schemas.openxmlformats.org/officeDocument/2006/relationships/hyperlink" Target="https://www.sebi.gov.in/filings/public-issues/feb-2026/srit-india-limited-drhp_99558.html" TargetMode="External" Id="rId463" /><Relationship Type="http://schemas.openxmlformats.org/officeDocument/2006/relationships/hyperlink" Target="https://www.chittorgarh.com/ipo/srit-india-ipo/2858/" TargetMode="External" Id="rId464" /><Relationship Type="http://schemas.openxmlformats.org/officeDocument/2006/relationships/hyperlink" Target="https://www.sebi.gov.in/sebi_data/attachdocs/feb-2026/1770194067333.pdf" TargetMode="External" Id="rId465" /><Relationship Type="http://schemas.openxmlformats.org/officeDocument/2006/relationships/hyperlink" Target="https://www.sebi.gov.in/filings/public-issues/feb-2026/turtlemint-fintech-solutions-limited-udrhp-1_99493.html" TargetMode="External" Id="rId466" /><Relationship Type="http://schemas.openxmlformats.org/officeDocument/2006/relationships/hyperlink" Target="https://www.sebi.gov.in/sebi_data/attachdocs/feb-2026/1770183523459.pdf" TargetMode="External" Id="rId467" /><Relationship Type="http://schemas.openxmlformats.org/officeDocument/2006/relationships/hyperlink" Target="https://www.sebi.gov.in/filings/public-issues/feb-2026/marri-retail-limited-drhp_99483.html" TargetMode="External" Id="rId468" /><Relationship Type="http://schemas.openxmlformats.org/officeDocument/2006/relationships/hyperlink" Target="https://www.chittorgarh.com/ipo/marri-retail-ipo/2857/" TargetMode="External" Id="rId469" /><Relationship Type="http://schemas.openxmlformats.org/officeDocument/2006/relationships/hyperlink" Target="https://www.sebi.gov.in/sebi_data/attachdocs/feb-2026/1770114408329.pdf" TargetMode="External" Id="rId470" /><Relationship Type="http://schemas.openxmlformats.org/officeDocument/2006/relationships/hyperlink" Target="https://www.sebi.gov.in/filings/public-issues/jan-2026/bombay-coated-and-special-steels-limited_99471.html" TargetMode="External" Id="rId471" /><Relationship Type="http://schemas.openxmlformats.org/officeDocument/2006/relationships/hyperlink" Target="https://www.chittorgarh.com/ipo/bombay-coated-and-special-steels-ipo/2671/" TargetMode="External" Id="rId472" /><Relationship Type="http://schemas.openxmlformats.org/officeDocument/2006/relationships/hyperlink" Target="https://www.sebi.gov.in/sebi_data/attachdocs/feb-2026/1770178189182.pdf" TargetMode="External" Id="rId473" /><Relationship Type="http://schemas.openxmlformats.org/officeDocument/2006/relationships/hyperlink" Target="https://www.sebi.gov.in/filings/public-issues/jan-2026/powerica-limited-addendum-to-drhp_99480.html" TargetMode="External" Id="rId474" /><Relationship Type="http://schemas.openxmlformats.org/officeDocument/2006/relationships/hyperlink" Target="https://www.sebi.gov.in/sebi_data/attachdocs/jan-2026/1769583962398.pdf" TargetMode="External" Id="rId475" /><Relationship Type="http://schemas.openxmlformats.org/officeDocument/2006/relationships/hyperlink" Target="https://www.sebi.gov.in/filings/public-issues/jan-2026/kanohar-electricals-limited_99322.html" TargetMode="External" Id="rId476" /><Relationship Type="http://schemas.openxmlformats.org/officeDocument/2006/relationships/hyperlink" Target="https://www.sebi.gov.in/sebi_data/commondocs/sep-2026/RHP%20Addendum%20Ad%20-%20For%20website%20upload_p.pdf" TargetMode="External" Id="rId477" /><Relationship Type="http://schemas.openxmlformats.org/officeDocument/2006/relationships/hyperlink" Target="https://www.sebi.gov.in/sebi_data/attachdocs/jan-2026/1769747476646.pdf" TargetMode="External" Id="rId478" /><Relationship Type="http://schemas.openxmlformats.org/officeDocument/2006/relationships/hyperlink" Target="https://www.sebi.gov.in/filings/public-issues/jan-2026/prasol-chemicals-limited-corrigendum-to-drhp_99379.html" TargetMode="External" Id="rId479" /><Relationship Type="http://schemas.openxmlformats.org/officeDocument/2006/relationships/hyperlink" Target="https://www.sebi.gov.in/sebi_data/attachdocs/jan-2026/1769161833282.pdf" TargetMode="External" Id="rId480" /><Relationship Type="http://schemas.openxmlformats.org/officeDocument/2006/relationships/hyperlink" Target="https://www.sebi.gov.in/filings/public-issues/jan-2026/phonepe-limited-udrhp-i_99285.html" TargetMode="External" Id="rId481" /><Relationship Type="http://schemas.openxmlformats.org/officeDocument/2006/relationships/hyperlink" Target="https://www.chittorgarh.com/ipo/phonepe-ipo/2634/" TargetMode="External" Id="rId482" /><Relationship Type="http://schemas.openxmlformats.org/officeDocument/2006/relationships/hyperlink" Target="https://www.sebi.gov.in/sebi_data/attachdocs/jan-2026/1769149793606.pdf" TargetMode="External" Id="rId483" /><Relationship Type="http://schemas.openxmlformats.org/officeDocument/2006/relationships/hyperlink" Target="https://www.sebi.gov.in/filings/public-issues/jan-2026/armee-infotech-limited-addendum-to-drhp_99282.html" TargetMode="External" Id="rId484" /><Relationship Type="http://schemas.openxmlformats.org/officeDocument/2006/relationships/hyperlink" Target="https://www.sebi.gov.in/sebi_data/attachdocs/jan-2026/1769161615327.pdf" TargetMode="External" Id="rId485" /><Relationship Type="http://schemas.openxmlformats.org/officeDocument/2006/relationships/hyperlink" Target="https://www.sebi.gov.in/filings/public-issues/jan-2026/appl-containers-limited-addendum-to-drhp_99277.html" TargetMode="External" Id="rId486" /><Relationship Type="http://schemas.openxmlformats.org/officeDocument/2006/relationships/hyperlink" Target="https://www.chittorgarh.com/ipo/appl-containers-ipo/2643/" TargetMode="External" Id="rId487" /><Relationship Type="http://schemas.openxmlformats.org/officeDocument/2006/relationships/hyperlink" Target="https://www.sebi.gov.in/sebi_data/attachdocs/jan-2026/1769083342999.pdf" TargetMode="External" Id="rId488" /><Relationship Type="http://schemas.openxmlformats.org/officeDocument/2006/relationships/hyperlink" Target="https://www.sebi.gov.in/filings/public-issues/jan-2026/eaaa-india-alternatives-limited-drhp_99257.html" TargetMode="External" Id="rId489" /><Relationship Type="http://schemas.openxmlformats.org/officeDocument/2006/relationships/hyperlink" Target="https://www.chittorgarh.com/ipo/eaaa-india-alternatives-ipo/2061/" TargetMode="External" Id="rId490" /><Relationship Type="http://schemas.openxmlformats.org/officeDocument/2006/relationships/hyperlink" Target="https://www.sebi.gov.in/sebi_data/attachdocs/jan-2026/1769065345546.pdf" TargetMode="External" Id="rId491" /><Relationship Type="http://schemas.openxmlformats.org/officeDocument/2006/relationships/hyperlink" Target="https://www.sebi.gov.in/filings/public-issues/jan-2026/advanta-enterprises-limited-drhp_99228.html" TargetMode="External" Id="rId492" /><Relationship Type="http://schemas.openxmlformats.org/officeDocument/2006/relationships/hyperlink" Target="https://www.chittorgarh.com/ipo/advanta-enterprises-ipo/2854/" TargetMode="External" Id="rId493" /><Relationship Type="http://schemas.openxmlformats.org/officeDocument/2006/relationships/hyperlink" Target="https://www.sebi.gov.in/sebi_data/attachdocs/jan-2026/1768908606102_1097.pdf" TargetMode="External" Id="rId494" /><Relationship Type="http://schemas.openxmlformats.org/officeDocument/2006/relationships/hyperlink" Target="https://www.sebi.gov.in/filings/public-issues/jan-2026/rodec-pharma-limited_99167.html" TargetMode="External" Id="rId495" /><Relationship Type="http://schemas.openxmlformats.org/officeDocument/2006/relationships/hyperlink" Target="https://www.chittorgarh.com/ipo/rodec-pharma-ipo/2852/" TargetMode="External" Id="rId496" /><Relationship Type="http://schemas.openxmlformats.org/officeDocument/2006/relationships/hyperlink" Target="https://www.sebi.gov.in/sebi_data/attachdocs/jan-2026/1768304860369.pdf" TargetMode="External" Id="rId497" /><Relationship Type="http://schemas.openxmlformats.org/officeDocument/2006/relationships/hyperlink" Target="https://www.sebi.gov.in/filings/public-issues/jan-2026/veegaland-developers-limited_99042.html" TargetMode="External" Id="rId498" /><Relationship Type="http://schemas.openxmlformats.org/officeDocument/2006/relationships/hyperlink" Target="https://www.sebi.gov.in/sebi_data/attachdocs/jan-2026/1768303804000_1096.pdf" TargetMode="External" Id="rId499" /><Relationship Type="http://schemas.openxmlformats.org/officeDocument/2006/relationships/hyperlink" Target="https://www.sebi.gov.in/filings/public-issues/jan-2026/hindustan-laboratories-limited_99041.html" TargetMode="External" Id="rId500" /><Relationship Type="http://schemas.openxmlformats.org/officeDocument/2006/relationships/hyperlink" Target="https://www.chittorgarh.com/ipo/hindustan-laboratories-ipo/2850/" TargetMode="External" Id="rId501" /><Relationship Type="http://schemas.openxmlformats.org/officeDocument/2006/relationships/hyperlink" Target="https://www.sebi.gov.in/sebi_data/attachdocs/jan-2026/1768295972738.pdf" TargetMode="External" Id="rId502" /><Relationship Type="http://schemas.openxmlformats.org/officeDocument/2006/relationships/hyperlink" Target="https://www.sebi.gov.in/filings/public-issues/jan-2026/aarvee-engineering-consultants-limited-addendum-2_99033.html" TargetMode="External" Id="rId503" /><Relationship Type="http://schemas.openxmlformats.org/officeDocument/2006/relationships/hyperlink" Target="https://www.chittorgarh.com/ipo/aarvee-engineering-consultants-ipo/2637/" TargetMode="External" Id="rId504" /><Relationship Type="http://schemas.openxmlformats.org/officeDocument/2006/relationships/hyperlink" Target="https://www.sebi.gov.in/sebi_data/attachdocs/jan-2026/1768212809549.pdf" TargetMode="External" Id="rId505" /><Relationship Type="http://schemas.openxmlformats.org/officeDocument/2006/relationships/hyperlink" Target="https://www.sebi.gov.in/filings/public-issues/jan-2026/sael-industries-limited-corrigendum-to-drhp_99024.html" TargetMode="External" Id="rId506" /><Relationship Type="http://schemas.openxmlformats.org/officeDocument/2006/relationships/hyperlink" Target="https://www.chittorgarh.com/ipo/sael-industries-ipo/2793/" TargetMode="External" Id="rId507" /><Relationship Type="http://schemas.openxmlformats.org/officeDocument/2006/relationships/hyperlink" Target="https://www.sebi.gov.in/sebi_data/attachdocs/jan-2026/1768202159183.pdf" TargetMode="External" Id="rId508" /><Relationship Type="http://schemas.openxmlformats.org/officeDocument/2006/relationships/hyperlink" Target="https://www.sebi.gov.in/filings/public-issues/jan-2026/vishal-nirmiti-limited_98883.html" TargetMode="External" Id="rId509" /><Relationship Type="http://schemas.openxmlformats.org/officeDocument/2006/relationships/hyperlink" Target="https://www.chittorgarh.com/ipo/vishal-nirmiti-ipo/2665/" TargetMode="External" Id="rId510" /><Relationship Type="http://schemas.openxmlformats.org/officeDocument/2006/relationships/hyperlink" Target="https://www.sebi.gov.in/sebi_data/attachdocs/jan-2026/1767762940433.pdf" TargetMode="External" Id="rId511" /><Relationship Type="http://schemas.openxmlformats.org/officeDocument/2006/relationships/hyperlink" Target="https://www.sebi.gov.in/filings/public-issues/jan-2026/surgiwear-limited_98949.html" TargetMode="External" Id="rId512" /><Relationship Type="http://schemas.openxmlformats.org/officeDocument/2006/relationships/hyperlink" Target="https://www.chittorgarh.com/ipo/g-surgiwear-ipo/2832/" TargetMode="External" Id="rId513" /><Relationship Type="http://schemas.openxmlformats.org/officeDocument/2006/relationships/hyperlink" Target="https://www.sebi.gov.in/sebi_data/attachdocs/jan-2026/1767598214527_1053.pdf" TargetMode="External" Id="rId514" /><Relationship Type="http://schemas.openxmlformats.org/officeDocument/2006/relationships/hyperlink" Target="https://www.sebi.gov.in/filings/public-issues/jan-2026/ss-retail-limited_98843.html" TargetMode="External" Id="rId515" /><Relationship Type="http://schemas.openxmlformats.org/officeDocument/2006/relationships/hyperlink" Target="https://www.sebi.gov.in/sebi_data/attachdocs/jan-2026/1767598214527_1051.pdf" TargetMode="External" Id="rId516" /><Relationship Type="http://schemas.openxmlformats.org/officeDocument/2006/relationships/hyperlink" Target="https://www.sebi.gov.in/filings/public-issues/jan-2026/horizon-industrial-parks-limited_98839.html" TargetMode="External" Id="rId517" /><Relationship Type="http://schemas.openxmlformats.org/officeDocument/2006/relationships/hyperlink" Target="https://www.sebi.gov.in/sebi_data/attachdocs/jan-2026/1767353409824_1049.pdf" TargetMode="External" Id="rId518" /><Relationship Type="http://schemas.openxmlformats.org/officeDocument/2006/relationships/hyperlink" Target="https://www.sebi.gov.in/filings/public-issues/jan-2026/deepa-jewellers-limited_98807.html" TargetMode="External" Id="rId519" /><Relationship Type="http://schemas.openxmlformats.org/officeDocument/2006/relationships/hyperlink" Target="https://www.sebi.gov.in/sebi_data/attachdocs/jan-2026/1767353409824_1050.pdf" TargetMode="External" Id="rId520" /><Relationship Type="http://schemas.openxmlformats.org/officeDocument/2006/relationships/hyperlink" Target="https://www.sebi.gov.in/filings/public-issues/jan-2026/krishna-buildspace-limited_98809.html" TargetMode="External" Id="rId521" /><Relationship Type="http://schemas.openxmlformats.org/officeDocument/2006/relationships/hyperlink" Target="https://www.chittorgarh.com/ipo/krishna-buildspace-ipo/2839/" TargetMode="External" Id="rId522" /><Relationship Type="http://schemas.openxmlformats.org/officeDocument/2006/relationships/hyperlink" Target="https://www.sebi.gov.in/sebi_data/attachdocs/jan-2026/1767339026316_1048.pdf" TargetMode="External" Id="rId523" /><Relationship Type="http://schemas.openxmlformats.org/officeDocument/2006/relationships/hyperlink" Target="https://www.sebi.gov.in/filings/public-issues/jan-2026/mehta-hitech-industries-limited_98790.html" TargetMode="External" Id="rId524" /><Relationship Type="http://schemas.openxmlformats.org/officeDocument/2006/relationships/hyperlink" Target="https://www.chittorgarh.com/ipo/mehta-hitech-ipo/2833/" TargetMode="External" Id="rId525" /><Relationship Type="http://schemas.openxmlformats.org/officeDocument/2006/relationships/hyperlink" Target="https://www.sebi.gov.in/sebi_data/attachdocs/jan-2026/1767339026316_1047.pdf" TargetMode="External" Id="rId526" /><Relationship Type="http://schemas.openxmlformats.org/officeDocument/2006/relationships/hyperlink" Target="https://www.sebi.gov.in/filings/public-issues/jan-2026/neolite-zkw-lightings-limited_98788.html" TargetMode="External" Id="rId527" /><Relationship Type="http://schemas.openxmlformats.org/officeDocument/2006/relationships/hyperlink" Target="https://www.chittorgarh.com/ipo/neolite-zkw-lightings-ipo/2828/" TargetMode="External" Id="rId528" /><Relationship Type="http://schemas.openxmlformats.org/officeDocument/2006/relationships/hyperlink" Target="https://www.sebi.gov.in/sebi_data/attachdocs/jan-2026/1767339026316_1046.pdf" TargetMode="External" Id="rId529" /><Relationship Type="http://schemas.openxmlformats.org/officeDocument/2006/relationships/hyperlink" Target="https://www.sebi.gov.in/filings/public-issues/jan-2026/travelstack-tech-limited_98786.html" TargetMode="External" Id="rId530" /><Relationship Type="http://schemas.openxmlformats.org/officeDocument/2006/relationships/hyperlink" Target="https://www.chittorgarh.com/ipo/travelstack-tech-ipo/2811/" TargetMode="External" Id="rId531" /><Relationship Type="http://schemas.openxmlformats.org/officeDocument/2006/relationships/hyperlink" Target="https://www.sebi.gov.in/sebi_data/attachdocs/dec-2025/1767161602994.pdf" TargetMode="External" Id="rId532" /><Relationship Type="http://schemas.openxmlformats.org/officeDocument/2006/relationships/hyperlink" Target="https://www.sebi.gov.in/filings/public-issues/dec-2025/casagrand-premier-builder-limited-drhp_98765.html" TargetMode="External" Id="rId533" /><Relationship Type="http://schemas.openxmlformats.org/officeDocument/2006/relationships/hyperlink" Target="https://www.chittorgarh.com/ipo/casagrand-premier-builder-ipo/2183/" TargetMode="External" Id="rId534" /><Relationship Type="http://schemas.openxmlformats.org/officeDocument/2006/relationships/hyperlink" Target="https://www.sebi.gov.in/sebi_data/attachdocs/dec-2025/1767094204285_1045.pdf" TargetMode="External" Id="rId535" /><Relationship Type="http://schemas.openxmlformats.org/officeDocument/2006/relationships/hyperlink" Target="https://www.sebi.gov.in/filings/public-issues/dec-2025/tonbo-imaging-india-limited_98746.html" TargetMode="External" Id="rId536" /><Relationship Type="http://schemas.openxmlformats.org/officeDocument/2006/relationships/hyperlink" Target="https://www.chittorgarh.com/ipo/tonbo-imaging-india-ipo/3215/" TargetMode="External" Id="rId537" /><Relationship Type="http://schemas.openxmlformats.org/officeDocument/2006/relationships/hyperlink" Target="https://www.sebi.gov.in/sebi_data/attachdocs/dec-2025/1767007811746_1043.pdf" TargetMode="External" Id="rId538" /><Relationship Type="http://schemas.openxmlformats.org/officeDocument/2006/relationships/hyperlink" Target="https://www.sebi.gov.in/filings/public-issues/dec-2025/yatayat-corporation-india-limited_98716.html" TargetMode="External" Id="rId539" /><Relationship Type="http://schemas.openxmlformats.org/officeDocument/2006/relationships/hyperlink" Target="https://www.chittorgarh.com/ipo/yatayat-corp-india-ipo/2818/" TargetMode="External" Id="rId540" /><Relationship Type="http://schemas.openxmlformats.org/officeDocument/2006/relationships/hyperlink" Target="https://www.sebi.gov.in/sebi_data/attachdocs/dec-2025/1766991289537.pdf" TargetMode="External" Id="rId541" /><Relationship Type="http://schemas.openxmlformats.org/officeDocument/2006/relationships/hyperlink" Target="https://www.sebi.gov.in/filings/public-issues/dec-2025/wog-technologies-limited-drhp_98710.html" TargetMode="External" Id="rId542" /><Relationship Type="http://schemas.openxmlformats.org/officeDocument/2006/relationships/hyperlink" Target="https://www.chittorgarh.com/ipo/wog-technologies-ipo/2821/" TargetMode="External" Id="rId543" /><Relationship Type="http://schemas.openxmlformats.org/officeDocument/2006/relationships/hyperlink" Target="https://www.sebi.gov.in/sebi_data/attachdocs/jan-2026/1768287454593.pdf" TargetMode="External" Id="rId544" /><Relationship Type="http://schemas.openxmlformats.org/officeDocument/2006/relationships/hyperlink" Target="https://www.sebi.gov.in/filings/public-issues/dec-2025/aarvee-engineering-consultants-limited-addendum-1_98418.html" TargetMode="External" Id="rId545" /><Relationship Type="http://schemas.openxmlformats.org/officeDocument/2006/relationships/hyperlink" Target="https://www.chittorgarh.com/ipo/aarvee-engineering-consultants-ipo/2637/" TargetMode="External" Id="rId546" /><Relationship Type="http://schemas.openxmlformats.org/officeDocument/2006/relationships/hyperlink" Target="https://www.sebi.gov.in/sebi_data/attachdocs/dec-2025/1766556401413.pdf" TargetMode="External" Id="rId547" /><Relationship Type="http://schemas.openxmlformats.org/officeDocument/2006/relationships/hyperlink" Target="https://www.sebi.gov.in/filings/public-issues/dec-2025/symbiotec-pharmalab-limited-drhp_98628.html" TargetMode="External" Id="rId548" /><Relationship Type="http://schemas.openxmlformats.org/officeDocument/2006/relationships/hyperlink" Target="https://www.sebi.gov.in/sebi_data/attachdocs/dec-2025/1766375089872.pdf" TargetMode="External" Id="rId549" /><Relationship Type="http://schemas.openxmlformats.org/officeDocument/2006/relationships/hyperlink" Target="https://www.sebi.gov.in/filings/public-issues/dec-2025/crystal-crop-protection-limited-drhp_98530.html" TargetMode="External" Id="rId550" /><Relationship Type="http://schemas.openxmlformats.org/officeDocument/2006/relationships/hyperlink" Target="https://ipowatch.in/crystal-crop-protection-ipo/" TargetMode="External" Id="rId551" /><Relationship Type="http://schemas.openxmlformats.org/officeDocument/2006/relationships/hyperlink" Target="https://www.sebi.gov.in/sebi_data/attachdocs/dec-2025/1766142033748.pdf" TargetMode="External" Id="rId552" /><Relationship Type="http://schemas.openxmlformats.org/officeDocument/2006/relationships/hyperlink" Target="https://www.sebi.gov.in/filings/public-issues/dec-2025/shivganga-drillers-limited-drhp_98515.html" TargetMode="External" Id="rId553" /><Relationship Type="http://schemas.openxmlformats.org/officeDocument/2006/relationships/hyperlink" Target="https://www.chittorgarh.com/ipo/shivganga-drillers-ipo/2810/" TargetMode="External" Id="rId554" /><Relationship Type="http://schemas.openxmlformats.org/officeDocument/2006/relationships/hyperlink" Target="https://www.sebi.gov.in/sebi_data/attachdocs/dec-2025/1766129404848_1041.pdf" TargetMode="External" Id="rId555" /><Relationship Type="http://schemas.openxmlformats.org/officeDocument/2006/relationships/hyperlink" Target="https://www.sebi.gov.in/filings/public-issues/dec-2025/renny-strips-limited_98494.html" TargetMode="External" Id="rId556" /><Relationship Type="http://schemas.openxmlformats.org/officeDocument/2006/relationships/hyperlink" Target="https://www.chittorgarh.com/ipo/renny-strips-ipo/2807/" TargetMode="External" Id="rId557" /><Relationship Type="http://schemas.openxmlformats.org/officeDocument/2006/relationships/hyperlink" Target="https://www.sebi.gov.in/sebi_data/attachdocs/dec-2025/1766107805579_1040.pdf" TargetMode="External" Id="rId558" /><Relationship Type="http://schemas.openxmlformats.org/officeDocument/2006/relationships/hyperlink" Target="https://www.sebi.gov.in/filings/public-issues/dec-2025/aspri-spirits-limited_98473.html" TargetMode="External" Id="rId559" /><Relationship Type="http://schemas.openxmlformats.org/officeDocument/2006/relationships/hyperlink" Target="https://www.chittorgarh.com/ipo/aspri-spirits-ipo/2806/" TargetMode="External" Id="rId560" /><Relationship Type="http://schemas.openxmlformats.org/officeDocument/2006/relationships/hyperlink" Target="https://www.sebi.gov.in/sebi_data/attachdocs/dec-2025/1765971005612_1036.pdf" TargetMode="External" Id="rId561" /><Relationship Type="http://schemas.openxmlformats.org/officeDocument/2006/relationships/hyperlink" Target="https://www.sebi.gov.in/filings/public-issues/dec-2025/sonaselection-india-limited_98429.html" TargetMode="External" Id="rId562" /><Relationship Type="http://schemas.openxmlformats.org/officeDocument/2006/relationships/hyperlink" Target="https://www.sebi.gov.in/sebi_data/attachdocs/dec-2025/1765775578457.pdf" TargetMode="External" Id="rId563" /><Relationship Type="http://schemas.openxmlformats.org/officeDocument/2006/relationships/hyperlink" Target="https://www.sebi.gov.in/filings/public-issues/dec-2025/shiprocket-limited-udrhp_98357.html" TargetMode="External" Id="rId564" /><Relationship Type="http://schemas.openxmlformats.org/officeDocument/2006/relationships/hyperlink" Target="https://www.sebi.gov.in/sebi_data/attachdocs/dec-2025/1765516904599.pdf" TargetMode="External" Id="rId565" /><Relationship Type="http://schemas.openxmlformats.org/officeDocument/2006/relationships/hyperlink" Target="https://www.sebi.gov.in/filings/public-issues/dec-2025/sfc-environmental-technologies-limited-corrigendum-to-drhp_98325.html" TargetMode="External" Id="rId566" /><Relationship Type="http://schemas.openxmlformats.org/officeDocument/2006/relationships/hyperlink" Target="https://www.chittorgarh.com/ipo/sfc-environmental-technologies-ipo/2070/" TargetMode="External" Id="rId567" /><Relationship Type="http://schemas.openxmlformats.org/officeDocument/2006/relationships/hyperlink" Target="https://www.sebi.gov.in/sebi_data/attachdocs/dec-2025/1765431615262.pdf" TargetMode="External" Id="rId568" /><Relationship Type="http://schemas.openxmlformats.org/officeDocument/2006/relationships/hyperlink" Target="https://www.sebi.gov.in/filings/public-issues/dec-2025/dhariwal-buildtech-limited-corrigendum-to-drhp_98304.html" TargetMode="External" Id="rId569" /><Relationship Type="http://schemas.openxmlformats.org/officeDocument/2006/relationships/hyperlink" Target="https://www.chittorgarh.com/ipo/dhariwal-buildtech-ipo/2652/" TargetMode="External" Id="rId570" /><Relationship Type="http://schemas.openxmlformats.org/officeDocument/2006/relationships/hyperlink" Target="https://www.sebi.gov.in/sebi_data/attachdocs/dec-2025/1765366208348_1033.pdf" TargetMode="External" Id="rId571" /><Relationship Type="http://schemas.openxmlformats.org/officeDocument/2006/relationships/hyperlink" Target="https://www.sebi.gov.in/filings/public-issues/dec-2025/jindal-supreme-india-limited_98282.html" TargetMode="External" Id="rId572" /><Relationship Type="http://schemas.openxmlformats.org/officeDocument/2006/relationships/hyperlink" Target="https://www.sebi.gov.in/sebi_data/attachdocs/dec-2025/1765366208348_1032.pdf" TargetMode="External" Id="rId573" /><Relationship Type="http://schemas.openxmlformats.org/officeDocument/2006/relationships/hyperlink" Target="https://www.sebi.gov.in/filings/public-issues/dec-2025/mv-electrosystems-limited_98280.html" TargetMode="External" Id="rId574" /><Relationship Type="http://schemas.openxmlformats.org/officeDocument/2006/relationships/hyperlink" Target="https://www.sebi.gov.in/sebi_data/attachdocs/dec-2025/1765261797723.pdf" TargetMode="External" Id="rId575" /><Relationship Type="http://schemas.openxmlformats.org/officeDocument/2006/relationships/hyperlink" Target="https://www.sebi.gov.in/filings/public-issues/dec-2025/steamhouse-india-limited-udrhp_98254.html" TargetMode="External" Id="rId576" /><Relationship Type="http://schemas.openxmlformats.org/officeDocument/2006/relationships/hyperlink" Target="https://www.sebi.gov.in/sebi_data/attachdocs/dec-2025/1765261442709.pdf" TargetMode="External" Id="rId577" /><Relationship Type="http://schemas.openxmlformats.org/officeDocument/2006/relationships/hyperlink" Target="https://www.sebi.gov.in/filings/public-issues/dec-2025/acevector-limited-udrhp_98252.html" TargetMode="External" Id="rId578" /><Relationship Type="http://schemas.openxmlformats.org/officeDocument/2006/relationships/hyperlink" Target="https://www.ipoji.com/ipo/acevector-ipo" TargetMode="External" Id="rId579" /><Relationship Type="http://schemas.openxmlformats.org/officeDocument/2006/relationships/hyperlink" Target="https://www.sebi.gov.in/sebi_data/attachdocs/dec-2025/1764928528769.pdf" TargetMode="External" Id="rId580" /><Relationship Type="http://schemas.openxmlformats.org/officeDocument/2006/relationships/hyperlink" Target="https://www.sebi.gov.in/filings/public-issues/dec-2025/gaja-alternative-asset-management-limited_98194.html" TargetMode="External" Id="rId581" /><Relationship Type="http://schemas.openxmlformats.org/officeDocument/2006/relationships/hyperlink" Target="https://www.sebi.gov.in/sebi_data/attachdocs/dec-2025/1764763148534.pdf" TargetMode="External" Id="rId582" /><Relationship Type="http://schemas.openxmlformats.org/officeDocument/2006/relationships/hyperlink" Target="https://www.sebi.gov.in/filings/public-issues/dec-2025/casagrand-premier-builder-limited-addendum-to-drhp_98148.html" TargetMode="External" Id="rId583" /><Relationship Type="http://schemas.openxmlformats.org/officeDocument/2006/relationships/hyperlink" Target="https://www.chittorgarh.com/ipo/casagrand-premier-builder-ipo/2183/" TargetMode="External" Id="rId584" /><Relationship Type="http://schemas.openxmlformats.org/officeDocument/2006/relationships/hyperlink" Target="https://www.sebi.gov.in/sebi_data/attachdocs/nov-2025/1764331093856.pdf" TargetMode="External" Id="rId585" /><Relationship Type="http://schemas.openxmlformats.org/officeDocument/2006/relationships/hyperlink" Target="https://www.sebi.gov.in/filings/public-issues/nov-2025/hero-fincorp-limited-drhp_98032.html" TargetMode="External" Id="rId586" /><Relationship Type="http://schemas.openxmlformats.org/officeDocument/2006/relationships/hyperlink" Target="https://www.chittorgarh.com/ipo/hero-fincorp-ipo/2250/" TargetMode="External" Id="rId587" /><Relationship Type="http://schemas.openxmlformats.org/officeDocument/2006/relationships/hyperlink" Target="https://www.sebi.gov.in/sebi_data/attachdocs/nov-2025/1764308698651.pdf" TargetMode="External" Id="rId588" /><Relationship Type="http://schemas.openxmlformats.org/officeDocument/2006/relationships/hyperlink" Target="https://www.sebi.gov.in/filings/public-issues/nov-2025/hexagon-nutrition-limited-addendum-to-drhp_98001.html" TargetMode="External" Id="rId589" /><Relationship Type="http://schemas.openxmlformats.org/officeDocument/2006/relationships/hyperlink" Target="https://www.sebi.gov.in/sebi_data/attachdocs/nov-2025/1764232197013.pdf" TargetMode="External" Id="rId590" /><Relationship Type="http://schemas.openxmlformats.org/officeDocument/2006/relationships/hyperlink" Target="https://www.sebi.gov.in/filings/public-issues/nov-2025/milestone-gears-limited-drhp_97973.html" TargetMode="External" Id="rId591" /><Relationship Type="http://schemas.openxmlformats.org/officeDocument/2006/relationships/hyperlink" Target="https://www.chittorgarh.com/ipo/milestone-gears-ipo/2799/" TargetMode="External" Id="rId592" /><Relationship Type="http://schemas.openxmlformats.org/officeDocument/2006/relationships/hyperlink" Target="https://www.sebi.gov.in/sebi_data/attachdocs/nov-2025/1763960032856.pdf" TargetMode="External" Id="rId593" /><Relationship Type="http://schemas.openxmlformats.org/officeDocument/2006/relationships/hyperlink" Target="https://www.sebi.gov.in/filings/public-issues/nov-2025/orient-cables-india-limited-addendum-to-drhp_97886.html" TargetMode="External" Id="rId594" /><Relationship Type="http://schemas.openxmlformats.org/officeDocument/2006/relationships/hyperlink" Target="https://www.chittorgarh.com/ipo/orient-cables-ipo/2532/" TargetMode="External" Id="rId595" /><Relationship Type="http://schemas.openxmlformats.org/officeDocument/2006/relationships/hyperlink" Target="https://www.sebi.gov.in/sebi_data/attachdocs/nov-2025/1763465405051_1025.pdf" TargetMode="External" Id="rId596" /><Relationship Type="http://schemas.openxmlformats.org/officeDocument/2006/relationships/hyperlink" Target="https://www.sebi.gov.in/filings/public-issues/nov-2025/sedemac-mechatronics-limited_97812.html" TargetMode="External" Id="rId597" /><Relationship Type="http://schemas.openxmlformats.org/officeDocument/2006/relationships/hyperlink" Target="https://www.sebi.gov.in/sebi_data/attachdocs/nov-2025/1762837361221.pdf" TargetMode="External" Id="rId598" /><Relationship Type="http://schemas.openxmlformats.org/officeDocument/2006/relationships/hyperlink" Target="https://www.sebi.gov.in/filings/public-issues/nov-2025/manipal-payment-and-identity-solutions-limited-udrhp_97699.html" TargetMode="External" Id="rId599" /><Relationship Type="http://schemas.openxmlformats.org/officeDocument/2006/relationships/hyperlink" Target="https://www.sebi.gov.in/sebi_data/attachdocs/nov-2025/1762508222639.pdf" TargetMode="External" Id="rId600" /><Relationship Type="http://schemas.openxmlformats.org/officeDocument/2006/relationships/hyperlink" Target="https://www.sebi.gov.in/filings/public-issues/nov-2025/sael-industries-limited_97667.html" TargetMode="External" Id="rId601" /><Relationship Type="http://schemas.openxmlformats.org/officeDocument/2006/relationships/hyperlink" Target="https://www.chittorgarh.com/ipo/sael-industries-ipo/2793/" TargetMode="External" Id="rId602" /><Relationship Type="http://schemas.openxmlformats.org/officeDocument/2006/relationships/hyperlink" Target="https://www.sebi.gov.in/sebi_data/attachdocs/nov-2025/1762153184446.pdf" TargetMode="External" Id="rId603" /><Relationship Type="http://schemas.openxmlformats.org/officeDocument/2006/relationships/hyperlink" Target="https://www.sebi.gov.in/filings/public-issues/oct-2025/shadowfax-technologies-limited-udrhp-i_97586.html" TargetMode="External" Id="rId604" /><Relationship Type="http://schemas.openxmlformats.org/officeDocument/2006/relationships/hyperlink" Target="https://www.sebi.gov.in/sebi_data/attachdocs/oct-2025/1761711834836.pdf" TargetMode="External" Id="rId605" /><Relationship Type="http://schemas.openxmlformats.org/officeDocument/2006/relationships/hyperlink" Target="https://www.sebi.gov.in/filings/public-issues/oct-2025/imagine-marketing-limited-udrhp_97510.html" TargetMode="External" Id="rId606" /><Relationship Type="http://schemas.openxmlformats.org/officeDocument/2006/relationships/hyperlink" Target="https://www.chittorgarh.com/ipo/boat-ipo/2310/" TargetMode="External" Id="rId607" /><Relationship Type="http://schemas.openxmlformats.org/officeDocument/2006/relationships/hyperlink" Target="https://www.sebi.gov.in/sebi_data/attachdocs/oct-2025/1761562199414.pdf" TargetMode="External" Id="rId608" /><Relationship Type="http://schemas.openxmlformats.org/officeDocument/2006/relationships/hyperlink" Target="https://www.sebi.gov.in/filings/public-issues/oct-2025/meesho-limited-udrhp_97453.html" TargetMode="External" Id="rId609" /><Relationship Type="http://schemas.openxmlformats.org/officeDocument/2006/relationships/hyperlink" Target="https://www.sebi.gov.in/sebi_data/attachdocs/oct-2025/1761550204673_1023.pdf" TargetMode="External" Id="rId610" /><Relationship Type="http://schemas.openxmlformats.org/officeDocument/2006/relationships/hyperlink" Target="https://www.sebi.gov.in/filings/public-issues/oct-2025/prasol-chemicals-limited_97449.html" TargetMode="External" Id="rId611" /><Relationship Type="http://schemas.openxmlformats.org/officeDocument/2006/relationships/hyperlink" Target="https://www.sebi.gov.in/sebi_data/attachdocs/oct-2025/1761219007321_1021.pdf" TargetMode="External" Id="rId612" /><Relationship Type="http://schemas.openxmlformats.org/officeDocument/2006/relationships/hyperlink" Target="https://www.sebi.gov.in/filings/public-issues/oct-2025/duroflex-limited_97438.html" TargetMode="External" Id="rId613" /><Relationship Type="http://schemas.openxmlformats.org/officeDocument/2006/relationships/hyperlink" Target="https://www.chittorgarh.com/ipo/duroflex-ipo/2777/" TargetMode="External" Id="rId614" /><Relationship Type="http://schemas.openxmlformats.org/officeDocument/2006/relationships/hyperlink" Target="https://www.sebi.gov.in/sebi_data/attachdocs/oct-2025/1761204614130_1020.pdf" TargetMode="External" Id="rId615" /><Relationship Type="http://schemas.openxmlformats.org/officeDocument/2006/relationships/hyperlink" Target="https://www.sebi.gov.in/filings/public-issues/oct-2025/integris-medtech-limited_97425.html" TargetMode="External" Id="rId616" /><Relationship Type="http://schemas.openxmlformats.org/officeDocument/2006/relationships/hyperlink" Target="https://www.chittorgarh.com/ipo/integris-medtech-ipo/2774/" TargetMode="External" Id="rId617" /><Relationship Type="http://schemas.openxmlformats.org/officeDocument/2006/relationships/hyperlink" Target="https://www.sebi.gov.in/sebi_data/attachdocs/oct-2025/1761628612556.pdf" TargetMode="External" Id="rId618" /><Relationship Type="http://schemas.openxmlformats.org/officeDocument/2006/relationships/hyperlink" Target="https://www.sebi.gov.in/filings/public-issues/oct-2025/sify-infinit-spaces-limited-drhp_97481.html" TargetMode="External" Id="rId619" /><Relationship Type="http://schemas.openxmlformats.org/officeDocument/2006/relationships/hyperlink" Target="https://www.chittorgarh.com/ipo/sify-infinit-spaces-ipo/2781/" TargetMode="External" Id="rId620" /><Relationship Type="http://schemas.openxmlformats.org/officeDocument/2006/relationships/hyperlink" Target="https://www.sebi.gov.in/sebi_data/attachdocs/oct-2025/1760605051795.pdf" TargetMode="External" Id="rId621" /><Relationship Type="http://schemas.openxmlformats.org/officeDocument/2006/relationships/hyperlink" Target="https://www.sebi.gov.in/filings/public-issues/oct-2025/rays-power-infra-limited-drhp_97355.html" TargetMode="External" Id="rId622" /><Relationship Type="http://schemas.openxmlformats.org/officeDocument/2006/relationships/hyperlink" Target="https://www.chittorgarh.com/ipo/rays-power-infra-ipo/2692/" TargetMode="External" Id="rId623" /><Relationship Type="http://schemas.openxmlformats.org/officeDocument/2006/relationships/hyperlink" Target="https://www.sebi.gov.in/sebi_data/attachdocs/oct-2025/1760589175985.pdf" TargetMode="External" Id="rId624" /><Relationship Type="http://schemas.openxmlformats.org/officeDocument/2006/relationships/hyperlink" Target="https://www.sebi.gov.in/filings/public-issues/oct-2025/technocraft-ventures-limited-addendum-to-drhp_97350.html" TargetMode="External" Id="rId625" /><Relationship Type="http://schemas.openxmlformats.org/officeDocument/2006/relationships/hyperlink" Target="https://www.sebi.gov.in/sebi_data/attachdocs/oct-2025/1760527804402_1017.pdf" TargetMode="External" Id="rId626" /><Relationship Type="http://schemas.openxmlformats.org/officeDocument/2006/relationships/hyperlink" Target="https://www.sebi.gov.in/filings/public-issues/oct-2025/integris-medtech-limited_97342.html" TargetMode="External" Id="rId627" /><Relationship Type="http://schemas.openxmlformats.org/officeDocument/2006/relationships/hyperlink" Target="https://www.chittorgarh.com/ipo/integris-medtech-ipo/2774/" TargetMode="External" Id="rId628" /><Relationship Type="http://schemas.openxmlformats.org/officeDocument/2006/relationships/hyperlink" Target="https://www.sebi.gov.in/sebi_data/attachdocs/oct-2025/1760081406764_1010.pdf" TargetMode="External" Id="rId629" /><Relationship Type="http://schemas.openxmlformats.org/officeDocument/2006/relationships/hyperlink" Target="https://www.sebi.gov.in/filings/public-issues/oct-2025/ardee-industries-limited_97225.html" TargetMode="External" Id="rId630" /><Relationship Type="http://schemas.openxmlformats.org/officeDocument/2006/relationships/hyperlink" Target="https://www.sebi.gov.in/sebi_data/attachdocs/oct-2025/1760081406764_1011.pdf" TargetMode="External" Id="rId631" /><Relationship Type="http://schemas.openxmlformats.org/officeDocument/2006/relationships/hyperlink" Target="https://www.sebi.gov.in/filings/public-issues/oct-2025/bvg-india-limited_97227.html" TargetMode="External" Id="rId632" /><Relationship Type="http://schemas.openxmlformats.org/officeDocument/2006/relationships/hyperlink" Target="https://www.chittorgarh.com/ipo/bvg-india-ipo/2684/" TargetMode="External" Id="rId633" /><Relationship Type="http://schemas.openxmlformats.org/officeDocument/2006/relationships/hyperlink" Target="https://www.sebi.gov.in/sebi_data/attachdocs/oct-2025/1760076891744.pdf" TargetMode="External" Id="rId634" /><Relationship Type="http://schemas.openxmlformats.org/officeDocument/2006/relationships/hyperlink" Target="https://www.sebi.gov.in/filings/public-issues/oct-2025/hotel-polo-towers-limited-drhp_97223.html" TargetMode="External" Id="rId635" /><Relationship Type="http://schemas.openxmlformats.org/officeDocument/2006/relationships/hyperlink" Target="https://www.chittorgarh.com/ipo/hotel-polo-towers-ipo/2649/" TargetMode="External" Id="rId636" /><Relationship Type="http://schemas.openxmlformats.org/officeDocument/2006/relationships/hyperlink" Target="https://www.sebi.gov.in/sebi_data/attachdocs/oct-2025/1760009417606_1009.pdf" TargetMode="External" Id="rId637" /><Relationship Type="http://schemas.openxmlformats.org/officeDocument/2006/relationships/hyperlink" Target="https://www.sebi.gov.in/filings/public-issues/oct-2025/kusumgar-limited_97201.html" TargetMode="External" Id="rId638" /><Relationship Type="http://schemas.openxmlformats.org/officeDocument/2006/relationships/hyperlink" Target="https://www.sebi.gov.in/sebi_data/attachdocs/oct-2025/1760009417606_1008.pdf" TargetMode="External" Id="rId639" /><Relationship Type="http://schemas.openxmlformats.org/officeDocument/2006/relationships/hyperlink" Target="https://www.sebi.gov.in/filings/public-issues/oct-2025/jerai-fitness-limited_97199.html" TargetMode="External" Id="rId640" /><Relationship Type="http://schemas.openxmlformats.org/officeDocument/2006/relationships/hyperlink" Target="https://www.chittorgarh.com/ipo/jerai-fintess-ipo/2664/" TargetMode="External" Id="rId641" /><Relationship Type="http://schemas.openxmlformats.org/officeDocument/2006/relationships/hyperlink" Target="https://www.sebi.gov.in/sebi_data/attachdocs/oct-2025/1760009417606_1007.pdf" TargetMode="External" Id="rId642" /><Relationship Type="http://schemas.openxmlformats.org/officeDocument/2006/relationships/hyperlink" Target="https://www.sebi.gov.in/filings/public-issues/oct-2025/learnfluence-education-limited_97197.html" TargetMode="External" Id="rId643" /><Relationship Type="http://schemas.openxmlformats.org/officeDocument/2006/relationships/hyperlink" Target="https://www.chittorgarh.com/ipo/learnfluence-education-ipo/2669/" TargetMode="External" Id="rId644" /><Relationship Type="http://schemas.openxmlformats.org/officeDocument/2006/relationships/hyperlink" Target="https://www.sebi.gov.in/sebi_data/attachdocs/oct-2025/1760009417606_1005.pdf" TargetMode="External" Id="rId645" /><Relationship Type="http://schemas.openxmlformats.org/officeDocument/2006/relationships/hyperlink" Target="https://www.sebi.gov.in/filings/public-issues/oct-2025/augmont-enterprises-limited_97193.html" TargetMode="External" Id="rId646" /><Relationship Type="http://schemas.openxmlformats.org/officeDocument/2006/relationships/hyperlink" Target="https://www.sebi.gov.in/sebi_data/attachdocs/oct-2025/1760009417606_1002.pdf" TargetMode="External" Id="rId647" /><Relationship Type="http://schemas.openxmlformats.org/officeDocument/2006/relationships/hyperlink" Target="https://www.sebi.gov.in/filings/public-issues/oct-2025/r-k-steel-manufacturing-company-limited_97187.html" TargetMode="External" Id="rId648" /><Relationship Type="http://schemas.openxmlformats.org/officeDocument/2006/relationships/hyperlink" Target="https://www.chittorgarh.com/ipo/rk-steel-manufacturing-ipo/2687/" TargetMode="External" Id="rId649" /><Relationship Type="http://schemas.openxmlformats.org/officeDocument/2006/relationships/hyperlink" Target="https://www.sebi.gov.in/sebi_data/attachdocs/oct-2025/1760009417606_1003.pdf" TargetMode="External" Id="rId650" /><Relationship Type="http://schemas.openxmlformats.org/officeDocument/2006/relationships/hyperlink" Target="https://www.sebi.gov.in/filings/public-issues/oct-2025/sky-alloys-and-power-limited_97189.html" TargetMode="External" Id="rId651" /><Relationship Type="http://schemas.openxmlformats.org/officeDocument/2006/relationships/hyperlink" Target="https://www.chittorgarh.com/ipo/sky-alloys-and-power-ipo/2776/" TargetMode="External" Id="rId652" /><Relationship Type="http://schemas.openxmlformats.org/officeDocument/2006/relationships/hyperlink" Target="https://www.sebi.gov.in/sebi_data/attachdocs/oct-2025/1760006215253.pdf" TargetMode="External" Id="rId653" /><Relationship Type="http://schemas.openxmlformats.org/officeDocument/2006/relationships/hyperlink" Target="https://www.sebi.gov.in/filings/public-issues/oct-2025/laser-power-and-infra-limited-drhp_97184.html" TargetMode="External" Id="rId654" /><Relationship Type="http://schemas.openxmlformats.org/officeDocument/2006/relationships/hyperlink" Target="https://www.sebi.gov.in/sebi_data/attachdocs/oct-2025/1760002256727.pdf" TargetMode="External" Id="rId655" /><Relationship Type="http://schemas.openxmlformats.org/officeDocument/2006/relationships/hyperlink" Target="https://www.sebi.gov.in/filings/public-issues/oct-2025/vishvaraj-environment-limited-drhp_97182.html" TargetMode="External" Id="rId656" /><Relationship Type="http://schemas.openxmlformats.org/officeDocument/2006/relationships/hyperlink" Target="https://www.chittorgarh.com/ipo/vishvaraj-environment-ipo/2672/" TargetMode="External" Id="rId657" /><Relationship Type="http://schemas.openxmlformats.org/officeDocument/2006/relationships/hyperlink" Target="https://www.sebi.gov.in/sebi_data/attachdocs/oct-2025/1760000743042.pdf" TargetMode="External" Id="rId658" /><Relationship Type="http://schemas.openxmlformats.org/officeDocument/2006/relationships/hyperlink" Target="https://www.sebi.gov.in/filings/public-issues/oct-2025/sterlite-electric-limited-drhp_97181.html" TargetMode="External" Id="rId659" /><Relationship Type="http://schemas.openxmlformats.org/officeDocument/2006/relationships/hyperlink" Target="https://www.chittorgarh.com/ipo/sterlite-electric-ipo/2679/" TargetMode="External" Id="rId660" /><Relationship Type="http://schemas.openxmlformats.org/officeDocument/2006/relationships/hyperlink" Target="https://www.sebi.gov.in/sebi_data/attachdocs/oct-2025/1759995019453_1001.pdf" TargetMode="External" Id="rId661" /><Relationship Type="http://schemas.openxmlformats.org/officeDocument/2006/relationships/hyperlink" Target="https://www.sebi.gov.in/filings/public-issues/oct-2025/associated-power-structures-limited_97179.html" TargetMode="External" Id="rId662" /><Relationship Type="http://schemas.openxmlformats.org/officeDocument/2006/relationships/hyperlink" Target="https://www.chittorgarh.com/ipo/associated-power-structures-ipo/2650/" TargetMode="External" Id="rId663" /><Relationship Type="http://schemas.openxmlformats.org/officeDocument/2006/relationships/hyperlink" Target="https://www.sebi.gov.in/sebi_data/attachdocs/oct-2025/1759995019453_999.pdf" TargetMode="External" Id="rId664" /><Relationship Type="http://schemas.openxmlformats.org/officeDocument/2006/relationships/hyperlink" Target="https://www.sebi.gov.in/filings/public-issues/oct-2025/aarvee-engineering-consultants-limited_97175.html" TargetMode="External" Id="rId665" /><Relationship Type="http://schemas.openxmlformats.org/officeDocument/2006/relationships/hyperlink" Target="https://www.chittorgarh.com/ipo/aarvee-engineering-consultants-ipo/2637/" TargetMode="External" Id="rId666" /><Relationship Type="http://schemas.openxmlformats.org/officeDocument/2006/relationships/hyperlink" Target="https://www.sebi.gov.in/sebi_data/attachdocs/oct-2025/1759995019453_1000.pdf" TargetMode="External" Id="rId667" /><Relationship Type="http://schemas.openxmlformats.org/officeDocument/2006/relationships/hyperlink" Target="https://www.sebi.gov.in/filings/public-issues/oct-2025/alpine-texworld-liited_97177.html" TargetMode="External" Id="rId668" /><Relationship Type="http://schemas.openxmlformats.org/officeDocument/2006/relationships/hyperlink" Target="https://www.sebi.gov.in/sebi_data/attachdocs/oct-2025/1759995019453_998.pdf" TargetMode="External" Id="rId669" /><Relationship Type="http://schemas.openxmlformats.org/officeDocument/2006/relationships/hyperlink" Target="https://www.sebi.gov.in/filings/public-issues/oct-2025/pride-hotels-limited_97173.html" TargetMode="External" Id="rId670" /><Relationship Type="http://schemas.openxmlformats.org/officeDocument/2006/relationships/hyperlink" Target="https://www.chittorgarh.com/ipo/pride-hotels-ipo/2683/" TargetMode="External" Id="rId671" /><Relationship Type="http://schemas.openxmlformats.org/officeDocument/2006/relationships/hyperlink" Target="https://www.sebi.gov.in/sebi_data/attachdocs/oct-2025/1759995019453_997.pdf" TargetMode="External" Id="rId672" /><Relationship Type="http://schemas.openxmlformats.org/officeDocument/2006/relationships/hyperlink" Target="https://www.sebi.gov.in/filings/public-issues/oct-2025/sai-parentarals-limited_97171.html" TargetMode="External" Id="rId673" /><Relationship Type="http://schemas.openxmlformats.org/officeDocument/2006/relationships/hyperlink" Target="https://www.sebi.gov.in/sebi_data/attachdocs/oct-2025/1759993428893.pdf" TargetMode="External" Id="rId674" /><Relationship Type="http://schemas.openxmlformats.org/officeDocument/2006/relationships/hyperlink" Target="https://www.sebi.gov.in/filings/public-issues/oct-2025/cj-darcl-logistics-limited-drhp_97166.html" TargetMode="External" Id="rId675" /><Relationship Type="http://schemas.openxmlformats.org/officeDocument/2006/relationships/hyperlink" Target="https://www.sebi.gov.in/sebi_data/commondocs/sep-2026/CJ%20Darcl%20-%20Addendum%20to%20DRHP%20-%20Final%20Layout_p.pdf" TargetMode="External" Id="rId676" /><Relationship Type="http://schemas.openxmlformats.org/officeDocument/2006/relationships/hyperlink" Target="https://www.chittorgarh.com/ipo/cj-darcl-logistics-ipo/2680/" TargetMode="External" Id="rId677" /><Relationship Type="http://schemas.openxmlformats.org/officeDocument/2006/relationships/hyperlink" Target="https://www.sebi.gov.in/sebi_data/attachdocs/oct-2025/1759988958816.pdf" TargetMode="External" Id="rId678" /><Relationship Type="http://schemas.openxmlformats.org/officeDocument/2006/relationships/hyperlink" Target="https://www.sebi.gov.in/filings/public-issues/oct-2025/mann-fleet-partners-limited-drhp_97164.html" TargetMode="External" Id="rId679" /><Relationship Type="http://schemas.openxmlformats.org/officeDocument/2006/relationships/hyperlink" Target="https://www.chittorgarh.com/ipo/mann-fleet-partners-ipo/3166/" TargetMode="External" Id="rId680" /><Relationship Type="http://schemas.openxmlformats.org/officeDocument/2006/relationships/hyperlink" Target="https://www.sebi.gov.in/sebi_data/attachdocs/oct-2025/1759988098283.pdf" TargetMode="External" Id="rId681" /><Relationship Type="http://schemas.openxmlformats.org/officeDocument/2006/relationships/hyperlink" Target="https://www.sebi.gov.in/filings/public-issues/oct-2025/runwal-developers-limited-drhp_97161.html" TargetMode="External" Id="rId682" /><Relationship Type="http://schemas.openxmlformats.org/officeDocument/2006/relationships/hyperlink" Target="https://www.chittorgarh.com/ipo/runwal-developers-ipo/2690/" TargetMode="External" Id="rId683" /><Relationship Type="http://schemas.openxmlformats.org/officeDocument/2006/relationships/hyperlink" Target="https://www.sebi.gov.in/sebi_data/attachdocs/oct-2025/1759985997171.pdf" TargetMode="External" Id="rId684" /><Relationship Type="http://schemas.openxmlformats.org/officeDocument/2006/relationships/hyperlink" Target="https://www.sebi.gov.in/filings/public-issues/oct-2025/lalbaba-engineering-limited-drhp_97160.html" TargetMode="External" Id="rId685" /><Relationship Type="http://schemas.openxmlformats.org/officeDocument/2006/relationships/hyperlink" Target="https://www.chittorgarh.com/ipo/lalbaba-engineering-ipo/2660/" TargetMode="External" Id="rId686" /><Relationship Type="http://schemas.openxmlformats.org/officeDocument/2006/relationships/hyperlink" Target="https://www.sebi.gov.in/sebi_data/attachdocs/oct-2025/1759982238782.pdf" TargetMode="External" Id="rId687" /><Relationship Type="http://schemas.openxmlformats.org/officeDocument/2006/relationships/hyperlink" Target="https://www.sebi.gov.in/filings/public-issues/oct-2025/aastha-spintex-limited-drhp_97148.html" TargetMode="External" Id="rId688" /><Relationship Type="http://schemas.openxmlformats.org/officeDocument/2006/relationships/hyperlink" Target="https://www.sebi.gov.in/sebi_data/attachdocs/oct-2025/1759925748914.pdf" TargetMode="External" Id="rId689" /><Relationship Type="http://schemas.openxmlformats.org/officeDocument/2006/relationships/hyperlink" Target="https://www.sebi.gov.in/filings/public-issues/oct-2025/hd-fire-protect-limited-drhp_97144.html" TargetMode="External" Id="rId690" /><Relationship Type="http://schemas.openxmlformats.org/officeDocument/2006/relationships/hyperlink" Target="https://www.chittorgarh.com/ipo/hd-fire-protect-ipo/2628/" TargetMode="External" Id="rId691" /><Relationship Type="http://schemas.openxmlformats.org/officeDocument/2006/relationships/hyperlink" Target="https://www.sebi.gov.in/sebi_data/attachdocs/oct-2025/1759923004723_994.pdf" TargetMode="External" Id="rId692" /><Relationship Type="http://schemas.openxmlformats.org/officeDocument/2006/relationships/hyperlink" Target="https://www.sebi.gov.in/filings/public-issues/oct-2025/bonbloc-technologies-limited_97141.html" TargetMode="External" Id="rId693" /><Relationship Type="http://schemas.openxmlformats.org/officeDocument/2006/relationships/hyperlink" Target="https://www.chittorgarh.com/ipo/bonbloc-technologies-ipo/2645/" TargetMode="External" Id="rId694" /><Relationship Type="http://schemas.openxmlformats.org/officeDocument/2006/relationships/hyperlink" Target="https://www.sebi.gov.in/sebi_data/attachdocs/oct-2025/1759923004723_995.pdf" TargetMode="External" Id="rId695" /><Relationship Type="http://schemas.openxmlformats.org/officeDocument/2006/relationships/hyperlink" Target="https://www.sebi.gov.in/filings/public-issues/oct-2025/hexagon-nutrition-limited_97143.html" TargetMode="External" Id="rId696" /><Relationship Type="http://schemas.openxmlformats.org/officeDocument/2006/relationships/hyperlink" Target="https://www.sebi.gov.in/sebi_data/attachdocs/oct-2025/1759921908126.pdf" TargetMode="External" Id="rId697" /><Relationship Type="http://schemas.openxmlformats.org/officeDocument/2006/relationships/hyperlink" Target="https://www.sebi.gov.in/filings/public-issues/oct-2025/rkcpl-limited-drhp_97140.html" TargetMode="External" Id="rId698" /><Relationship Type="http://schemas.openxmlformats.org/officeDocument/2006/relationships/hyperlink" Target="https://www.chittorgarh.com/ipo/rkcpl-ipo/2633/" TargetMode="External" Id="rId699" /><Relationship Type="http://schemas.openxmlformats.org/officeDocument/2006/relationships/hyperlink" Target="https://www.sebi.gov.in/sebi_data/attachdocs/oct-2025/1759921018406.pdf" TargetMode="External" Id="rId700" /><Relationship Type="http://schemas.openxmlformats.org/officeDocument/2006/relationships/hyperlink" Target="https://www.sebi.gov.in/filings/public-issues/oct-2025/deon-energy-limited-drhp_97139.html" TargetMode="External" Id="rId701" /><Relationship Type="http://schemas.openxmlformats.org/officeDocument/2006/relationships/hyperlink" Target="https://www.chittorgarh.com/ipo/deon-energy-ipo/2642/" TargetMode="External" Id="rId702" /><Relationship Type="http://schemas.openxmlformats.org/officeDocument/2006/relationships/hyperlink" Target="https://www.sebi.gov.in/sebi_data/attachdocs/oct-2025/1759918220979.pdf" TargetMode="External" Id="rId703" /><Relationship Type="http://schemas.openxmlformats.org/officeDocument/2006/relationships/hyperlink" Target="https://www.sebi.gov.in/filings/public-issues/oct-2025/commtel-networks-limited-drhp_97138.html" TargetMode="External" Id="rId704" /><Relationship Type="http://schemas.openxmlformats.org/officeDocument/2006/relationships/hyperlink" Target="https://www.chittorgarh.com/ipo/commtel-networks-ipo/2656/" TargetMode="External" Id="rId705" /><Relationship Type="http://schemas.openxmlformats.org/officeDocument/2006/relationships/hyperlink" Target="https://www.sebi.gov.in/sebi_data/attachdocs/oct-2025/1759918166128.pdf" TargetMode="External" Id="rId706" /><Relationship Type="http://schemas.openxmlformats.org/officeDocument/2006/relationships/hyperlink" Target="https://www.sebi.gov.in/filings/public-issues/oct-2025/appl-containers-limited-drhp_97137.html" TargetMode="External" Id="rId707" /><Relationship Type="http://schemas.openxmlformats.org/officeDocument/2006/relationships/hyperlink" Target="https://www.chittorgarh.com/ipo/appl-containers-ipo/2643/" TargetMode="External" Id="rId708" /><Relationship Type="http://schemas.openxmlformats.org/officeDocument/2006/relationships/hyperlink" Target="https://www.sebi.gov.in/sebi_data/attachdocs/oct-2025/1759918079758.pdf" TargetMode="External" Id="rId709" /><Relationship Type="http://schemas.openxmlformats.org/officeDocument/2006/relationships/hyperlink" Target="https://www.sebi.gov.in/filings/public-issues/oct-2025/shah-investor-s-home-limited-drhp_97135.html" TargetMode="External" Id="rId710" /><Relationship Type="http://schemas.openxmlformats.org/officeDocument/2006/relationships/hyperlink" Target="https://www.chittorgarh.com/ipo/shah-investors-home-ipo/2657/" TargetMode="External" Id="rId711" /><Relationship Type="http://schemas.openxmlformats.org/officeDocument/2006/relationships/hyperlink" Target="https://www.sebi.gov.in/sebi_data/attachdocs/oct-2025/1759908607630_993.pdf" TargetMode="External" Id="rId712" /><Relationship Type="http://schemas.openxmlformats.org/officeDocument/2006/relationships/hyperlink" Target="https://www.sebi.gov.in/filings/public-issues/oct-2025/advit-jewels-limited_97123.html" TargetMode="External" Id="rId713" /><Relationship Type="http://schemas.openxmlformats.org/officeDocument/2006/relationships/hyperlink" Target="https://www.sebi.gov.in/sebi_data/attachdocs/oct-2025/1759908607630_992.pdf" TargetMode="External" Id="rId714" /><Relationship Type="http://schemas.openxmlformats.org/officeDocument/2006/relationships/hyperlink" Target="https://www.sebi.gov.in/filings/public-issues/oct-2025/tempsens-instruments-india-limited_97121.html" TargetMode="External" Id="rId715" /><Relationship Type="http://schemas.openxmlformats.org/officeDocument/2006/relationships/hyperlink" Target="https://www.sebi.gov.in/sebi_data/attachdocs/oct-2025/1759906912149.pdf" TargetMode="External" Id="rId716" /><Relationship Type="http://schemas.openxmlformats.org/officeDocument/2006/relationships/hyperlink" Target="https://www.sebi.gov.in/filings/public-issues/oct-2025/virupaksha-organics-limited-drhp_97120.html" TargetMode="External" Id="rId717" /><Relationship Type="http://schemas.openxmlformats.org/officeDocument/2006/relationships/hyperlink" Target="https://www.chittorgarh.com/ipo/virupaksha-organics-ipo/2691/" TargetMode="External" Id="rId718" /><Relationship Type="http://schemas.openxmlformats.org/officeDocument/2006/relationships/hyperlink" Target="https://www.sebi.gov.in/sebi_data/attachdocs/oct-2025/1759901381010.pdf" TargetMode="External" Id="rId719" /><Relationship Type="http://schemas.openxmlformats.org/officeDocument/2006/relationships/hyperlink" Target="https://www.sebi.gov.in/filings/public-issues/oct-2025/grand-housing-limited-drhp_97117.html" TargetMode="External" Id="rId720" /><Relationship Type="http://schemas.openxmlformats.org/officeDocument/2006/relationships/hyperlink" Target="https://www.chittorgarh.com/ipo/grand-housing-ipo/2685/" TargetMode="External" Id="rId721" /><Relationship Type="http://schemas.openxmlformats.org/officeDocument/2006/relationships/hyperlink" Target="https://www.sebi.gov.in/sebi_data/attachdocs/oct-2025/1759839551768.pdf" TargetMode="External" Id="rId722" /><Relationship Type="http://schemas.openxmlformats.org/officeDocument/2006/relationships/hyperlink" Target="https://www.sebi.gov.in/filings/public-issues/oct-2025/elevate-campuses-limited-drhp_97111.html" TargetMode="External" Id="rId723" /><Relationship Type="http://schemas.openxmlformats.org/officeDocument/2006/relationships/hyperlink" Target="https://www.sebi.gov.in/sebi_data/attachdocs/oct-2025/1759820241318.PDF" TargetMode="External" Id="rId724" /><Relationship Type="http://schemas.openxmlformats.org/officeDocument/2006/relationships/hyperlink" Target="https://www.sebi.gov.in/filings/public-issues/oct-2025/dhariwal-buildtech-limited-drhp_97090.html" TargetMode="External" Id="rId725" /><Relationship Type="http://schemas.openxmlformats.org/officeDocument/2006/relationships/hyperlink" Target="https://www.chittorgarh.com/ipo/dhariwal-buildtech-ipo/2652/" TargetMode="External" Id="rId726" /><Relationship Type="http://schemas.openxmlformats.org/officeDocument/2006/relationships/hyperlink" Target="https://www.sebi.gov.in/sebi_data/attachdocs/oct-2025/1759800605786_991.pdf" TargetMode="External" Id="rId727" /><Relationship Type="http://schemas.openxmlformats.org/officeDocument/2006/relationships/hyperlink" Target="https://www.sebi.gov.in/filings/public-issues/oct-2025/arjun-jewellers-limited_97086.html" TargetMode="External" Id="rId728" /><Relationship Type="http://schemas.openxmlformats.org/officeDocument/2006/relationships/hyperlink" Target="https://www.chittorgarh.com/ipo/arjun-jewellers-ipo/2741/" TargetMode="External" Id="rId729" /><Relationship Type="http://schemas.openxmlformats.org/officeDocument/2006/relationships/hyperlink" Target="https://www.sebi.gov.in/sebi_data/attachdocs/oct-2025/1759750210525_990.pdf" TargetMode="External" Id="rId730" /><Relationship Type="http://schemas.openxmlformats.org/officeDocument/2006/relationships/hyperlink" Target="https://www.sebi.gov.in/filings/public-issues/oct-2025/eldeco-infrastructure-and-properties-limited_97071.html" TargetMode="External" Id="rId731" /><Relationship Type="http://schemas.openxmlformats.org/officeDocument/2006/relationships/hyperlink" Target="https://www.chittorgarh.com/ipo/eldeco-infrastructure-properties-ipo/2689/" TargetMode="External" Id="rId732" /><Relationship Type="http://schemas.openxmlformats.org/officeDocument/2006/relationships/hyperlink" Target="https://www.sebi.gov.in/sebi_data/attachdocs/oct-2025/1759750210525_989.pdf" TargetMode="External" Id="rId733" /><Relationship Type="http://schemas.openxmlformats.org/officeDocument/2006/relationships/hyperlink" Target="https://www.sebi.gov.in/filings/public-issues/oct-2025/indo-mim-limited_97069.html" TargetMode="External" Id="rId734" /><Relationship Type="http://schemas.openxmlformats.org/officeDocument/2006/relationships/hyperlink" Target="https://www.sebi.gov.in/sebi_data/attachdocs/oct-2025/1759742511998.pdf" TargetMode="External" Id="rId735" /><Relationship Type="http://schemas.openxmlformats.org/officeDocument/2006/relationships/hyperlink" Target="https://www.sebi.gov.in/filings/public-issues/oct-2025/armee-infotech-limited-drhp_97062.html" TargetMode="External" Id="rId736" /><Relationship Type="http://schemas.openxmlformats.org/officeDocument/2006/relationships/hyperlink" Target="https://www.sebi.gov.in/sebi_data/attachdocs/oct-2025/1759900951695.pdf" TargetMode="External" Id="rId737" /><Relationship Type="http://schemas.openxmlformats.org/officeDocument/2006/relationships/hyperlink" Target="https://www.sebi.gov.in/filings/public-issues/oct-2025/om-power-transmission-limited_97116.html" TargetMode="External" Id="rId738" /><Relationship Type="http://schemas.openxmlformats.org/officeDocument/2006/relationships/hyperlink" Target="https://www.sebi.gov.in/sebi_data/attachdocs/oct-2025/1759491005221_983.pdf" TargetMode="External" Id="rId739" /><Relationship Type="http://schemas.openxmlformats.org/officeDocument/2006/relationships/hyperlink" Target="https://www.sebi.gov.in/filings/public-issues/oct-2025/vishal-nirmiti-limited_97041.html" TargetMode="External" Id="rId740" /><Relationship Type="http://schemas.openxmlformats.org/officeDocument/2006/relationships/hyperlink" Target="https://www.chittorgarh.com/ipo/vishal-nirmiti-ipo/2665/" TargetMode="External" Id="rId741" /><Relationship Type="http://schemas.openxmlformats.org/officeDocument/2006/relationships/hyperlink" Target="https://www.sebi.gov.in/sebi_data/attachdocs/oct-2025/1759476612614_982.pdf" TargetMode="External" Id="rId742" /><Relationship Type="http://schemas.openxmlformats.org/officeDocument/2006/relationships/hyperlink" Target="https://www.sebi.gov.in/filings/public-issues/oct-2025/premier-industrial-corporation-limited_97037.html" TargetMode="External" Id="rId743" /><Relationship Type="http://schemas.openxmlformats.org/officeDocument/2006/relationships/hyperlink" Target="https://www.chittorgarh.com/ipo/premier-industrial-corporation-ipo/2674/" TargetMode="External" Id="rId744" /><Relationship Type="http://schemas.openxmlformats.org/officeDocument/2006/relationships/hyperlink" Target="https://www.sebi.gov.in/sebi_data/attachdocs/oct-2025/1759464923045.pdf" TargetMode="External" Id="rId745" /><Relationship Type="http://schemas.openxmlformats.org/officeDocument/2006/relationships/hyperlink" Target="https://www.sebi.gov.in/filings/public-issues/oct-2025/xtranet-technologies-limited-drhp_97031.html" TargetMode="External" Id="rId746" /><Relationship Type="http://schemas.openxmlformats.org/officeDocument/2006/relationships/hyperlink" Target="https://www.sebi.gov.in/sebi_data/attachdocs/nov-2025/1762428605879_1024.pdf" TargetMode="External" Id="rId747" /><Relationship Type="http://schemas.openxmlformats.org/officeDocument/2006/relationships/hyperlink" Target="https://www.sebi.gov.in/filings/public-issues/oct-2025/gaudium-ivf-and-women-health-limited_97652.html" TargetMode="External" Id="rId748" /><Relationship Type="http://schemas.openxmlformats.org/officeDocument/2006/relationships/hyperlink" Target="https://www.sebi.gov.in/sebi_data/attachdocs/oct-2025/1760415698411.PDF" TargetMode="External" Id="rId749" /><Relationship Type="http://schemas.openxmlformats.org/officeDocument/2006/relationships/hyperlink" Target="https://www.sebi.gov.in/filings/public-issues/oct-2025/oswal-cables-drhp_97284.html" TargetMode="External" Id="rId750" /><Relationship Type="http://schemas.openxmlformats.org/officeDocument/2006/relationships/hyperlink" Target="https://www.chittorgarh.com/ipo/oswal-cables-ipo/2677/" TargetMode="External" Id="rId751" /><Relationship Type="http://schemas.openxmlformats.org/officeDocument/2006/relationships/hyperlink" Target="https://www.sebi.gov.in/sebi_data/attachdocs/oct-2025/1759368606185_980.pdf" TargetMode="External" Id="rId752" /><Relationship Type="http://schemas.openxmlformats.org/officeDocument/2006/relationships/hyperlink" Target="https://www.sebi.gov.in/filings/public-issues/oct-2025/appl-containers-limited_97026.html" TargetMode="External" Id="rId753" /><Relationship Type="http://schemas.openxmlformats.org/officeDocument/2006/relationships/hyperlink" Target="https://www.chittorgarh.com/ipo/appl-containers-ipo/2643/" TargetMode="External" Id="rId754" /><Relationship Type="http://schemas.openxmlformats.org/officeDocument/2006/relationships/hyperlink" Target="https://www.sebi.gov.in/sebi_data/attachdocs/oct-2025/1759368606185_979.pdf" TargetMode="External" Id="rId755" /><Relationship Type="http://schemas.openxmlformats.org/officeDocument/2006/relationships/hyperlink" Target="https://www.sebi.gov.in/filings/public-issues/oct-2025/rotomag-enertec-limited_97024.html" TargetMode="External" Id="rId756" /><Relationship Type="http://schemas.openxmlformats.org/officeDocument/2006/relationships/hyperlink" Target="https://www.chittorgarh.com/ipo/rotomag-enertec-ipo/2662/" TargetMode="External" Id="rId757" /><Relationship Type="http://schemas.openxmlformats.org/officeDocument/2006/relationships/hyperlink" Target="https://www.sebi.gov.in/sebi_data/attachdocs/oct-2025/1759318215777_974.pdf" TargetMode="External" Id="rId758" /><Relationship Type="http://schemas.openxmlformats.org/officeDocument/2006/relationships/hyperlink" Target="https://www.sebi.gov.in/filings/public-issues/oct-2025/bombay-coated-and-special-steels-limited_97007.html" TargetMode="External" Id="rId759" /><Relationship Type="http://schemas.openxmlformats.org/officeDocument/2006/relationships/hyperlink" Target="https://www.chittorgarh.com/ipo/bombay-coated-and-special-steels-ipo/2671/" TargetMode="External" Id="rId760" /><Relationship Type="http://schemas.openxmlformats.org/officeDocument/2006/relationships/hyperlink" Target="https://www.sebi.gov.in/sebi_data/attachdocs/oct-2025/1759318215777_973.pdf" TargetMode="External" Id="rId761" /><Relationship Type="http://schemas.openxmlformats.org/officeDocument/2006/relationships/hyperlink" Target="https://www.sebi.gov.in/filings/public-issues/oct-2025/alcobrew-distilleries-india-limited_97005.html" TargetMode="External" Id="rId762" /><Relationship Type="http://schemas.openxmlformats.org/officeDocument/2006/relationships/hyperlink" Target="https://www.chittorgarh.com/ipo/alcobrew-distilleries-india-ipo/2639/" TargetMode="External" Id="rId763" /><Relationship Type="http://schemas.openxmlformats.org/officeDocument/2006/relationships/hyperlink" Target="https://www.sebi.gov.in/sebi_data/attachdocs/oct-2025/1759318215777_972.pdf" TargetMode="External" Id="rId764" /><Relationship Type="http://schemas.openxmlformats.org/officeDocument/2006/relationships/hyperlink" Target="https://www.sebi.gov.in/filings/public-issues/oct-2025/behari-lal-engineering-limited-drhp_97003.html" TargetMode="External" Id="rId765" /><Relationship Type="http://schemas.openxmlformats.org/officeDocument/2006/relationships/hyperlink" Target="https://www.sebi.gov.in/sebi_data/attachdocs/oct-2025/1759310454488.pdf" TargetMode="External" Id="rId766" /><Relationship Type="http://schemas.openxmlformats.org/officeDocument/2006/relationships/hyperlink" Target="https://www.sebi.gov.in/filings/public-issues/oct-2025/aequs-limited-udrhp-1_97000.html" TargetMode="External" Id="rId767" /><Relationship Type="http://schemas.openxmlformats.org/officeDocument/2006/relationships/hyperlink" Target="https://www.sebi.gov.in/sebi_data/attachdocs/sep-2025/1759217407843_967.pdf" TargetMode="External" Id="rId768" /><Relationship Type="http://schemas.openxmlformats.org/officeDocument/2006/relationships/hyperlink" Target="https://www.sebi.gov.in/filings/public-issues/sep-2025/shankesh-jewellers-limited_96968.html" TargetMode="External" Id="rId769" /><Relationship Type="http://schemas.openxmlformats.org/officeDocument/2006/relationships/hyperlink" Target="https://www.sebi.gov.in/sebi_data/attachdocs/sep-2025/1759217407843_966.pdf" TargetMode="External" Id="rId770" /><Relationship Type="http://schemas.openxmlformats.org/officeDocument/2006/relationships/hyperlink" Target="https://www.sebi.gov.in/filings/public-issues/sep-2025/parijat-industries-india-limited_96966.html" TargetMode="External" Id="rId771" /><Relationship Type="http://schemas.openxmlformats.org/officeDocument/2006/relationships/hyperlink" Target="https://www.chittorgarh.com/ipo/parijat-industries-ipo/2640/" TargetMode="External" Id="rId772" /><Relationship Type="http://schemas.openxmlformats.org/officeDocument/2006/relationships/hyperlink" Target="https://www.sebi.gov.in/sebi_data/attachdocs/sep-2025/1759136993582.pdf" TargetMode="External" Id="rId773" /><Relationship Type="http://schemas.openxmlformats.org/officeDocument/2006/relationships/hyperlink" Target="https://www.sebi.gov.in/filings/public-issues/sep-2025/csm-technologies-limited-drhp_96901.html" TargetMode="External" Id="rId774" /><Relationship Type="http://schemas.openxmlformats.org/officeDocument/2006/relationships/hyperlink" Target="https://www.sebi.gov.in/sebi_data/attachdocs/sep-2025/1758936615167_957.pdf" TargetMode="External" Id="rId775" /><Relationship Type="http://schemas.openxmlformats.org/officeDocument/2006/relationships/hyperlink" Target="https://www.sebi.gov.in/filings/public-issues/sep-2025/medicap-healthcare-limited_96876.html" TargetMode="External" Id="rId776" /><Relationship Type="http://schemas.openxmlformats.org/officeDocument/2006/relationships/hyperlink" Target="https://www.chittorgarh.com/ipo/medicap-healthcare-ipo/2619/" TargetMode="External" Id="rId777" /><Relationship Type="http://schemas.openxmlformats.org/officeDocument/2006/relationships/hyperlink" Target="https://www.sebi.gov.in/sebi_data/attachdocs/sep-2025/1758936615167_956.pdf" TargetMode="External" Id="rId778" /><Relationship Type="http://schemas.openxmlformats.org/officeDocument/2006/relationships/hyperlink" Target="https://www.sebi.gov.in/filings/public-issues/sep-2025/purple-style-labs-limited_96874.html" TargetMode="External" Id="rId779" /><Relationship Type="http://schemas.openxmlformats.org/officeDocument/2006/relationships/hyperlink" Target="https://www.sebi.gov.in/sebi_data/attachdocs/sep-2025/1758612610710_953.pdf" TargetMode="External" Id="rId780" /><Relationship Type="http://schemas.openxmlformats.org/officeDocument/2006/relationships/hyperlink" Target="https://www.sebi.gov.in/filings/public-issues/sep-2025/shriram-food-industry-limited_96783.html" TargetMode="External" Id="rId781" /><Relationship Type="http://schemas.openxmlformats.org/officeDocument/2006/relationships/hyperlink" Target="https://www.chittorgarh.com/ipo/shriram-food-industry-ipo/2613/" TargetMode="External" Id="rId782" /><Relationship Type="http://schemas.openxmlformats.org/officeDocument/2006/relationships/hyperlink" Target="https://www.sebi.gov.in/sebi_data/attachdocs/sep-2025/1758279614350.pdf" TargetMode="External" Id="rId783" /><Relationship Type="http://schemas.openxmlformats.org/officeDocument/2006/relationships/hyperlink" Target="https://www.sebi.gov.in/filings/public-issues/sep-2025/cotec-healthcare-limited-drhp_96701.html" TargetMode="External" Id="rId784" /><Relationship Type="http://schemas.openxmlformats.org/officeDocument/2006/relationships/hyperlink" Target="https://www.chittorgarh.com/ipo/cotec-healthcare-ipo/2611/" TargetMode="External" Id="rId785" /><Relationship Type="http://schemas.openxmlformats.org/officeDocument/2006/relationships/hyperlink" Target="https://www.sebi.gov.in/sebi_data/attachdocs/sep-2025/1758089866332.pdf" TargetMode="External" Id="rId786" /><Relationship Type="http://schemas.openxmlformats.org/officeDocument/2006/relationships/hyperlink" Target="https://www.sebi.gov.in/filings/public-issues/sep-2025/billionbrains-garage-ventures-limited-groww-udrhp-1_96656.html" TargetMode="External" Id="rId787" /><Relationship Type="http://schemas.openxmlformats.org/officeDocument/2006/relationships/hyperlink" Target="https://www.sebi.gov.in/sebi_data/attachdocs/sep-2025/1757932215749.pdf" TargetMode="External" Id="rId788" /><Relationship Type="http://schemas.openxmlformats.org/officeDocument/2006/relationships/hyperlink" Target="https://www.sebi.gov.in/filings/public-issues/sep-2025/chartered-speed-limited-drhp_96608.html" TargetMode="External" Id="rId789" /><Relationship Type="http://schemas.openxmlformats.org/officeDocument/2006/relationships/hyperlink" Target="https://www.chittorgarh.com/ipo/chartered-speed-ipo/2596/" TargetMode="External" Id="rId790" /><Relationship Type="http://schemas.openxmlformats.org/officeDocument/2006/relationships/hyperlink" Target="https://www.sebi.gov.in/sebi_data/attachdocs/sep-2025/1757926072065.pdf" TargetMode="External" Id="rId791" /><Relationship Type="http://schemas.openxmlformats.org/officeDocument/2006/relationships/hyperlink" Target="https://www.sebi.gov.in/filings/public-issues/sep-2025/aye-finance-limited-addendum-to-drhp_96607.html" TargetMode="External" Id="rId792" /><Relationship Type="http://schemas.openxmlformats.org/officeDocument/2006/relationships/hyperlink" Target="https://www.sebi.gov.in/sebi_data/attachdocs/sep-2025/1757668063664.pdf" TargetMode="External" Id="rId793" /><Relationship Type="http://schemas.openxmlformats.org/officeDocument/2006/relationships/hyperlink" Target="https://www.sebi.gov.in/filings/public-issues/sep-2025/eldorado-agritech-limited-drhp_96600.html" TargetMode="External" Id="rId794" /><Relationship Type="http://schemas.openxmlformats.org/officeDocument/2006/relationships/hyperlink" Target="https://www.chittorgarh.com/ipo/eldorado-agritech-ipo/2588/" TargetMode="External" Id="rId795" /><Relationship Type="http://schemas.openxmlformats.org/officeDocument/2006/relationships/hyperlink" Target="https://www.sebi.gov.in/sebi_data/attachdocs/dec-2025/1765275916503.pdf" TargetMode="External" Id="rId796" /><Relationship Type="http://schemas.openxmlformats.org/officeDocument/2006/relationships/hyperlink" Target="https://www.sebi.gov.in/filings/public-issues/sep-2025/rsb-retail-india-limited-corrigendum-to-drhp_98261.html" TargetMode="External" Id="rId797" /><Relationship Type="http://schemas.openxmlformats.org/officeDocument/2006/relationships/hyperlink" Target="https://www.chittorgarh.com/ipo/rsb-retail-india-ipo/2571/" TargetMode="External" Id="rId798" /><Relationship Type="http://schemas.openxmlformats.org/officeDocument/2006/relationships/hyperlink" Target="https://www.sebi.gov.in/sebi_data/attachdocs/sep-2025/1757590205744_947.pdf" TargetMode="External" Id="rId799" /><Relationship Type="http://schemas.openxmlformats.org/officeDocument/2006/relationships/hyperlink" Target="https://www.sebi.gov.in/filings/public-issues/sep-2025/glass-wall-systems-india-limited_96579.html" TargetMode="External" Id="rId800" /><Relationship Type="http://schemas.openxmlformats.org/officeDocument/2006/relationships/hyperlink" Target="https://www.sebi.gov.in/sebi_data/attachdocs/sep-2025/1757489405487_946.pdf" TargetMode="External" Id="rId801" /><Relationship Type="http://schemas.openxmlformats.org/officeDocument/2006/relationships/hyperlink" Target="https://www.sebi.gov.in/filings/public-issues/sep-2025/cmr-green-technologies-limited_96516.html" TargetMode="External" Id="rId802" /><Relationship Type="http://schemas.openxmlformats.org/officeDocument/2006/relationships/hyperlink" Target="https://www.sebi.gov.in/sebi_data/attachdocs/sep-2025/1757417405397_945.pdf" TargetMode="External" Id="rId803" /><Relationship Type="http://schemas.openxmlformats.org/officeDocument/2006/relationships/hyperlink" Target="https://www.sebi.gov.in/filings/public-issues/sep-2025/shivalaya-construction-limited_96495.html" TargetMode="External" Id="rId804" /><Relationship Type="http://schemas.openxmlformats.org/officeDocument/2006/relationships/hyperlink" Target="https://www.chittorgarh.com/ipo/shivalaya-construction-ipo/2593/" TargetMode="External" Id="rId805" /><Relationship Type="http://schemas.openxmlformats.org/officeDocument/2006/relationships/hyperlink" Target="https://www.sebi.gov.in/sebi_data/attachdocs/sep-2025/1757416257155.pdf" TargetMode="External" Id="rId806" /><Relationship Type="http://schemas.openxmlformats.org/officeDocument/2006/relationships/hyperlink" Target="https://www.sebi.gov.in/filings/public-issues/sep-2025/knack-packaging-limited-drhp_96482.html" TargetMode="External" Id="rId807" /><Relationship Type="http://schemas.openxmlformats.org/officeDocument/2006/relationships/hyperlink" Target="https://www.sebi.gov.in/sebi_data/attachdocs/sep-2025/1757403007624_943.pdf" TargetMode="External" Id="rId808" /><Relationship Type="http://schemas.openxmlformats.org/officeDocument/2006/relationships/hyperlink" Target="https://www.sebi.gov.in/filings/public-issues/sep-2025/sfc-environmental-technologies-limited_96473.html" TargetMode="External" Id="rId809" /><Relationship Type="http://schemas.openxmlformats.org/officeDocument/2006/relationships/hyperlink" Target="https://www.chittorgarh.com/ipo/sfc-environmental-technologies-ipo/2070/" TargetMode="External" Id="rId810" /><Relationship Type="http://schemas.openxmlformats.org/officeDocument/2006/relationships/hyperlink" Target="https://www.sebi.gov.in/sebi_data/attachdocs/sep-2025/1757394692994.pdf" TargetMode="External" Id="rId811" /><Relationship Type="http://schemas.openxmlformats.org/officeDocument/2006/relationships/hyperlink" Target="https://www.sebi.gov.in/filings/public-issues/sep-2025/physicswallah-limited-udrhp-1_96466.html" TargetMode="External" Id="rId812" /><Relationship Type="http://schemas.openxmlformats.org/officeDocument/2006/relationships/hyperlink" Target="https://www.sebi.gov.in/sebi_data/attachdocs/sep-2025/1758514124562.pdf" TargetMode="External" Id="rId813" /><Relationship Type="http://schemas.openxmlformats.org/officeDocument/2006/relationships/hyperlink" Target="https://www.sebi.gov.in/filings/public-issues/sep-2025/supreet-chemicals-limited-drhp_96737.html" TargetMode="External" Id="rId814" /><Relationship Type="http://schemas.openxmlformats.org/officeDocument/2006/relationships/hyperlink" Target="https://www.chittorgarh.com/ipo/supreet-chemicals-ipo/2598/" TargetMode="External" Id="rId815" /><Relationship Type="http://schemas.openxmlformats.org/officeDocument/2006/relationships/hyperlink" Target="https://www.sebi.gov.in/sebi_data/attachdocs/sep-2025/1757483163801.pdf" TargetMode="External" Id="rId816" /><Relationship Type="http://schemas.openxmlformats.org/officeDocument/2006/relationships/hyperlink" Target="https://www.sebi.gov.in/filings/public-issues/sep-2025/hy-tech-engineers-limited-drhp_96514.html" TargetMode="External" Id="rId817" /><Relationship Type="http://schemas.openxmlformats.org/officeDocument/2006/relationships/hyperlink" Target="https://www.sebi.gov.in/sebi_data/attachdocs/sep-2025/1757122205056_940.pdf" TargetMode="External" Id="rId818" /><Relationship Type="http://schemas.openxmlformats.org/officeDocument/2006/relationships/hyperlink" Target="https://www.sebi.gov.in/filings/public-issues/sep-2025/ukb-electronis-limited_96456.html" TargetMode="External" Id="rId819" /><Relationship Type="http://schemas.openxmlformats.org/officeDocument/2006/relationships/hyperlink" Target="https://www.chittorgarh.com/ipo/ukb-electronics-ipo/2587/" TargetMode="External" Id="rId820" /><Relationship Type="http://schemas.openxmlformats.org/officeDocument/2006/relationships/hyperlink" Target="https://www.sebi.gov.in/sebi_data/attachdocs/sep-2025/1756798204736_932.pdf" TargetMode="External" Id="rId821" /><Relationship Type="http://schemas.openxmlformats.org/officeDocument/2006/relationships/hyperlink" Target="https://www.sebi.gov.in/filings/public-issues/sep-2025/leap-india-limited_96378.html" TargetMode="External" Id="rId822" /><Relationship Type="http://schemas.openxmlformats.org/officeDocument/2006/relationships/hyperlink" Target="https://www.sebi.gov.in/sebi_data/attachdocs/aug-2025/1756449734699.pdf" TargetMode="External" Id="rId823" /><Relationship Type="http://schemas.openxmlformats.org/officeDocument/2006/relationships/hyperlink" Target="https://www.sebi.gov.in/filings/public-issues/aug-2025/molbio-diagnostics-limited-drhp_96343.html" TargetMode="External" Id="rId824" /><Relationship Type="http://schemas.openxmlformats.org/officeDocument/2006/relationships/hyperlink" Target="https://www.sebi.gov.in/sebi_data/attachdocs/aug-2025/1756107066531_929.pdf" TargetMode="External" Id="rId825" /><Relationship Type="http://schemas.openxmlformats.org/officeDocument/2006/relationships/hyperlink" Target="https://www.sebi.gov.in/filings/public-issues/aug-2025/onemi-technology-solutions-limited_96285.html" TargetMode="External" Id="rId826" /><Relationship Type="http://schemas.openxmlformats.org/officeDocument/2006/relationships/hyperlink" Target="https://www.sebi.gov.in/sebi_data/attachdocs/aug-2025/1756107066531_928.pdf" TargetMode="External" Id="rId827" /><Relationship Type="http://schemas.openxmlformats.org/officeDocument/2006/relationships/hyperlink" Target="https://www.sebi.gov.in/filings/public-issues/aug-2025/rsb-retail-india-limited_96283.html" TargetMode="External" Id="rId828" /><Relationship Type="http://schemas.openxmlformats.org/officeDocument/2006/relationships/hyperlink" Target="https://www.chittorgarh.com/ipo/rsb-retail-india-ipo/2571/" TargetMode="External" Id="rId829" /><Relationship Type="http://schemas.openxmlformats.org/officeDocument/2006/relationships/hyperlink" Target="https://www.sebi.gov.in/sebi_data/attachdocs/aug-2025/1756107066531_923.pdf" TargetMode="External" Id="rId830" /><Relationship Type="http://schemas.openxmlformats.org/officeDocument/2006/relationships/hyperlink" Target="https://www.sebi.gov.in/filings/public-issues/aug-2025/lohia-corp-limited_96273.html" TargetMode="External" Id="rId831" /><Relationship Type="http://schemas.openxmlformats.org/officeDocument/2006/relationships/hyperlink" Target="https://www.sebi.gov.in/sebi_data/attachdocs/aug-2025/1756107066531_922.pdf" TargetMode="External" Id="rId832" /><Relationship Type="http://schemas.openxmlformats.org/officeDocument/2006/relationships/hyperlink" Target="https://www.sebi.gov.in/filings/public-issues/aug-2025/fractal-analytics-limited_96271.html" TargetMode="External" Id="rId833" /><Relationship Type="http://schemas.openxmlformats.org/officeDocument/2006/relationships/hyperlink" Target="https://www.sebi.gov.in/sebi_data/attachdocs/aug-2025/1755847805524_921.pdf" TargetMode="External" Id="rId834" /><Relationship Type="http://schemas.openxmlformats.org/officeDocument/2006/relationships/hyperlink" Target="https://www.sebi.gov.in/filings/public-issues/aug-2025/clean-max-enviro-energy-solutions-limited_96203.html" TargetMode="External" Id="rId835" /><Relationship Type="http://schemas.openxmlformats.org/officeDocument/2006/relationships/hyperlink" Target="https://www.sebi.gov.in/sebi_data/attachdocs/aug-2025/1755749346140.pdf" TargetMode="External" Id="rId836" /><Relationship Type="http://schemas.openxmlformats.org/officeDocument/2006/relationships/hyperlink" Target="https://www.sebi.gov.in/filings/public-issues/aug-2025/wework-india-management-limited-addendum-to-drhp_96164.html" TargetMode="External" Id="rId837" /><Relationship Type="http://schemas.openxmlformats.org/officeDocument/2006/relationships/hyperlink" Target="https://www.sebi.gov.in/sebi_data/attachdocs/aug-2025/1755588605776_917.pdf" TargetMode="External" Id="rId838" /><Relationship Type="http://schemas.openxmlformats.org/officeDocument/2006/relationships/hyperlink" Target="https://www.sebi.gov.in/filings/public-issues/aug-2025/powerica-limited_96132.html" TargetMode="External" Id="rId839" /><Relationship Type="http://schemas.openxmlformats.org/officeDocument/2006/relationships/hyperlink" Target="https://www.sebi.gov.in/sebi_data/attachdocs/aug-2025/1755509998422.pdf" TargetMode="External" Id="rId840" /><Relationship Type="http://schemas.openxmlformats.org/officeDocument/2006/relationships/hyperlink" Target="https://www.sebi.gov.in/filings/public-issues/aug-2025/varmora-granito-limited-drhp_96122.html" TargetMode="External" Id="rId841" /><Relationship Type="http://schemas.openxmlformats.org/officeDocument/2006/relationships/hyperlink" Target="https://www.sebi.gov.in/sebi_data/attachdocs/aug-2025/1755173549342.PDF" TargetMode="External" Id="rId842" /><Relationship Type="http://schemas.openxmlformats.org/officeDocument/2006/relationships/hyperlink" Target="https://www.sebi.gov.in/filings/public-issues/aug-2025/a-one-steel-limited-addendum_96103.html" TargetMode="External" Id="rId843" /><Relationship Type="http://schemas.openxmlformats.org/officeDocument/2006/relationships/hyperlink" Target="https://www.sebi.gov.in/sebi_data/attachdocs/aug-2025/1755173472001.pdf" TargetMode="External" Id="rId844" /><Relationship Type="http://schemas.openxmlformats.org/officeDocument/2006/relationships/hyperlink" Target="https://www.sebi.gov.in/filings/public-issues/aug-2025/atlanta-electricals-limited-addendum_96101.html" TargetMode="External" Id="rId845" /><Relationship Type="http://schemas.openxmlformats.org/officeDocument/2006/relationships/hyperlink" Target="https://www.sebi.gov.in/sebi_data/attachdocs/aug-2025/1755070204199_915.pdf" TargetMode="External" Id="rId846" /><Relationship Type="http://schemas.openxmlformats.org/officeDocument/2006/relationships/hyperlink" Target="https://www.sebi.gov.in/filings/public-issues/aug-2025/transline-technologies-limited_96056.html" TargetMode="External" Id="rId847" /><Relationship Type="http://schemas.openxmlformats.org/officeDocument/2006/relationships/hyperlink" Target="https://www.chittorgarh.com/ipo/transline-technologies-ipo/2575/" TargetMode="External" Id="rId848" /><Relationship Type="http://schemas.openxmlformats.org/officeDocument/2006/relationships/hyperlink" Target="https://www.sebi.gov.in/sebi_data/attachdocs/aug-2025/1755063721132.pdf" TargetMode="External" Id="rId849" /><Relationship Type="http://schemas.openxmlformats.org/officeDocument/2006/relationships/hyperlink" Target="https://www.sebi.gov.in/filings/public-issues/aug-2025/technocraft-ventures-limited-drhp_96055.html" TargetMode="External" Id="rId850" /><Relationship Type="http://schemas.openxmlformats.org/officeDocument/2006/relationships/hyperlink" Target="https://www.sebi.gov.in/sebi_data/attachdocs/aug-2025/1755516604740_916.pdf" TargetMode="External" Id="rId851" /><Relationship Type="http://schemas.openxmlformats.org/officeDocument/2006/relationships/hyperlink" Target="https://www.sebi.gov.in/filings/public-issues/aug-2025/nephrocare-health-services-limited_96127.html" TargetMode="External" Id="rId852" /><Relationship Type="http://schemas.openxmlformats.org/officeDocument/2006/relationships/hyperlink" Target="https://www.sebi.gov.in/sebi_data/attachdocs/aug-2025/1754998206920_914.pdf" TargetMode="External" Id="rId853" /><Relationship Type="http://schemas.openxmlformats.org/officeDocument/2006/relationships/hyperlink" Target="https://www.sebi.gov.in/filings/public-issues/aug-2025/bls-polymers-limited_96028.html" TargetMode="External" Id="rId854" /><Relationship Type="http://schemas.openxmlformats.org/officeDocument/2006/relationships/hyperlink" Target="https://www.chittorgarh.com/ipo/bls-polymers-ipo/2559/" TargetMode="External" Id="rId855" /><Relationship Type="http://schemas.openxmlformats.org/officeDocument/2006/relationships/hyperlink" Target="https://www.sebi.gov.in/sebi_data/attachdocs/aug-2025/1754887182581.pdf" TargetMode="External" Id="rId856" /><Relationship Type="http://schemas.openxmlformats.org/officeDocument/2006/relationships/hyperlink" Target="https://www.sebi.gov.in/filings/public-issues/aug-2025/steel-infra-solutions-company-limited-drhp_95961.html" TargetMode="External" Id="rId857" /><Relationship Type="http://schemas.openxmlformats.org/officeDocument/2006/relationships/hyperlink" Target="https://www.chittorgarh.com/ipo/siscol-ipo/2553/" TargetMode="External" Id="rId858" /><Relationship Type="http://schemas.openxmlformats.org/officeDocument/2006/relationships/hyperlink" Target="https://www.sebi.gov.in/sebi_data/attachdocs/aug-2025/1754887054517.pdf" TargetMode="External" Id="rId859" /><Relationship Type="http://schemas.openxmlformats.org/officeDocument/2006/relationships/hyperlink" Target="https://www.sebi.gov.in/filings/public-issues/aug-2025/silver-consumers-electricals-limited-drhp_95959.html" TargetMode="External" Id="rId860" /><Relationship Type="http://schemas.openxmlformats.org/officeDocument/2006/relationships/hyperlink" Target="https://www.chittorgarh.com/ipo/silver-consumer-electricals-ipo/2562/" TargetMode="External" Id="rId861" /><Relationship Type="http://schemas.openxmlformats.org/officeDocument/2006/relationships/hyperlink" Target="https://www.sebi.gov.in/sebi_data/attachdocs/aug-2025/1754368282948.pdf" TargetMode="External" Id="rId862" /><Relationship Type="http://schemas.openxmlformats.org/officeDocument/2006/relationships/hyperlink" Target="https://www.sebi.gov.in/filings/public-issues/aug-2025/tata-capital-limited-udrhp-i_95828.html" TargetMode="External" Id="rId863" /><Relationship Type="http://schemas.openxmlformats.org/officeDocument/2006/relationships/hyperlink" Target="https://www.sebi.gov.in/sebi_data/attachdocs/aug-2025/1754291226095.pdf" TargetMode="External" Id="rId864" /><Relationship Type="http://schemas.openxmlformats.org/officeDocument/2006/relationships/hyperlink" Target="https://www.sebi.gov.in/filings/public-issues/aug-2025/asset-reconstruction-company-india-limited-drhp_95801.html" TargetMode="External" Id="rId865" /><Relationship Type="http://schemas.openxmlformats.org/officeDocument/2006/relationships/hyperlink" Target="https://www.sebi.gov.in/sebi_data/attachdocs/aug-2025/1754035664963.pdf" TargetMode="External" Id="rId866" /><Relationship Type="http://schemas.openxmlformats.org/officeDocument/2006/relationships/hyperlink" Target="https://www.sebi.gov.in/filings/public-issues/aug-2025/lenskart-solutions-limited-drhp_95763.html" TargetMode="External" Id="rId867" /><Relationship Type="http://schemas.openxmlformats.org/officeDocument/2006/relationships/hyperlink" Target="https://www.sebi.gov.in/sebi_data/attachdocs/aug-2025/1754031254931.pdf" TargetMode="External" Id="rId868" /><Relationship Type="http://schemas.openxmlformats.org/officeDocument/2006/relationships/hyperlink" Target="https://www.sebi.gov.in/filings/public-issues/aug-2025/lamtuf-limited_95754.html" TargetMode="External" Id="rId869" /><Relationship Type="http://schemas.openxmlformats.org/officeDocument/2006/relationships/hyperlink" Target="https://www.chittorgarh.com/ipo/lamtuf-ipo/2537/" TargetMode="External" Id="rId870" /><Relationship Type="http://schemas.openxmlformats.org/officeDocument/2006/relationships/hyperlink" Target="https://www.sebi.gov.in/sebi_data/attachdocs/jul-2025/1753961405691_888.pdf" TargetMode="External" Id="rId871" /><Relationship Type="http://schemas.openxmlformats.org/officeDocument/2006/relationships/hyperlink" Target="https://www.sebi.gov.in/filings/public-issues/jul-2025/amagi-media-labs-limited_95739.html" TargetMode="External" Id="rId872" /><Relationship Type="http://schemas.openxmlformats.org/officeDocument/2006/relationships/hyperlink" Target="https://www.sebi.gov.in/sebi_data/attachdocs/jul-2025/1753961405691_889.pdf" TargetMode="External" Id="rId873" /><Relationship Type="http://schemas.openxmlformats.org/officeDocument/2006/relationships/hyperlink" Target="https://www.sebi.gov.in/filings/public-issues/jul-2025/sahajanand-medical-technologies-limited_95741.html" TargetMode="External" Id="rId874" /><Relationship Type="http://schemas.openxmlformats.org/officeDocument/2006/relationships/hyperlink" Target="https://www.chittorgarh.com/ipo/sahajanand-medical-technologies-ipo/2550/" TargetMode="External" Id="rId875" /><Relationship Type="http://schemas.openxmlformats.org/officeDocument/2006/relationships/hyperlink" Target="https://www.sebi.gov.in/sebi_data/attachdocs/jul-2025/1753925406298_885.pdf" TargetMode="External" Id="rId876" /><Relationship Type="http://schemas.openxmlformats.org/officeDocument/2006/relationships/hyperlink" Target="https://www.sebi.gov.in/filings/public-issues/jul-2025/executive-centre-india-limited_95722.html" TargetMode="External" Id="rId877" /><Relationship Type="http://schemas.openxmlformats.org/officeDocument/2006/relationships/hyperlink" Target="https://www.chittorgarh.com/ipo/executive-centre-ipo/2544/" TargetMode="External" Id="rId878" /><Relationship Type="http://schemas.openxmlformats.org/officeDocument/2006/relationships/hyperlink" Target="https://www.sebi.gov.in/sebi_data/attachdocs/jul-2025/1753873453319.pdf" TargetMode="External" Id="rId879" /><Relationship Type="http://schemas.openxmlformats.org/officeDocument/2006/relationships/hyperlink" Target="https://www.sebi.gov.in/filings/public-issues/jul-2025/wakefit-innovations-limited-addendum-to-drhp_95708.html" TargetMode="External" Id="rId880" /><Relationship Type="http://schemas.openxmlformats.org/officeDocument/2006/relationships/hyperlink" Target="https://www.sebi.gov.in/sebi_data/attachdocs/jul-2025/1753407006225_880.pdf" TargetMode="External" Id="rId881" /><Relationship Type="http://schemas.openxmlformats.org/officeDocument/2006/relationships/hyperlink" Target="https://www.sebi.gov.in/filings/public-issues/jul-2025/milky-mist-dairy-food-limited_95576.html" TargetMode="External" Id="rId882" /><Relationship Type="http://schemas.openxmlformats.org/officeDocument/2006/relationships/hyperlink" Target="https://www.sebi.gov.in/sebi_data/attachdocs/jul-2025/1753270215879_878.pdf" TargetMode="External" Id="rId883" /><Relationship Type="http://schemas.openxmlformats.org/officeDocument/2006/relationships/hyperlink" Target="https://www.sebi.gov.in/filings/public-issues/jul-2025/oswal-energies-limited_95557.html" TargetMode="External" Id="rId884" /><Relationship Type="http://schemas.openxmlformats.org/officeDocument/2006/relationships/hyperlink" Target="https://www.chittorgarh.com/ipo/oswal-energies-ipo/2540/" TargetMode="External" Id="rId885" /><Relationship Type="http://schemas.openxmlformats.org/officeDocument/2006/relationships/hyperlink" Target="https://www.sebi.gov.in/sebi_data/attachdocs/jul-2025/1753171926581.pdf" TargetMode="External" Id="rId886" /><Relationship Type="http://schemas.openxmlformats.org/officeDocument/2006/relationships/hyperlink" Target="https://www.sebi.gov.in/filings/public-issues/jul-2025/orient-cables-limited-drhp_95503.html" TargetMode="External" Id="rId887" /><Relationship Type="http://schemas.openxmlformats.org/officeDocument/2006/relationships/hyperlink" Target="https://www.chittorgarh.com/ipo/orient-cables-ipo/2532/" TargetMode="External" Id="rId888" /><Relationship Type="http://schemas.openxmlformats.org/officeDocument/2006/relationships/hyperlink" Target="https://www.sebi.gov.in/sebi_data/attachdocs/jul-2025/1752842148576.pdf" TargetMode="External" Id="rId889" /><Relationship Type="http://schemas.openxmlformats.org/officeDocument/2006/relationships/hyperlink" Target="https://www.sebi.gov.in/filings/public-issues/jul-2025/icici-prudential-asset-management-company-limited_95357.html" TargetMode="External" Id="rId890" /><Relationship Type="http://schemas.openxmlformats.org/officeDocument/2006/relationships/hyperlink" Target="https://www.sebi.gov.in/sebi_data/attachdocs/jul-2025/1752665404329_867.pdf" TargetMode="External" Id="rId891" /><Relationship Type="http://schemas.openxmlformats.org/officeDocument/2006/relationships/hyperlink" Target="https://www.sebi.gov.in/filings/public-issues/jul-2025/aggcon-equipments-international-limited_95349.html" TargetMode="External" Id="rId892" /><Relationship Type="http://schemas.openxmlformats.org/officeDocument/2006/relationships/hyperlink" Target="https://www.chittorgarh.com/ipo/aggcon-equipments-international-ipo/2531/" TargetMode="External" Id="rId893" /><Relationship Type="http://schemas.openxmlformats.org/officeDocument/2006/relationships/hyperlink" Target="https://www.sebi.gov.in/sebi_data/attachdocs/jul-2025/1752564604858_864.pdf" TargetMode="External" Id="rId894" /><Relationship Type="http://schemas.openxmlformats.org/officeDocument/2006/relationships/hyperlink" Target="https://www.sebi.gov.in/filings/public-issues/jul-2025/emmvee-photovoltaic-power-limited_95264.html" TargetMode="External" Id="rId895" /><Relationship Type="http://schemas.openxmlformats.org/officeDocument/2006/relationships/hyperlink" Target="https://www.sebi.gov.in/sebi_data/attachdocs/jul-2025/1752478204835_863.pdf" TargetMode="External" Id="rId896" /><Relationship Type="http://schemas.openxmlformats.org/officeDocument/2006/relationships/hyperlink" Target="https://www.sebi.gov.in/filings/public-issues/jul-2025/aggcon-equipments-international-limited_95252.html" TargetMode="External" Id="rId897" /><Relationship Type="http://schemas.openxmlformats.org/officeDocument/2006/relationships/hyperlink" Target="https://www.chittorgarh.com/ipo/aggcon-equipments-international-ipo/2531/" TargetMode="External" Id="rId898" /><Relationship Type="http://schemas.openxmlformats.org/officeDocument/2006/relationships/hyperlink" Target="https://www.sebi.gov.in/sebi_data/attachdocs/jul-2025/1752219016712_862.pdf" TargetMode="External" Id="rId899" /><Relationship Type="http://schemas.openxmlformats.org/officeDocument/2006/relationships/hyperlink" Target="https://www.sebi.gov.in/filings/public-issues/jul-2025/allied-engineering-works-limited_95201.html" TargetMode="External" Id="rId900" /><Relationship Type="http://schemas.openxmlformats.org/officeDocument/2006/relationships/hyperlink" Target="https://www.chittorgarh.com/ipo/allied-engineering-works-ipo/2519/" TargetMode="External" Id="rId901" /><Relationship Type="http://schemas.openxmlformats.org/officeDocument/2006/relationships/hyperlink" Target="https://www.sebi.gov.in/sebi_data/attachdocs/jul-2025/1752219016712_861.pdf" TargetMode="External" Id="rId902" /><Relationship Type="http://schemas.openxmlformats.org/officeDocument/2006/relationships/hyperlink" Target="https://www.sebi.gov.in/filings/public-issues/jul-2025/shree-ram-twistex-limited_95199.html" TargetMode="External" Id="rId903" /><Relationship Type="http://schemas.openxmlformats.org/officeDocument/2006/relationships/hyperlink" Target="https://www.sebi.gov.in/sebi_data/attachdocs/jul-2025/1752219016712_860.pdf" TargetMode="External" Id="rId904" /><Relationship Type="http://schemas.openxmlformats.org/officeDocument/2006/relationships/hyperlink" Target="https://www.sebi.gov.in/filings/public-issues/jul-2025/juniper-green-energy-limited_95197.html" TargetMode="External" Id="rId905" /><Relationship Type="http://schemas.openxmlformats.org/officeDocument/2006/relationships/hyperlink" Target="https://www.sebi.gov.in/sebi_data/attachdocs/jul-2025/1752197404710_858.pdf" TargetMode="External" Id="rId906" /><Relationship Type="http://schemas.openxmlformats.org/officeDocument/2006/relationships/hyperlink" Target="https://www.sebi.gov.in/filings/public-issues/jul-2025/emmvee-photovoltaic-power-limited_95189.html" TargetMode="External" Id="rId907" /><Relationship Type="http://schemas.openxmlformats.org/officeDocument/2006/relationships/hyperlink" Target="https://www.sebi.gov.in/sebi_data/attachdocs/jul-2025/1752123211746_856.pdf" TargetMode="External" Id="rId908" /><Relationship Type="http://schemas.openxmlformats.org/officeDocument/2006/relationships/hyperlink" Target="https://www.sebi.gov.in/filings/public-issues/jul-2025/hero-motors-limited_95172.html" TargetMode="External" Id="rId909" /><Relationship Type="http://schemas.openxmlformats.org/officeDocument/2006/relationships/hyperlink" Target="https://www.sebi.gov.in/sebi_data/attachdocs/jul-2025/1751959819550_855.pdf" TargetMode="External" Id="rId910" /><Relationship Type="http://schemas.openxmlformats.org/officeDocument/2006/relationships/hyperlink" Target="https://www.sebi.gov.in/filings/public-issues/jul-2025/safex-chemicals-india-limited_95115.html" TargetMode="External" Id="rId911" /><Relationship Type="http://schemas.openxmlformats.org/officeDocument/2006/relationships/hyperlink" Target="https://www.chittorgarh.com/ipo/safex-chemicals-ipo/2520/" TargetMode="External" Id="rId912" /><Relationship Type="http://schemas.openxmlformats.org/officeDocument/2006/relationships/hyperlink" Target="https://www.sebi.gov.in/sebi_data/attachdocs/aug-2026/1787315835585.pdf" TargetMode="External" Id="rId913" /><Relationship Type="http://schemas.openxmlformats.org/officeDocument/2006/relationships/hyperlink" Target="https://www.sebi.gov.in/filings/public-issues/jul-2025/german-green-steel-and-power-limited-drhp_95113.html" TargetMode="External" Id="rId914" /><Relationship Type="http://schemas.openxmlformats.org/officeDocument/2006/relationships/hyperlink" Target="https://www.chittorgarh.com/ipo/german-green-steel-and-power-ipo/2497/" TargetMode="External" Id="rId915" /><Relationship Type="http://schemas.openxmlformats.org/officeDocument/2006/relationships/hyperlink" Target="https://www.sebi.gov.in/sebi_data/attachdocs/jul-2025/1751887810927_850.pdf" TargetMode="External" Id="rId916" /><Relationship Type="http://schemas.openxmlformats.org/officeDocument/2006/relationships/hyperlink" Target="https://www.sebi.gov.in/filings/public-issues/jul-2025/pine-labs-limited_95077.html" TargetMode="External" Id="rId917" /><Relationship Type="http://schemas.openxmlformats.org/officeDocument/2006/relationships/hyperlink" Target="https://www.sebi.gov.in/sebi_data/attachdocs/jul-2025/1751887810927_851.pdf" TargetMode="External" Id="rId918" /><Relationship Type="http://schemas.openxmlformats.org/officeDocument/2006/relationships/hyperlink" Target="https://www.sebi.gov.in/filings/public-issues/jul-2025/tenneco-clean-air-india-limited_95079.html" TargetMode="External" Id="rId919" /><Relationship Type="http://schemas.openxmlformats.org/officeDocument/2006/relationships/hyperlink" Target="https://www.sebi.gov.in/sebi_data/attachdocs/jul-2025/1751873409036_848.pdf" TargetMode="External" Id="rId920" /><Relationship Type="http://schemas.openxmlformats.org/officeDocument/2006/relationships/hyperlink" Target="https://www.sebi.gov.in/filings/public-issues/jul-2025/annu-projects-limited_95072.html" TargetMode="External" Id="rId921" /><Relationship Type="http://schemas.openxmlformats.org/officeDocument/2006/relationships/hyperlink" Target="https://www.sebi.gov.in/sebi_data/attachdocs/jul-2025/1751542207660_845.pdf" TargetMode="External" Id="rId922" /><Relationship Type="http://schemas.openxmlformats.org/officeDocument/2006/relationships/hyperlink" Target="https://www.sebi.gov.in/filings/public-issues/jul-2025/amir-chand-jagdish-kumar-exports-limited_95027.html" TargetMode="External" Id="rId923" /><Relationship Type="http://schemas.openxmlformats.org/officeDocument/2006/relationships/hyperlink" Target="https://www.chittorgarh.com/ipo/amir-chand-jagdish-kumar-ipo/2501/" TargetMode="External" Id="rId924" /><Relationship Type="http://schemas.openxmlformats.org/officeDocument/2006/relationships/hyperlink" Target="https://www.sebi.gov.in/sebi_data/attachdocs/jul-2025/1751542207660_844.pdf" TargetMode="External" Id="rId925" /><Relationship Type="http://schemas.openxmlformats.org/officeDocument/2006/relationships/hyperlink" Target="https://www.sebi.gov.in/filings/public-issues/jul-2025/shree-ram-twistex-limited_95025.html" TargetMode="External" Id="rId926" /><Relationship Type="http://schemas.openxmlformats.org/officeDocument/2006/relationships/hyperlink" Target="https://www.sebi.gov.in/sebi_data/attachdocs/jul-2025/1751542207660_843.pdf" TargetMode="External" Id="rId927" /><Relationship Type="http://schemas.openxmlformats.org/officeDocument/2006/relationships/hyperlink" Target="https://www.sebi.gov.in/filings/public-issues/jul-2025/sillverton-industries-limited_95023.html" TargetMode="External" Id="rId928" /><Relationship Type="http://schemas.openxmlformats.org/officeDocument/2006/relationships/hyperlink" Target="https://www.chittorgarh.com/ipo/sillverton-industries-ipo/2499/" TargetMode="External" Id="rId929" /><Relationship Type="http://schemas.openxmlformats.org/officeDocument/2006/relationships/hyperlink" Target="https://www.sebi.gov.in/sebi_data/attachdocs/jul-2025/1751527808198_841.pdf" TargetMode="External" Id="rId930" /><Relationship Type="http://schemas.openxmlformats.org/officeDocument/2006/relationships/hyperlink" Target="https://www.sebi.gov.in/filings/public-issues/jul-2025/curefoods-india-limited_95013.html" TargetMode="External" Id="rId931" /><Relationship Type="http://schemas.openxmlformats.org/officeDocument/2006/relationships/hyperlink" Target="https://curvedtrading.com/articles/en/investing/curefoods-ipo/" TargetMode="External" Id="rId932" /><Relationship Type="http://schemas.openxmlformats.org/officeDocument/2006/relationships/hyperlink" Target="https://www.sebi.gov.in/sebi_data/attachdocs/jul-2025/1751527808198_842.pdf" TargetMode="External" Id="rId933" /><Relationship Type="http://schemas.openxmlformats.org/officeDocument/2006/relationships/hyperlink" Target="https://www.sebi.gov.in/filings/public-issues/jul-2025/skyways-air-services-limited_95015.html" TargetMode="External" Id="rId934" /><Relationship Type="http://schemas.openxmlformats.org/officeDocument/2006/relationships/hyperlink" Target="https://www.sebi.gov.in/sebi_data/attachdocs/jul-2025/1751527808198_840.pdf" TargetMode="External" Id="rId935" /><Relationship Type="http://schemas.openxmlformats.org/officeDocument/2006/relationships/hyperlink" Target="https://www.sebi.gov.in/filings/public-issues/jul-2025/rayzon-solar-limited_95011.html" TargetMode="External" Id="rId936" /><Relationship Type="http://schemas.openxmlformats.org/officeDocument/2006/relationships/hyperlink" Target="https://www.chittorgarh.com/ipo/rayzon-solar-ipo/2490/" TargetMode="External" Id="rId937" /><Relationship Type="http://schemas.openxmlformats.org/officeDocument/2006/relationships/hyperlink" Target="https://www.sebi.gov.in/sebi_data/attachdocs/jul-2025/1751455806758_839.pdf" TargetMode="External" Id="rId938" /><Relationship Type="http://schemas.openxmlformats.org/officeDocument/2006/relationships/hyperlink" Target="https://www.sebi.gov.in/filings/public-issues/jul-2025/manika-plastech-limited_94990.html" TargetMode="External" Id="rId939" /><Relationship Type="http://schemas.openxmlformats.org/officeDocument/2006/relationships/hyperlink" Target="https://www.sebi.gov.in/sebi_data/attachdocs/jul-2025/1751455806758_838.pdf" TargetMode="External" Id="rId940" /><Relationship Type="http://schemas.openxmlformats.org/officeDocument/2006/relationships/hyperlink" Target="https://www.sebi.gov.in/filings/public-issues/jul-2025/foodlink-fandb-holdings-india-limited_94988.html" TargetMode="External" Id="rId941" /><Relationship Type="http://schemas.openxmlformats.org/officeDocument/2006/relationships/hyperlink" Target="https://www.chittorgarh.com/ipo/foodlink-fb-ipo/2493/" TargetMode="External" Id="rId942" /><Relationship Type="http://schemas.openxmlformats.org/officeDocument/2006/relationships/hyperlink" Target="https://www.sebi.gov.in/sebi_data/attachdocs/jul-2025/1751441407213_836.pdf" TargetMode="External" Id="rId943" /><Relationship Type="http://schemas.openxmlformats.org/officeDocument/2006/relationships/hyperlink" Target="https://www.sebi.gov.in/filings/public-issues/jul-2025/omnitech-engineering-limited_94969.html" TargetMode="External" Id="rId944" /><Relationship Type="http://schemas.openxmlformats.org/officeDocument/2006/relationships/hyperlink" Target="https://www.sebi.gov.in/sebi_data/attachdocs/jul-2025/1751369404647_833.pdf" TargetMode="External" Id="rId945" /><Relationship Type="http://schemas.openxmlformats.org/officeDocument/2006/relationships/hyperlink" Target="https://www.sebi.gov.in/filings/public-issues/jul-2025/sudeep-pharma-limited_94935.html" TargetMode="External" Id="rId946" /><Relationship Type="http://schemas.openxmlformats.org/officeDocument/2006/relationships/hyperlink" Target="https://www.sebi.gov.in/sebi_data/attachdocs/jul-2025/1751369404647_832.pdf" TargetMode="External" Id="rId947" /><Relationship Type="http://schemas.openxmlformats.org/officeDocument/2006/relationships/hyperlink" Target="https://www.sebi.gov.in/filings/public-issues/jul-2025/wakefit-innovations-limited_94933.html" TargetMode="External" Id="rId948" /><Relationship Type="http://schemas.openxmlformats.org/officeDocument/2006/relationships/hyperlink" Target="https://www.sebi.gov.in/sebi_data/attachdocs/jun-2025/1751268605601_824.pdf" TargetMode="External" Id="rId949" /><Relationship Type="http://schemas.openxmlformats.org/officeDocument/2006/relationships/hyperlink" Target="https://www.sebi.gov.in/filings/public-issues/jun-2025/earthood-services-limited_94857.html" TargetMode="External" Id="rId950" /><Relationship Type="http://schemas.openxmlformats.org/officeDocument/2006/relationships/hyperlink" Target="https://www.chittorgarh.com/ipo/earthood-services-ipo/2071/" TargetMode="External" Id="rId951" /><Relationship Type="http://schemas.openxmlformats.org/officeDocument/2006/relationships/hyperlink" Target="https://www.sebi.gov.in/sebi_data/attachdocs/jul-2025/1751348686934.pdf" TargetMode="External" Id="rId952" /><Relationship Type="http://schemas.openxmlformats.org/officeDocument/2006/relationships/hyperlink" Target="https://www.sebi.gov.in/filings/public-issues/jun-2025/credila-financial-services-limited-udrhp-1_94914.html" TargetMode="External" Id="rId953" /><Relationship Type="http://schemas.openxmlformats.org/officeDocument/2006/relationships/hyperlink" Target="https://www.chittorgarh.com/ipo/credila-financial-services-ipo/2263/" TargetMode="External" Id="rId954" /><Relationship Type="http://schemas.openxmlformats.org/officeDocument/2006/relationships/hyperlink" Target="https://www.sebi.gov.in/sebi_data/attachdocs/jul-2025/1751363891872.pdf" TargetMode="External" Id="rId955" /><Relationship Type="http://schemas.openxmlformats.org/officeDocument/2006/relationships/hyperlink" Target="https://www.sebi.gov.in/filings/public-issues/jun-2025/patel-retail-limited-addendum-to-drhp_94922.html" TargetMode="External" Id="rId956" /><Relationship Type="http://schemas.openxmlformats.org/officeDocument/2006/relationships/hyperlink" Target="https://www.sebi.gov.in/sebi_data/attachdocs/jun-2025/1750937404154_823.pdf" TargetMode="External" Id="rId957" /><Relationship Type="http://schemas.openxmlformats.org/officeDocument/2006/relationships/hyperlink" Target="https://www.sebi.gov.in/filings/public-issues/jun-2025/rajputana-stainless-limited_94803.html" TargetMode="External" Id="rId958" /><Relationship Type="http://schemas.openxmlformats.org/officeDocument/2006/relationships/hyperlink" Target="https://www.sebi.gov.in/sebi_data/attachdocs/jun-2025/1750670992881.pdf" TargetMode="External" Id="rId959" /><Relationship Type="http://schemas.openxmlformats.org/officeDocument/2006/relationships/hyperlink" Target="https://www.sebi.gov.in/filings/public-issues/jun-2025/bluestone-jewellery-and-lifestyle-limited-addendum-to-drhp_94734.html" TargetMode="External" Id="rId960" /><Relationship Type="http://schemas.openxmlformats.org/officeDocument/2006/relationships/hyperlink" Target="https://www.sebi.gov.in/sebi_data/attachdocs/jun-2025/1750419007609_820.pdf" TargetMode="External" Id="rId961" /><Relationship Type="http://schemas.openxmlformats.org/officeDocument/2006/relationships/hyperlink" Target="https://www.sebi.gov.in/filings/public-issues/jun-2025/capillary-technologies-india-limited_94691.html" TargetMode="External" Id="rId962" /><Relationship Type="http://schemas.openxmlformats.org/officeDocument/2006/relationships/hyperlink" Target="https://www.sebi.gov.in/sebi_data/attachdocs/jun-2025/1750246204892_819.pdf" TargetMode="External" Id="rId963" /><Relationship Type="http://schemas.openxmlformats.org/officeDocument/2006/relationships/hyperlink" Target="https://www.sebi.gov.in/filings/public-issues/jun-2025/pngs-reva-diamond-jewellery-limited_94650.html" TargetMode="External" Id="rId964" /><Relationship Type="http://schemas.openxmlformats.org/officeDocument/2006/relationships/hyperlink" Target="https://www.sebi.gov.in/sebi_data/attachdocs/jun-2025/1750159804908_818.pdf" TargetMode="External" Id="rId965" /><Relationship Type="http://schemas.openxmlformats.org/officeDocument/2006/relationships/hyperlink" Target="https://www.sebi.gov.in/filings/public-issues/jun-2025/waterways-leisure-tourism-limited_94626.html" TargetMode="External" Id="rId966" /><Relationship Type="http://schemas.openxmlformats.org/officeDocument/2006/relationships/hyperlink" Target="https://www.sebi.gov.in/sebi_data/attachdocs/jun-2025/1750073406923_817.pdf" TargetMode="External" Id="rId967" /><Relationship Type="http://schemas.openxmlformats.org/officeDocument/2006/relationships/hyperlink" Target="https://www.sebi.gov.in/filings/public-issues/jun-2025/orkla-india-limited_94619.html" TargetMode="External" Id="rId968" /><Relationship Type="http://schemas.openxmlformats.org/officeDocument/2006/relationships/hyperlink" Target="https://www.sebi.gov.in/sebi_data/attachdocs/jun-2025/1749810183338.pdf" TargetMode="External" Id="rId969" /><Relationship Type="http://schemas.openxmlformats.org/officeDocument/2006/relationships/hyperlink" Target="https://www.sebi.gov.in/filings/public-issues/jun-2025/corrigendum-to-drhp-allchem-lifesciences-limited_94591.html" TargetMode="External" Id="rId970" /><Relationship Type="http://schemas.openxmlformats.org/officeDocument/2006/relationships/hyperlink" Target="https://www.business-standard.com/markets/ipo/allchem-lifescience-ltd-ipo-94617" TargetMode="External" Id="rId971" /><Relationship Type="http://schemas.openxmlformats.org/officeDocument/2006/relationships/hyperlink" Target="https://www.sebi.gov.in/sebi_data/attachdocs/jun-2025/1749799807042_816.pdf" TargetMode="External" Id="rId972" /><Relationship Type="http://schemas.openxmlformats.org/officeDocument/2006/relationships/hyperlink" Target="https://www.sebi.gov.in/filings/public-issues/jun-2025/lalithaa-jewellery-mart-limited_94576.html" TargetMode="External" Id="rId973" /><Relationship Type="http://schemas.openxmlformats.org/officeDocument/2006/relationships/hyperlink" Target="https://www.sebi.gov.in/sebi_data/attachdocs/jun-2025/1749727806894_815.pdf" TargetMode="External" Id="rId974" /><Relationship Type="http://schemas.openxmlformats.org/officeDocument/2006/relationships/hyperlink" Target="https://www.sebi.gov.in/filings/public-issues/jun-2025/tea-post-limited_94561.html" TargetMode="External" Id="rId975" /><Relationship Type="http://schemas.openxmlformats.org/officeDocument/2006/relationships/hyperlink" Target="https://www.chittorgarh.com/ipo/tea-post-ipo/2442/" TargetMode="External" Id="rId976" /><Relationship Type="http://schemas.openxmlformats.org/officeDocument/2006/relationships/hyperlink" Target="https://www.sebi.gov.in/sebi_data/attachdocs/jun-2025/1749701144206.pdf" TargetMode="External" Id="rId977" /><Relationship Type="http://schemas.openxmlformats.org/officeDocument/2006/relationships/hyperlink" Target="https://www.sebi.gov.in/filings/public-issues/jun-2025/addendum-cum-corrigendum-to-drhp-of-vinir-engineering-limited_94541.html" TargetMode="External" Id="rId978" /><Relationship Type="http://schemas.openxmlformats.org/officeDocument/2006/relationships/hyperlink" Target="https://www.business-standard.com/markets/ipo/vinir-engineering-ltd-ipo-38907" TargetMode="External" Id="rId979" /><Relationship Type="http://schemas.openxmlformats.org/officeDocument/2006/relationships/hyperlink" Target="https://www.sebi.gov.in/sebi_data/attachdocs/jun-2025/1749108606557_811.pdf" TargetMode="External" Id="rId980" /><Relationship Type="http://schemas.openxmlformats.org/officeDocument/2006/relationships/hyperlink" Target="https://www.sebi.gov.in/filings/public-issues/jun-2025/bharat-coking-coal-limited_94412.html" TargetMode="External" Id="rId981" /><Relationship Type="http://schemas.openxmlformats.org/officeDocument/2006/relationships/hyperlink" Target="https://www.sebi.gov.in/sebi_data/attachdocs/jun-2025/1749024129717.PDF" TargetMode="External" Id="rId982" /><Relationship Type="http://schemas.openxmlformats.org/officeDocument/2006/relationships/hyperlink" Target="https://www.sebi.gov.in/filings/public-issues/jun-2025/drhp-of-neilsoft-limited_94392.html" TargetMode="External" Id="rId983" /><Relationship Type="http://schemas.openxmlformats.org/officeDocument/2006/relationships/hyperlink" Target="https://www.chittorgarh.com/ipo/neilsoft-ipo/2056/" TargetMode="External" Id="rId984" /><Relationship Type="http://schemas.openxmlformats.org/officeDocument/2006/relationships/hyperlink" Target="https://www.sebi.gov.in/sebi_data/attachdocs/jun-2025/1748950207076_810.pdf" TargetMode="External" Id="rId985" /><Relationship Type="http://schemas.openxmlformats.org/officeDocument/2006/relationships/hyperlink" Target="https://www.sebi.gov.in/filings/public-issues/jun-2025/central-mine-planning-and-design-institute-limited_94376.html" TargetMode="External" Id="rId986" /><Relationship Type="http://schemas.openxmlformats.org/officeDocument/2006/relationships/hyperlink" Target="https://www.sebi.gov.in/sebi_data/attachdocs/jun-2025/1748862444460.pdf" TargetMode="External" Id="rId987" /><Relationship Type="http://schemas.openxmlformats.org/officeDocument/2006/relationships/hyperlink" Target="https://www.sebi.gov.in/filings/public-issues/jun-2025/addendum-to-drhp-of-excelsoft-technologies-limited_94353.html" TargetMode="External" Id="rId988" /><Relationship Type="http://schemas.openxmlformats.org/officeDocument/2006/relationships/hyperlink" Target="https://www.chittorgarh.com/ipo/excelsoft-technologies-ipo/2148/" TargetMode="External" Id="rId989" /><Relationship Type="http://schemas.openxmlformats.org/officeDocument/2006/relationships/hyperlink" Target="https://www.sebi.gov.in/sebi_data/attachdocs/may-2025/1748604604661_809.pdf" TargetMode="External" Id="rId990" /><Relationship Type="http://schemas.openxmlformats.org/officeDocument/2006/relationships/hyperlink" Target="https://www.sebi.gov.in/filings/public-issues/may-2025/fusion-cx-limited_94311.html" TargetMode="External" Id="rId991" /><Relationship Type="http://schemas.openxmlformats.org/officeDocument/2006/relationships/hyperlink" Target="https://www.chittorgarh.com/ipo/fusion-cx-ipo/2455/" TargetMode="External" Id="rId992" /><Relationship Type="http://schemas.openxmlformats.org/officeDocument/2006/relationships/hyperlink" Target="https://www.sebi.gov.in/sebi_data/attachdocs/may-2025/1748518220350_802.pdf" TargetMode="External" Id="rId993" /><Relationship Type="http://schemas.openxmlformats.org/officeDocument/2006/relationships/hyperlink" Target="https://www.sebi.gov.in/filings/public-issues/may-2025/kanodia-cement-limited_94269.html" TargetMode="External" Id="rId994" /><Relationship Type="http://schemas.openxmlformats.org/officeDocument/2006/relationships/hyperlink" Target="https://www.chittorgarh.com/ipo/kanodia-cement-ipo/2452/" TargetMode="External" Id="rId995" /><Relationship Type="http://schemas.openxmlformats.org/officeDocument/2006/relationships/hyperlink" Target="https://www.sebi.gov.in/sebi_data/attachdocs/may-2025/1748509881652.pdf" TargetMode="External" Id="rId996" /><Relationship Type="http://schemas.openxmlformats.org/officeDocument/2006/relationships/hyperlink" Target="https://www.sebi.gov.in/filings/public-issues/may-2025/pranav-constructions-limited-corrigendum-to-the-drhp_94263.html" TargetMode="External" Id="rId997" /><Relationship Type="http://schemas.openxmlformats.org/officeDocument/2006/relationships/hyperlink" Target="https://www.sebi.gov.in/sebi_data/attachdocs/may-2025/1748431807980_798.pdf" TargetMode="External" Id="rId998" /><Relationship Type="http://schemas.openxmlformats.org/officeDocument/2006/relationships/hyperlink" Target="https://www.sebi.gov.in/filings/public-issues/may-2025/ksh-international-limited_94244.html" TargetMode="External" Id="rId999" /><Relationship Type="http://schemas.openxmlformats.org/officeDocument/2006/relationships/hyperlink" Target="https://www.sebi.gov.in/sebi_data/attachdocs/may-2025/1748342290859.pdf" TargetMode="External" Id="rId1000" /><Relationship Type="http://schemas.openxmlformats.org/officeDocument/2006/relationships/hyperlink" Target="https://www.sebi.gov.in/filings/public-issues/may-2025/caliber-mining-and-logistics-ltd-addendum_94211.html" TargetMode="External" Id="rId1001" /><Relationship Type="http://schemas.openxmlformats.org/officeDocument/2006/relationships/hyperlink" Target="https://www.sebi.gov.in/sebi_data/attachdocs/may-2025/1748250339511.pdf" TargetMode="External" Id="rId1002" /><Relationship Type="http://schemas.openxmlformats.org/officeDocument/2006/relationships/hyperlink" Target="https://www.sebi.gov.in/filings/public-issues/may-2025/ciel-hr-services-limited-addendum-to-drhp_94148.html" TargetMode="External" Id="rId1003" /><Relationship Type="http://schemas.openxmlformats.org/officeDocument/2006/relationships/hyperlink" Target="https://www.business-standard.com/markets/ipo/ciel-hr-services-ltd-ipo-89497" TargetMode="External" Id="rId1004" /><Relationship Type="http://schemas.openxmlformats.org/officeDocument/2006/relationships/hyperlink" Target="https://www.sebi.gov.in/sebi_data/attachdocs/may-2025/1747654204318_791.pdf" TargetMode="External" Id="rId1005" /><Relationship Type="http://schemas.openxmlformats.org/officeDocument/2006/relationships/hyperlink" Target="https://www.sebi.gov.in/filings/public-issues/may-2025/ravi-infrabuild-projects-limited_94029.html" TargetMode="External" Id="rId1006" /><Relationship Type="http://schemas.openxmlformats.org/officeDocument/2006/relationships/hyperlink" Target="https://www.chittorgarh.com/ipo/ravi-infrabuild-ipo/2436/" TargetMode="External" Id="rId1007" /><Relationship Type="http://schemas.openxmlformats.org/officeDocument/2006/relationships/hyperlink" Target="https://www.sebi.gov.in/sebi_data/attachdocs/may-2025/1747629795593.pdf" TargetMode="External" Id="rId1008" /><Relationship Type="http://schemas.openxmlformats.org/officeDocument/2006/relationships/hyperlink" Target="https://www.sebi.gov.in/filings/public-issues/may-2025/addendum-to-drhp-national-securities-depository-limited_94022.html" TargetMode="External" Id="rId1009" /><Relationship Type="http://schemas.openxmlformats.org/officeDocument/2006/relationships/hyperlink" Target="https://www.business-standard.com/markets/ipo/national-securities-depository-ltd-ipo-67048" TargetMode="External" Id="rId1010" /><Relationship Type="http://schemas.openxmlformats.org/officeDocument/2006/relationships/hyperlink" Target="https://www.sebi.gov.in/sebi_data/attachdocs/may-2025/1747395399489.pdf" TargetMode="External" Id="rId1011" /><Relationship Type="http://schemas.openxmlformats.org/officeDocument/2006/relationships/hyperlink" Target="https://www.sebi.gov.in/filings/public-issues/may-2025/drhp-of-mouri-tech-limited_93994.html" TargetMode="External" Id="rId1012" /><Relationship Type="http://schemas.openxmlformats.org/officeDocument/2006/relationships/hyperlink" Target="https://www.chittorgarh.com/ipo/mouri-tech-ipo/2151/" TargetMode="External" Id="rId1013" /><Relationship Type="http://schemas.openxmlformats.org/officeDocument/2006/relationships/hyperlink" Target="https://www.sebi.gov.in/sebi_data/attachdocs/may-2025/1746786083617.pdf" TargetMode="External" Id="rId1014" /><Relationship Type="http://schemas.openxmlformats.org/officeDocument/2006/relationships/hyperlink" Target="https://www.sebi.gov.in/filings/public-issues/may-2025/addendum-to-drhp-of-vinir-engineering-limited_93871.html" TargetMode="External" Id="rId1015" /><Relationship Type="http://schemas.openxmlformats.org/officeDocument/2006/relationships/hyperlink" Target="https://www.business-standard.com/markets/ipo/vinir-engineering-ltd-ipo-38907" TargetMode="External" Id="rId1016" /><Relationship Type="http://schemas.openxmlformats.org/officeDocument/2006/relationships/hyperlink" Target="https://www.sebi.gov.in/sebi_data/attachdocs/may-2025/1746703808002_784.pdf" TargetMode="External" Id="rId1017" /><Relationship Type="http://schemas.openxmlformats.org/officeDocument/2006/relationships/hyperlink" Target="https://www.sebi.gov.in/filings/public-issues/may-2025/corona-remedies-limited_93856.html" TargetMode="External" Id="rId1018" /><Relationship Type="http://schemas.openxmlformats.org/officeDocument/2006/relationships/hyperlink" Target="https://www.sebi.gov.in/sebi_data/attachdocs/may-2025/1746703808002_782.pdf" TargetMode="External" Id="rId1019" /><Relationship Type="http://schemas.openxmlformats.org/officeDocument/2006/relationships/hyperlink" Target="https://www.sebi.gov.in/filings/public-issues/may-2025/bmw-ventures-limited_93852.html" TargetMode="External" Id="rId1020" /><Relationship Type="http://schemas.openxmlformats.org/officeDocument/2006/relationships/hyperlink" Target="https://www.sebi.gov.in/sebi_data/attachdocs/may-2025/1746703808002_783.pdf" TargetMode="External" Id="rId1021" /><Relationship Type="http://schemas.openxmlformats.org/officeDocument/2006/relationships/hyperlink" Target="https://www.sebi.gov.in/filings/public-issues/may-2025/jinkushal-industries-limited_93854.html" TargetMode="External" Id="rId1022" /><Relationship Type="http://schemas.openxmlformats.org/officeDocument/2006/relationships/hyperlink" Target="https://www.sebi.gov.in/sebi_data/attachdocs/may-2025/1746516612813_779.pdf" TargetMode="External" Id="rId1023" /><Relationship Type="http://schemas.openxmlformats.org/officeDocument/2006/relationships/hyperlink" Target="https://www.sebi.gov.in/filings/public-issues/may-2025/priority-jewels-limited_93805.html" TargetMode="External" Id="rId1024" /><Relationship Type="http://schemas.openxmlformats.org/officeDocument/2006/relationships/hyperlink" Target="https://www.sebi.gov.in/sebi_data/attachdocs/may-2025/1746442917644.pdf" TargetMode="External" Id="rId1025" /><Relationship Type="http://schemas.openxmlformats.org/officeDocument/2006/relationships/hyperlink" Target="https://www.sebi.gov.in/filings/public-issues/may-2025/gk-energy-limited-addendum-to-drhp_93797.html" TargetMode="External" Id="rId1026" /><Relationship Type="http://schemas.openxmlformats.org/officeDocument/2006/relationships/hyperlink" Target="https://www.sebi.gov.in/sebi_data/attachdocs/may-2025/1746185405185_777.pdf" TargetMode="External" Id="rId1027" /><Relationship Type="http://schemas.openxmlformats.org/officeDocument/2006/relationships/hyperlink" Target="https://www.sebi.gov.in/filings/public-issues/may-2025/canara-hsbc-life-insurance-company-limited_93773.html" TargetMode="External" Id="rId1028" /><Relationship Type="http://schemas.openxmlformats.org/officeDocument/2006/relationships/hyperlink" Target="https://www.sebi.gov.in/sebi_data/attachdocs/may-2025/1746171004793_776.pdf" TargetMode="External" Id="rId1029" /><Relationship Type="http://schemas.openxmlformats.org/officeDocument/2006/relationships/hyperlink" Target="https://www.sebi.gov.in/filings/public-issues/may-2025/canara-robeco-asset-management-company-limited_93761.html" TargetMode="External" Id="rId1030" /><Relationship Type="http://schemas.openxmlformats.org/officeDocument/2006/relationships/hyperlink" Target="https://www.sebi.gov.in/sebi_data/attachdocs/may-2025/1746166392955.pdf" TargetMode="External" Id="rId1031" /><Relationship Type="http://schemas.openxmlformats.org/officeDocument/2006/relationships/hyperlink" Target="https://www.sebi.gov.in/filings/public-issues/may-2025/lcc-projects-limited-addendum-to-drhp_93757.html" TargetMode="External" Id="rId1032" /><Relationship Type="http://schemas.openxmlformats.org/officeDocument/2006/relationships/hyperlink" Target="https://www.sebi.gov.in/sebi_data/attachdocs/may-2025/1746063004607_775.pdf" TargetMode="External" Id="rId1033" /><Relationship Type="http://schemas.openxmlformats.org/officeDocument/2006/relationships/hyperlink" Target="https://www.sebi.gov.in/filings/public-issues/apr-2025/urban-company-limited_93736.html" TargetMode="External" Id="rId1034" /><Relationship Type="http://schemas.openxmlformats.org/officeDocument/2006/relationships/hyperlink" Target="https://www.sebi.gov.in/sebi_data/attachdocs/apr-2025/1745839805301_772.pdf" TargetMode="External" Id="rId1035" /><Relationship Type="http://schemas.openxmlformats.org/officeDocument/2006/relationships/hyperlink" Target="https://www.sebi.gov.in/filings/public-issues/apr-2025/prestige-hospitality-ventures-limited_93682.html" TargetMode="External" Id="rId1036" /><Relationship Type="http://schemas.openxmlformats.org/officeDocument/2006/relationships/hyperlink" Target="https://www.chittorgarh.com/ipo/prestige-hospitality-ventures-ipo/2420/" TargetMode="External" Id="rId1037" /><Relationship Type="http://schemas.openxmlformats.org/officeDocument/2006/relationships/hyperlink" Target="https://www.sebi.gov.in/sebi_data/attachdocs/apr-2025/1745825404739_771.pdf" TargetMode="External" Id="rId1038" /><Relationship Type="http://schemas.openxmlformats.org/officeDocument/2006/relationships/hyperlink" Target="https://www.sebi.gov.in/filings/public-issues/apr-2025/anlon-healthcare-limited_93658.html" TargetMode="External" Id="rId1039" /><Relationship Type="http://schemas.openxmlformats.org/officeDocument/2006/relationships/hyperlink" Target="https://www.sebi.gov.in/sebi_data/attachdocs/apr-2025/1745478369380.PDF" TargetMode="External" Id="rId1040" /><Relationship Type="http://schemas.openxmlformats.org/officeDocument/2006/relationships/hyperlink" Target="https://www.sebi.gov.in/filings/public-issues/apr-2025/a-one-steels-india-limited-addendum-to-drhp_93595.html" TargetMode="External" Id="rId1041" /><Relationship Type="http://schemas.openxmlformats.org/officeDocument/2006/relationships/hyperlink" Target="https://www.sebi.gov.in/sebi_data/attachdocs/apr-2025/1745312810585.pdf" TargetMode="External" Id="rId1042" /><Relationship Type="http://schemas.openxmlformats.org/officeDocument/2006/relationships/hyperlink" Target="https://www.sebi.gov.in/filings/public-issues/apr-2025/jajoo-rashmi-refractories-limited-addendum-to-drhp_93531.html" TargetMode="External" Id="rId1043" /><Relationship Type="http://schemas.openxmlformats.org/officeDocument/2006/relationships/hyperlink" Target="https://www.business-standard.com/markets/ipo/jajoo-rashmi-refractories-ltd-ipo-94287" TargetMode="External" Id="rId1044" /><Relationship Type="http://schemas.openxmlformats.org/officeDocument/2006/relationships/hyperlink" Target="https://www.sebi.gov.in/sebi_data/attachdocs/apr-2025/1744875005599_768.pdf" TargetMode="External" Id="rId1045" /><Relationship Type="http://schemas.openxmlformats.org/officeDocument/2006/relationships/hyperlink" Target="https://www.sebi.gov.in/filings/public-issues/apr-2025/om-freight-forwarders-limited_93481.html" TargetMode="External" Id="rId1046" /><Relationship Type="http://schemas.openxmlformats.org/officeDocument/2006/relationships/hyperlink" Target="https://www.sebi.gov.in/sebi_data/attachdocs/apr-2025/1744705760872.pdf" TargetMode="External" Id="rId1047" /><Relationship Type="http://schemas.openxmlformats.org/officeDocument/2006/relationships/hyperlink" Target="https://www.sebi.gov.in/filings/public-issues/apr-2025/anand-rathi-share-and-stock-brokers-limited-drhp_93445.html" TargetMode="External" Id="rId1048" /><Relationship Type="http://schemas.openxmlformats.org/officeDocument/2006/relationships/hyperlink" Target="https://www.sebi.gov.in/sebi_data/attachdocs/apr-2025/1744365838800.pdf" TargetMode="External" Id="rId1049" /><Relationship Type="http://schemas.openxmlformats.org/officeDocument/2006/relationships/hyperlink" Target="https://www.sebi.gov.in/filings/public-issues/apr-2025/laxmi-india-finance-limited-addendum-to-drhp_93417.html" TargetMode="External" Id="rId1050" /><Relationship Type="http://schemas.openxmlformats.org/officeDocument/2006/relationships/hyperlink" Target="https://www.sebi.gov.in/sebi_data/attachdocs/apr-2025/1744183805217_767.pdf" TargetMode="External" Id="rId1051" /><Relationship Type="http://schemas.openxmlformats.org/officeDocument/2006/relationships/hyperlink" Target="https://www.sebi.gov.in/filings/public-issues/apr-2025/jain-resource-recycling-limited_93392.html" TargetMode="External" Id="rId1052" /><Relationship Type="http://schemas.openxmlformats.org/officeDocument/2006/relationships/hyperlink" Target="https://www.sebi.gov.in/sebi_data/attachdocs/apr-2025/1744097406765_766.pdf" TargetMode="External" Id="rId1053" /><Relationship Type="http://schemas.openxmlformats.org/officeDocument/2006/relationships/hyperlink" Target="https://www.sebi.gov.in/filings/public-issues/apr-2025/sis-cash-services-limited_93365.html" TargetMode="External" Id="rId1054" /><Relationship Type="http://schemas.openxmlformats.org/officeDocument/2006/relationships/hyperlink" Target="https://www.chittorgarh.com/ipo/sis-prosegur-ipo/2316/" TargetMode="External" Id="rId1055" /><Relationship Type="http://schemas.openxmlformats.org/officeDocument/2006/relationships/hyperlink" Target="https://www.sebi.gov.in/sebi_data/attachdocs/apr-2025/1744088154067.pdf" TargetMode="External" Id="rId1056" /><Relationship Type="http://schemas.openxmlformats.org/officeDocument/2006/relationships/hyperlink" Target="https://www.sebi.gov.in/filings/public-issues/apr-2025/innovision-limited-addendum-to-the-drhp_93356.html" TargetMode="External" Id="rId1057" /><Relationship Type="http://schemas.openxmlformats.org/officeDocument/2006/relationships/hyperlink" Target="https://www.sebi.gov.in/sebi_data/attachdocs/apr-2025/1743760737648.pdf" TargetMode="External" Id="rId1058" /><Relationship Type="http://schemas.openxmlformats.org/officeDocument/2006/relationships/hyperlink" Target="https://www.sebi.gov.in/filings/public-issues/apr-2025/addendum-to-the-drhp-of-continuum-green-energy-limited_93312.html" TargetMode="External" Id="rId1059" /><Relationship Type="http://schemas.openxmlformats.org/officeDocument/2006/relationships/hyperlink" Target="https://www.business-standard.com/markets/ipo/continuum-green-energy-ltd-ipo-73552" TargetMode="External" Id="rId1060" /><Relationship Type="http://schemas.openxmlformats.org/officeDocument/2006/relationships/hyperlink" Target="https://www.sebi.gov.in/sebi_data/attachdocs/apr-2025/1743751804884_762.pdf" TargetMode="External" Id="rId1061" /><Relationship Type="http://schemas.openxmlformats.org/officeDocument/2006/relationships/hyperlink" Target="https://www.sebi.gov.in/filings/public-issues/apr-2025/esds-software-solution-limited_93307.html" TargetMode="External" Id="rId1062" /><Relationship Type="http://schemas.openxmlformats.org/officeDocument/2006/relationships/hyperlink" Target="https://www.sebi.gov.in/sebi_data/attachdocs/apr-2025/1743730204821_761.pdf" TargetMode="External" Id="rId1063" /><Relationship Type="http://schemas.openxmlformats.org/officeDocument/2006/relationships/hyperlink" Target="https://www.sebi.gov.in/filings/public-issues/apr-2025/park-medi-world-limited_93300.html" TargetMode="External" Id="rId1064" /><Relationship Type="http://schemas.openxmlformats.org/officeDocument/2006/relationships/hyperlink" Target="https://www.sebi.gov.in/sebi_data/attachdocs/apr-2025/1743679807520_760.pdf" TargetMode="External" Id="rId1065" /><Relationship Type="http://schemas.openxmlformats.org/officeDocument/2006/relationships/hyperlink" Target="https://www.sebi.gov.in/filings/public-issues/apr-2025/runwal-enterprises-limited_93291.html" TargetMode="External" Id="rId1066" /><Relationship Type="http://schemas.openxmlformats.org/officeDocument/2006/relationships/hyperlink" Target="https://www.chittorgarh.com/ipo/runwal-enterprises-ipo/2298/" TargetMode="External" Id="rId1067" /><Relationship Type="http://schemas.openxmlformats.org/officeDocument/2006/relationships/hyperlink" Target="https://www.sebi.gov.in/sebi_data/attachdocs/apr-2025/1743679807520_759.pdf" TargetMode="External" Id="rId1068" /><Relationship Type="http://schemas.openxmlformats.org/officeDocument/2006/relationships/hyperlink" Target="https://www.sebi.gov.in/filings/public-issues/apr-2025/sai-infinium-limited_93289.html" TargetMode="External" Id="rId1069" /><Relationship Type="http://schemas.openxmlformats.org/officeDocument/2006/relationships/hyperlink" Target="https://www.chittorgarh.com/ipo/sai-infinium-ipo/2299/" TargetMode="External" Id="rId1070" /><Relationship Type="http://schemas.openxmlformats.org/officeDocument/2006/relationships/hyperlink" Target="https://www.sebi.gov.in/sebi_data/attachdocs/apr-2025/1743665406191_757.pdf" TargetMode="External" Id="rId1071" /><Relationship Type="http://schemas.openxmlformats.org/officeDocument/2006/relationships/hyperlink" Target="https://www.sebi.gov.in/filings/public-issues/apr-2025/pace-digitek-limited_93273.html" TargetMode="External" Id="rId1072" /><Relationship Type="http://schemas.openxmlformats.org/officeDocument/2006/relationships/hyperlink" Target="https://www.sebi.gov.in/sebi_data/attachdocs/apr-2025/1743593404826_756.pdf" TargetMode="External" Id="rId1073" /><Relationship Type="http://schemas.openxmlformats.org/officeDocument/2006/relationships/hyperlink" Target="https://www.sebi.gov.in/filings/public-issues/apr-2025/advance-agrolife-limited_93250.html" TargetMode="External" Id="rId1074" /><Relationship Type="http://schemas.openxmlformats.org/officeDocument/2006/relationships/hyperlink" Target="https://www.sebi.gov.in/sebi_data/attachdocs/apr-2025/1743593404826_755.pdf" TargetMode="External" Id="rId1075" /><Relationship Type="http://schemas.openxmlformats.org/officeDocument/2006/relationships/hyperlink" Target="https://www.sebi.gov.in/filings/public-issues/apr-2025/gujarat-kidney-and-super-speciality-limited_93248.html" TargetMode="External" Id="rId1076" /><Relationship Type="http://schemas.openxmlformats.org/officeDocument/2006/relationships/hyperlink" Target="https://www.sebi.gov.in/sebi_data/attachdocs/apr-2025/1743507022624_751.pdf" TargetMode="External" Id="rId1077" /><Relationship Type="http://schemas.openxmlformats.org/officeDocument/2006/relationships/hyperlink" Target="https://www.sebi.gov.in/filings/public-issues/apr-2025/dev-accelerator-limited_93176.html" TargetMode="External" Id="rId1078" /><Relationship Type="http://schemas.openxmlformats.org/officeDocument/2006/relationships/hyperlink" Target="https://www.sebi.gov.in/sebi_data/attachdocs/apr-2025/1743507022624_750.pdf" TargetMode="External" Id="rId1079" /><Relationship Type="http://schemas.openxmlformats.org/officeDocument/2006/relationships/hyperlink" Target="https://www.sebi.gov.in/filings/public-issues/apr-2025/prozeal-green-energy-limited_93174.html" TargetMode="External" Id="rId1080" /><Relationship Type="http://schemas.openxmlformats.org/officeDocument/2006/relationships/hyperlink" Target="https://www.chittorgarh.com/ipo/prozeal-green-energy-ipo/2288/" TargetMode="External" Id="rId1081" /><Relationship Type="http://schemas.openxmlformats.org/officeDocument/2006/relationships/hyperlink" Target="https://www.sebi.gov.in/sebi_data/attachdocs/apr-2025/1743507022624_748.pdf" TargetMode="External" Id="rId1082" /><Relationship Type="http://schemas.openxmlformats.org/officeDocument/2006/relationships/hyperlink" Target="https://www.sebi.gov.in/filings/public-issues/apr-2025/swastika-infra-limited_93170.html" TargetMode="External" Id="rId1083" /><Relationship Type="http://schemas.openxmlformats.org/officeDocument/2006/relationships/hyperlink" Target="https://www.sebi.gov.in/sebi_data/attachdocs/apr-2025/1743507022624_749.pdf" TargetMode="External" Id="rId1084" /><Relationship Type="http://schemas.openxmlformats.org/officeDocument/2006/relationships/hyperlink" Target="https://www.sebi.gov.in/filings/public-issues/apr-2025/vms-tmt-limited_93172.html" TargetMode="External" Id="rId1085" /><Relationship Type="http://schemas.openxmlformats.org/officeDocument/2006/relationships/hyperlink" Target="https://www.sebi.gov.in/sebi_data/attachdocs/apr-2025/1743492605814_747.pdf" TargetMode="External" Id="rId1086" /><Relationship Type="http://schemas.openxmlformats.org/officeDocument/2006/relationships/hyperlink" Target="https://www.sebi.gov.in/filings/public-issues/apr-2025/ardee-engineering-limited_93160.html" TargetMode="External" Id="rId1087" /><Relationship Type="http://schemas.openxmlformats.org/officeDocument/2006/relationships/hyperlink" Target="https://www.chittorgarh.com/ipo/ardee-engineering-ipo/2283/" TargetMode="External" Id="rId1088" /><Relationship Type="http://schemas.openxmlformats.org/officeDocument/2006/relationships/hyperlink" Target="https://www.sebi.gov.in/sebi_data/attachdocs/mar-2025/1743161406536_743.pdf" TargetMode="External" Id="rId1089" /><Relationship Type="http://schemas.openxmlformats.org/officeDocument/2006/relationships/hyperlink" Target="https://www.sebi.gov.in/filings/public-issues/mar-2025/studds-accessories-limited_93118.html" TargetMode="External" Id="rId1090" /><Relationship Type="http://schemas.openxmlformats.org/officeDocument/2006/relationships/hyperlink" Target="https://www.sebi.gov.in/sebi_data/attachdocs/mar-2025/1743048928831.pdf" TargetMode="External" Id="rId1091" /><Relationship Type="http://schemas.openxmlformats.org/officeDocument/2006/relationships/hyperlink" Target="https://www.sebi.gov.in/filings/public-issues/mar-2025/gng-electronics-limited-drhp_93033.html" TargetMode="External" Id="rId1092" /><Relationship Type="http://schemas.openxmlformats.org/officeDocument/2006/relationships/hyperlink" Target="https://www.sebi.gov.in/sebi_data/attachdocs/mar-2025/1743048660912.pdf" TargetMode="External" Id="rId1093" /><Relationship Type="http://schemas.openxmlformats.org/officeDocument/2006/relationships/hyperlink" Target="https://www.sebi.gov.in/filings/public-issues/mar-2025/vikram-solar-limited-addendum-to-drhp_93031.html" TargetMode="External" Id="rId1094" /><Relationship Type="http://schemas.openxmlformats.org/officeDocument/2006/relationships/hyperlink" Target="https://www.sebi.gov.in/sebi_data/attachdocs/mar-2025/1742952607050_742.pdf" TargetMode="External" Id="rId1095" /><Relationship Type="http://schemas.openxmlformats.org/officeDocument/2006/relationships/hyperlink" Target="https://www.sebi.gov.in/filings/public-issues/mar-2025/ssf-plastics-india-limited_92965.html" TargetMode="External" Id="rId1096" /><Relationship Type="http://schemas.openxmlformats.org/officeDocument/2006/relationships/hyperlink" Target="https://www.business-standard.com/markets/ipo/ssf-plastics-india-ltd-ipo-39475" TargetMode="External" Id="rId1097" /><Relationship Type="http://schemas.openxmlformats.org/officeDocument/2006/relationships/hyperlink" Target="https://www.sebi.gov.in/sebi_data/attachdocs/mar-2025/1742362846368.pdf" TargetMode="External" Id="rId1098" /><Relationship Type="http://schemas.openxmlformats.org/officeDocument/2006/relationships/hyperlink" Target="https://www.sebi.gov.in/filings/public-issues/mar-2025/saatvik-green-energy-limited-drhp_92736.html" TargetMode="External" Id="rId1099" /><Relationship Type="http://schemas.openxmlformats.org/officeDocument/2006/relationships/hyperlink" Target="https://www.sebi.gov.in/sebi_data/attachdocs/mar-2025/1742297404447_737.pdf" TargetMode="External" Id="rId1100" /><Relationship Type="http://schemas.openxmlformats.org/officeDocument/2006/relationships/hyperlink" Target="https://www.sebi.gov.in/filings/public-issues/mar-2025/allchem-lifescience-limited_92707.html" TargetMode="External" Id="rId1101" /><Relationship Type="http://schemas.openxmlformats.org/officeDocument/2006/relationships/hyperlink" Target="https://www.business-standard.com/markets/ipo/allchem-lifescience-ltd-ipo-94617" TargetMode="External" Id="rId1102" /><Relationship Type="http://schemas.openxmlformats.org/officeDocument/2006/relationships/hyperlink" Target="https://www.sebi.gov.in/sebi_data/attachdocs/mar-2025/1741743006276_736.pdf" TargetMode="External" Id="rId1103" /><Relationship Type="http://schemas.openxmlformats.org/officeDocument/2006/relationships/hyperlink" Target="https://www.sebi.gov.in/filings/public-issues/mar-2025/fujiyama-power-systems-limited_92630.html" TargetMode="External" Id="rId1104" /><Relationship Type="http://schemas.openxmlformats.org/officeDocument/2006/relationships/hyperlink" Target="https://www.sebi.gov.in/sebi_data/attachdocs/mar-2025/1741260607712_716.pdf" TargetMode="External" Id="rId1105" /><Relationship Type="http://schemas.openxmlformats.org/officeDocument/2006/relationships/hyperlink" Target="https://www.sebi.gov.in/filings/public-issues/mar-2025/armee-infotech-limited_92506.html" TargetMode="External" Id="rId1106" /><Relationship Type="http://schemas.openxmlformats.org/officeDocument/2006/relationships/hyperlink" Target="https://www.sebi.gov.in/sebi_data/attachdocs/mar-2025/1741260607712_715.pdf" TargetMode="External" Id="rId1107" /><Relationship Type="http://schemas.openxmlformats.org/officeDocument/2006/relationships/hyperlink" Target="https://www.sebi.gov.in/filings/public-issues/mar-2025/excelsoft-technologies-limited_92504.html" TargetMode="External" Id="rId1108" /><Relationship Type="http://schemas.openxmlformats.org/officeDocument/2006/relationships/hyperlink" Target="https://www.sebi.gov.in/sebi_data/attachdocs/mar-2025/1741073405699_714.pdf" TargetMode="External" Id="rId1109" /><Relationship Type="http://schemas.openxmlformats.org/officeDocument/2006/relationships/hyperlink" Target="https://www.sebi.gov.in/filings/public-issues/mar-2025/pranav-constructions-limited_92432.html" TargetMode="External" Id="rId1110" /><Relationship Type="http://schemas.openxmlformats.org/officeDocument/2006/relationships/hyperlink" Target="https://www.sebi.gov.in/sebi_data/attachdocs/mar-2025/1741001405540_708.pdf" TargetMode="External" Id="rId1111" /><Relationship Type="http://schemas.openxmlformats.org/officeDocument/2006/relationships/hyperlink" Target="https://www.sebi.gov.in/filings/public-issues/mar-2025/meir-commodities-india-limited_92410.html" TargetMode="External" Id="rId1112" /><Relationship Type="http://schemas.openxmlformats.org/officeDocument/2006/relationships/hyperlink" Target="https://www.business-standard.com/markets/ipo/meir-commodities-india-ltd-ipo-86449" TargetMode="External" Id="rId1113" /><Relationship Type="http://schemas.openxmlformats.org/officeDocument/2006/relationships/hyperlink" Target="https://www.sebi.gov.in/sebi_data/attachdocs/feb-2025/1740641405340_706.pdf" TargetMode="External" Id="rId1114" /><Relationship Type="http://schemas.openxmlformats.org/officeDocument/2006/relationships/hyperlink" Target="https://www.sebi.gov.in/filings/public-issues/feb-2025/lcc-projects-limited_92247.html" TargetMode="External" Id="rId1115" /><Relationship Type="http://schemas.openxmlformats.org/officeDocument/2006/relationships/hyperlink" Target="https://www.sebi.gov.in/sebi_data/attachdocs/feb-2025/1740394186937.pdf" TargetMode="External" Id="rId1116" /><Relationship Type="http://schemas.openxmlformats.org/officeDocument/2006/relationships/hyperlink" Target="https://www.sebi.gov.in/filings/public-issues/feb-2025/ciel-hr-services-limited-addendum-to-drhp_92124.html" TargetMode="External" Id="rId1117" /><Relationship Type="http://schemas.openxmlformats.org/officeDocument/2006/relationships/hyperlink" Target="https://www.business-standard.com/markets/ipo/ciel-hr-services-ltd-ipo-89497" TargetMode="External" Id="rId1118" /><Relationship Type="http://schemas.openxmlformats.org/officeDocument/2006/relationships/hyperlink" Target="https://www.sebi.gov.in/sebi_data/attachdocs/feb-2025/1740386342417.pdf" TargetMode="External" Id="rId1119" /><Relationship Type="http://schemas.openxmlformats.org/officeDocument/2006/relationships/hyperlink" Target="https://www.sebi.gov.in/filings/public-issues/feb-2025/anlon-healthcare-limited-drhp_92111.html" TargetMode="External" Id="rId1120" /><Relationship Type="http://schemas.openxmlformats.org/officeDocument/2006/relationships/hyperlink" Target="https://www.sebi.gov.in/sebi_data/attachdocs/feb-2025/1740375857083.pdf" TargetMode="External" Id="rId1121" /><Relationship Type="http://schemas.openxmlformats.org/officeDocument/2006/relationships/hyperlink" Target="https://www.sebi.gov.in/filings/public-issues/feb-2025/mandb-engineering-limited-drhp_92107.html" TargetMode="External" Id="rId1122" /><Relationship Type="http://schemas.openxmlformats.org/officeDocument/2006/relationships/hyperlink" Target="https://www.sebi.gov.in/sebi_data/attachdocs/feb-2025/1739791805392_693.pdf" TargetMode="External" Id="rId1123" /><Relationship Type="http://schemas.openxmlformats.org/officeDocument/2006/relationships/hyperlink" Target="https://www.sebi.gov.in/filings/public-issues/feb-2025/innovatiview-india-limited_91961.html" TargetMode="External" Id="rId1124" /><Relationship Type="http://schemas.openxmlformats.org/officeDocument/2006/relationships/hyperlink" Target="https://www.business-standard.com/markets/ipo/innovatiview-india-ltd-ipo-94536" TargetMode="External" Id="rId1125" /><Relationship Type="http://schemas.openxmlformats.org/officeDocument/2006/relationships/hyperlink" Target="https://www.sebi.gov.in/sebi_data/attachdocs/feb-2025/1739777405192_692.pdf" TargetMode="External" Id="rId1126" /><Relationship Type="http://schemas.openxmlformats.org/officeDocument/2006/relationships/hyperlink" Target="https://www.sebi.gov.in/filings/public-issues/feb-2025/seedworks-international-limited_91959.html" TargetMode="External" Id="rId1127" /><Relationship Type="http://schemas.openxmlformats.org/officeDocument/2006/relationships/hyperlink" Target="https://www.business-standard.com/markets/ipo/seedworks-international-ltd-ipo-43609" TargetMode="External" Id="rId1128" /><Relationship Type="http://schemas.openxmlformats.org/officeDocument/2006/relationships/hyperlink" Target="https://www.sebi.gov.in/sebi_data/attachdocs/feb-2025/1739431807849_691.pdf" TargetMode="External" Id="rId1129" /><Relationship Type="http://schemas.openxmlformats.org/officeDocument/2006/relationships/hyperlink" Target="https://www.sebi.gov.in/filings/public-issues/feb-2025/rite-water-solutions-india-limited_91875.html" TargetMode="External" Id="rId1130" /><Relationship Type="http://schemas.openxmlformats.org/officeDocument/2006/relationships/hyperlink" Target="https://www.business-standard.com/markets/ipo/rite-water-solutions-india-ltd-ipo-82933" TargetMode="External" Id="rId1131" /><Relationship Type="http://schemas.openxmlformats.org/officeDocument/2006/relationships/hyperlink" Target="https://www.sebi.gov.in/sebi_data/attachdocs/feb-2025/1739187003975_687.pdf" TargetMode="External" Id="rId1132" /><Relationship Type="http://schemas.openxmlformats.org/officeDocument/2006/relationships/hyperlink" Target="https://www.sebi.gov.in/filings/public-issues/feb-2025/advanced-sys-tek-limited_91748.html" TargetMode="External" Id="rId1133" /><Relationship Type="http://schemas.openxmlformats.org/officeDocument/2006/relationships/hyperlink" Target="https://www.chittorgarh.com/ipo/advanced-sys-tek-ipo/1997/" TargetMode="External" Id="rId1134" /><Relationship Type="http://schemas.openxmlformats.org/officeDocument/2006/relationships/hyperlink" Target="https://www.sebi.gov.in/sebi_data/attachdocs/feb-2025/1739181383305.pdf" TargetMode="External" Id="rId1135" /><Relationship Type="http://schemas.openxmlformats.org/officeDocument/2006/relationships/hyperlink" Target="https://www.sebi.gov.in/filings/public-issues/feb-2025/glottis-limited-drhp_91747.html" TargetMode="External" Id="rId1136" /><Relationship Type="http://schemas.openxmlformats.org/officeDocument/2006/relationships/hyperlink" Target="https://www.sebi.gov.in/sebi_data/attachdocs/feb-2025/1739172604995_686.pdf" TargetMode="External" Id="rId1137" /><Relationship Type="http://schemas.openxmlformats.org/officeDocument/2006/relationships/hyperlink" Target="https://www.sebi.gov.in/filings/public-issues/feb-2025/amanta-healthcare-limited_91745.html" TargetMode="External" Id="rId1138" /><Relationship Type="http://schemas.openxmlformats.org/officeDocument/2006/relationships/hyperlink" Target="https://www.sebi.gov.in/sebi_data/attachdocs/feb-2025/1738927849699_685.pdf" TargetMode="External" Id="rId1139" /><Relationship Type="http://schemas.openxmlformats.org/officeDocument/2006/relationships/hyperlink" Target="https://www.sebi.gov.in/filings/public-issues/feb-2025/shringar-house-of-mangalsutra-limited_91735.html" TargetMode="External" Id="rId1140" /><Relationship Type="http://schemas.openxmlformats.org/officeDocument/2006/relationships/hyperlink" Target="https://www.sebi.gov.in/sebi_data/attachdocs/feb-2025/1738927849699_684.pdf" TargetMode="External" Id="rId1141" /><Relationship Type="http://schemas.openxmlformats.org/officeDocument/2006/relationships/hyperlink" Target="https://www.sebi.gov.in/filings/public-issues/feb-2025/atlanta-electricals-limited_91733.html" TargetMode="External" Id="rId1142" /><Relationship Type="http://schemas.openxmlformats.org/officeDocument/2006/relationships/hyperlink" Target="https://www.sebi.gov.in/sebi_data/attachdocs/feb-2025/1738740605306_680.pdf" TargetMode="External" Id="rId1143" /><Relationship Type="http://schemas.openxmlformats.org/officeDocument/2006/relationships/hyperlink" Target="https://www.sebi.gov.in/filings/public-issues/feb-2025/veeda-clinical-research-limited_91650.html" TargetMode="External" Id="rId1144" /><Relationship Type="http://schemas.openxmlformats.org/officeDocument/2006/relationships/hyperlink" Target="https://www.business-standard.com/markets/ipo/veeda-clinical-research-ltd-ipo-67701" TargetMode="External" Id="rId1145" /><Relationship Type="http://schemas.openxmlformats.org/officeDocument/2006/relationships/hyperlink" Target="https://www.sebi.gov.in/sebi_data/attachdocs/feb-2025/1738668603856_679.pdf" TargetMode="External" Id="rId1146" /><Relationship Type="http://schemas.openxmlformats.org/officeDocument/2006/relationships/hyperlink" Target="https://www.sebi.gov.in/filings/public-issues/feb-2025/wework-india-management-limited_91619.html" TargetMode="External" Id="rId1147" /><Relationship Type="http://schemas.openxmlformats.org/officeDocument/2006/relationships/hyperlink" Target="https://www.sebi.gov.in/sebi_data/attachdocs/feb-2025/1738649973129.pdf" TargetMode="External" Id="rId1148" /><Relationship Type="http://schemas.openxmlformats.org/officeDocument/2006/relationships/hyperlink" Target="https://www.sebi.gov.in/filings/public-issues/feb-2025/prostarm-info-systems-limited-addendum-to-drhp_91594.html" TargetMode="External" Id="rId1149" /><Relationship Type="http://schemas.openxmlformats.org/officeDocument/2006/relationships/hyperlink" Target="https://www.sebi.gov.in/sebi_data/attachdocs/jan-2025/1738222207364_667.pdf" TargetMode="External" Id="rId1150" /><Relationship Type="http://schemas.openxmlformats.org/officeDocument/2006/relationships/hyperlink" Target="https://www.sebi.gov.in/filings/public-issues/jan-2025/shreeji-shipping-global-limited_91371.html" TargetMode="External" Id="rId1151" /><Relationship Type="http://schemas.openxmlformats.org/officeDocument/2006/relationships/hyperlink" Target="https://www.sebi.gov.in/sebi_data/attachdocs/jan-2025/1738135805661_665.pdf" TargetMode="External" Id="rId1152" /><Relationship Type="http://schemas.openxmlformats.org/officeDocument/2006/relationships/hyperlink" Target="https://www.sebi.gov.in/filings/public-issues/jan-2025/gaudium-ivf-and-women-health-limited_91336.html" TargetMode="External" Id="rId1153" /><Relationship Type="http://schemas.openxmlformats.org/officeDocument/2006/relationships/hyperlink" Target="https://www.sebi.gov.in/sebi_data/attachdocs/jan-2025/1738049406097_664.pdf" TargetMode="External" Id="rId1154" /><Relationship Type="http://schemas.openxmlformats.org/officeDocument/2006/relationships/hyperlink" Target="https://www.sebi.gov.in/filings/public-issues/jan-2025/epack-prefab-technologies-limited_91209.html" TargetMode="External" Id="rId1155" /><Relationship Type="http://schemas.openxmlformats.org/officeDocument/2006/relationships/hyperlink" Target="https://www.sebi.gov.in/sebi_data/attachdocs/jan-2025/1737977406391_663.pdf" TargetMode="External" Id="rId1156" /><Relationship Type="http://schemas.openxmlformats.org/officeDocument/2006/relationships/hyperlink" Target="https://www.sebi.gov.in/filings/public-issues/jan-2025/dorf-ketal-chemicals-india-limited_91200.html" TargetMode="External" Id="rId1157" /><Relationship Type="http://schemas.openxmlformats.org/officeDocument/2006/relationships/hyperlink" Target="https://www.business-standard.com/markets/ipo/dorf-ketal-chemicals-india-ltd-ipo-28068" TargetMode="External" Id="rId1158" /><Relationship Type="http://schemas.openxmlformats.org/officeDocument/2006/relationships/hyperlink" Target="https://www.sebi.gov.in/sebi_data/attachdocs/jan-2025/1737963006097_661.pdf" TargetMode="External" Id="rId1159" /><Relationship Type="http://schemas.openxmlformats.org/officeDocument/2006/relationships/hyperlink" Target="https://www.sebi.gov.in/filings/public-issues/jan-2025/karamtara-engineering-limited_91191.html" TargetMode="External" Id="rId1160" /><Relationship Type="http://schemas.openxmlformats.org/officeDocument/2006/relationships/hyperlink" Target="https://www.sebi.gov.in/sebi_data/attachdocs/jan-2025/1737682204889_660.pdf" TargetMode="External" Id="rId1161" /><Relationship Type="http://schemas.openxmlformats.org/officeDocument/2006/relationships/hyperlink" Target="https://www.sebi.gov.in/filings/public-issues/jan-2025/kent-r-o-systems-limited_91156.html" TargetMode="External" Id="rId1162" /><Relationship Type="http://schemas.openxmlformats.org/officeDocument/2006/relationships/hyperlink" Target="https://www.business-standard.com/markets/ipo/kent-r-o-systems-ltd-ipo-42668" TargetMode="External" Id="rId1163" /><Relationship Type="http://schemas.openxmlformats.org/officeDocument/2006/relationships/hyperlink" Target="https://www.sebi.gov.in/sebi_data/attachdocs/jan-2025/1737617407177_659.pdf" TargetMode="External" Id="rId1164" /><Relationship Type="http://schemas.openxmlformats.org/officeDocument/2006/relationships/hyperlink" Target="https://www.sebi.gov.in/filings/public-issues/jan-2025/euro-pratik-sales-limited_91135.html" TargetMode="External" Id="rId1165" /><Relationship Type="http://schemas.openxmlformats.org/officeDocument/2006/relationships/hyperlink" Target="https://www.sebi.gov.in/sebi_data/attachdocs/jan-2025/1737617407177_658.pdf" TargetMode="External" Id="rId1166" /><Relationship Type="http://schemas.openxmlformats.org/officeDocument/2006/relationships/hyperlink" Target="https://www.sebi.gov.in/filings/public-issues/jan-2025/lumino-industries-limited_91133.html" TargetMode="External" Id="rId1167" /><Relationship Type="http://schemas.openxmlformats.org/officeDocument/2006/relationships/hyperlink" Target="https://www.sebi.gov.in/sebi_data/attachdocs/jan-2025/1737595805572_657.pdf" TargetMode="External" Id="rId1168" /><Relationship Type="http://schemas.openxmlformats.org/officeDocument/2006/relationships/hyperlink" Target="https://www.sebi.gov.in/filings/public-issues/jan-2025/vinir-engineering-limited_91117.html" TargetMode="External" Id="rId1169" /><Relationship Type="http://schemas.openxmlformats.org/officeDocument/2006/relationships/hyperlink" Target="https://www.business-standard.com/markets/ipo/vinir-engineering-ltd-ipo-38907" TargetMode="External" Id="rId1170" /><Relationship Type="http://schemas.openxmlformats.org/officeDocument/2006/relationships/hyperlink" Target="https://www.sebi.gov.in/sebi_data/attachdocs/jan-2025/1737531003974_656.pdf" TargetMode="External" Id="rId1171" /><Relationship Type="http://schemas.openxmlformats.org/officeDocument/2006/relationships/hyperlink" Target="https://www.sebi.gov.in/filings/public-issues/jan-2025/shanti-gold-international-limited_91075.html" TargetMode="External" Id="rId1172" /><Relationship Type="http://schemas.openxmlformats.org/officeDocument/2006/relationships/hyperlink" Target="https://www.sebi.gov.in/sebi_data/attachdocs/jan-2025/1737459004758_655.pdf" TargetMode="External" Id="rId1173" /><Relationship Type="http://schemas.openxmlformats.org/officeDocument/2006/relationships/hyperlink" Target="https://www.sebi.gov.in/filings/public-issues/jan-2025/veritas-finance-limited_91063.html" TargetMode="External" Id="rId1174" /><Relationship Type="http://schemas.openxmlformats.org/officeDocument/2006/relationships/hyperlink" Target="https://www.business-standard.com/markets/ipo/veritas-finance-ltd-ipo-71574" TargetMode="External" Id="rId1175" /><Relationship Type="http://schemas.openxmlformats.org/officeDocument/2006/relationships/hyperlink" Target="https://www.sebi.gov.in/sebi_data/attachdocs/jan-2025/1737012604782_652.pdf" TargetMode="External" Id="rId1176" /><Relationship Type="http://schemas.openxmlformats.org/officeDocument/2006/relationships/hyperlink" Target="https://www.sebi.gov.in/filings/public-issues/jan-2025/vidya-wires-limited_90835.html" TargetMode="External" Id="rId1177" /><Relationship Type="http://schemas.openxmlformats.org/officeDocument/2006/relationships/hyperlink" Target="https://www.sebi.gov.in/sebi_data/attachdocs/jan-2025/1736904610993_649.pdf" TargetMode="External" Id="rId1178" /><Relationship Type="http://schemas.openxmlformats.org/officeDocument/2006/relationships/hyperlink" Target="https://www.sebi.gov.in/filings/public-issues/jan-2025/jesons-industries-limited_90761.html" TargetMode="External" Id="rId1179" /><Relationship Type="http://schemas.openxmlformats.org/officeDocument/2006/relationships/hyperlink" Target="https://www.business-standard.com/markets/ipo/jesons-industries-ltd-ipo-27109" TargetMode="External" Id="rId1180" /><Relationship Type="http://schemas.openxmlformats.org/officeDocument/2006/relationships/hyperlink" Target="https://www.sebi.gov.in/sebi_data/attachdocs/jan-2025/1736503107636.pdf" TargetMode="External" Id="rId1181" /><Relationship Type="http://schemas.openxmlformats.org/officeDocument/2006/relationships/hyperlink" Target="https://www.sebi.gov.in/filings/public-issues/jan-2025/sunshine-pictures-limited-drhp_90683.html" TargetMode="External" Id="rId1182" /><Relationship Type="http://schemas.openxmlformats.org/officeDocument/2006/relationships/hyperlink" Target="https://www.sebi.gov.in/sebi_data/attachdocs/jan-2025/1736494207595_646.pdf" TargetMode="External" Id="rId1183" /><Relationship Type="http://schemas.openxmlformats.org/officeDocument/2006/relationships/hyperlink" Target="https://www.sebi.gov.in/filings/public-issues/jan-2025/a-one-steels-india-limited_90677.html" TargetMode="External" Id="rId1184" /><Relationship Type="http://schemas.openxmlformats.org/officeDocument/2006/relationships/hyperlink" Target="https://www.sebi.gov.in/sebi_data/attachdocs/jan-2025/1736422206144_645.pdf" TargetMode="External" Id="rId1185" /><Relationship Type="http://schemas.openxmlformats.org/officeDocument/2006/relationships/hyperlink" Target="https://www.sebi.gov.in/filings/public-issues/jan-2025/caliber-mining-and-logistics-limited_90669.html" TargetMode="External" Id="rId1186" /><Relationship Type="http://schemas.openxmlformats.org/officeDocument/2006/relationships/hyperlink" Target="https://www.sebi.gov.in/sebi_data/attachdocs/jan-2025/1736249404881_639.pdf" TargetMode="External" Id="rId1187" /><Relationship Type="http://schemas.openxmlformats.org/officeDocument/2006/relationships/hyperlink" Target="https://www.sebi.gov.in/filings/public-issues/jan-2025/fujiyama-power-systems-limited_90596.html" TargetMode="External" Id="rId1188" /><Relationship Type="http://schemas.openxmlformats.org/officeDocument/2006/relationships/hyperlink" Target="https://www.sebi.gov.in/sebi_data/attachdocs/jan-2025/1736213406100_638.pdf" TargetMode="External" Id="rId1189" /><Relationship Type="http://schemas.openxmlformats.org/officeDocument/2006/relationships/hyperlink" Target="https://www.sebi.gov.in/filings/public-issues/jan-2025/sri-lotus-developers-and-realty-limited_90557.html" TargetMode="External" Id="rId1190" /><Relationship Type="http://schemas.openxmlformats.org/officeDocument/2006/relationships/hyperlink" Target="https://www.sebi.gov.in/sebi_data/attachdocs/jan-2025/1736163029389_635.pdf" TargetMode="External" Id="rId1191" /><Relationship Type="http://schemas.openxmlformats.org/officeDocument/2006/relationships/hyperlink" Target="https://www.sebi.gov.in/filings/public-issues/jan-2025/anthem-biosciences-limited_90546.html" TargetMode="External" Id="rId1192" /><Relationship Type="http://schemas.openxmlformats.org/officeDocument/2006/relationships/hyperlink" Target="https://www.sebi.gov.in/sebi_data/attachdocs/jan-2025/1736163029389_636.pdf" TargetMode="External" Id="rId1193" /><Relationship Type="http://schemas.openxmlformats.org/officeDocument/2006/relationships/hyperlink" Target="https://www.sebi.gov.in/filings/public-issues/jan-2025/gem-aromatics-limited_90548.html" TargetMode="External" Id="rId1194" /><Relationship Type="http://schemas.openxmlformats.org/officeDocument/2006/relationships/hyperlink" Target="https://www.sebi.gov.in/sebi_data/attachdocs/jan-2025/1736163029389_634.pdf" TargetMode="External" Id="rId1195" /><Relationship Type="http://schemas.openxmlformats.org/officeDocument/2006/relationships/hyperlink" Target="https://www.sebi.gov.in/filings/public-issues/jan-2025/regaal-resources-limited_90544.html" TargetMode="External" Id="rId1196" /><Relationship Type="http://schemas.openxmlformats.org/officeDocument/2006/relationships/hyperlink" Target="https://www.sebi.gov.in/sebi_data/attachdocs/jan-2025/1736148610420_632.pdf" TargetMode="External" Id="rId1197" /><Relationship Type="http://schemas.openxmlformats.org/officeDocument/2006/relationships/hyperlink" Target="https://www.sebi.gov.in/filings/public-issues/jan-2025/earthood-services-limited_90533.html" TargetMode="External" Id="rId1198" /><Relationship Type="http://schemas.openxmlformats.org/officeDocument/2006/relationships/hyperlink" Target="https://www.chittorgarh.com/ipo/earthood-services-ipo/2071/" TargetMode="External" Id="rId1199" /><Relationship Type="http://schemas.openxmlformats.org/officeDocument/2006/relationships/hyperlink" Target="https://www.sebi.gov.in/sebi_data/attachdocs/jan-2025/1736148610420_633.pdf" TargetMode="External" Id="rId1200" /><Relationship Type="http://schemas.openxmlformats.org/officeDocument/2006/relationships/hyperlink" Target="https://www.sebi.gov.in/filings/public-issues/jan-2025/mangal-electrical-industries-limited_90535.html" TargetMode="External" Id="rId1201" /><Relationship Type="http://schemas.openxmlformats.org/officeDocument/2006/relationships/hyperlink" Target="https://www.sebi.gov.in/sebi_data/attachdocs/jan-2025/1736148610420_631.pdf" TargetMode="External" Id="rId1202" /><Relationship Type="http://schemas.openxmlformats.org/officeDocument/2006/relationships/hyperlink" Target="https://www.sebi.gov.in/filings/public-issues/jan-2025/rajputana-stainless-limited_90531.html" TargetMode="External" Id="rId1203" /><Relationship Type="http://schemas.openxmlformats.org/officeDocument/2006/relationships/hyperlink" Target="https://www.sebi.gov.in/sebi_data/attachdocs/jan-2025/1735867803605_630.pdf" TargetMode="External" Id="rId1204" /><Relationship Type="http://schemas.openxmlformats.org/officeDocument/2006/relationships/hyperlink" Target="https://www.sebi.gov.in/filings/public-issues/jan-2025/neelkanth-realtors-limited_90480.html" TargetMode="External" Id="rId1205" /><Relationship Type="http://schemas.openxmlformats.org/officeDocument/2006/relationships/hyperlink" Target="https://www.business-standard.com/markets/ipo/neelkanth-realtors-ltd-ipo-94329" TargetMode="External" Id="rId1206" /><Relationship Type="http://schemas.openxmlformats.org/officeDocument/2006/relationships/hyperlink" Target="https://www.sebi.gov.in/sebi_data/attachdocs/jan-2025/1735731007416_629.pdf" TargetMode="External" Id="rId1207" /><Relationship Type="http://schemas.openxmlformats.org/officeDocument/2006/relationships/hyperlink" Target="https://www.sebi.gov.in/filings/public-issues/jan-2025/ajay-poly-limited_90441.html" TargetMode="External" Id="rId1208" /><Relationship Type="http://schemas.openxmlformats.org/officeDocument/2006/relationships/hyperlink" Target="https://www.business-standard.com/markets/ipo/ajay-poly-ltd-ipo-94326" TargetMode="External" Id="rId1209" /><Relationship Type="http://schemas.openxmlformats.org/officeDocument/2006/relationships/hyperlink" Target="https://www.sebi.gov.in/sebi_data/attachdocs/jan-2025/1735731007416_627.pdf" TargetMode="External" Id="rId1210" /><Relationship Type="http://schemas.openxmlformats.org/officeDocument/2006/relationships/hyperlink" Target="https://www.sebi.gov.in/filings/public-issues/jan-2025/neilsoft-limited_90437.html" TargetMode="External" Id="rId1211" /><Relationship Type="http://schemas.openxmlformats.org/officeDocument/2006/relationships/hyperlink" Target="https://www.chittorgarh.com/ipo/neilsoft-ipo/2056/" TargetMode="External" Id="rId1212" /><Relationship Type="http://schemas.openxmlformats.org/officeDocument/2006/relationships/hyperlink" Target="https://www.sebi.gov.in/sebi_data/attachdocs/jan-2025/1735716619811_621.pdf" TargetMode="External" Id="rId1213" /><Relationship Type="http://schemas.openxmlformats.org/officeDocument/2006/relationships/hyperlink" Target="https://www.sebi.gov.in/filings/public-issues/jan-2025/seshaasai-technologies-limited_90410.html" TargetMode="External" Id="rId1214" /><Relationship Type="http://schemas.openxmlformats.org/officeDocument/2006/relationships/hyperlink" Target="https://www.sebi.gov.in/sebi_data/attachdocs/dec-2024/1735630204952_620.pdf" TargetMode="External" Id="rId1215" /><Relationship Type="http://schemas.openxmlformats.org/officeDocument/2006/relationships/hyperlink" Target="https://www.sebi.gov.in/filings/public-issues/dec-2024/ganesh-consumer-products-limited_90382.html" TargetMode="External" Id="rId1216" /><Relationship Type="http://schemas.openxmlformats.org/officeDocument/2006/relationships/hyperlink" Target="https://www.sebi.gov.in/sebi_data/attachdocs/dec-2024/1735558207871_619.pdf" TargetMode="External" Id="rId1217" /><Relationship Type="http://schemas.openxmlformats.org/officeDocument/2006/relationships/hyperlink" Target="https://www.sebi.gov.in/filings/public-issues/dec-2024/greaves-electric-mobility-limited_90332.html" TargetMode="External" Id="rId1218" /><Relationship Type="http://schemas.openxmlformats.org/officeDocument/2006/relationships/hyperlink" Target="https://www.business-standard.com/markets/ipo/greaves-electric-mobility-ltd-ipo-76725" TargetMode="External" Id="rId1219" /><Relationship Type="http://schemas.openxmlformats.org/officeDocument/2006/relationships/hyperlink" Target="https://www.sebi.gov.in/sebi_data/attachdocs/dec-2024/1735543813606_617.pdf" TargetMode="External" Id="rId1220" /><Relationship Type="http://schemas.openxmlformats.org/officeDocument/2006/relationships/hyperlink" Target="https://www.sebi.gov.in/filings/public-issues/dec-2024/indiqube-spaces-limited_90321.html" TargetMode="External" Id="rId1221" /><Relationship Type="http://schemas.openxmlformats.org/officeDocument/2006/relationships/hyperlink" Target="https://www.sebi.gov.in/sebi_data/attachdocs/dec-2024/1735536319777.pdf" TargetMode="External" Id="rId1222" /><Relationship Type="http://schemas.openxmlformats.org/officeDocument/2006/relationships/hyperlink" Target="https://www.sebi.gov.in/filings/public-issues/dec-2024/smartworks-coworking-spaces-limited-addendum-to-drhp_90292.html" TargetMode="External" Id="rId1223" /><Relationship Type="http://schemas.openxmlformats.org/officeDocument/2006/relationships/hyperlink" Target="https://www.sebi.gov.in/sebi_data/attachdocs/dec-2024/1735299005118_614.pdf" TargetMode="External" Id="rId1224" /><Relationship Type="http://schemas.openxmlformats.org/officeDocument/2006/relationships/hyperlink" Target="https://www.sebi.gov.in/filings/public-issues/dec-2024/jajoo-rashmi-refractories-limited_90225.html" TargetMode="External" Id="rId1225" /><Relationship Type="http://schemas.openxmlformats.org/officeDocument/2006/relationships/hyperlink" Target="https://www.business-standard.com/markets/ipo/jajoo-rashmi-refractories-ltd-ipo-94287" TargetMode="External" Id="rId1226" /><Relationship Type="http://schemas.openxmlformats.org/officeDocument/2006/relationships/hyperlink" Target="https://www.sebi.gov.in/sebi_data/attachdocs/dec-2024/1735263006465_612.pdf" TargetMode="External" Id="rId1227" /><Relationship Type="http://schemas.openxmlformats.org/officeDocument/2006/relationships/hyperlink" Target="https://www.sebi.gov.in/filings/public-issues/dec-2024/gsp-crop-science-limited_90202.html" TargetMode="External" Id="rId1228" /><Relationship Type="http://schemas.openxmlformats.org/officeDocument/2006/relationships/hyperlink" Target="https://www.sebi.gov.in/sebi_data/attachdocs/dec-2024/1735025406214_611.pdf" TargetMode="External" Id="rId1229" /><Relationship Type="http://schemas.openxmlformats.org/officeDocument/2006/relationships/hyperlink" Target="https://www.sebi.gov.in/filings/public-issues/dec-2024/laxmi-india-finance-limited_90148.html" TargetMode="External" Id="rId1230" /><Relationship Type="http://schemas.openxmlformats.org/officeDocument/2006/relationships/hyperlink" Target="https://www.sebi.gov.in/sebi_data/attachdocs/dec-2024/1734939005590_610.pdf" TargetMode="External" Id="rId1231" /><Relationship Type="http://schemas.openxmlformats.org/officeDocument/2006/relationships/hyperlink" Target="https://www.sebi.gov.in/filings/public-issues/dec-2024/anand-rathi-share-and-stock-brokers-limited_90120.html" TargetMode="External" Id="rId1232" /><Relationship Type="http://schemas.openxmlformats.org/officeDocument/2006/relationships/hyperlink" Target="https://www.sebi.gov.in/sebi_data/attachdocs/dec-2024/1734694208462_609.pdf" TargetMode="External" Id="rId1233" /><Relationship Type="http://schemas.openxmlformats.org/officeDocument/2006/relationships/hyperlink" Target="https://www.sebi.gov.in/filings/public-issues/dec-2024/aye-finance-limited_90095.html" TargetMode="External" Id="rId1234" /><Relationship Type="http://schemas.openxmlformats.org/officeDocument/2006/relationships/hyperlink" Target="https://www.sebi.gov.in/sebi_data/attachdocs/dec-2024/1734685958143.PDF" TargetMode="External" Id="rId1235" /><Relationship Type="http://schemas.openxmlformats.org/officeDocument/2006/relationships/hyperlink" Target="https://www.sebi.gov.in/filings/public-issues/dec-2024/stallion-india-fluorochemicals-limited-addendum-to-drhp_90086.html" TargetMode="External" Id="rId1236" /><Relationship Type="http://schemas.openxmlformats.org/officeDocument/2006/relationships/hyperlink" Target="https://www.sebi.gov.in/sebi_data/attachdocs/dec-2024/1734606993821.pdf" TargetMode="External" Id="rId1237" /><Relationship Type="http://schemas.openxmlformats.org/officeDocument/2006/relationships/hyperlink" Target="https://www.sebi.gov.in/filings/public-issues/dec-2024/indogulf-cropsciences-limited-corrigendum-to-drhp_90062.html" TargetMode="External" Id="rId1238" /><Relationship Type="http://schemas.openxmlformats.org/officeDocument/2006/relationships/hyperlink" Target="https://www.sebi.gov.in/sebi_data/attachdocs/dec-2024/1734519144440.pdf" TargetMode="External" Id="rId1239" /><Relationship Type="http://schemas.openxmlformats.org/officeDocument/2006/relationships/hyperlink" Target="https://www.sebi.gov.in/filings/public-issues/dec-2024/aditya-infotech-limited-addendum-to-the-drhp_90029.html" TargetMode="External" Id="rId1240" /><Relationship Type="http://schemas.openxmlformats.org/officeDocument/2006/relationships/hyperlink" Target="https://www.sebi.gov.in/sebi_data/attachdocs/dec-2024/1734504599498.pdf" TargetMode="External" Id="rId1241" /><Relationship Type="http://schemas.openxmlformats.org/officeDocument/2006/relationships/hyperlink" Target="https://www.sebi.gov.in/filings/public-issues/dec-2024/innovision-limited-drhp_90017.html" TargetMode="External" Id="rId1242" /><Relationship Type="http://schemas.openxmlformats.org/officeDocument/2006/relationships/hyperlink" Target="https://www.sebi.gov.in/sebi_data/attachdocs/dec-2024/1734485404337_608.pdf" TargetMode="External" Id="rId1243" /><Relationship Type="http://schemas.openxmlformats.org/officeDocument/2006/relationships/hyperlink" Target="https://www.sebi.gov.in/filings/public-issues/dec-2024/gk-energy-limited_90002.html" TargetMode="External" Id="rId1244" /><Relationship Type="http://schemas.openxmlformats.org/officeDocument/2006/relationships/hyperlink" Target="https://www.sebi.gov.in/sebi_data/attachdocs/dec-2024/1734435005760_607.pdf" TargetMode="External" Id="rId1245" /><Relationship Type="http://schemas.openxmlformats.org/officeDocument/2006/relationships/hyperlink" Target="https://www.sebi.gov.in/filings/public-issues/dec-2024/gng-electronics-limited_89988.html" TargetMode="External" Id="rId1246" /><Relationship Type="http://schemas.openxmlformats.org/officeDocument/2006/relationships/hyperlink" Target="https://www.sebi.gov.in/sebi_data/attachdocs/dec-2024/1734348609680_606.pdf" TargetMode="External" Id="rId1247" /><Relationship Type="http://schemas.openxmlformats.org/officeDocument/2006/relationships/hyperlink" Target="https://www.sebi.gov.in/filings/public-issues/dec-2024/continuum-green-energy-limited_89969.html" TargetMode="External" Id="rId1248" /><Relationship Type="http://schemas.openxmlformats.org/officeDocument/2006/relationships/hyperlink" Target="https://www.business-standard.com/markets/ipo/continuum-green-energy-ltd-ipo-73552" TargetMode="External" Id="rId1249" /><Relationship Type="http://schemas.openxmlformats.org/officeDocument/2006/relationships/hyperlink" Target="https://www.sebi.gov.in/sebi_data/attachdocs/dec-2024/1734348609680_605.pdf" TargetMode="External" Id="rId1250" /><Relationship Type="http://schemas.openxmlformats.org/officeDocument/2006/relationships/hyperlink" Target="https://www.sebi.gov.in/filings/public-issues/dec-2024/travel-food-services-limited_89967.html" TargetMode="External" Id="rId1251" /><Relationship Type="http://schemas.openxmlformats.org/officeDocument/2006/relationships/hyperlink" Target="https://www.sebi.gov.in/sebi_data/attachdocs/dec-2024/1734334208896_604.pdf" TargetMode="External" Id="rId1252" /><Relationship Type="http://schemas.openxmlformats.org/officeDocument/2006/relationships/hyperlink" Target="https://www.sebi.gov.in/filings/public-issues/dec-2024/bluestone-jewellery-and-lifestyle-limited_89962.html" TargetMode="External" Id="rId1253" /><Relationship Type="http://schemas.openxmlformats.org/officeDocument/2006/relationships/hyperlink" Target="https://www.sebi.gov.in/sebi_data/attachdocs/dec-2024/1733815806552_599.pdf" TargetMode="External" Id="rId1254" /><Relationship Type="http://schemas.openxmlformats.org/officeDocument/2006/relationships/hyperlink" Target="https://www.sebi.gov.in/filings/public-issues/dec-2024/eaaa-india-alternatives-limited_89436.html" TargetMode="External" Id="rId1255" /><Relationship Type="http://schemas.openxmlformats.org/officeDocument/2006/relationships/hyperlink" Target="https://www.chittorgarh.com/ipo/eaaa-india-alternatives-ipo/2061/" TargetMode="External" Id="rId1256" /><Relationship Type="http://schemas.openxmlformats.org/officeDocument/2006/relationships/hyperlink" Target="https://www.sebi.gov.in/sebi_data/attachdocs/dec-2024/1733743806550_598.pdf" TargetMode="External" Id="rId1257" /><Relationship Type="http://schemas.openxmlformats.org/officeDocument/2006/relationships/hyperlink" Target="https://www.sebi.gov.in/filings/public-issues/dec-2024/lg-electronics-india-limited_89411.html" TargetMode="External" Id="rId1258" /><Relationship Type="http://schemas.openxmlformats.org/officeDocument/2006/relationships/hyperlink" Target="https://www.sebi.gov.in/sebi_data/attachdocs/dec-2024/1733729408090_597.pdf" TargetMode="External" Id="rId1259" /><Relationship Type="http://schemas.openxmlformats.org/officeDocument/2006/relationships/hyperlink" Target="https://www.sebi.gov.in/filings/public-issues/dec-2024/star-agriwarehousing-and-collateral-management-limited_89400.html" TargetMode="External" Id="rId1260" /><Relationship Type="http://schemas.openxmlformats.org/officeDocument/2006/relationships/hyperlink" Target="https://www.business-standard.com/markets/ipo/star-agriwarehousing-collateral-management-ltd-ipo-85954" TargetMode="External" Id="rId1261" /><Relationship Type="http://schemas.openxmlformats.org/officeDocument/2006/relationships/hyperlink" Target="https://www.sebi.gov.in/sebi_data/attachdocs/dec-2024/1733383855765_595.pdf" TargetMode="External" Id="rId1262" /><Relationship Type="http://schemas.openxmlformats.org/officeDocument/2006/relationships/hyperlink" Target="https://www.sebi.gov.in/filings/public-issues/dec-2024/sfc-environmental-technologies-limited_89308.html" TargetMode="External" Id="rId1263" /><Relationship Type="http://schemas.openxmlformats.org/officeDocument/2006/relationships/hyperlink" Target="https://www.chittorgarh.com/ipo/sfc-environmental-technologies-ipo/2070/" TargetMode="External" Id="rId1264" /><Relationship Type="http://schemas.openxmlformats.org/officeDocument/2006/relationships/hyperlink" Target="https://www.sebi.gov.in/sebi_data/attachdocs/dec-2024/1733133552014.pdf" TargetMode="External" Id="rId1265" /><Relationship Type="http://schemas.openxmlformats.org/officeDocument/2006/relationships/hyperlink" Target="https://www.sebi.gov.in/filings/public-issues/dec-2024/denta-water-and-infra-solutions-limited-addendum-to-drhp_89182.html" TargetMode="External" Id="rId1266" /><Relationship Type="http://schemas.openxmlformats.org/officeDocument/2006/relationships/hyperlink" Target="https://www.sebi.gov.in/sebi_data/attachdocs/dec-2024/1733120168797.pdf" TargetMode="External" Id="rId1267" /><Relationship Type="http://schemas.openxmlformats.org/officeDocument/2006/relationships/hyperlink" Target="https://www.sebi.gov.in/filings/public-issues/dec-2024/sambhv-steel-tubes-limited-corrigendum-to-drhp_89172.html" TargetMode="External" Id="rId1268" /><Relationship Type="http://schemas.openxmlformats.org/officeDocument/2006/relationships/hyperlink" Target="https://www.sebi.gov.in/sebi_data/attachdocs/nov-2024/1732605278167.pdf" TargetMode="External" Id="rId1269" /><Relationship Type="http://schemas.openxmlformats.org/officeDocument/2006/relationships/hyperlink" Target="https://www.sebi.gov.in/filings/public-issues/nov-2024/jaro-institute-of-technology-management-and-research-limited-addendum-cum-corrigendum-to-drhp_88770.html" TargetMode="External" Id="rId1270" /><Relationship Type="http://schemas.openxmlformats.org/officeDocument/2006/relationships/hyperlink" Target="https://www.sebi.gov.in/sebi_data/attachdocs/nov-2024/1732534205066_587.pdf" TargetMode="External" Id="rId1271" /><Relationship Type="http://schemas.openxmlformats.org/officeDocument/2006/relationships/hyperlink" Target="https://www.sebi.gov.in/filings/public-issues/nov-2024/aegis-vopak-terminals-limited_88746.html" TargetMode="External" Id="rId1272" /><Relationship Type="http://schemas.openxmlformats.org/officeDocument/2006/relationships/hyperlink" Target="https://www.sebi.gov.in/sebi_data/attachdocs/nov-2024/1732519804544_586.pdf" TargetMode="External" Id="rId1273" /><Relationship Type="http://schemas.openxmlformats.org/officeDocument/2006/relationships/hyperlink" Target="https://www.sebi.gov.in/filings/public-issues/nov-2024/saatvik-green-energy-limited_88728.html" TargetMode="External" Id="rId1274" /><Relationship Type="http://schemas.openxmlformats.org/officeDocument/2006/relationships/hyperlink" Target="https://www.sebi.gov.in/sebi_data/attachdocs/nov-2024/1732275005817_584.pdf" TargetMode="External" Id="rId1275" /><Relationship Type="http://schemas.openxmlformats.org/officeDocument/2006/relationships/hyperlink" Target="https://www.sebi.gov.in/filings/public-issues/nov-2024/belrise-industries-limited_88690.html" TargetMode="External" Id="rId1276" /><Relationship Type="http://schemas.openxmlformats.org/officeDocument/2006/relationships/hyperlink" Target="https://www.sebi.gov.in/sebi_data/attachdocs/nov-2024/1732186038798.pdf" TargetMode="External" Id="rId1277" /><Relationship Type="http://schemas.openxmlformats.org/officeDocument/2006/relationships/hyperlink" Target="https://www.sebi.gov.in/filings/public-issues/nov-2024/ciel-hr-services-limited-drhp_88653.html" TargetMode="External" Id="rId1278" /><Relationship Type="http://schemas.openxmlformats.org/officeDocument/2006/relationships/hyperlink" Target="https://www.business-standard.com/markets/ipo/ciel-hr-services-ltd-ipo-89497" TargetMode="External" Id="rId1279" /><Relationship Type="http://schemas.openxmlformats.org/officeDocument/2006/relationships/hyperlink" Target="https://www.sebi.gov.in/sebi_data/attachdocs/nov-2024/1732274929423.pdf" TargetMode="External" Id="rId1280" /><Relationship Type="http://schemas.openxmlformats.org/officeDocument/2006/relationships/hyperlink" Target="https://www.sebi.gov.in/filings/public-issues/nov-2024/crizac-limited-drhp_88688.html" TargetMode="External" Id="rId1281" /><Relationship Type="http://schemas.openxmlformats.org/officeDocument/2006/relationships/hyperlink" Target="https://www.sebi.gov.in/sebi_data/attachdocs/nov-2024/1732015813217_580.pdf" TargetMode="External" Id="rId1282" /><Relationship Type="http://schemas.openxmlformats.org/officeDocument/2006/relationships/hyperlink" Target="https://www.sebi.gov.in/filings/public-issues/nov-2024/boranaweaveslimited_88608.html" TargetMode="External" Id="rId1283" /><Relationship Type="http://schemas.openxmlformats.org/officeDocument/2006/relationships/hyperlink" Target="https://www.chittorgarh.com/ipo/borana-weaves-ipo/2099/" TargetMode="External" Id="rId1284" /><Relationship Type="http://schemas.openxmlformats.org/officeDocument/2006/relationships/hyperlink" Target="https://www.sebi.gov.in/sebi_data/attachdocs/nov-2024/1731912116999.pdf" TargetMode="External" Id="rId1285" /><Relationship Type="http://schemas.openxmlformats.org/officeDocument/2006/relationships/hyperlink" Target="https://www.sebi.gov.in/filings/public-issues/nov-2024/arisinfra-solutions-limited-addendum-to-drhp_88526.html" TargetMode="External" Id="rId1286" /><Relationship Type="http://schemas.openxmlformats.org/officeDocument/2006/relationships/hyperlink" Target="https://www.sebi.gov.in/sebi_data/attachdocs/nov-2024/1731396609603_578.pdf" TargetMode="External" Id="rId1287" /><Relationship Type="http://schemas.openxmlformats.org/officeDocument/2006/relationships/hyperlink" Target="https://www.sebi.gov.in/filings/public-issues/nov-2024/paramesu-biotech-limited_88375.html" TargetMode="External" Id="rId1288" /><Relationship Type="http://schemas.openxmlformats.org/officeDocument/2006/relationships/hyperlink" Target="https://www.business-standard.com/markets/ipo/paramesu-biotech-ltd-ipo-78205" TargetMode="External" Id="rId1289" /><Relationship Type="http://schemas.openxmlformats.org/officeDocument/2006/relationships/hyperlink" Target="https://www.sebi.gov.in/sebi_data/attachdocs/nov-2024/1731328477841.pdf" TargetMode="External" Id="rId1290" /><Relationship Type="http://schemas.openxmlformats.org/officeDocument/2006/relationships/hyperlink" Target="https://www.sebi.gov.in/filings/public-issues/nov-2024/indogulf-cropsciences-limited-corrigendum-to-drhp_88344.html" TargetMode="External" Id="rId1291" /><Relationship Type="http://schemas.openxmlformats.org/officeDocument/2006/relationships/hyperlink" Target="https://www.sebi.gov.in/sebi_data/attachdocs/nov-2024/1730943005947_574.pdf" TargetMode="External" Id="rId1292" /><Relationship Type="http://schemas.openxmlformats.org/officeDocument/2006/relationships/hyperlink" Target="https://www.sebi.gov.in/filings/public-issues/nov-2024/brigade-hotel-ventures-limited_88270.html" TargetMode="External" Id="rId1293" /><Relationship Type="http://schemas.openxmlformats.org/officeDocument/2006/relationships/hyperlink" Target="https://www.sebi.gov.in/sebi_data/attachdocs/nov-2024/1730791806554_562.pdf" TargetMode="External" Id="rId1294" /><Relationship Type="http://schemas.openxmlformats.org/officeDocument/2006/relationships/hyperlink" Target="https://www.sebi.gov.in/filings/public-issues/nov-2024/hdb-financial-services-limited_88226.html" TargetMode="External" Id="rId1295" /><Relationship Type="http://schemas.openxmlformats.org/officeDocument/2006/relationships/hyperlink" Target="https://www.sebi.gov.in/sebi_data/attachdocs/nov-2024/1730797962025.PDF" TargetMode="External" Id="rId1296" /><Relationship Type="http://schemas.openxmlformats.org/officeDocument/2006/relationships/hyperlink" Target="https://www.sebi.gov.in/filings/public-issues/oct-2024/zinka-logistics-solutions-limited-addendum-to-the-drhp_88227.html" TargetMode="External" Id="rId1297" /><Relationship Type="http://schemas.openxmlformats.org/officeDocument/2006/relationships/hyperlink" Target="https://www.sebi.gov.in/sebi_data/attachdocs/oct-2024/1729598563606.PDF" TargetMode="External" Id="rId1298" /><Relationship Type="http://schemas.openxmlformats.org/officeDocument/2006/relationships/hyperlink" Target="https://www.sebi.gov.in/filings/public-issues/oct-2024/smpp-limited-drhp_87861.html" TargetMode="External" Id="rId1299" /><Relationship Type="http://schemas.openxmlformats.org/officeDocument/2006/relationships/hyperlink" Target="https://www.chittorgarh.com/ipo/smpp-ipo/2114/" TargetMode="External" Id="rId1300" /><Relationship Type="http://schemas.openxmlformats.org/officeDocument/2006/relationships/hyperlink" Target="https://www.sebi.gov.in/sebi_data/attachdocs/oct-2024/1729226055847.pdf" TargetMode="External" Id="rId1301" /><Relationship Type="http://schemas.openxmlformats.org/officeDocument/2006/relationships/hyperlink" Target="https://www.sebi.gov.in/filings/public-issues/oct-2024/vishal-mega-mart-limited-updated-draft-red-herring-prospectus-i_87742.html" TargetMode="External" Id="rId1302" /><Relationship Type="http://schemas.openxmlformats.org/officeDocument/2006/relationships/hyperlink" Target="https://www.sebi.gov.in/sebi_data/attachdocs/oct-2024/1728977411006_557.pdf" TargetMode="External" Id="rId1303" /><Relationship Type="http://schemas.openxmlformats.org/officeDocument/2006/relationships/hyperlink" Target="https://www.sebi.gov.in/filings/public-issues/oct-2024/anlon-healthcare-limited_87538.html" TargetMode="External" Id="rId1304" /><Relationship Type="http://schemas.openxmlformats.org/officeDocument/2006/relationships/hyperlink" Target="https://www.sebi.gov.in/sebi_data/attachdocs/oct-2024/1728465251938.pdf" TargetMode="External" Id="rId1305" /><Relationship Type="http://schemas.openxmlformats.org/officeDocument/2006/relationships/hyperlink" Target="https://www.sebi.gov.in/filings/public-issues/oct-2024/sagility-india-limited-corrigendum-to-drhp_87450.html" TargetMode="External" Id="rId1306" /><Relationship Type="http://schemas.openxmlformats.org/officeDocument/2006/relationships/hyperlink" Target="https://www.sebi.gov.in/sebi_data/attachdocs/oct-2024/1728351004655_553.pdf" TargetMode="External" Id="rId1307" /><Relationship Type="http://schemas.openxmlformats.org/officeDocument/2006/relationships/hyperlink" Target="https://www.sebi.gov.in/filings/public-issues/oct-2024/dev-accelerator-limited_87400.html" TargetMode="External" Id="rId1308" /><Relationship Type="http://schemas.openxmlformats.org/officeDocument/2006/relationships/hyperlink" Target="https://www.sebi.gov.in/sebi_data/attachdocs/oct-2024/1728285371308.pdf" TargetMode="External" Id="rId1309" /><Relationship Type="http://schemas.openxmlformats.org/officeDocument/2006/relationships/hyperlink" Target="https://www.sebi.gov.in/filings/public-issues/oct-2024/avanse-financial-services-limited-addendum-to-drhp_87374.html" TargetMode="External" Id="rId1310" /><Relationship Type="http://schemas.openxmlformats.org/officeDocument/2006/relationships/hyperlink" Target="https://ipowatch.in/avanse-financial-services-ipo/" TargetMode="External" Id="rId1311" /><Relationship Type="http://schemas.openxmlformats.org/officeDocument/2006/relationships/hyperlink" Target="https://www.sebi.gov.in/sebi_data/attachdocs/oct-2024/1728041405486_546.pdf" TargetMode="External" Id="rId1312" /><Relationship Type="http://schemas.openxmlformats.org/officeDocument/2006/relationships/hyperlink" Target="https://www.sebi.gov.in/filings/public-issues/oct-2024/viney-corporation-limited_87336.html" TargetMode="External" Id="rId1313" /><Relationship Type="http://schemas.openxmlformats.org/officeDocument/2006/relationships/hyperlink" Target="https://www.chittorgarh.com/ipo/viney-corporation-ipo/2124/" TargetMode="External" Id="rId1314" /><Relationship Type="http://schemas.openxmlformats.org/officeDocument/2006/relationships/hyperlink" Target="https://www.sebi.gov.in/sebi_data/attachdocs/oct-2024/1728027007106_545.pdf" TargetMode="External" Id="rId1315" /><Relationship Type="http://schemas.openxmlformats.org/officeDocument/2006/relationships/hyperlink" Target="https://www.sebi.gov.in/filings/public-issues/oct-2024/all-time-plastics-limited_87321.html" TargetMode="External" Id="rId1316" /><Relationship Type="http://schemas.openxmlformats.org/officeDocument/2006/relationships/hyperlink" Target="https://www.sebi.gov.in/sebi_data/attachdocs/oct-2024/1728027007106_544.pdf" TargetMode="External" Id="rId1317" /><Relationship Type="http://schemas.openxmlformats.org/officeDocument/2006/relationships/hyperlink" Target="https://www.sebi.gov.in/filings/public-issues/oct-2024/ajax-engineering-limited_87319.html" TargetMode="External" Id="rId1318" /><Relationship Type="http://schemas.openxmlformats.org/officeDocument/2006/relationships/hyperlink" Target="https://www.sebi.gov.in/sebi_data/attachdocs/oct-2024/1728027007106_543.pdf" TargetMode="External" Id="rId1319" /><Relationship Type="http://schemas.openxmlformats.org/officeDocument/2006/relationships/hyperlink" Target="https://www.sebi.gov.in/filings/public-issues/oct-2024/vikran-engineering-limited_87317.html" TargetMode="External" Id="rId1320" /><Relationship Type="http://schemas.openxmlformats.org/officeDocument/2006/relationships/hyperlink" Target="https://www.sebi.gov.in/sebi_data/attachdocs/oct-2024/1728015990143.pdf" TargetMode="External" Id="rId1321" /><Relationship Type="http://schemas.openxmlformats.org/officeDocument/2006/relationships/hyperlink" Target="https://www.sebi.gov.in/filings/public-issues/oct-2024/niva-bupa-health-insurance-company-limited-drhp_87306.html" TargetMode="External" Id="rId1322" /><Relationship Type="http://schemas.openxmlformats.org/officeDocument/2006/relationships/hyperlink" Target="https://www.sebi.gov.in/sebi_data/attachdocs/oct-2024/1727955078450_542.pdf" TargetMode="External" Id="rId1323" /><Relationship Type="http://schemas.openxmlformats.org/officeDocument/2006/relationships/hyperlink" Target="https://www.sebi.gov.in/filings/public-issues/oct-2024/jaro-institute-of-technology-management-and-research-limited_87300.html" TargetMode="External" Id="rId1324" /><Relationship Type="http://schemas.openxmlformats.org/officeDocument/2006/relationships/hyperlink" Target="https://www.sebi.gov.in/sebi_data/attachdocs/oct-2024/1727955078450_541.pdf" TargetMode="External" Id="rId1325" /><Relationship Type="http://schemas.openxmlformats.org/officeDocument/2006/relationships/hyperlink" Target="https://www.sebi.gov.in/filings/public-issues/oct-2024/globe-civil-projects-limited_87298.html" TargetMode="External" Id="rId1326" /><Relationship Type="http://schemas.openxmlformats.org/officeDocument/2006/relationships/hyperlink" Target="https://www.sebi.gov.in/sebi_data/attachdocs/oct-2024/1727955078450_540.pdf" TargetMode="External" Id="rId1327" /><Relationship Type="http://schemas.openxmlformats.org/officeDocument/2006/relationships/hyperlink" Target="https://www.sebi.gov.in/filings/public-issues/oct-2024/midwest-limited_87296.html" TargetMode="External" Id="rId1328" /><Relationship Type="http://schemas.openxmlformats.org/officeDocument/2006/relationships/hyperlink" Target="https://www.sebi.gov.in/sebi_data/attachdocs/oct-2024/1727955078450_539.pdf" TargetMode="External" Id="rId1329" /><Relationship Type="http://schemas.openxmlformats.org/officeDocument/2006/relationships/hyperlink" Target="https://www.sebi.gov.in/filings/public-issues/oct-2024/prostarm-info-systems-limited_87294.html" TargetMode="External" Id="rId1330" /><Relationship Type="http://schemas.openxmlformats.org/officeDocument/2006/relationships/hyperlink" Target="https://www.sebi.gov.in/sebi_data/attachdocs/oct-2024/1727955078450_537.pdf" TargetMode="External" Id="rId1331" /><Relationship Type="http://schemas.openxmlformats.org/officeDocument/2006/relationships/hyperlink" Target="https://www.sebi.gov.in/filings/public-issues/oct-2024/rahee-infratech-limited_87290.html" TargetMode="External" Id="rId1332" /><Relationship Type="http://schemas.openxmlformats.org/officeDocument/2006/relationships/hyperlink" Target="https://www.chittorgarh.com/ipo/rahee-infratech-ipo/2134/" TargetMode="External" Id="rId1333" /><Relationship Type="http://schemas.openxmlformats.org/officeDocument/2006/relationships/hyperlink" Target="https://www.sebi.gov.in/sebi_data/attachdocs/oct-2024/1727955078450_538.pdf" TargetMode="External" Id="rId1334" /><Relationship Type="http://schemas.openxmlformats.org/officeDocument/2006/relationships/hyperlink" Target="https://www.sebi.gov.in/filings/public-issues/oct-2024/varindera-constructions-limited_87292.html" TargetMode="External" Id="rId1335" /><Relationship Type="http://schemas.openxmlformats.org/officeDocument/2006/relationships/hyperlink" Target="https://www.chittorgarh.com/ipo/varindera-constructions-ipo/2137/" TargetMode="External" Id="rId1336" /><Relationship Type="http://schemas.openxmlformats.org/officeDocument/2006/relationships/hyperlink" Target="https://www.sebi.gov.in/sebi_data/attachdocs/oct-2024/1727955078450_536.pdf" TargetMode="External" Id="rId1337" /><Relationship Type="http://schemas.openxmlformats.org/officeDocument/2006/relationships/hyperlink" Target="https://www.sebi.gov.in/filings/public-issues/oct-2024/mouri-tech-limited_87288.html" TargetMode="External" Id="rId1338" /><Relationship Type="http://schemas.openxmlformats.org/officeDocument/2006/relationships/hyperlink" Target="https://www.chittorgarh.com/ipo/mouri-tech-ipo/2151/" TargetMode="External" Id="rId1339" /><Relationship Type="http://schemas.openxmlformats.org/officeDocument/2006/relationships/hyperlink" Target="https://www.sebi.gov.in/sebi_data/attachdocs/oct-2024/1727955078450_532.pdf" TargetMode="External" Id="rId1340" /><Relationship Type="http://schemas.openxmlformats.org/officeDocument/2006/relationships/hyperlink" Target="https://www.sebi.gov.in/filings/public-issues/oct-2024/aditya-infotech-limited_87280.html" TargetMode="External" Id="rId1341" /><Relationship Type="http://schemas.openxmlformats.org/officeDocument/2006/relationships/hyperlink" Target="https://www.sebi.gov.in/sebi_data/attachdocs/oct-2024/1727955078450_533.pdf" TargetMode="External" Id="rId1342" /><Relationship Type="http://schemas.openxmlformats.org/officeDocument/2006/relationships/hyperlink" Target="https://www.sebi.gov.in/filings/public-issues/oct-2024/sambhv-steel-tubes-limited_87282.html" TargetMode="External" Id="rId1343" /><Relationship Type="http://schemas.openxmlformats.org/officeDocument/2006/relationships/hyperlink" Target="https://www.sebi.gov.in/sebi_data/attachdocs/oct-2024/1727955078450_530.pdf" TargetMode="External" Id="rId1344" /><Relationship Type="http://schemas.openxmlformats.org/officeDocument/2006/relationships/hyperlink" Target="https://www.sebi.gov.in/filings/public-issues/oct-2024/indogulf-cropsciences-limited_87276.html" TargetMode="External" Id="rId1345" /><Relationship Type="http://schemas.openxmlformats.org/officeDocument/2006/relationships/hyperlink" Target="https://www.sebi.gov.in/sebi_data/attachdocs/oct-2024/1727955078450_531.pdf" TargetMode="External" Id="rId1346" /><Relationship Type="http://schemas.openxmlformats.org/officeDocument/2006/relationships/hyperlink" Target="https://www.sebi.gov.in/filings/public-issues/oct-2024/vikram-solar-limited_87278.html" TargetMode="External" Id="rId1347" /><Relationship Type="http://schemas.openxmlformats.org/officeDocument/2006/relationships/hyperlink" Target="https://www.sebi.gov.in/sebi_data/attachdocs/oct-2024/1727955078450_529.pdf" TargetMode="External" Id="rId1348" /><Relationship Type="http://schemas.openxmlformats.org/officeDocument/2006/relationships/hyperlink" Target="https://www.sebi.gov.in/filings/public-issues/oct-2024/vms-tmt-limited_87274.html" TargetMode="External" Id="rId1349" /><Relationship Type="http://schemas.openxmlformats.org/officeDocument/2006/relationships/hyperlink" Target="https://www.sebi.gov.in/sebi_data/attachdocs/oct-2024/1727928892777.pdf" TargetMode="External" Id="rId1350" /><Relationship Type="http://schemas.openxmlformats.org/officeDocument/2006/relationships/hyperlink" Target="https://www.sebi.gov.in/filings/public-issues/oct-2024/kumar-arch-tech-limited-drhp_87225.html" TargetMode="External" Id="rId1351" /><Relationship Type="http://schemas.openxmlformats.org/officeDocument/2006/relationships/hyperlink" Target="https://www.chittorgarh.com/ipo/kumar-arch-tech-ipo/2163/" TargetMode="External" Id="rId1352" /><Relationship Type="http://schemas.openxmlformats.org/officeDocument/2006/relationships/hyperlink" Target="https://www.sebi.gov.in/sebi_data/attachdocs/oct-2024/1727832657268_528.pdf" TargetMode="External" Id="rId1353" /><Relationship Type="http://schemas.openxmlformats.org/officeDocument/2006/relationships/hyperlink" Target="https://www.sebi.gov.in/filings/public-issues/oct-2024/scoda-tubes-limited_87223.html" TargetMode="External" Id="rId1354" /><Relationship Type="http://schemas.openxmlformats.org/officeDocument/2006/relationships/hyperlink" Target="https://www.sebi.gov.in/sebi_data/attachdocs/oct-2024/1727832657268_525.pdf" TargetMode="External" Id="rId1355" /><Relationship Type="http://schemas.openxmlformats.org/officeDocument/2006/relationships/hyperlink" Target="https://www.sebi.gov.in/filings/public-issues/oct-2024/dr-agarwal-s-health-care-limited_87217.html" TargetMode="External" Id="rId1356" /><Relationship Type="http://schemas.openxmlformats.org/officeDocument/2006/relationships/hyperlink" Target="https://www.sebi.gov.in/sebi_data/attachdocs/oct-2024/1727832657268_524.pdf" TargetMode="External" Id="rId1357" /><Relationship Type="http://schemas.openxmlformats.org/officeDocument/2006/relationships/hyperlink" Target="https://www.sebi.gov.in/filings/public-issues/oct-2024/solarworld-energy-solutions-limited_87215.html" TargetMode="External" Id="rId1358" /><Relationship Type="http://schemas.openxmlformats.org/officeDocument/2006/relationships/hyperlink" Target="https://www.sebi.gov.in/sebi_data/attachdocs/oct-2024/1727832657268_523.pdf" TargetMode="External" Id="rId1359" /><Relationship Type="http://schemas.openxmlformats.org/officeDocument/2006/relationships/hyperlink" Target="https://www.sebi.gov.in/filings/public-issues/oct-2024/glottis-limited_87213.html" TargetMode="External" Id="rId1360" /><Relationship Type="http://schemas.openxmlformats.org/officeDocument/2006/relationships/hyperlink" Target="https://www.sebi.gov.in/sebi_data/attachdocs/sep-2024/1727681408058_520.pdf" TargetMode="External" Id="rId1361" /><Relationship Type="http://schemas.openxmlformats.org/officeDocument/2006/relationships/hyperlink" Target="https://www.sebi.gov.in/filings/public-issues/sep-2024/amanta-healthcare-limited_87090.html" TargetMode="External" Id="rId1362" /><Relationship Type="http://schemas.openxmlformats.org/officeDocument/2006/relationships/hyperlink" Target="https://www.sebi.gov.in/sebi_data/attachdocs/sep-2024/1727436605046_519.pdf" TargetMode="External" Id="rId1363" /><Relationship Type="http://schemas.openxmlformats.org/officeDocument/2006/relationships/hyperlink" Target="https://www.sebi.gov.in/filings/public-issues/sep-2024/highway-infrastructure-limited_87057.html" TargetMode="External" Id="rId1364" /><Relationship Type="http://schemas.openxmlformats.org/officeDocument/2006/relationships/hyperlink" Target="https://www.sebi.gov.in/sebi_data/attachdocs/sep-2024/1727422205663_516.pdf" TargetMode="External" Id="rId1365" /><Relationship Type="http://schemas.openxmlformats.org/officeDocument/2006/relationships/hyperlink" Target="https://www.sebi.gov.in/filings/public-issues/sep-2024/m-and-b-engineering-limited_87048.html" TargetMode="External" Id="rId1366" /><Relationship Type="http://schemas.openxmlformats.org/officeDocument/2006/relationships/hyperlink" Target="https://www.sebi.gov.in/sebi_data/attachdocs/sep-2024/1727416339523.pdf" TargetMode="External" Id="rId1367" /><Relationship Type="http://schemas.openxmlformats.org/officeDocument/2006/relationships/hyperlink" Target="https://www.sebi.gov.in/filings/public-issues/sep-2024/swiggy-limited-updated-drhp-i_87047.html" TargetMode="External" Id="rId1368" /><Relationship Type="http://schemas.openxmlformats.org/officeDocument/2006/relationships/hyperlink" Target="https://www.sebi.gov.in/sebi_data/attachdocs/sep-2024/1727350212456_515.pdf" TargetMode="External" Id="rId1369" /><Relationship Type="http://schemas.openxmlformats.org/officeDocument/2006/relationships/hyperlink" Target="https://www.sebi.gov.in/filings/public-issues/sep-2024/glottis-limited_87019.html" TargetMode="External" Id="rId1370" /><Relationship Type="http://schemas.openxmlformats.org/officeDocument/2006/relationships/hyperlink" Target="https://www.sebi.gov.in/sebi_data/attachdocs/sep-2024/1727163005636_513.pdf" TargetMode="External" Id="rId1371" /><Relationship Type="http://schemas.openxmlformats.org/officeDocument/2006/relationships/hyperlink" Target="https://www.sebi.gov.in/filings/public-issues/sep-2024/schloss-bangalore-limited_86948.html" TargetMode="External" Id="rId1372" /><Relationship Type="http://schemas.openxmlformats.org/officeDocument/2006/relationships/hyperlink" Target="https://www.chittorgarh.com/ipo/leela-hotels-ipo/2182/" TargetMode="External" Id="rId1373" /><Relationship Type="http://schemas.openxmlformats.org/officeDocument/2006/relationships/hyperlink" Target="https://www.sebi.gov.in/sebi_data/attachdocs/sep-2024/1727091006102_511.pdf" TargetMode="External" Id="rId1374" /><Relationship Type="http://schemas.openxmlformats.org/officeDocument/2006/relationships/hyperlink" Target="https://www.sebi.gov.in/filings/public-issues/sep-2024/casagrand-premier-builder-limited_86912.html" TargetMode="External" Id="rId1375" /><Relationship Type="http://schemas.openxmlformats.org/officeDocument/2006/relationships/hyperlink" Target="https://www.chittorgarh.com/ipo/casagrand-premier-builder-ipo/2183/" TargetMode="External" Id="rId1376" /><Relationship Type="http://schemas.openxmlformats.org/officeDocument/2006/relationships/hyperlink" Target="https://www.sebi.gov.in/sebi_data/attachdocs/sep-2024/1727076635928_509.pdf" TargetMode="External" Id="rId1377" /><Relationship Type="http://schemas.openxmlformats.org/officeDocument/2006/relationships/hyperlink" Target="https://www.sebi.gov.in/filings/public-issues/sep-2024/ellenbarrie-industrial-gases-limited_86902.html" TargetMode="External" Id="rId1378" /><Relationship Type="http://schemas.openxmlformats.org/officeDocument/2006/relationships/hyperlink" Target="https://www.sebi.gov.in/sebi_data/attachdocs/sep-2024/1727076635928_506.pdf" TargetMode="External" Id="rId1379" /><Relationship Type="http://schemas.openxmlformats.org/officeDocument/2006/relationships/hyperlink" Target="https://www.sebi.gov.in/filings/public-issues/sep-2024/pmea-solar-tech-solutions-limited_86896.html" TargetMode="External" Id="rId1380" /><Relationship Type="http://schemas.openxmlformats.org/officeDocument/2006/relationships/hyperlink" Target="https://www.chittorgarh.com/ipo/pmea-solar-tech-ipo/2199/" TargetMode="External" Id="rId1381" /><Relationship Type="http://schemas.openxmlformats.org/officeDocument/2006/relationships/hyperlink" Target="https://www.sebi.gov.in/sebi_data/attachdocs/sep-2024/1726831818736_504.pdf" TargetMode="External" Id="rId1382" /><Relationship Type="http://schemas.openxmlformats.org/officeDocument/2006/relationships/hyperlink" Target="https://www.sebi.gov.in/filings/public-issues/sep-2024/quality-power-electrical-equipments-limited_86877.html" TargetMode="External" Id="rId1383" /><Relationship Type="http://schemas.openxmlformats.org/officeDocument/2006/relationships/hyperlink" Target="https://www.sebi.gov.in/sebi_data/attachdocs/sep-2024/1726831818736_503.pdf" TargetMode="External" Id="rId1384" /><Relationship Type="http://schemas.openxmlformats.org/officeDocument/2006/relationships/hyperlink" Target="https://www.sebi.gov.in/filings/public-issues/sep-2024/ntpc-green-energy-limited_86875.html" TargetMode="External" Id="rId1385" /><Relationship Type="http://schemas.openxmlformats.org/officeDocument/2006/relationships/hyperlink" Target="https://www.sebi.gov.in/sebi_data/attachdocs/sep-2024/1726831818736_502.pdf" TargetMode="External" Id="rId1386" /><Relationship Type="http://schemas.openxmlformats.org/officeDocument/2006/relationships/hyperlink" Target="https://www.sebi.gov.in/filings/public-issues/sep-2024/oswal-pumps-limited_86873.html" TargetMode="External" Id="rId1387" /><Relationship Type="http://schemas.openxmlformats.org/officeDocument/2006/relationships/hyperlink" Target="https://www.sebi.gov.in/sebi_data/attachdocs/sep-2024/1726795805717_500.pdf" TargetMode="External" Id="rId1388" /><Relationship Type="http://schemas.openxmlformats.org/officeDocument/2006/relationships/hyperlink" Target="https://www.sebi.gov.in/filings/public-issues/sep-2024/fabtech-technologies-limited_86808.html" TargetMode="External" Id="rId1389" /><Relationship Type="http://schemas.openxmlformats.org/officeDocument/2006/relationships/hyperlink" Target="https://www.sebi.gov.in/sebi_data/attachdocs/sep-2024/1726795805717_501.pdf" TargetMode="External" Id="rId1390" /><Relationship Type="http://schemas.openxmlformats.org/officeDocument/2006/relationships/hyperlink" Target="https://www.sebi.gov.in/filings/public-issues/sep-2024/regreen-excel-epc-india-limited_86810.html" TargetMode="External" Id="rId1391" /><Relationship Type="http://schemas.openxmlformats.org/officeDocument/2006/relationships/hyperlink" Target="https://www.chittorgarh.com/ipo/regreen-excel-epc-india-ipo/2205/" TargetMode="External" Id="rId1392" /><Relationship Type="http://schemas.openxmlformats.org/officeDocument/2006/relationships/hyperlink" Target="https://www.sebi.gov.in/sebi_data/attachdocs/sep-2024/1726731020171_499.pdf" TargetMode="External" Id="rId1393" /><Relationship Type="http://schemas.openxmlformats.org/officeDocument/2006/relationships/hyperlink" Target="https://www.sebi.gov.in/filings/public-issues/sep-2024/laxmi-dental-limited_86796.html" TargetMode="External" Id="rId1394" /><Relationship Type="http://schemas.openxmlformats.org/officeDocument/2006/relationships/hyperlink" Target="https://www.sebi.gov.in/sebi_data/attachdocs/sep-2024/1726227537582.pdf" TargetMode="External" Id="rId1395" /><Relationship Type="http://schemas.openxmlformats.org/officeDocument/2006/relationships/hyperlink" Target="https://www.sebi.gov.in/filings/public-issues/sep-2024/hexaware-technologies-limited-drhp_86673.html" TargetMode="External" Id="rId1396" /><Relationship Type="http://schemas.openxmlformats.org/officeDocument/2006/relationships/hyperlink" Target="https://www.sebi.gov.in/sebi_data/attachdocs/sep-2024/1726277408114_454.pdf" TargetMode="External" Id="rId1397" /><Relationship Type="http://schemas.openxmlformats.org/officeDocument/2006/relationships/hyperlink" Target="https://www.sebi.gov.in/filings/public-issues/sep-2024/ventive-hospitality-limited_86694.html" TargetMode="External" Id="rId1398" /><Relationship Type="http://schemas.openxmlformats.org/officeDocument/2006/relationships/hyperlink" Target="https://www.sebi.gov.in/sebi_data/attachdocs/sep-2024/1726277408114_452.pdf" TargetMode="External" Id="rId1399" /><Relationship Type="http://schemas.openxmlformats.org/officeDocument/2006/relationships/hyperlink" Target="https://www.sebi.gov.in/filings/public-issues/sep-2024/hexaware-technologies-limited_86690.html" TargetMode="External" Id="rId1400" /><Relationship Type="http://schemas.openxmlformats.org/officeDocument/2006/relationships/hyperlink" Target="https://www.sebi.gov.in/sebi_data/attachdocs/sep-2024/1726135446964.PDF" TargetMode="External" Id="rId1401" /><Relationship Type="http://schemas.openxmlformats.org/officeDocument/2006/relationships/hyperlink" Target="https://www.sebi.gov.in/filings/public-issues/sep-2024/bmw-ventures-limited-drhp_86603.html" TargetMode="External" Id="rId1402" /><Relationship Type="http://schemas.openxmlformats.org/officeDocument/2006/relationships/hyperlink" Target="https://www.sebi.gov.in/sebi_data/attachdocs/sep-2024/1726054206064_451.pdf" TargetMode="External" Id="rId1403" /><Relationship Type="http://schemas.openxmlformats.org/officeDocument/2006/relationships/hyperlink" Target="https://www.sebi.gov.in/filings/public-issues/sep-2024/ather-energy-limited_86582.html" TargetMode="External" Id="rId1404" /><Relationship Type="http://schemas.openxmlformats.org/officeDocument/2006/relationships/hyperlink" Target="https://www.sebi.gov.in/sebi_data/attachdocs/sep-2024/1725967808342_450.pdf" TargetMode="External" Id="rId1405" /><Relationship Type="http://schemas.openxmlformats.org/officeDocument/2006/relationships/hyperlink" Target="https://www.sebi.gov.in/filings/public-issues/sep-2024/ivalue-infosolutions-limited_86554.html" TargetMode="External" Id="rId1406" /><Relationship Type="http://schemas.openxmlformats.org/officeDocument/2006/relationships/hyperlink" Target="https://www.sebi.gov.in/sebi_data/attachdocs/sep-2024/1725953407337_448.pdf" TargetMode="External" Id="rId1407" /><Relationship Type="http://schemas.openxmlformats.org/officeDocument/2006/relationships/hyperlink" Target="https://www.sebi.gov.in/filings/public-issues/sep-2024/dam-capital-advisors-limited_86541.html" TargetMode="External" Id="rId1408" /><Relationship Type="http://schemas.openxmlformats.org/officeDocument/2006/relationships/hyperlink" Target="https://www.sebi.gov.in/sebi_data/attachdocs/sep-2024/1725528785359.pdf" TargetMode="External" Id="rId1409" /><Relationship Type="http://schemas.openxmlformats.org/officeDocument/2006/relationships/hyperlink" Target="https://www.sebi.gov.in/filings/public-issues/sep-2024/corrigendum-on-niva-bupa-health-insurance-company-limited_86464.html" TargetMode="External" Id="rId1410" /><Relationship Type="http://schemas.openxmlformats.org/officeDocument/2006/relationships/hyperlink" Target="https://www.chittorgarh.com/ipo/niva-bupa-health-insurance-ipo/1899/" TargetMode="External" Id="rId1411" /><Relationship Type="http://schemas.openxmlformats.org/officeDocument/2006/relationships/hyperlink" Target="https://www.sebi.gov.in/sebi_data/attachdocs/aug-2024/1725003011524_443.pdf" TargetMode="External" Id="rId1412" /><Relationship Type="http://schemas.openxmlformats.org/officeDocument/2006/relationships/hyperlink" Target="https://www.sebi.gov.in/filings/public-issues/aug-2024/concord-enviro-systems-limited_86346.html" TargetMode="External" Id="rId1413" /><Relationship Type="http://schemas.openxmlformats.org/officeDocument/2006/relationships/hyperlink" Target="https://www.sebi.gov.in/sebi_data/attachdocs/aug-2024/1724844610206_440.pdf" TargetMode="External" Id="rId1414" /><Relationship Type="http://schemas.openxmlformats.org/officeDocument/2006/relationships/hyperlink" Target="https://www.sebi.gov.in/filings/public-issues/aug-2024/carraro-india-limited_86218.html" TargetMode="External" Id="rId1415" /><Relationship Type="http://schemas.openxmlformats.org/officeDocument/2006/relationships/hyperlink" Target="https://www.sebi.gov.in/sebi_data/attachdocs/aug-2024/1724758229418_433.pdf" TargetMode="External" Id="rId1416" /><Relationship Type="http://schemas.openxmlformats.org/officeDocument/2006/relationships/hyperlink" Target="https://www.sebi.gov.in/filings/public-issues/aug-2024/international-gemmological-institute-india-limited_86157.html" TargetMode="External" Id="rId1417" /><Relationship Type="http://schemas.openxmlformats.org/officeDocument/2006/relationships/hyperlink" Target="https://www.sebi.gov.in/sebi_data/attachdocs/aug-2024/1724670869826.pdf" TargetMode="External" Id="rId1418" /><Relationship Type="http://schemas.openxmlformats.org/officeDocument/2006/relationships/hyperlink" Target="https://www.sebi.gov.in/filings/public-issues/aug-2024/hero-motors-limited-drhp_86112.html" TargetMode="External" Id="rId1419" /><Relationship Type="http://schemas.openxmlformats.org/officeDocument/2006/relationships/hyperlink" Target="https://www.chittorgarh.com/ipo/hero-motors-ipo/2225/" TargetMode="External" Id="rId1420" /><Relationship Type="http://schemas.openxmlformats.org/officeDocument/2006/relationships/hyperlink" Target="https://www.sebi.gov.in/sebi_data/attachdocs/aug-2024/1724398208705_427.pdf" TargetMode="External" Id="rId1421" /><Relationship Type="http://schemas.openxmlformats.org/officeDocument/2006/relationships/hyperlink" Target="https://www.sebi.gov.in/filings/public-issues/aug-2024/sanathan-textiles-limited_86063.html" TargetMode="External" Id="rId1422" /><Relationship Type="http://schemas.openxmlformats.org/officeDocument/2006/relationships/hyperlink" Target="https://www.sebi.gov.in/sebi_data/attachdocs/aug-2024/1724326286102.PDF" TargetMode="External" Id="rId1423" /><Relationship Type="http://schemas.openxmlformats.org/officeDocument/2006/relationships/hyperlink" Target="https://www.sebi.gov.in/filings/public-issues/aug-2024/kalpataru-limited-drhp_86040.html" TargetMode="External" Id="rId1424" /><Relationship Type="http://schemas.openxmlformats.org/officeDocument/2006/relationships/hyperlink" Target="https://www.sebi.gov.in/sebi_data/attachdocs/aug-2024/1724326207281_426.pdf" TargetMode="External" Id="rId1425" /><Relationship Type="http://schemas.openxmlformats.org/officeDocument/2006/relationships/hyperlink" Target="https://www.sebi.gov.in/filings/public-issues/aug-2024/manjushree-technopack-limited_86038.html" TargetMode="External" Id="rId1426" /><Relationship Type="http://schemas.openxmlformats.org/officeDocument/2006/relationships/hyperlink" Target="https://www.chittorgarh.com/ipo/manjushree-technopack-ipo/2457/" TargetMode="External" Id="rId1427" /><Relationship Type="http://schemas.openxmlformats.org/officeDocument/2006/relationships/hyperlink" Target="https://www.sebi.gov.in/sebi_data/attachdocs/aug-2024/1724290207324_424.pdf" TargetMode="External" Id="rId1428" /><Relationship Type="http://schemas.openxmlformats.org/officeDocument/2006/relationships/hyperlink" Target="https://www.sebi.gov.in/filings/public-issues/aug-2024/unimech-aerospace-and-manufacturing-limited_85994.html" TargetMode="External" Id="rId1429" /><Relationship Type="http://schemas.openxmlformats.org/officeDocument/2006/relationships/hyperlink" Target="https://www.sebi.gov.in/sebi_data/attachdocs/aug-2024/1724225410045_422.pdf" TargetMode="External" Id="rId1430" /><Relationship Type="http://schemas.openxmlformats.org/officeDocument/2006/relationships/hyperlink" Target="https://www.sebi.gov.in/filings/public-issues/aug-2024/jsw-cement-limited_85982.html" TargetMode="External" Id="rId1431" /><Relationship Type="http://schemas.openxmlformats.org/officeDocument/2006/relationships/hyperlink" Target="https://www.sebi.gov.in/sebi_data/attachdocs/aug-2024/1724225410045_421.pdf" TargetMode="External" Id="rId1432" /><Relationship Type="http://schemas.openxmlformats.org/officeDocument/2006/relationships/hyperlink" Target="https://www.sebi.gov.in/filings/public-issues/aug-2024/innovision-limited_85980.html" TargetMode="External" Id="rId1433" /><Relationship Type="http://schemas.openxmlformats.org/officeDocument/2006/relationships/hyperlink" Target="https://www.sebi.gov.in/sebi_data/attachdocs/aug-2024/1724153409095_420.pdf" TargetMode="External" Id="rId1434" /><Relationship Type="http://schemas.openxmlformats.org/officeDocument/2006/relationships/hyperlink" Target="https://www.sebi.gov.in/filings/public-issues/aug-2024/trualt-bioenergy-limited_85963.html" TargetMode="External" Id="rId1435" /><Relationship Type="http://schemas.openxmlformats.org/officeDocument/2006/relationships/hyperlink" Target="https://www.sebi.gov.in/sebi_data/attachdocs/aug-2024/1724067006923_419.pdf" TargetMode="External" Id="rId1436" /><Relationship Type="http://schemas.openxmlformats.org/officeDocument/2006/relationships/hyperlink" Target="https://www.sebi.gov.in/filings/public-issues/aug-2024/ecom-express-limited_85933.html" TargetMode="External" Id="rId1437" /><Relationship Type="http://schemas.openxmlformats.org/officeDocument/2006/relationships/hyperlink" Target="https://www.chittorgarh.com/ipo/ecom-express-ipo/2235/" TargetMode="External" Id="rId1438" /><Relationship Type="http://schemas.openxmlformats.org/officeDocument/2006/relationships/hyperlink" Target="https://www.sebi.gov.in/sebi_data/attachdocs/aug-2024/1724052616977_417.pdf" TargetMode="External" Id="rId1439" /><Relationship Type="http://schemas.openxmlformats.org/officeDocument/2006/relationships/hyperlink" Target="https://www.sebi.gov.in/filings/public-issues/aug-2024/smartworks-coworking-spaces-limited_85838.html" TargetMode="External" Id="rId1440" /><Relationship Type="http://schemas.openxmlformats.org/officeDocument/2006/relationships/hyperlink" Target="https://www.sebi.gov.in/sebi_data/attachdocs/aug-2024/1723635011579_398.pdf" TargetMode="External" Id="rId1441" /><Relationship Type="http://schemas.openxmlformats.org/officeDocument/2006/relationships/hyperlink" Target="https://www.sebi.gov.in/filings/public-issues/aug-2024/metalman-auto-limited_85671.html" TargetMode="External" Id="rId1442" /><Relationship Type="http://schemas.openxmlformats.org/officeDocument/2006/relationships/hyperlink" Target="https://www.chittorgarh.com/ipo/metalman-auto-ipo/2247/" TargetMode="External" Id="rId1443" /><Relationship Type="http://schemas.openxmlformats.org/officeDocument/2006/relationships/hyperlink" Target="https://www.sebi.gov.in/sebi_data/attachdocs/aug-2024/1723635011579_397.pdf" TargetMode="External" Id="rId1444" /><Relationship Type="http://schemas.openxmlformats.org/officeDocument/2006/relationships/hyperlink" Target="https://www.sebi.gov.in/filings/public-issues/aug-2024/inventurus-knowledge-solutions-limited_85669.html" TargetMode="External" Id="rId1445" /><Relationship Type="http://schemas.openxmlformats.org/officeDocument/2006/relationships/hyperlink" Target="https://www.sebi.gov.in/sebi_data/attachdocs/aug-2024/1723620609645_396.pdf" TargetMode="External" Id="rId1446" /><Relationship Type="http://schemas.openxmlformats.org/officeDocument/2006/relationships/hyperlink" Target="https://www.sebi.gov.in/filings/public-issues/aug-2024/arisinfra-solutions-limited_85663.html" TargetMode="External" Id="rId1447" /><Relationship Type="http://schemas.openxmlformats.org/officeDocument/2006/relationships/hyperlink" Target="https://www.sebi.gov.in/sebi_data/attachdocs/aug-2024/1722926461857.PDF" TargetMode="External" Id="rId1448" /><Relationship Type="http://schemas.openxmlformats.org/officeDocument/2006/relationships/hyperlink" Target="https://www.sebi.gov.in/filings/public-issues/aug-2024/quadrant-future-tek-limited-addendum-to-drhp_85495.html" TargetMode="External" Id="rId1449" /><Relationship Type="http://schemas.openxmlformats.org/officeDocument/2006/relationships/hyperlink" Target="https://www.sebi.gov.in/sebi_data/attachdocs/aug-2024/1722843010781_395.pdf" TargetMode="External" Id="rId1450" /><Relationship Type="http://schemas.openxmlformats.org/officeDocument/2006/relationships/hyperlink" Target="https://www.sebi.gov.in/filings/public-issues/aug-2024/hero-fincorp-limited_85465.html" TargetMode="External" Id="rId1451" /><Relationship Type="http://schemas.openxmlformats.org/officeDocument/2006/relationships/hyperlink" Target="https://www.chittorgarh.com/ipo/hero-fincorp-ipo/2250/" TargetMode="External" Id="rId1452" /><Relationship Type="http://schemas.openxmlformats.org/officeDocument/2006/relationships/hyperlink" Target="https://www.sebi.gov.in/sebi_data/attachdocs/aug-2024/1722843010781_394.pdf" TargetMode="External" Id="rId1453" /><Relationship Type="http://schemas.openxmlformats.org/officeDocument/2006/relationships/hyperlink" Target="https://www.sebi.gov.in/filings/public-issues/aug-2024/rubicon-research-limited_85463.html" TargetMode="External" Id="rId1454" /><Relationship Type="http://schemas.openxmlformats.org/officeDocument/2006/relationships/hyperlink" Target="https://www.sebi.gov.in/sebi_data/attachdocs/aug-2024/1722838226776.pdf" TargetMode="External" Id="rId1455" /><Relationship Type="http://schemas.openxmlformats.org/officeDocument/2006/relationships/hyperlink" Target="https://www.sebi.gov.in/filings/public-issues/aug-2024/afcons-infrastructure-limited-addendum-to-drhp_85456.html" TargetMode="External" Id="rId1456" /><Relationship Type="http://schemas.openxmlformats.org/officeDocument/2006/relationships/hyperlink" Target="https://www.sebi.gov.in/sebi_data/attachdocs/aug-2024/1722648607615_392.pdf" TargetMode="External" Id="rId1457" /><Relationship Type="http://schemas.openxmlformats.org/officeDocument/2006/relationships/hyperlink" Target="https://www.sebi.gov.in/filings/public-issues/aug-2024/paras-healthcare-limited_85419.html" TargetMode="External" Id="rId1458" /><Relationship Type="http://schemas.openxmlformats.org/officeDocument/2006/relationships/hyperlink" Target="https://www.chittorgarh.com/ipo/paras-healthcare-ipo/2256/" TargetMode="External" Id="rId1459" /><Relationship Type="http://schemas.openxmlformats.org/officeDocument/2006/relationships/hyperlink" Target="https://www.sebi.gov.in/sebi_data/attachdocs/aug-2024/1722838642508.pdf" TargetMode="External" Id="rId1460" /><Relationship Type="http://schemas.openxmlformats.org/officeDocument/2006/relationships/hyperlink" Target="https://www.sebi.gov.in/filings/public-issues/jul-2024/avanse-financial-services-limited_85418.html" TargetMode="External" Id="rId1461" /><Relationship Type="http://schemas.openxmlformats.org/officeDocument/2006/relationships/hyperlink" Target="https://ipowatch.in/avanse-financial-services-ipo/" TargetMode="External" Id="rId1462" /><Relationship Type="http://schemas.openxmlformats.org/officeDocument/2006/relationships/hyperlink" Target="https://www.sebi.gov.in/sebi_data/attachdocs/jul-2024/1722425410997_386.pdf" TargetMode="External" Id="rId1463" /><Relationship Type="http://schemas.openxmlformats.org/officeDocument/2006/relationships/hyperlink" Target="https://www.sebi.gov.in/filings/public-issues/jul-2024/senores-pharmaceuticals-limited_85341.html" TargetMode="External" Id="rId1464" /><Relationship Type="http://schemas.openxmlformats.org/officeDocument/2006/relationships/hyperlink" Target="https://www.sebi.gov.in/sebi_data/attachdocs/jul-2024/1722411009015_380.pdf" TargetMode="External" Id="rId1465" /><Relationship Type="http://schemas.openxmlformats.org/officeDocument/2006/relationships/hyperlink" Target="https://www.sebi.gov.in/filings/public-issues/jul-2024/suraksha-diagnostic-limited_85320.html" TargetMode="External" Id="rId1466" /><Relationship Type="http://schemas.openxmlformats.org/officeDocument/2006/relationships/hyperlink" Target="https://www.sebi.gov.in/sebi_data/attachdocs/jul-2024/1722406830171.pdf" TargetMode="External" Id="rId1467" /><Relationship Type="http://schemas.openxmlformats.org/officeDocument/2006/relationships/hyperlink" Target="https://www.sebi.gov.in/filings/public-issues/jul-2024/sai-life-sciences-limited-drhp_85317.html" TargetMode="External" Id="rId1468" /><Relationship Type="http://schemas.openxmlformats.org/officeDocument/2006/relationships/hyperlink" Target="https://www.sebi.gov.in/sebi_data/attachdocs/jul-2024/1722339011696_377.pdf" TargetMode="External" Id="rId1469" /><Relationship Type="http://schemas.openxmlformats.org/officeDocument/2006/relationships/hyperlink" Target="https://www.sebi.gov.in/filings/public-issues/jul-2024/standard-glass-lining-technology-limited_85281.html" TargetMode="External" Id="rId1470" /><Relationship Type="http://schemas.openxmlformats.org/officeDocument/2006/relationships/hyperlink" Target="https://www.sebi.gov.in/sebi_data/attachdocs/jul-2024/1721179808702_366.pdf" TargetMode="External" Id="rId1471" /><Relationship Type="http://schemas.openxmlformats.org/officeDocument/2006/relationships/hyperlink" Target="https://www.sebi.gov.in/filings/public-issues/jul-2024/sai-life-sciences-limited_84804.html" TargetMode="External" Id="rId1472" /><Relationship Type="http://schemas.openxmlformats.org/officeDocument/2006/relationships/hyperlink" Target="https://www.sebi.gov.in/sebi_data/attachdocs/jul-2024/1721107769405.pdf" TargetMode="External" Id="rId1473" /><Relationship Type="http://schemas.openxmlformats.org/officeDocument/2006/relationships/hyperlink" Target="https://www.sebi.gov.in/filings/public-issues/jul-2024/patel-retail-limited-addendum-to-drhp_84778.html" TargetMode="External" Id="rId1474" /><Relationship Type="http://schemas.openxmlformats.org/officeDocument/2006/relationships/hyperlink" Target="https://www.sebi.gov.in/sebi_data/attachdocs/jul-2024/1720523479837.PDF" TargetMode="External" Id="rId1475" /><Relationship Type="http://schemas.openxmlformats.org/officeDocument/2006/relationships/hyperlink" Target="https://www.sebi.gov.in/filings/public-issues/jul-2024/bmw-ventures-limited-addendum-to-drhp_84674.html" TargetMode="External" Id="rId1476" /><Relationship Type="http://schemas.openxmlformats.org/officeDocument/2006/relationships/hyperlink" Target="https://www.sebi.gov.in/sebi_data/attachdocs/jul-2024/1720438209970_359.pdf" TargetMode="External" Id="rId1477" /><Relationship Type="http://schemas.openxmlformats.org/officeDocument/2006/relationships/hyperlink" Target="https://www.sebi.gov.in/filings/public-issues/jul-2024/zinka-logistics-solutions-limited_84628.html" TargetMode="External" Id="rId1478" /><Relationship Type="http://schemas.openxmlformats.org/officeDocument/2006/relationships/hyperlink" Target="https://www.sebi.gov.in/sebi_data/attachdocs/jul-2024/1720092608504_358.pdf" TargetMode="External" Id="rId1479" /><Relationship Type="http://schemas.openxmlformats.org/officeDocument/2006/relationships/hyperlink" Target="https://www.sebi.gov.in/filings/public-issues/jul-2024/acme-solar-holdings-limited_84595.html" TargetMode="External" Id="rId1480" /><Relationship Type="http://schemas.openxmlformats.org/officeDocument/2006/relationships/hyperlink" Target="https://www.sebi.gov.in/sebi_data/attachdocs/jul-2024/1720078210393_357.pdf" TargetMode="External" Id="rId1481" /><Relationship Type="http://schemas.openxmlformats.org/officeDocument/2006/relationships/hyperlink" Target="https://www.sebi.gov.in/filings/public-issues/jul-2024/armee-infotech-limited_84584.html" TargetMode="External" Id="rId1482" /><Relationship Type="http://schemas.openxmlformats.org/officeDocument/2006/relationships/hyperlink" Target="https://www.chittorgarh.com/ipo/armee-infotech-ipo/2140/" TargetMode="External" Id="rId1483" /><Relationship Type="http://schemas.openxmlformats.org/officeDocument/2006/relationships/hyperlink" Target="https://www.sebi.gov.in/sebi_data/attachdocs/jul-2024/1720092539000.pdf" TargetMode="External" Id="rId1484" /><Relationship Type="http://schemas.openxmlformats.org/officeDocument/2006/relationships/hyperlink" Target="https://www.sebi.gov.in/filings/public-issues/jul-2024/transrail-lighting-limited-addendum-to-drhp_84593.html" TargetMode="External" Id="rId1485" /><Relationship Type="http://schemas.openxmlformats.org/officeDocument/2006/relationships/hyperlink" Target="https://www.sebi.gov.in/sebi_data/attachdocs/jul-2024/1719991821965_356.pdf" TargetMode="External" Id="rId1486" /><Relationship Type="http://schemas.openxmlformats.org/officeDocument/2006/relationships/hyperlink" Target="https://www.sebi.gov.in/filings/public-issues/jul-2024/niva-bupa-health-insurance-company-limited_84557.html" TargetMode="External" Id="rId1487" /><Relationship Type="http://schemas.openxmlformats.org/officeDocument/2006/relationships/hyperlink" Target="https://www.sebi.gov.in/sebi_data/attachdocs/jul-2024/1719991821965_355.pdf" TargetMode="External" Id="rId1488" /><Relationship Type="http://schemas.openxmlformats.org/officeDocument/2006/relationships/hyperlink" Target="https://www.sebi.gov.in/filings/public-issues/jul-2024/enviro-infra-engineers-limited_84555.html" TargetMode="External" Id="rId1489" /><Relationship Type="http://schemas.openxmlformats.org/officeDocument/2006/relationships/hyperlink" Target="https://www.sebi.gov.in/sebi_data/attachdocs/jul-2024/1719919808817_352.pdf" TargetMode="External" Id="rId1490" /><Relationship Type="http://schemas.openxmlformats.org/officeDocument/2006/relationships/hyperlink" Target="https://www.sebi.gov.in/filings/public-issues/jul-2024/shivalik-engineering-industries-limited_84531.html" TargetMode="External" Id="rId1491" /><Relationship Type="http://schemas.openxmlformats.org/officeDocument/2006/relationships/hyperlink" Target="https://www.chittorgarh.com/ipo/shivalik-engineering-ipo/2319/" TargetMode="External" Id="rId1492" /><Relationship Type="http://schemas.openxmlformats.org/officeDocument/2006/relationships/hyperlink" Target="https://www.sebi.gov.in/sebi_data/attachdocs/jul-2024/1719905409805_351.pdf" TargetMode="External" Id="rId1493" /><Relationship Type="http://schemas.openxmlformats.org/officeDocument/2006/relationships/hyperlink" Target="https://www.sebi.gov.in/filings/public-issues/jul-2024/bmw-ventures-limited_84517.html" TargetMode="External" Id="rId1494" /><Relationship Type="http://schemas.openxmlformats.org/officeDocument/2006/relationships/hyperlink" Target="https://www.sebi.gov.in/sebi_data/attachdocs/jul-2024/1719883808367_350.pdf" TargetMode="External" Id="rId1495" /><Relationship Type="http://schemas.openxmlformats.org/officeDocument/2006/relationships/hyperlink" Target="https://www.sebi.gov.in/filings/public-issues/jul-2024/sagility-india-limited_84513.html" TargetMode="External" Id="rId1496" /><Relationship Type="http://schemas.openxmlformats.org/officeDocument/2006/relationships/hyperlink" Target="https://www.sebi.gov.in/sebi_data/attachdocs/jul-2024/1719833409129_349.pdf" TargetMode="External" Id="rId1497" /><Relationship Type="http://schemas.openxmlformats.org/officeDocument/2006/relationships/hyperlink" Target="https://www.sebi.gov.in/filings/public-issues/jul-2024/mamata-machinery-limited_84500.html" TargetMode="External" Id="rId1498" /><Relationship Type="http://schemas.openxmlformats.org/officeDocument/2006/relationships/hyperlink" Target="https://www.sebi.gov.in/sebi_data/attachdocs/jun-2024/1718873279257.pdf" TargetMode="External" Id="rId1499" /><Relationship Type="http://schemas.openxmlformats.org/officeDocument/2006/relationships/hyperlink" Target="https://www.sebi.gov.in/filings/public-issues/jun-2024/bazaar-style-retail-limited-addendum-to-drhp_84307.html" TargetMode="External" Id="rId1500" /><Relationship Type="http://schemas.openxmlformats.org/officeDocument/2006/relationships/hyperlink" Target="https://www.sebi.gov.in/sebi_data/attachdocs/jun-2024/1718702291792_334.pdf" TargetMode="External" Id="rId1501" /><Relationship Type="http://schemas.openxmlformats.org/officeDocument/2006/relationships/hyperlink" Target="https://www.sebi.gov.in/filings/public-issues/jun-2024/godavari-biorefineries-limited_84190.html" TargetMode="External" Id="rId1502" /><Relationship Type="http://schemas.openxmlformats.org/officeDocument/2006/relationships/hyperlink" Target="https://www.sebi.gov.in/sebi_data/attachdocs/jun-2024/1718692993829.PDF" TargetMode="External" Id="rId1503" /><Relationship Type="http://schemas.openxmlformats.org/officeDocument/2006/relationships/hyperlink" Target="https://www.sebi.gov.in/filings/public-issues/jun-2024/hyundai-motor-india-limited-drhp_84186.html" TargetMode="External" Id="rId1504" /><Relationship Type="http://schemas.openxmlformats.org/officeDocument/2006/relationships/hyperlink" Target="https://www.sebi.gov.in/sebi_data/attachdocs/jun-2024/1718362092516.pdf" TargetMode="External" Id="rId1505" /><Relationship Type="http://schemas.openxmlformats.org/officeDocument/2006/relationships/hyperlink" Target="https://www.sebi.gov.in/filings/public-issues/jun-2024/denta-water-and-infra-solutions-limited-addendum-to-drhp_84161.html" TargetMode="External" Id="rId1506" /><Relationship Type="http://schemas.openxmlformats.org/officeDocument/2006/relationships/hyperlink" Target="https://www.sebi.gov.in/sebi_data/attachdocs/jun-2024/1718355674228.pdf" TargetMode="External" Id="rId1507" /><Relationship Type="http://schemas.openxmlformats.org/officeDocument/2006/relationships/hyperlink" Target="https://www.sebi.gov.in/filings/public-issues/jun-2024/ecos-india-mobility-and-hospitality-limited-addendum-to-the-drhp_84158.html" TargetMode="External" Id="rId1508" /><Relationship Type="http://schemas.openxmlformats.org/officeDocument/2006/relationships/hyperlink" Target="https://www.sebi.gov.in/sebi_data/attachdocs/jun-2024/1718346025028.pdf" TargetMode="External" Id="rId1509" /><Relationship Type="http://schemas.openxmlformats.org/officeDocument/2006/relationships/hyperlink" Target="https://www.sebi.gov.in/filings/public-issues/jun-2024/bajaj-housing-finance-limited-drhp_84125.html" TargetMode="External" Id="rId1510" /><Relationship Type="http://schemas.openxmlformats.org/officeDocument/2006/relationships/hyperlink" Target="https://www.sebi.gov.in/sebi_data/attachdocs/jun-2024/1718191808973_297.pdf" TargetMode="External" Id="rId1511" /><Relationship Type="http://schemas.openxmlformats.org/officeDocument/2006/relationships/hyperlink" Target="https://www.sebi.gov.in/filings/public-issues/jun-2024/quadrant-future-tek-limited_84099.html" TargetMode="External" Id="rId1512" /><Relationship Type="http://schemas.openxmlformats.org/officeDocument/2006/relationships/hyperlink" Target="https://www.sebi.gov.in/sebi_data/attachdocs/jun-2024/1718021907406.pdf" TargetMode="External" Id="rId1513" /><Relationship Type="http://schemas.openxmlformats.org/officeDocument/2006/relationships/hyperlink" Target="https://www.sebi.gov.in/filings/public-issues/jun-2024/deepak-builders-and-engineers-india-limited-addendum-to-drhp_84062.html" TargetMode="External" Id="rId1514" /><Relationship Type="http://schemas.openxmlformats.org/officeDocument/2006/relationships/hyperlink" Target="https://www.sebi.gov.in/sebi_data/attachdocs/jun-2024/1717738109883.pdf" TargetMode="External" Id="rId1515" /><Relationship Type="http://schemas.openxmlformats.org/officeDocument/2006/relationships/hyperlink" Target="https://www.sebi.gov.in/filings/public-issues/jun-2024/akums-drugs-and-pharmaceuticals-limited-corrigendum-cum-addendum-to-drhp_84012.html" TargetMode="External" Id="rId1516" /><Relationship Type="http://schemas.openxmlformats.org/officeDocument/2006/relationships/hyperlink" Target="https://www.sebi.gov.in/sebi_data/attachdocs/jun-2024/1717577366448.pdf" TargetMode="External" Id="rId1517" /><Relationship Type="http://schemas.openxmlformats.org/officeDocument/2006/relationships/hyperlink" Target="https://www.sebi.gov.in/filings/public-issues/jun-2024/akums-drugs-and-pharmaceuticals-limited-addendum-to-drhp_83924.html" TargetMode="External" Id="rId1518" /><Relationship Type="http://schemas.openxmlformats.org/officeDocument/2006/relationships/hyperlink" Target="https://www.sebi.gov.in/sebi_data/attachdocs/jun-2024/1717583869848.PDF" TargetMode="External" Id="rId1519" /><Relationship Type="http://schemas.openxmlformats.org/officeDocument/2006/relationships/hyperlink" Target="https://www.sebi.gov.in/filings/public-issues/jun-2024/garuda-construction-and-engineering-limited-drhp_83911.html" TargetMode="External" Id="rId1520" /><Relationship Type="http://schemas.openxmlformats.org/officeDocument/2006/relationships/hyperlink" Target="https://www.sebi.gov.in/sebi_data/attachdocs/jun-2024/1717999771433.pdf" TargetMode="External" Id="rId1521" /><Relationship Type="http://schemas.openxmlformats.org/officeDocument/2006/relationships/hyperlink" Target="https://www.sebi.gov.in/filings/public-issues/jun-2024/unicommerce-esolutions-limited-addendum-to-the-drhp_84037.html" TargetMode="External" Id="rId1522" /><Relationship Type="http://schemas.openxmlformats.org/officeDocument/2006/relationships/hyperlink" Target="https://www.sebi.gov.in/sebi_data/attachdocs/may-2024/1715599809307_237.pdf" TargetMode="External" Id="rId1523" /><Relationship Type="http://schemas.openxmlformats.org/officeDocument/2006/relationships/hyperlink" Target="https://www.sebi.gov.in/filings/public-issues/may-2024/sk-finance-limited_83326.html" TargetMode="External" Id="rId1524" /><Relationship Type="http://schemas.openxmlformats.org/officeDocument/2006/relationships/hyperlink" Target="https://www.chittorgarh.com/ipo/sk-finance-ipo/2320/" TargetMode="External" Id="rId1525" /><Relationship Type="http://schemas.openxmlformats.org/officeDocument/2006/relationships/hyperlink" Target="https://www.sebi.gov.in/sebi_data/attachdocs/may-2024/1715336659871.pdf" TargetMode="External" Id="rId1526" /><Relationship Type="http://schemas.openxmlformats.org/officeDocument/2006/relationships/hyperlink" Target="https://www.sebi.gov.in/filings/public-issues/may-2024/belstar-microfinance-limited-drhp_83303.html" TargetMode="External" Id="rId1527" /><Relationship Type="http://schemas.openxmlformats.org/officeDocument/2006/relationships/hyperlink" Target="https://www.chittorgarh.com/ipo/belstar-microfinance-ipo/2321/" TargetMode="External" Id="rId1528" /><Relationship Type="http://schemas.openxmlformats.org/officeDocument/2006/relationships/hyperlink" Target="https://www.sebi.gov.in/sebi_data/attachdocs/may-2024/1714975180552.pdf" TargetMode="External" Id="rId1529" /><Relationship Type="http://schemas.openxmlformats.org/officeDocument/2006/relationships/hyperlink" Target="https://www.sebi.gov.in/filings/public-issues/may-2024/brainbees-solutions-limited-drhp_83166.html" TargetMode="External" Id="rId1530" /><Relationship Type="http://schemas.openxmlformats.org/officeDocument/2006/relationships/hyperlink" Target="https://www.sebi.gov.in/sebi_data/attachdocs/may-2024/1714644769495.pdf" TargetMode="External" Id="rId1531" /><Relationship Type="http://schemas.openxmlformats.org/officeDocument/2006/relationships/hyperlink" Target="https://www.sebi.gov.in/filings/public-issues/may-2024/northern-arc-capital-limited-addendum-to-drhp_83136.html" TargetMode="External" Id="rId1532" /><Relationship Type="http://schemas.openxmlformats.org/officeDocument/2006/relationships/hyperlink" Target="https://www.sebi.gov.in/sebi_data/attachdocs/apr-2024/1714390276512.pdf" TargetMode="External" Id="rId1533" /><Relationship Type="http://schemas.openxmlformats.org/officeDocument/2006/relationships/hyperlink" Target="https://www.sebi.gov.in/filings/public-issues/apr-2024/diffusion-engineers-limited-drhp_83088.html" TargetMode="External" Id="rId1534" /><Relationship Type="http://schemas.openxmlformats.org/officeDocument/2006/relationships/hyperlink" Target="https://www.sebi.gov.in/sebi_data/attachdocs/apr-2024/1713869462252.pdf" TargetMode="External" Id="rId1535" /><Relationship Type="http://schemas.openxmlformats.org/officeDocument/2006/relationships/hyperlink" Target="https://www.sebi.gov.in/filings/public-issues/apr-2024/premier-energies-limited-drhp_82967.html" TargetMode="External" Id="rId1536" /><Relationship Type="http://schemas.openxmlformats.org/officeDocument/2006/relationships/hyperlink" Target="https://www.sebi.gov.in/sebi_data/attachdocs/apr-2024/1713785406107_229.pdf" TargetMode="External" Id="rId1537" /><Relationship Type="http://schemas.openxmlformats.org/officeDocument/2006/relationships/hyperlink" Target="https://www.sebi.gov.in/filings/public-issues/apr-2024/sanathan-textiles-limited_82952.html" TargetMode="External" Id="rId1538" /><Relationship Type="http://schemas.openxmlformats.org/officeDocument/2006/relationships/hyperlink" Target="https://www.sebi.gov.in/sebi_data/attachdocs/apr-2024/1713166205195_228.pdf" TargetMode="External" Id="rId1539" /><Relationship Type="http://schemas.openxmlformats.org/officeDocument/2006/relationships/hyperlink" Target="https://www.sebi.gov.in/filings/public-issues/apr-2024/deepak-builders-and-engineers-india-limited_82895.html" TargetMode="External" Id="rId1540" /><Relationship Type="http://schemas.openxmlformats.org/officeDocument/2006/relationships/hyperlink" Target="https://www.sebi.gov.in/sebi_data/attachdocs/apr-2024/1712553177770.PDF" TargetMode="External" Id="rId1541" /><Relationship Type="http://schemas.openxmlformats.org/officeDocument/2006/relationships/hyperlink" Target="https://www.sebi.gov.in/filings/public-issues/apr-2024/tolin-tyres-limited-addendum-to-drhp_82798.html" TargetMode="External" Id="rId1542" /><Relationship Type="http://schemas.openxmlformats.org/officeDocument/2006/relationships/hyperlink" Target="https://www.sebi.gov.in/sebi_data/attachdocs/apr-2024/1712295033208.pdf" TargetMode="External" Id="rId1543" /><Relationship Type="http://schemas.openxmlformats.org/officeDocument/2006/relationships/hyperlink" Target="https://www.sebi.gov.in/filings/public-issues/apr-2024/crizac-limited-drhp_82767.html" TargetMode="External" Id="rId1544" /><Relationship Type="http://schemas.openxmlformats.org/officeDocument/2006/relationships/hyperlink" Target="https://www.sebi.gov.in/sebi_data/attachdocs/apr-2024/1712226750087.pdf" TargetMode="External" Id="rId1545" /><Relationship Type="http://schemas.openxmlformats.org/officeDocument/2006/relationships/hyperlink" Target="https://www.sebi.gov.in/filings/public-issues/apr-2024/patel-retail-limited-drhp_82710.html" TargetMode="External" Id="rId1546" /><Relationship Type="http://schemas.openxmlformats.org/officeDocument/2006/relationships/hyperlink" Target="https://www.sebi.gov.in/sebi_data/attachdocs/apr-2024/1712207965090.pdf" TargetMode="External" Id="rId1547" /><Relationship Type="http://schemas.openxmlformats.org/officeDocument/2006/relationships/hyperlink" Target="https://www.sebi.gov.in/filings/public-issues/apr-2024/manba-finance-limited-addendum-to-drhp_82692.html" TargetMode="External" Id="rId1548" /><Relationship Type="http://schemas.openxmlformats.org/officeDocument/2006/relationships/hyperlink" Target="https://www.sebi.gov.in/sebi_data/attachdocs/apr-2024/1712206879122.PDF" TargetMode="External" Id="rId1549" /><Relationship Type="http://schemas.openxmlformats.org/officeDocument/2006/relationships/hyperlink" Target="https://www.sebi.gov.in/filings/public-issues/apr-2024/raghuvir-exim-limited-drhp_82687.html" TargetMode="External" Id="rId1550" /><Relationship Type="http://schemas.openxmlformats.org/officeDocument/2006/relationships/hyperlink" Target="https://www.chittorgarh.com/ipo/raghuvir-exim-ipo/2322/" TargetMode="External" Id="rId1551" /><Relationship Type="http://schemas.openxmlformats.org/officeDocument/2006/relationships/hyperlink" Target="https://www.sebi.gov.in/sebi_data/attachdocs/apr-2024/1712194206944_209.pdf" TargetMode="External" Id="rId1552" /><Relationship Type="http://schemas.openxmlformats.org/officeDocument/2006/relationships/hyperlink" Target="https://www.sebi.gov.in/filings/public-issues/apr-2024/patel-retail-limited_82685.html" TargetMode="External" Id="rId1553" /><Relationship Type="http://schemas.openxmlformats.org/officeDocument/2006/relationships/hyperlink" Target="https://www.sebi.gov.in/sebi_data/attachdocs/apr-2024/1712107807123_207.pdf" TargetMode="External" Id="rId1554" /><Relationship Type="http://schemas.openxmlformats.org/officeDocument/2006/relationships/hyperlink" Target="https://www.sebi.gov.in/filings/public-issues/apr-2024/vasuki-global-industries-limited_82658.html" TargetMode="External" Id="rId1555" /><Relationship Type="http://schemas.openxmlformats.org/officeDocument/2006/relationships/hyperlink" Target="https://www.chittorgarh.com/ipo/vasuki-global-industries-ipo/2329/" TargetMode="External" Id="rId1556" /><Relationship Type="http://schemas.openxmlformats.org/officeDocument/2006/relationships/hyperlink" Target="https://www.sebi.gov.in/sebi_data/attachdocs/apr-2024/1712054083975.pdf" TargetMode="External" Id="rId1557" /><Relationship Type="http://schemas.openxmlformats.org/officeDocument/2006/relationships/hyperlink" Target="https://www.sebi.gov.in/filings/public-issues/apr-2024/ecos-india-mobility-and-hospitality-limited-drhp_82651.html" TargetMode="External" Id="rId1558" /><Relationship Type="http://schemas.openxmlformats.org/officeDocument/2006/relationships/hyperlink" Target="https://www.sebi.gov.in/sebi_data/attachdocs/apr-2024/1712040582074.pdf" TargetMode="External" Id="rId1559" /><Relationship Type="http://schemas.openxmlformats.org/officeDocument/2006/relationships/hyperlink" Target="https://www.sebi.gov.in/filings/public-issues/apr-2024/afcons-infrastructure-limited_13596.html" TargetMode="External" Id="rId1560" /><Relationship Type="http://schemas.openxmlformats.org/officeDocument/2006/relationships/hyperlink" Target="https://www.sebi.gov.in/sebi_data/attachdocs/apr-2024/1712123948559.PDF" TargetMode="External" Id="rId1561" /><Relationship Type="http://schemas.openxmlformats.org/officeDocument/2006/relationships/hyperlink" Target="https://www.sebi.gov.in/filings/public-issues/apr-2024/krn-heat-exchanger-and-refrigeration-limited-drhp_82668.html" TargetMode="External" Id="rId1562" /><Relationship Type="http://schemas.openxmlformats.org/officeDocument/2006/relationships/hyperlink" Target="https://www.sebi.gov.in/sebi_data/attachdocs/mar-2024/1711629761734.pdf" TargetMode="External" Id="rId1563" /><Relationship Type="http://schemas.openxmlformats.org/officeDocument/2006/relationships/hyperlink" Target="https://www.sebi.gov.in/filings/public-issues/mar-2024/p-n-gadgil-jewellers-limited-drhp_82611.html" TargetMode="External" Id="rId1564" /><Relationship Type="http://schemas.openxmlformats.org/officeDocument/2006/relationships/hyperlink" Target="https://www.sebi.gov.in/sebi_data/attachdocs/mar-2024/1711110860246.pdf" TargetMode="External" Id="rId1565" /><Relationship Type="http://schemas.openxmlformats.org/officeDocument/2006/relationships/hyperlink" Target="https://www.sebi.gov.in/filings/public-issues/mar-2024/shree-tirupati-balajee-agro-trading-company-limited-drhp_82507.html" TargetMode="External" Id="rId1566" /><Relationship Type="http://schemas.openxmlformats.org/officeDocument/2006/relationships/hyperlink" Target="https://www.sebi.gov.in/sebi_data/attachdocs/mar-2024/1711110791647.pdf" TargetMode="External" Id="rId1567" /><Relationship Type="http://schemas.openxmlformats.org/officeDocument/2006/relationships/hyperlink" Target="https://www.sebi.gov.in/filings/public-issues/mar-2024/stallion-india-fluorochemicals-limited-drhp_82505.html" TargetMode="External" Id="rId1568" /><Relationship Type="http://schemas.openxmlformats.org/officeDocument/2006/relationships/hyperlink" Target="https://www.sebi.gov.in/sebi_data/attachdocs/mar-2024/1711009103030.pdf" TargetMode="External" Id="rId1569" /><Relationship Type="http://schemas.openxmlformats.org/officeDocument/2006/relationships/hyperlink" Target="https://www.sebi.gov.in/filings/public-issues/mar-2024/interarch-building-products-limited-drhp_82452.html" TargetMode="External" Id="rId1570" /><Relationship Type="http://schemas.openxmlformats.org/officeDocument/2006/relationships/hyperlink" Target="https://www.sebi.gov.in/sebi_data/attachdocs/mar-2024/1710917059066.pdf" TargetMode="External" Id="rId1571" /><Relationship Type="http://schemas.openxmlformats.org/officeDocument/2006/relationships/hyperlink" Target="https://www.sebi.gov.in/filings/public-issues/mar-2024/emcure-pharmaceuticals-limited-addendum-to-drhp_82408.html" TargetMode="External" Id="rId1572" /><Relationship Type="http://schemas.openxmlformats.org/officeDocument/2006/relationships/hyperlink" Target="https://www.sebi.gov.in/sebi_data/attachdocs/mar-2024/1710765640937.pdf" TargetMode="External" Id="rId1573" /><Relationship Type="http://schemas.openxmlformats.org/officeDocument/2006/relationships/hyperlink" Target="https://www.sebi.gov.in/filings/public-issues/mar-2024/bazaar-style-retail-limited-drhp_82327.html" TargetMode="External" Id="rId1574" /><Relationship Type="http://schemas.openxmlformats.org/officeDocument/2006/relationships/hyperlink" Target="https://www.sebi.gov.in/sebi_data/attachdocs/mar-2024/1710415806214_206.pdf" TargetMode="External" Id="rId1575" /><Relationship Type="http://schemas.openxmlformats.org/officeDocument/2006/relationships/hyperlink" Target="https://www.sebi.gov.in/filings/public-issues/mar-2024/transrail-lighting-limited_82266.html" TargetMode="External" Id="rId1576" /><Relationship Type="http://schemas.openxmlformats.org/officeDocument/2006/relationships/hyperlink" Target="https://www.sebi.gov.in/sebi_data/attachdocs/mar-2024/1710415806214_205.pdf" TargetMode="External" Id="rId1577" /><Relationship Type="http://schemas.openxmlformats.org/officeDocument/2006/relationships/hyperlink" Target="https://www.sebi.gov.in/filings/public-issues/mar-2024/manba-finance-limited_82264.html" TargetMode="External" Id="rId1578" /><Relationship Type="http://schemas.openxmlformats.org/officeDocument/2006/relationships/hyperlink" Target="https://www.sebi.gov.in/sebi_data/attachdocs/mar-2024/1709723234653.pdf" TargetMode="External" Id="rId1579" /><Relationship Type="http://schemas.openxmlformats.org/officeDocument/2006/relationships/hyperlink" Target="https://www.sebi.gov.in/filings/public-issues/mar-2024/ceigall-india-limited-drhp_82078.html" TargetMode="External" Id="rId1580" /><Relationship Type="http://schemas.openxmlformats.org/officeDocument/2006/relationships/hyperlink" Target="https://www.sebi.gov.in/sebi_data/attachdocs/mar-2024/1709533403242.pdf" TargetMode="External" Id="rId1581" /><Relationship Type="http://schemas.openxmlformats.org/officeDocument/2006/relationships/hyperlink" Target="https://www.sebi.gov.in/filings/public-issues/mar-2024/vraj-iron-and-steel-limited-addendum-to-drhp_81942.html" TargetMode="External" Id="rId1582" /><Relationship Type="http://schemas.openxmlformats.org/officeDocument/2006/relationships/hyperlink" Target="https://www.sebi.gov.in/sebi_data/attachdocs/feb-2024/1709007185760.pdf" TargetMode="External" Id="rId1583" /><Relationship Type="http://schemas.openxmlformats.org/officeDocument/2006/relationships/hyperlink" Target="https://www.sebi.gov.in/filings/public-issues/feb-2024/orient-technologies-limited-drhp_81751.html" TargetMode="External" Id="rId1584" /><Relationship Type="http://schemas.openxmlformats.org/officeDocument/2006/relationships/hyperlink" Target="https://www.sebi.gov.in/sebi_data/attachdocs/feb-2024/1709209961840.pdf" TargetMode="External" Id="rId1585" /><Relationship Type="http://schemas.openxmlformats.org/officeDocument/2006/relationships/hyperlink" Target="https://www.sebi.gov.in/filings/public-issues/feb-2024/garuda-construction-and-engineering-limited-drhp_81845.html" TargetMode="External" Id="rId1586" /><Relationship Type="http://schemas.openxmlformats.org/officeDocument/2006/relationships/hyperlink" Target="https://www.sebi.gov.in/sebi_data/attachdocs/feb-2024/1708947007287_198.pdf" TargetMode="External" Id="rId1587" /><Relationship Type="http://schemas.openxmlformats.org/officeDocument/2006/relationships/hyperlink" Target="https://www.sebi.gov.in/filings/public-issues/feb-2024/tolins-tyres-limited_81736.html" TargetMode="External" Id="rId1588" /><Relationship Type="http://schemas.openxmlformats.org/officeDocument/2006/relationships/hyperlink" Target="https://www.sebi.gov.in/sebi_data/attachdocs/feb-2024/1708491659035.pdf" TargetMode="External" Id="rId1589" /><Relationship Type="http://schemas.openxmlformats.org/officeDocument/2006/relationships/hyperlink" Target="https://www.sebi.gov.in/filings/public-issues/feb-2024/gala-precision-engineering-limited-drhp_81588.html" TargetMode="External" Id="rId1590" /><Relationship Type="http://schemas.openxmlformats.org/officeDocument/2006/relationships/hyperlink" Target="https://www.sebi.gov.in/sebi_data/attachdocs/feb-2024/1708425327186.PDF" TargetMode="External" Id="rId1591" /><Relationship Type="http://schemas.openxmlformats.org/officeDocument/2006/relationships/hyperlink" Target="https://www.sebi.gov.in/filings/public-issues/feb-2024/tbo-tek-ltd-addendum-to-drhp_81568.html" TargetMode="External" Id="rId1592" /><Relationship Type="http://schemas.openxmlformats.org/officeDocument/2006/relationships/hyperlink" Target="https://www.sebi.gov.in/sebi_data/attachdocs/feb-2024/1708409708577.pdf" TargetMode="External" Id="rId1593" /><Relationship Type="http://schemas.openxmlformats.org/officeDocument/2006/relationships/hyperlink" Target="https://www.sebi.gov.in/filings/public-issues/feb-2024/asirvad-micro-finance-limited-addendum-to-the-drhp_81506.html" TargetMode="External" Id="rId1594" /><Relationship Type="http://schemas.openxmlformats.org/officeDocument/2006/relationships/hyperlink" Target="https://www.sharekhan.com/ipo/asirvad-micro-finance-ltd" TargetMode="External" Id="rId1595" /><Relationship Type="http://schemas.openxmlformats.org/officeDocument/2006/relationships/hyperlink" Target="https://www.sebi.gov.in/sebi_data/attachdocs/feb-2024/1707994184221.pdf" TargetMode="External" Id="rId1596" /><Relationship Type="http://schemas.openxmlformats.org/officeDocument/2006/relationships/hyperlink" Target="https://www.sebi.gov.in/filings/public-issues/feb-2024/le-travenues-technology-limited-drhp_81469.html" TargetMode="External" Id="rId1597" /><Relationship Type="http://schemas.openxmlformats.org/officeDocument/2006/relationships/hyperlink" Target="https://www.sebi.gov.in/sebi_data/attachdocs/feb-2024/1707813802003.pdf" TargetMode="External" Id="rId1598" /><Relationship Type="http://schemas.openxmlformats.org/officeDocument/2006/relationships/hyperlink" Target="https://www.sebi.gov.in/filings/public-issues/feb-2024/akums-drugs-and-pharmaceuticals-limited-drhp_81356.html" TargetMode="External" Id="rId1599" /><Relationship Type="http://schemas.openxmlformats.org/officeDocument/2006/relationships/hyperlink" Target="https://www.sebi.gov.in/sebi_data/attachdocs/feb-2024/1707737247215.pdf" TargetMode="External" Id="rId1600" /><Relationship Type="http://schemas.openxmlformats.org/officeDocument/2006/relationships/hyperlink" Target="https://www.sebi.gov.in/filings/public-issues/feb-2024/gold-plus-glass-industry-limited-drhp_81338.html" TargetMode="External" Id="rId1601" /><Relationship Type="http://schemas.openxmlformats.org/officeDocument/2006/relationships/hyperlink" Target="https://www.chittorgarh.com/ipo/gold-plus-glass-industry-ipo/2458/" TargetMode="External" Id="rId1602" /><Relationship Type="http://schemas.openxmlformats.org/officeDocument/2006/relationships/hyperlink" Target="https://www.sebi.gov.in/sebi_data/attachdocs/feb-2024/1707308536149.pdf" TargetMode="External" Id="rId1603" /><Relationship Type="http://schemas.openxmlformats.org/officeDocument/2006/relationships/hyperlink" Target="https://www.sebi.gov.in/filings/public-issues/feb-2024/aadhar-housing-finance-limited-drhp_81209.html" TargetMode="External" Id="rId1604" /><Relationship Type="http://schemas.openxmlformats.org/officeDocument/2006/relationships/hyperlink" Target="https://www.sebi.gov.in/sebi_data/attachdocs/feb-2024/1707198294323.pdf" TargetMode="External" Id="rId1605" /><Relationship Type="http://schemas.openxmlformats.org/officeDocument/2006/relationships/hyperlink" Target="https://www.sebi.gov.in/filings/public-issues/feb-2024/northern-arc-capital-limited-drhp_81105.html" TargetMode="External" Id="rId1606" /><Relationship Type="http://schemas.openxmlformats.org/officeDocument/2006/relationships/hyperlink" Target="https://www.sebi.gov.in/sebi_data/attachdocs/jan-2024/1706697897563.PDF" TargetMode="External" Id="rId1607" /><Relationship Type="http://schemas.openxmlformats.org/officeDocument/2006/relationships/hyperlink" Target="https://www.sebi.gov.in/filings/public-issues/jan-2024/kronox-lab-sciences-limited-drhp_80963.html" TargetMode="External" Id="rId1608" /><Relationship Type="http://schemas.openxmlformats.org/officeDocument/2006/relationships/hyperlink" Target="https://www.sebi.gov.in/sebi_data/attachdocs/jan-2024/1705994678761.pdf" TargetMode="External" Id="rId1609" /><Relationship Type="http://schemas.openxmlformats.org/officeDocument/2006/relationships/hyperlink" Target="https://www.sebi.gov.in/filings/public-issues/jan-2024/bharti-hexacom-limited_80828.html" TargetMode="External" Id="rId1610" /><Relationship Type="http://schemas.openxmlformats.org/officeDocument/2006/relationships/hyperlink" Target="https://www.sebi.gov.in/sebi_data/attachdocs/jan-2024/1705994158251.pdf" TargetMode="External" Id="rId1611" /><Relationship Type="http://schemas.openxmlformats.org/officeDocument/2006/relationships/hyperlink" Target="https://www.sebi.gov.in/filings/public-issues/jan-2024/bansal-wire-industries-limited-drhp_80825.html" TargetMode="External" Id="rId1612" /><Relationship Type="http://schemas.openxmlformats.org/officeDocument/2006/relationships/hyperlink" Target="https://www.sebi.gov.in/sebi_data/attachdocs/jan-2024/1706076487601.PDF" TargetMode="External" Id="rId1613" /><Relationship Type="http://schemas.openxmlformats.org/officeDocument/2006/relationships/hyperlink" Target="https://www.sebi.gov.in/filings/public-issues/jan-2024/krn-heat-exchanger-and-refrigeration-limited_80846.html" TargetMode="External" Id="rId1614" /><Relationship Type="http://schemas.openxmlformats.org/officeDocument/2006/relationships/hyperlink" Target="https://www.sebi.gov.in/sebi_data/attachdocs/jan-2024/1705570293944.PDF" TargetMode="External" Id="rId1615" /><Relationship Type="http://schemas.openxmlformats.org/officeDocument/2006/relationships/hyperlink" Target="https://www.sebi.gov.in/filings/public-issues/jan-2024/allied-blenders-and-distillers-limited-drhp_80708.html" TargetMode="External" Id="rId1616" /><Relationship Type="http://schemas.openxmlformats.org/officeDocument/2006/relationships/hyperlink" Target="https://www.sebi.gov.in/sebi_data/attachdocs/jan-2024/1704794349865.PDF" TargetMode="External" Id="rId1617" /><Relationship Type="http://schemas.openxmlformats.org/officeDocument/2006/relationships/hyperlink" Target="https://www.sebi.gov.in/filings/public-issues/jan-2024/dee-development-engineers-limited-addendum-to-drhp_80493.html" TargetMode="External" Id="rId1618" /><Relationship Type="http://schemas.openxmlformats.org/officeDocument/2006/relationships/hyperlink" Target="https://www.sebi.gov.in/sebi_data/attachdocs/jan-2024/1704710581631.pdf" TargetMode="External" Id="rId1619" /><Relationship Type="http://schemas.openxmlformats.org/officeDocument/2006/relationships/hyperlink" Target="https://www.sebi.gov.in/filings/public-issues/jan-2024/unicommerce-esolutions-limited_80463.html" TargetMode="External" Id="rId1620" /><Relationship Type="http://schemas.openxmlformats.org/officeDocument/2006/relationships/hyperlink" Target="https://www.sebi.gov.in/sebi_data/attachdocs/jan-2024/1704504607838_168.pdf" TargetMode="External" Id="rId1621" /><Relationship Type="http://schemas.openxmlformats.org/officeDocument/2006/relationships/hyperlink" Target="https://www.sebi.gov.in/filings/public-issues/jan-2024/one-mobikwik-systems-limited_80450.html" TargetMode="External" Id="rId1622" /><Relationship Type="http://schemas.openxmlformats.org/officeDocument/2006/relationships/hyperlink" Target="https://www.sebi.gov.in/sebi_data/attachdocs/jan-2024/1704369223582.PDF" TargetMode="External" Id="rId1623" /><Relationship Type="http://schemas.openxmlformats.org/officeDocument/2006/relationships/hyperlink" Target="https://www.sebi.gov.in/filings/public-issues/jan-2024/sanstar-limited-drhp_80414.html" TargetMode="External" Id="rId1624" /><Relationship Type="http://schemas.openxmlformats.org/officeDocument/2006/relationships/hyperlink" Target="https://www.sebi.gov.in/sebi_data/attachdocs/jan-2024/1704369080201.pdf" TargetMode="External" Id="rId1625" /><Relationship Type="http://schemas.openxmlformats.org/officeDocument/2006/relationships/hyperlink" Target="https://www.sebi.gov.in/filings/public-issues/jan-2024/waaree-energies-limited-drhp_80409.html" TargetMode="External" Id="rId1626" /><Relationship Type="http://schemas.openxmlformats.org/officeDocument/2006/relationships/hyperlink" Target="https://www.sebi.gov.in/sebi_data/attachdocs/jan-2024/1704264566291.pdf" TargetMode="External" Id="rId1627" /><Relationship Type="http://schemas.openxmlformats.org/officeDocument/2006/relationships/hyperlink" Target="https://www.sebi.gov.in/filings/public-issues/jan-2024/rays-power-infra-limited-drhp_80387.html" TargetMode="External" Id="rId1628" /><Relationship Type="http://schemas.openxmlformats.org/officeDocument/2006/relationships/hyperlink" Target="https://www.chittorgarh.com/ipo/rays-power-infra-ipo/2692/" TargetMode="External" Id="rId1629" /><Relationship Type="http://schemas.openxmlformats.org/officeDocument/2006/relationships/hyperlink" Target="https://www.sebi.gov.in/sebi_data/attachdocs/jan-2024/1704185197037.pdf" TargetMode="External" Id="rId1630" /><Relationship Type="http://schemas.openxmlformats.org/officeDocument/2006/relationships/hyperlink" Target="https://www.sebi.gov.in/filings/public-issues/jan-2024/vraj-iron-and-steel-limited-drhp_80348.html" TargetMode="External" Id="rId1631" /><Relationship Type="http://schemas.openxmlformats.org/officeDocument/2006/relationships/hyperlink" Target="https://www.sebi.gov.in/sebi_data/attachdocs/jan-2024/1704185137810.pdf" TargetMode="External" Id="rId1632" /><Relationship Type="http://schemas.openxmlformats.org/officeDocument/2006/relationships/hyperlink" Target="https://www.sebi.gov.in/filings/public-issues/jan-2024/shree-tirupati-balajee-agro-trading-company-limited-drhp_80347.html" TargetMode="External" Id="rId1633" /><Relationship Type="http://schemas.openxmlformats.org/officeDocument/2006/relationships/hyperlink" Target="https://www.sebi.gov.in/sebi_data/attachdocs/jan-2024/1704110723922.PDF" TargetMode="External" Id="rId1634" /><Relationship Type="http://schemas.openxmlformats.org/officeDocument/2006/relationships/hyperlink" Target="https://www.sebi.gov.in/filings/public-issues/jan-2024/diffusion-engineers-limited-drhp_80291.html" TargetMode="External" Id="rId1635" /><Relationship Type="http://schemas.openxmlformats.org/officeDocument/2006/relationships/hyperlink" Target="https://www.sebi.gov.in/sebi_data/attachdocs/jan-2024/1704281497043.pdf" TargetMode="External" Id="rId1636" /><Relationship Type="http://schemas.openxmlformats.org/officeDocument/2006/relationships/hyperlink" Target="https://www.sebi.gov.in/filings/public-issues/dec-2023/vibhor-steel-tubes-limited-addendum-to-drhp_80398.html" TargetMode="External" Id="rId1637" /><Relationship Type="http://schemas.openxmlformats.org/officeDocument/2006/relationships/hyperlink" Target="https://www.chittorgarh.com/ipo/vibhor-steel-tubes-ipo/1646/" TargetMode="External" Id="rId1638" /><Relationship Type="http://schemas.openxmlformats.org/officeDocument/2006/relationships/hyperlink" Target="https://www.sebi.gov.in/sebi_data/attachdocs/dec-2023/1703849570967.pdf" TargetMode="External" Id="rId1639" /><Relationship Type="http://schemas.openxmlformats.org/officeDocument/2006/relationships/hyperlink" Target="https://www.sebi.gov.in/filings/public-issues/dec-2023/awfis-space-solutions-limited-drhp_80277.html" TargetMode="External" Id="rId1640" /><Relationship Type="http://schemas.openxmlformats.org/officeDocument/2006/relationships/hyperlink" Target="https://www.sebi.gov.in/sebi_data/attachdocs/dec-2023/1703849505363.pdf" TargetMode="External" Id="rId1641" /><Relationship Type="http://schemas.openxmlformats.org/officeDocument/2006/relationships/hyperlink" Target="https://www.sebi.gov.in/filings/public-issues/dec-2023/brainbees-solutions-limited-drhp_80275.html" TargetMode="External" Id="rId1642" /><Relationship Type="http://schemas.openxmlformats.org/officeDocument/2006/relationships/hyperlink" Target="https://www.sebi.gov.in/sebi_data/attachdocs/dec-2023/1703580725954.PDF" TargetMode="External" Id="rId1643" /><Relationship Type="http://schemas.openxmlformats.org/officeDocument/2006/relationships/hyperlink" Target="https://www.sebi.gov.in/filings/public-issues/dec-2023/ola-electric-mobility-limited-drhp_80215.html" TargetMode="External" Id="rId1644" /><Relationship Type="http://schemas.openxmlformats.org/officeDocument/2006/relationships/hyperlink" Target="https://www.sebi.gov.in/sebi_data/attachdocs/dec-2023/1703228626909.pdf" TargetMode="External" Id="rId1645" /><Relationship Type="http://schemas.openxmlformats.org/officeDocument/2006/relationships/hyperlink" Target="https://www.sebi.gov.in/filings/public-issues/dec-2023/gretex-share-broking-limited-drhp_80178.html" TargetMode="External" Id="rId1646" /><Relationship Type="http://schemas.openxmlformats.org/officeDocument/2006/relationships/hyperlink" Target="https://www.5paisa.com/ipo/gretex-share-broking-ltd-ipo" TargetMode="External" Id="rId1647" /><Relationship Type="http://schemas.openxmlformats.org/officeDocument/2006/relationships/hyperlink" Target="https://www.sebi.gov.in/sebi_data/attachdocs/dec-2023/1703071663670.pdf" TargetMode="External" Id="rId1648" /><Relationship Type="http://schemas.openxmlformats.org/officeDocument/2006/relationships/hyperlink" Target="https://www.sebi.gov.in/filings/public-issues/dec-2023/emcure-pharmaceuticals-limited-drhp_80072.html" TargetMode="External" Id="rId1649" /><Relationship Type="http://schemas.openxmlformats.org/officeDocument/2006/relationships/hyperlink" Target="https://www.sebi.gov.in/sebi_data/attachdocs/dec-2023/1702983438613.PDF" TargetMode="External" Id="rId1650" /><Relationship Type="http://schemas.openxmlformats.org/officeDocument/2006/relationships/hyperlink" Target="https://www.sebi.gov.in/filings/public-issues/dec-2023/stallion-india-fluorochemicals-limited-drhp_80009.html" TargetMode="External" Id="rId1651" /><Relationship Type="http://schemas.openxmlformats.org/officeDocument/2006/relationships/hyperlink" Target="https://www.sebi.gov.in/sebi_data/attachdocs/dec-2023/1702445180827.pdf" TargetMode="External" Id="rId1652" /><Relationship Type="http://schemas.openxmlformats.org/officeDocument/2006/relationships/hyperlink" Target="https://www.sebi.gov.in/filings/public-issues/dec-2023/denta-water-and-infra-solutions-limited-drhp_79817.html" TargetMode="External" Id="rId1653" /><Relationship Type="http://schemas.openxmlformats.org/officeDocument/2006/relationships/hyperlink" Target="https://www.sebi.gov.in/sebi_data/attachdocs/dec-2023/1701684884086.pdf" TargetMode="External" Id="rId1654" /><Relationship Type="http://schemas.openxmlformats.org/officeDocument/2006/relationships/hyperlink" Target="https://www.sebi.gov.in/filings/public-issues/dec-2023/kronox-lab-sciences-limited-drhp_79536.html" TargetMode="External" Id="rId1655" /><Relationship Type="http://schemas.openxmlformats.org/officeDocument/2006/relationships/hyperlink" Target="https://www.sebi.gov.in/sebi_data/attachdocs/dec-2023/1701426739048.pdf" TargetMode="External" Id="rId1656" /><Relationship Type="http://schemas.openxmlformats.org/officeDocument/2006/relationships/hyperlink" Target="https://www.sebi.gov.in/filings/public-issues/dec-2023/kross-limited-drhp_79503.html" TargetMode="External" Id="rId1657" /><Relationship Type="http://schemas.openxmlformats.org/officeDocument/2006/relationships/hyperlink" Target="https://www.sebi.gov.in/sebi_data/attachdocs/nov-2023/1700819557215.PDF" TargetMode="External" Id="rId1658" /><Relationship Type="http://schemas.openxmlformats.org/officeDocument/2006/relationships/hyperlink" Target="https://www.sebi.gov.in/filings/public-issues/nov-2023/gopal-snacks-limited-drhp_79319.html" TargetMode="External" Id="rId1659" /><Relationship Type="http://schemas.openxmlformats.org/officeDocument/2006/relationships/hyperlink" Target="https://www.sebi.gov.in/sebi_data/attachdocs/nov-2023/1700471261335.PDF" TargetMode="External" Id="rId1660" /><Relationship Type="http://schemas.openxmlformats.org/officeDocument/2006/relationships/hyperlink" Target="https://www.sebi.gov.in/filings/public-issues/nov-2023/tbo-tek-limited-drhp_79211.html" TargetMode="External" Id="rId1661" /><Relationship Type="http://schemas.openxmlformats.org/officeDocument/2006/relationships/hyperlink" Target="https://www.sebi.gov.in/sebi_data/attachdocs/nov-2023/1699876044670.pdf" TargetMode="External" Id="rId1662" /><Relationship Type="http://schemas.openxmlformats.org/officeDocument/2006/relationships/hyperlink" Target="https://www.sebi.gov.in/filings/public-issues/nov-2023/rk-swamy-limited-addendum-to-drhp_79086.html" TargetMode="External" Id="rId1663" /><Relationship Type="http://schemas.openxmlformats.org/officeDocument/2006/relationships/hyperlink" Target="https://www.sebi.gov.in/sebi_data/attachdocs/nov-2023/1699616304302.pdf" TargetMode="External" Id="rId1664" /><Relationship Type="http://schemas.openxmlformats.org/officeDocument/2006/relationships/hyperlink" Target="https://www.sebi.gov.in/filings/public-issues/nov-2023/go-digit-general-insurance-limited-addendum-to-drhp_79068.html" TargetMode="External" Id="rId1665" /><Relationship Type="http://schemas.openxmlformats.org/officeDocument/2006/relationships/hyperlink" Target="https://www.sebi.gov.in/sebi_data/attachdocs/nov-2023/1699250482759.pdf" TargetMode="External" Id="rId1666" /><Relationship Type="http://schemas.openxmlformats.org/officeDocument/2006/relationships/hyperlink" Target="https://www.sebi.gov.in/filings/public-issues/nov-2023/bls-e-services-limited-addendum-to-the-drhp_78756.html" TargetMode="External" Id="rId1667" /><Relationship Type="http://schemas.openxmlformats.org/officeDocument/2006/relationships/hyperlink" Target="https://www.sebi.gov.in/sebi_data/attachdocs/oct-2023/1697628062099.pdf" TargetMode="External" Id="rId1668" /><Relationship Type="http://schemas.openxmlformats.org/officeDocument/2006/relationships/hyperlink" Target="https://www.sebi.gov.in/filings/public-issues/oct-2023/gpt-healthcare-limited-drhp_78170.html" TargetMode="External" Id="rId1669" /><Relationship Type="http://schemas.openxmlformats.org/officeDocument/2006/relationships/hyperlink" Target="https://www.sebi.gov.in/sebi_data/attachdocs/oct-2023/1696572041590.pdf" TargetMode="External" Id="rId1670" /><Relationship Type="http://schemas.openxmlformats.org/officeDocument/2006/relationships/hyperlink" Target="https://www.sebi.gov.in/filings/public-issues/oct-2023/srm-contractors-limited-drhp_77731.html" TargetMode="External" Id="rId1671" /><Relationship Type="http://schemas.openxmlformats.org/officeDocument/2006/relationships/hyperlink" Target="https://www.sebi.gov.in/sebi_data/attachdocs/oct-2023/1696567415411.pdf" TargetMode="External" Id="rId1672" /><Relationship Type="http://schemas.openxmlformats.org/officeDocument/2006/relationships/hyperlink" Target="https://www.sebi.gov.in/filings/public-issues/oct-2023/asirvad-micro-finance-limited-drhp_77706.html" TargetMode="External" Id="rId1673" /><Relationship Type="http://schemas.openxmlformats.org/officeDocument/2006/relationships/hyperlink" Target="https://www.sharekhan.com/ipo/asirvad-micro-finance-ltd" TargetMode="External" Id="rId1674" /><Relationship Type="http://schemas.openxmlformats.org/officeDocument/2006/relationships/hyperlink" Target="https://www.sebi.gov.in/sebi_data/attachdocs/oct-2023/1696556596064_146.pdf" TargetMode="External" Id="rId1675" /><Relationship Type="http://schemas.openxmlformats.org/officeDocument/2006/relationships/hyperlink" Target="https://www.sebi.gov.in/filings/public-issues/oct-2023/cj-darcl-logistics-limited_77705.html" TargetMode="External" Id="rId1676" /><Relationship Type="http://schemas.openxmlformats.org/officeDocument/2006/relationships/hyperlink" Target="https://www.chittorgarh.com/ipo/cj-darcl-logistics-ipo/2680/" TargetMode="External" Id="rId1677" /><Relationship Type="http://schemas.openxmlformats.org/officeDocument/2006/relationships/hyperlink" Target="https://www.sebi.gov.in/sebi_data/attachdocs/oct-2023/1696556596064_145.pdf" TargetMode="External" Id="rId1678" /><Relationship Type="http://schemas.openxmlformats.org/officeDocument/2006/relationships/hyperlink" Target="https://www.sebi.gov.in/filings/public-issues/oct-2023/dee-development-engineers-limited_77703.html" TargetMode="External" Id="rId1679" /><Relationship Type="http://schemas.openxmlformats.org/officeDocument/2006/relationships/hyperlink" Target="https://www.sebi.gov.in/sebi_data/attachdocs/oct-2023/1696556596064_144.pdf" TargetMode="External" Id="rId1680" /><Relationship Type="http://schemas.openxmlformats.org/officeDocument/2006/relationships/hyperlink" Target="https://www.sebi.gov.in/filings/public-issues/oct-2023/krystal-integrated-services-limited_77701.html" TargetMode="External" Id="rId1681" /><Relationship Type="http://schemas.openxmlformats.org/officeDocument/2006/relationships/hyperlink" Target="https://www.sebi.gov.in/sebi_data/attachdocs/oct-2023/1696556596064_139.pdf" TargetMode="External" Id="rId1682" /><Relationship Type="http://schemas.openxmlformats.org/officeDocument/2006/relationships/hyperlink" Target="https://www.sebi.gov.in/filings/public-issues/oct-2023/agilus-diagnostics-limited_77699.html" TargetMode="External" Id="rId1683" /><Relationship Type="http://schemas.openxmlformats.org/officeDocument/2006/relationships/hyperlink" Target="https://www.chittorgarh.com/ipo/agilus-diagnostics-ipo/2444/" TargetMode="External" Id="rId1684" /><Relationship Type="http://schemas.openxmlformats.org/officeDocument/2006/relationships/hyperlink" Target="https://www.sebi.gov.in/sebi_data/attachdocs/oct-2023/1696421574051.pdf" TargetMode="External" Id="rId1685" /><Relationship Type="http://schemas.openxmlformats.org/officeDocument/2006/relationships/hyperlink" Target="https://www.sebi.gov.in/filings/public-issues/oct-2023/polymatech-electronics-limited-drhp_77644.html" TargetMode="External" Id="rId1686" /><Relationship Type="http://schemas.openxmlformats.org/officeDocument/2006/relationships/hyperlink" Target="https://ipowatch.in/polymatech-electronics-ipo-date-review-price-allotment-details/" TargetMode="External" Id="rId1687" /><Relationship Type="http://schemas.openxmlformats.org/officeDocument/2006/relationships/hyperlink" Target="https://www.sebi.gov.in/sebi_data/attachdocs/oct-2023/1696399548036.pdf" TargetMode="External" Id="rId1688" /><Relationship Type="http://schemas.openxmlformats.org/officeDocument/2006/relationships/hyperlink" Target="https://www.sebi.gov.in/filings/public-issues/oct-2023/indo-farm-equipment-limited-drhp_77571.html" TargetMode="External" Id="rId1689" /><Relationship Type="http://schemas.openxmlformats.org/officeDocument/2006/relationships/hyperlink" Target="https://www.sebi.gov.in/sebi_data/attachdocs/oct-2023/1696399496028.PDF" TargetMode="External" Id="rId1690" /><Relationship Type="http://schemas.openxmlformats.org/officeDocument/2006/relationships/hyperlink" Target="https://www.sebi.gov.in/filings/public-issues/oct-2023/popular-vehicles-and-services-limited-drhp_77569.html" TargetMode="External" Id="rId1691" /><Relationship Type="http://schemas.openxmlformats.org/officeDocument/2006/relationships/hyperlink" Target="https://www.sebi.gov.in/sebi_data/attachdocs/oct-2023/1696332932402.pdf" TargetMode="External" Id="rId1692" /><Relationship Type="http://schemas.openxmlformats.org/officeDocument/2006/relationships/hyperlink" Target="https://www.sebi.gov.in/filings/public-issues/oct-2023/tata-technologies-limited-addendum-to-the-drhp_77550.html" TargetMode="External" Id="rId1693" /><Relationship Type="http://schemas.openxmlformats.org/officeDocument/2006/relationships/hyperlink" Target="https://www.sebi.gov.in/sebi_data/attachdocs/oct-2023/1696332873231.pdf" TargetMode="External" Id="rId1694" /><Relationship Type="http://schemas.openxmlformats.org/officeDocument/2006/relationships/hyperlink" Target="https://www.sebi.gov.in/filings/public-issues/oct-2023/exicom-tele-systems-limited-drhp_77548.html" TargetMode="External" Id="rId1695" /><Relationship Type="http://schemas.openxmlformats.org/officeDocument/2006/relationships/hyperlink" Target="https://www.sebi.gov.in/sebi_data/attachdocs/oct-2023/1696332838930.pdf" TargetMode="External" Id="rId1696" /><Relationship Type="http://schemas.openxmlformats.org/officeDocument/2006/relationships/hyperlink" Target="https://www.sebi.gov.in/filings/public-issues/oct-2023/vibhor-steel-tubes-limited-drhp_77547.html" TargetMode="External" Id="rId1697" /><Relationship Type="http://schemas.openxmlformats.org/officeDocument/2006/relationships/hyperlink" Target="https://www.sebi.gov.in/sebi_data/attachdocs/oct-2023/1696332772834.pdf" TargetMode="External" Id="rId1698" /><Relationship Type="http://schemas.openxmlformats.org/officeDocument/2006/relationships/hyperlink" Target="https://www.sebi.gov.in/filings/public-issues/oct-2023/azad-engineering-limited-drhp_77546.html" TargetMode="External" Id="rId1699" /><Relationship Type="http://schemas.openxmlformats.org/officeDocument/2006/relationships/hyperlink" Target="https://www.sebi.gov.in/sebi_data/attachdocs/oct-2023/1696332716690.pdf" TargetMode="External" Id="rId1700" /><Relationship Type="http://schemas.openxmlformats.org/officeDocument/2006/relationships/hyperlink" Target="https://www.sebi.gov.in/filings/public-issues/oct-2023/saraswati-saree-depot-limited-drhp_77544.html" TargetMode="External" Id="rId1701" /><Relationship Type="http://schemas.openxmlformats.org/officeDocument/2006/relationships/hyperlink" Target="https://www.sebi.gov.in/sebi_data/attachdocs/oct-2023/1696332658057.pdf" TargetMode="External" Id="rId1702" /><Relationship Type="http://schemas.openxmlformats.org/officeDocument/2006/relationships/hyperlink" Target="https://www.sebi.gov.in/filings/public-issues/oct-2023/capital-small-finance-bank-limited-drhp_77543.html" TargetMode="External" Id="rId1703" /><Relationship Type="http://schemas.openxmlformats.org/officeDocument/2006/relationships/hyperlink" Target="https://www.sebi.gov.in/sebi_data/attachdocs/oct-2023/1696332624558.pdf" TargetMode="External" Id="rId1704" /><Relationship Type="http://schemas.openxmlformats.org/officeDocument/2006/relationships/hyperlink" Target="https://www.sebi.gov.in/filings/public-issues/oct-2023/juniper-hotels-limited-drhp_77542.html" TargetMode="External" Id="rId1705" /><Relationship Type="http://schemas.openxmlformats.org/officeDocument/2006/relationships/hyperlink" Target="https://www.sebi.gov.in/sebi_data/attachdocs/sep-2023/1695188931612.pdf" TargetMode="External" Id="rId1706" /><Relationship Type="http://schemas.openxmlformats.org/officeDocument/2006/relationships/hyperlink" Target="https://www.sebi.gov.in/filings/public-issues/sep-2023/entero-healthcare-solutions-limited-drhp_76961.html" TargetMode="External" Id="rId1707" /><Relationship Type="http://schemas.openxmlformats.org/officeDocument/2006/relationships/hyperlink" Target="https://www.sebi.gov.in/sebi_data/attachdocs/sep-2023/1694753864099.PDF" TargetMode="External" Id="rId1708" /><Relationship Type="http://schemas.openxmlformats.org/officeDocument/2006/relationships/hyperlink" Target="https://www.sebi.gov.in/filings/public-issues/sep-2023/flair-writing-industries-limited-addendum-to-drhp_76927.html" TargetMode="External" Id="rId1709" /><Relationship Type="http://schemas.openxmlformats.org/officeDocument/2006/relationships/hyperlink" Target="https://www.sebi.gov.in/sebi_data/attachdocs/sep-2023/1694582173546.pdf" TargetMode="External" Id="rId1710" /><Relationship Type="http://schemas.openxmlformats.org/officeDocument/2006/relationships/hyperlink" Target="https://www.sebi.gov.in/filings/public-issues/sep-2023/innova-captab-limited-addendum-to-drhp_76819.html" TargetMode="External" Id="rId1711" /><Relationship Type="http://schemas.openxmlformats.org/officeDocument/2006/relationships/hyperlink" Target="https://www.sebi.gov.in/sebi_data/attachdocs/sep-2023/1694520772195.pdf" TargetMode="External" Id="rId1712" /><Relationship Type="http://schemas.openxmlformats.org/officeDocument/2006/relationships/hyperlink" Target="https://www.sebi.gov.in/filings/public-issues/sep-2023/indian-renewable-energy-development-agency-limited-drhp_76785.html" TargetMode="External" Id="rId1713" /><Relationship Type="http://schemas.openxmlformats.org/officeDocument/2006/relationships/hyperlink" Target="https://www.sebi.gov.in/sebi_data/attachdocs/sep-2023/1693991827914.pdf" TargetMode="External" Id="rId1714" /><Relationship Type="http://schemas.openxmlformats.org/officeDocument/2006/relationships/hyperlink" Target="https://www.sebi.gov.in/filings/public-issues/sep-2023/stanley-lifestyles-limited-drhp_76320.html" TargetMode="External" Id="rId1715" /><Relationship Type="http://schemas.openxmlformats.org/officeDocument/2006/relationships/hyperlink" Target="https://www.sebi.gov.in/sebi_data/attachdocs/sep-2023/1693903192757.PDF" TargetMode="External" Id="rId1716" /><Relationship Type="http://schemas.openxmlformats.org/officeDocument/2006/relationships/hyperlink" Target="https://www.sebi.gov.in/filings/public-issues/sep-2023/jyoti-cnc-automation-limited-drhp_76520.html" TargetMode="External" Id="rId1717" /><Relationship Type="http://schemas.openxmlformats.org/officeDocument/2006/relationships/hyperlink" Target="https://www.sebi.gov.in/sebi_data/attachdocs/sep-2023/1693890814950.pdf" TargetMode="External" Id="rId1718" /><Relationship Type="http://schemas.openxmlformats.org/officeDocument/2006/relationships/hyperlink" Target="https://www.sebi.gov.in/filings/public-issues/sep-2023/arkade-developers-limited-drhp_76492.html" TargetMode="External" Id="rId1719" /><Relationship Type="http://schemas.openxmlformats.org/officeDocument/2006/relationships/hyperlink" Target="https://www.sebi.gov.in/sebi_data/attachdocs/aug-2023/1693478637360.pdf" TargetMode="External" Id="rId1720" /><Relationship Type="http://schemas.openxmlformats.org/officeDocument/2006/relationships/hyperlink" Target="https://www.sebi.gov.in/filings/public-issues/aug-2023/inox-india-limited-drhp_76156.html" TargetMode="External" Id="rId1721" /><Relationship Type="http://schemas.openxmlformats.org/officeDocument/2006/relationships/hyperlink" Target="https://www.sebi.gov.in/sebi_data/attachdocs/aug-2023/1693225648714.PDF" TargetMode="External" Id="rId1722" /><Relationship Type="http://schemas.openxmlformats.org/officeDocument/2006/relationships/hyperlink" Target="https://www.sebi.gov.in/filings/public-issues/aug-2023/medi-assist-healthcare-services-limited-drhp_75948.html" TargetMode="External" Id="rId1723" /><Relationship Type="http://schemas.openxmlformats.org/officeDocument/2006/relationships/hyperlink" Target="https://www.sebi.gov.in/sebi_data/attachdocs/aug-2023/1692872283972.pdf" TargetMode="External" Id="rId1724" /><Relationship Type="http://schemas.openxmlformats.org/officeDocument/2006/relationships/hyperlink" Target="https://www.sebi.gov.in/filings/public-issues/aug-2023/jnk-india-limited-drhp_75836.html" TargetMode="External" Id="rId1725" /><Relationship Type="http://schemas.openxmlformats.org/officeDocument/2006/relationships/hyperlink" Target="https://www.sebi.gov.in/sebi_data/attachdocs/aug-2023/1692782329929.pdf" TargetMode="External" Id="rId1726" /><Relationship Type="http://schemas.openxmlformats.org/officeDocument/2006/relationships/hyperlink" Target="https://www.sebi.gov.in/filings/public-issues/aug-2023/doms-industries-limited-drhp_75772.html" TargetMode="External" Id="rId1727" /><Relationship Type="http://schemas.openxmlformats.org/officeDocument/2006/relationships/hyperlink" Target="https://www.sebi.gov.in/sebi_data/attachdocs/aug-2023/1692687672999.pdf" TargetMode="External" Id="rId1728" /><Relationship Type="http://schemas.openxmlformats.org/officeDocument/2006/relationships/hyperlink" Target="https://www.sebi.gov.in/filings/public-issues/aug-2023/shiva-pharmachem-limited-drhp_75514.html" TargetMode="External" Id="rId1729" /><Relationship Type="http://schemas.openxmlformats.org/officeDocument/2006/relationships/hyperlink" Target="https://www.business-standard.com/markets/ipo/shiva-pharmachem-ltd-ipo-71014" TargetMode="External" Id="rId1730" /><Relationship Type="http://schemas.openxmlformats.org/officeDocument/2006/relationships/hyperlink" Target="https://www.sebi.gov.in/sebi_data/attachdocs/aug-2023/1692694441875.PDF" TargetMode="External" Id="rId1731" /><Relationship Type="http://schemas.openxmlformats.org/officeDocument/2006/relationships/hyperlink" Target="https://www.sebi.gov.in/filings/public-issues/aug-2023/apeejay-surrendra-park-hotels-limited-drhp_75516.html" TargetMode="External" Id="rId1732" /><Relationship Type="http://schemas.openxmlformats.org/officeDocument/2006/relationships/hyperlink" Target="https://www.sebi.gov.in/sebi_data/attachdocs/aug-2023/1692687550571.pdf" TargetMode="External" Id="rId1733" /><Relationship Type="http://schemas.openxmlformats.org/officeDocument/2006/relationships/hyperlink" Target="https://www.sebi.gov.in/filings/public-issues/aug-2023/cello-world-limited-drhp_75512.html" TargetMode="External" Id="rId1734" /><Relationship Type="http://schemas.openxmlformats.org/officeDocument/2006/relationships/hyperlink" Target="https://www.sebi.gov.in/sebi_data/attachdocs/aug-2023/1692683401706.PDF" TargetMode="External" Id="rId1735" /><Relationship Type="http://schemas.openxmlformats.org/officeDocument/2006/relationships/hyperlink" Target="https://www.sebi.gov.in/filings/public-issues/aug-2023/western-carriers-india-limited-corrigendum-to-drhp_75498.html" TargetMode="External" Id="rId1736" /><Relationship Type="http://schemas.openxmlformats.org/officeDocument/2006/relationships/hyperlink" Target="https://www.sebi.gov.in/sebi_data/attachdocs/aug-2023/1692273078754.PDF" TargetMode="External" Id="rId1737" /><Relationship Type="http://schemas.openxmlformats.org/officeDocument/2006/relationships/hyperlink" Target="https://www.sebi.gov.in/filings/public-issues/aug-2023/happy-forgings-limited-drhp_75380.html" TargetMode="External" Id="rId1738" /><Relationship Type="http://schemas.openxmlformats.org/officeDocument/2006/relationships/hyperlink" Target="https://www.sebi.gov.in/sebi_data/attachdocs/aug-2023/1692003687992.pdf" TargetMode="External" Id="rId1739" /><Relationship Type="http://schemas.openxmlformats.org/officeDocument/2006/relationships/hyperlink" Target="https://www.sebi.gov.in/filings/public-issues/aug-2023/signatureglobal-india-limited-addendum-to-the-drhp_75328.html" TargetMode="External" Id="rId1740" /><Relationship Type="http://schemas.openxmlformats.org/officeDocument/2006/relationships/hyperlink" Target="https://www.sebi.gov.in/sebi_data/attachdocs/aug-2023/1692003643132.pdf" TargetMode="External" Id="rId1741" /><Relationship Type="http://schemas.openxmlformats.org/officeDocument/2006/relationships/hyperlink" Target="https://www.sebi.gov.in/filings/public-issues/aug-2023/samhi-hotels-limited-addendum-to-the-drhp_75326.html" TargetMode="External" Id="rId1742" /><Relationship Type="http://schemas.openxmlformats.org/officeDocument/2006/relationships/hyperlink" Target="https://www.sebi.gov.in/sebi_data/attachdocs/aug-2023/1692003158727.pdf" TargetMode="External" Id="rId1743" /><Relationship Type="http://schemas.openxmlformats.org/officeDocument/2006/relationships/hyperlink" Target="https://www.sebi.gov.in/filings/public-issues/aug-2023/r-k-swamy-limited-drhp_75323.html" TargetMode="External" Id="rId1744" /><Relationship Type="http://schemas.openxmlformats.org/officeDocument/2006/relationships/hyperlink" Target="https://www.sebi.gov.in/sebi_data/attachdocs/aug-2023/1692002893178.pdf" TargetMode="External" Id="rId1745" /><Relationship Type="http://schemas.openxmlformats.org/officeDocument/2006/relationships/hyperlink" Target="https://www.sebi.gov.in/filings/public-issues/aug-2023/epack-durable-limited-drhp_75321.html" TargetMode="External" Id="rId1746" /><Relationship Type="http://schemas.openxmlformats.org/officeDocument/2006/relationships/hyperlink" Target="https://www.sebi.gov.in/sebi_data/attachdocs/aug-2023/1691993294169.PDF" TargetMode="External" Id="rId1747" /><Relationship Type="http://schemas.openxmlformats.org/officeDocument/2006/relationships/hyperlink" Target="https://www.sebi.gov.in/filings/public-issues/aug-2023/valiant-laboratories-limited-addendum-to-drhp_75301.html" TargetMode="External" Id="rId1748" /><Relationship Type="http://schemas.openxmlformats.org/officeDocument/2006/relationships/hyperlink" Target="https://www.sebi.gov.in/sebi_data/attachdocs/sep-2023/1695778415032_124.pdf" TargetMode="External" Id="rId1749" /><Relationship Type="http://schemas.openxmlformats.org/officeDocument/2006/relationships/hyperlink" Target="https://www.sebi.gov.in/filings/public-issues/aug-2023/cell-point-india-limited_77355.html" TargetMode="External" Id="rId1750" /><Relationship Type="http://schemas.openxmlformats.org/officeDocument/2006/relationships/hyperlink" Target="https://www.business-standard.com/markets/ipo/cell-point-india-ltd-ipo-78823" TargetMode="External" Id="rId1751" /><Relationship Type="http://schemas.openxmlformats.org/officeDocument/2006/relationships/hyperlink" Target="https://www.sebi.gov.in/sebi_data/attachdocs/aug-2023/1691476310848.pdf" TargetMode="External" Id="rId1752" /><Relationship Type="http://schemas.openxmlformats.org/officeDocument/2006/relationships/hyperlink" Target="https://www.sebi.gov.in/filings/public-issues/aug-2023/bls-e-services-limited-drhp_75024.html" TargetMode="External" Id="rId1753" /><Relationship Type="http://schemas.openxmlformats.org/officeDocument/2006/relationships/hyperlink" Target="https://www.sebi.gov.in/sebi_data/attachdocs/aug-2023/1691408632967.PDF" TargetMode="External" Id="rId1754" /><Relationship Type="http://schemas.openxmlformats.org/officeDocument/2006/relationships/hyperlink" Target="https://www.sebi.gov.in/filings/public-issues/aug-2023/india-shelter-finance-corporation-limited-drhp_74993.html" TargetMode="External" Id="rId1755" /><Relationship Type="http://schemas.openxmlformats.org/officeDocument/2006/relationships/hyperlink" Target="https://www.sebi.gov.in/sebi_data/attachdocs/jul-2023/1690801962165.pdf" TargetMode="External" Id="rId1756" /><Relationship Type="http://schemas.openxmlformats.org/officeDocument/2006/relationships/hyperlink" Target="https://www.sebi.gov.in/filings/public-issues/jul-2023/onest-limited-drhp_74739.html" TargetMode="External" Id="rId1757" /><Relationship Type="http://schemas.openxmlformats.org/officeDocument/2006/relationships/hyperlink" Target="https://www.business-standard.com/markets/ipo/onest-ltd-ipo-91813" TargetMode="External" Id="rId1758" /><Relationship Type="http://schemas.openxmlformats.org/officeDocument/2006/relationships/hyperlink" Target="https://www.sebi.gov.in/sebi_data/attachdocs/jul-2023/1690794513117.pdf" TargetMode="External" Id="rId1759" /><Relationship Type="http://schemas.openxmlformats.org/officeDocument/2006/relationships/hyperlink" Target="https://www.sebi.gov.in/filings/public-issues/jul-2023/jana-small-finance-bank-limited-drhp_74692.html" TargetMode="External" Id="rId1760" /><Relationship Type="http://schemas.openxmlformats.org/officeDocument/2006/relationships/hyperlink" Target="https://www.sebi.gov.in/sebi_data/attachdocs/jul-2023/1690794874974.PDF" TargetMode="External" Id="rId1761" /><Relationship Type="http://schemas.openxmlformats.org/officeDocument/2006/relationships/hyperlink" Target="https://www.sebi.gov.in/filings/public-issues/jul-2023/fedbank-financial-services-limited-drhp_74701.html" TargetMode="External" Id="rId1762" /><Relationship Type="http://schemas.openxmlformats.org/officeDocument/2006/relationships/hyperlink" Target="https://www.sebi.gov.in/sebi_data/attachdocs/jul-2023/1690372979813.pdf" TargetMode="External" Id="rId1763" /><Relationship Type="http://schemas.openxmlformats.org/officeDocument/2006/relationships/hyperlink" Target="https://www.sebi.gov.in/filings/public-issues/jul-2023/sai-silks-kalamandi-limited-addendum-to-the-drhp_74376.html" TargetMode="External" Id="rId1764" /><Relationship Type="http://schemas.openxmlformats.org/officeDocument/2006/relationships/hyperlink" Target="https://www.sebi.gov.in/sebi_data/attachdocs/jul-2023/1690372907676.pdf" TargetMode="External" Id="rId1765" /><Relationship Type="http://schemas.openxmlformats.org/officeDocument/2006/relationships/hyperlink" Target="https://www.sebi.gov.in/filings/public-issues/jul-2023/mukka-proteins-limited-addendum-to-the-drhp_74375.html" TargetMode="External" Id="rId1766" /><Relationship Type="http://schemas.openxmlformats.org/officeDocument/2006/relationships/hyperlink" Target="https://www.sebi.gov.in/sebi_data/attachdocs/jul-2023/1690372846450.PDF" TargetMode="External" Id="rId1767" /><Relationship Type="http://schemas.openxmlformats.org/officeDocument/2006/relationships/hyperlink" Target="https://www.sebi.gov.in/filings/public-issues/jul-2023/suraj-estate-developers-limited-drhp_74373.html" TargetMode="External" Id="rId1768" /><Relationship Type="http://schemas.openxmlformats.org/officeDocument/2006/relationships/hyperlink" Target="https://www.sebi.gov.in/sebi_data/attachdocs/jul-2023/1690189770026.PDF" TargetMode="External" Id="rId1769" /><Relationship Type="http://schemas.openxmlformats.org/officeDocument/2006/relationships/hyperlink" Target="https://www.sebi.gov.in/filings/public-issues/jul-2023/updater-services-limited-addendum-to-drhp_74255.html" TargetMode="External" Id="rId1770" /><Relationship Type="http://schemas.openxmlformats.org/officeDocument/2006/relationships/hyperlink" Target="https://www.sebi.gov.in/sebi_data/attachdocs/sep-2023/1695778415032_120.pdf" TargetMode="External" Id="rId1771" /><Relationship Type="http://schemas.openxmlformats.org/officeDocument/2006/relationships/hyperlink" Target="https://www.sebi.gov.in/filings/public-issues/jul-2023/kaka-industries-limited_77353.html" TargetMode="External" Id="rId1772" /><Relationship Type="http://schemas.openxmlformats.org/officeDocument/2006/relationships/hyperlink" Target="https://www.business-standard.com/markets/ipo/kaka-industries-ltd-ipo-78999" TargetMode="External" Id="rId1773" /><Relationship Type="http://schemas.openxmlformats.org/officeDocument/2006/relationships/hyperlink" Target="https://www.sebi.gov.in/sebi_data/attachdocs/jul-2023/1689675851873.PDF" TargetMode="External" Id="rId1774" /><Relationship Type="http://schemas.openxmlformats.org/officeDocument/2006/relationships/hyperlink" Target="https://www.sebi.gov.in/filings/public-issues/jul-2023/flair-writing-industries-limited-drhp_74080.html" TargetMode="External" Id="rId1775" /><Relationship Type="http://schemas.openxmlformats.org/officeDocument/2006/relationships/hyperlink" Target="https://www.sebi.gov.in/sebi_data/attachdocs/jul-2023/1689661883249.pdf" TargetMode="External" Id="rId1776" /><Relationship Type="http://schemas.openxmlformats.org/officeDocument/2006/relationships/hyperlink" Target="https://www.sebi.gov.in/filings/public-issues/jul-2023/credo-brands-marketing-limited-drhp_74077.html" TargetMode="External" Id="rId1777" /><Relationship Type="http://schemas.openxmlformats.org/officeDocument/2006/relationships/hyperlink" Target="https://www.sebi.gov.in/sebi_data/attachdocs/jul-2023/1689310532463.pdf" TargetMode="External" Id="rId1778" /><Relationship Type="http://schemas.openxmlformats.org/officeDocument/2006/relationships/hyperlink" Target="https://www.sebi.gov.in/filings/public-issues/jul-2023/platinum-industries-limited-drhp_73942.html" TargetMode="External" Id="rId1779" /><Relationship Type="http://schemas.openxmlformats.org/officeDocument/2006/relationships/hyperlink" Target="https://www.sebi.gov.in/sebi_data/attachdocs/sep-2023/1695778415032_118.pdf" TargetMode="External" Id="rId1780" /><Relationship Type="http://schemas.openxmlformats.org/officeDocument/2006/relationships/hyperlink" Target="https://www.sebi.gov.in/filings/public-issues/jul-2023/acceleratebs-india-limited_77351.html" TargetMode="External" Id="rId1781" /><Relationship Type="http://schemas.openxmlformats.org/officeDocument/2006/relationships/hyperlink" Target="https://www.business-standard.com/markets/ipo/acceleratebs-india-ltd-ipo-79222" TargetMode="External" Id="rId1782" /><Relationship Type="http://schemas.openxmlformats.org/officeDocument/2006/relationships/hyperlink" Target="https://www.sebi.gov.in/sebi_data/attachdocs/jul-2023/1688988952568.PDF" TargetMode="External" Id="rId1783" /><Relationship Type="http://schemas.openxmlformats.org/officeDocument/2006/relationships/hyperlink" Target="https://www.sebi.gov.in/filings/public-issues/jul-2023/national-securities-depository-limited-drhp_73701.html" TargetMode="External" Id="rId1784" /><Relationship Type="http://schemas.openxmlformats.org/officeDocument/2006/relationships/hyperlink" Target="https://www.business-standard.com/markets/ipo/national-securities-depository-ltd-ipo-67048" TargetMode="External" Id="rId1785" /><Relationship Type="http://schemas.openxmlformats.org/officeDocument/2006/relationships/hyperlink" Target="https://www.sebi.gov.in/sebi_data/attachdocs/jul-2023/1688988515793.PDF" TargetMode="External" Id="rId1786" /><Relationship Type="http://schemas.openxmlformats.org/officeDocument/2006/relationships/hyperlink" Target="https://www.sebi.gov.in/filings/public-issues/jul-2023/aeroflex-industries-limited-addendum-to-drhp_73698.html" TargetMode="External" Id="rId1787" /><Relationship Type="http://schemas.openxmlformats.org/officeDocument/2006/relationships/hyperlink" Target="https://www.sebi.gov.in/sebi_data/attachdocs/jul-2023/1688985423010.PDF" TargetMode="External" Id="rId1788" /><Relationship Type="http://schemas.openxmlformats.org/officeDocument/2006/relationships/hyperlink" Target="https://www.sebi.gov.in/filings/public-issues/jul-2023/esaf-small-finance-bank-limited-drhp_73679.html" TargetMode="External" Id="rId1789" /><Relationship Type="http://schemas.openxmlformats.org/officeDocument/2006/relationships/hyperlink" Target="https://www.sebi.gov.in/sebi_data/attachdocs/jul-2023/1688731221733_115.pdf" TargetMode="External" Id="rId1790" /><Relationship Type="http://schemas.openxmlformats.org/officeDocument/2006/relationships/hyperlink" Target="https://www.sebi.gov.in/filings/public-issues/jul-2023/alphalogic-industries-limited_73636.html" TargetMode="External" Id="rId1791" /><Relationship Type="http://schemas.openxmlformats.org/officeDocument/2006/relationships/hyperlink" Target="https://www.business-standard.com/markets/ipo/alphalogic-industries-ltd-ipo-79223" TargetMode="External" Id="rId1792" /><Relationship Type="http://schemas.openxmlformats.org/officeDocument/2006/relationships/hyperlink" Target="https://www.sebi.gov.in/sebi_data/attachdocs/jul-2023/1688616114525.PDF" TargetMode="External" Id="rId1793" /><Relationship Type="http://schemas.openxmlformats.org/officeDocument/2006/relationships/hyperlink" Target="https://www.sebi.gov.in/filings/public-issues/jul-2023/balaji-speciality-chemicals-limited-addendum-to-drhp_73526.html" TargetMode="External" Id="rId1794" /><Relationship Type="http://schemas.openxmlformats.org/officeDocument/2006/relationships/hyperlink" Target="https://www.business-standard.com/markets/ipo/balaji-speciality-chemicals-ltd-ipo-74896" TargetMode="External" Id="rId1795" /><Relationship Type="http://schemas.openxmlformats.org/officeDocument/2006/relationships/hyperlink" Target="https://www.sebi.gov.in/sebi_data/attachdocs/jul-2023/1688532204838.pdf" TargetMode="External" Id="rId1796" /><Relationship Type="http://schemas.openxmlformats.org/officeDocument/2006/relationships/hyperlink" Target="https://www.sebi.gov.in/filings/public-issues/jul-2023/motisons-jewellers-limited-addendum-to-drhp_73453.html" TargetMode="External" Id="rId1797" /><Relationship Type="http://schemas.openxmlformats.org/officeDocument/2006/relationships/hyperlink" Target="https://www.sebi.gov.in/sebi_data/attachdocs/jul-2023/1688448970241.pdf" TargetMode="External" Id="rId1798" /><Relationship Type="http://schemas.openxmlformats.org/officeDocument/2006/relationships/hyperlink" Target="https://www.sebi.gov.in/filings/public-issues/jul-2023/muthoot-microfin-limited-drhp_73421.html" TargetMode="External" Id="rId1799" /><Relationship Type="http://schemas.openxmlformats.org/officeDocument/2006/relationships/hyperlink" Target="https://www.sebi.gov.in/sebi_data/attachdocs/jul-2023/1688374136806.PDF" TargetMode="External" Id="rId1800" /><Relationship Type="http://schemas.openxmlformats.org/officeDocument/2006/relationships/hyperlink" Target="https://www.sebi.gov.in/filings/public-issues/jul-2023/akme-fintrade-india-limited-drhp_73372.html" TargetMode="External" Id="rId1801" /><Relationship Type="http://schemas.openxmlformats.org/officeDocument/2006/relationships/hyperlink" Target="https://www.sebi.gov.in/sebi_data/attachdocs/jun-2023/1687953609609_108.pdf" TargetMode="External" Id="rId1802" /><Relationship Type="http://schemas.openxmlformats.org/officeDocument/2006/relationships/hyperlink" Target="https://www.sebi.gov.in/filings/public-issues/jun-2023/tridhya-tech-limited_73260.html" TargetMode="External" Id="rId1803" /><Relationship Type="http://schemas.openxmlformats.org/officeDocument/2006/relationships/hyperlink" Target="https://www.sebi.gov.in/sebi_data/attachdocs/jun-2023/1687775088856.pdf" TargetMode="External" Id="rId1804" /><Relationship Type="http://schemas.openxmlformats.org/officeDocument/2006/relationships/hyperlink" Target="https://www.sebi.gov.in/filings/public-issues/jun-2023/pyramid-technoplast-limited-addendum-to-the-drhp_73074.html" TargetMode="External" Id="rId1805" /><Relationship Type="http://schemas.openxmlformats.org/officeDocument/2006/relationships/hyperlink" Target="https://www.sebi.gov.in/sebi_data/attachdocs/jun-2023/1687254492875.pdf" TargetMode="External" Id="rId1806" /><Relationship Type="http://schemas.openxmlformats.org/officeDocument/2006/relationships/hyperlink" Target="https://www.sebi.gov.in/filings/public-issues/jun-2023/mukka-proteins-limited-drhp_72824.html" TargetMode="External" Id="rId1807" /><Relationship Type="http://schemas.openxmlformats.org/officeDocument/2006/relationships/hyperlink" Target="https://www.sebi.gov.in/sebi_data/attachdocs/jun-2023/1687608017479_106.pdf" TargetMode="External" Id="rId1808" /><Relationship Type="http://schemas.openxmlformats.org/officeDocument/2006/relationships/hyperlink" Target="https://www.sebi.gov.in/filings/public-issues/jun-2023/aatmaj-healthcare-limited_73068.html" TargetMode="External" Id="rId1809" /><Relationship Type="http://schemas.openxmlformats.org/officeDocument/2006/relationships/hyperlink" Target="https://www.sebi.gov.in/sebi_data/attachdocs/jun-2023/1687608017479_107.pdf" TargetMode="External" Id="rId1810" /><Relationship Type="http://schemas.openxmlformats.org/officeDocument/2006/relationships/hyperlink" Target="https://www.sebi.gov.in/filings/public-issues/jun-2023/vilin-bio-med-limited_73070.html" TargetMode="External" Id="rId1811" /><Relationship Type="http://schemas.openxmlformats.org/officeDocument/2006/relationships/hyperlink" Target="https://www.business-standard.com/markets/ipo/vilin-bio-med-ltd-ipo-78871" TargetMode="External" Id="rId1812" /><Relationship Type="http://schemas.openxmlformats.org/officeDocument/2006/relationships/hyperlink" Target="https://www.sebi.gov.in/sebi_data/attachdocs/jun-2023/1687608017479_105.pdf" TargetMode="External" Id="rId1813" /><Relationship Type="http://schemas.openxmlformats.org/officeDocument/2006/relationships/hyperlink" Target="https://www.sebi.gov.in/filings/public-issues/jun-2023/veefin-solutions-limited_73066.html" TargetMode="External" Id="rId1814" /><Relationship Type="http://schemas.openxmlformats.org/officeDocument/2006/relationships/hyperlink" Target="https://www.sebi.gov.in/sebi_data/attachdocs/jun-2023/1687254609377.pdf" TargetMode="External" Id="rId1815" /><Relationship Type="http://schemas.openxmlformats.org/officeDocument/2006/relationships/hyperlink" Target="https://www.sebi.gov.in/filings/public-issues/jun-2023/rbz-jewellers-limited-drhp_72825.html" TargetMode="External" Id="rId1816" /><Relationship Type="http://schemas.openxmlformats.org/officeDocument/2006/relationships/hyperlink" Target="https://www.sebi.gov.in/sebi_data/attachdocs/jun-2023/1686911107445.PDF" TargetMode="External" Id="rId1817" /><Relationship Type="http://schemas.openxmlformats.org/officeDocument/2006/relationships/hyperlink" Target="https://www.sebi.gov.in/filings/public-issues/jun-2023/ask-automotive-ltd-drhp_72673.html" TargetMode="External" Id="rId1818" /><Relationship Type="http://schemas.openxmlformats.org/officeDocument/2006/relationships/hyperlink" Target="https://www.sebi.gov.in/sebi_data/attachdocs/jun-2023/1687608017479_102.pdf" TargetMode="External" Id="rId1819" /><Relationship Type="http://schemas.openxmlformats.org/officeDocument/2006/relationships/hyperlink" Target="https://www.sebi.gov.in/filings/public-issues/jun-2023/sonalis-consumer-products-limited_73064.html" TargetMode="External" Id="rId1820" /><Relationship Type="http://schemas.openxmlformats.org/officeDocument/2006/relationships/hyperlink" Target="https://www.chittorgarh.com/ipo_review/sonalis-consumer-products-ipo/3592/" TargetMode="External" Id="rId1821" /><Relationship Type="http://schemas.openxmlformats.org/officeDocument/2006/relationships/hyperlink" Target="https://www.sebi.gov.in/sebi_data/attachdocs/jun-2023/1687608017479_101.pdf" TargetMode="External" Id="rId1822" /><Relationship Type="http://schemas.openxmlformats.org/officeDocument/2006/relationships/hyperlink" Target="https://www.sebi.gov.in/filings/public-issues/jun-2023/spectrum-talent-management-limited_73062.html" TargetMode="External" Id="rId1823" /><Relationship Type="http://schemas.openxmlformats.org/officeDocument/2006/relationships/hyperlink" Target="https://www.business-standard.com/markets/ipo/spectrum-talent-management-ltd-ipo-78655" TargetMode="External" Id="rId1824" /><Relationship Type="http://schemas.openxmlformats.org/officeDocument/2006/relationships/hyperlink" Target="https://www.sebi.gov.in/sebi_data/attachdocs/jun-2023/1687608017479_100.pdf" TargetMode="External" Id="rId1825" /><Relationship Type="http://schemas.openxmlformats.org/officeDocument/2006/relationships/hyperlink" Target="https://www.sebi.gov.in/filings/public-issues/jun-2023/sahana-system-limited_73060.html" TargetMode="External" Id="rId1826" /><Relationship Type="http://schemas.openxmlformats.org/officeDocument/2006/relationships/hyperlink" Target="https://www.business-standard.com/markets/ipo/sahana-systems-ltd-ipo-78078" TargetMode="External" Id="rId1827" /><Relationship Type="http://schemas.openxmlformats.org/officeDocument/2006/relationships/hyperlink" Target="https://www.sebi.gov.in/sebi_data/attachdocs/jun-2023/1686657609955_99.pdf" TargetMode="External" Id="rId1828" /><Relationship Type="http://schemas.openxmlformats.org/officeDocument/2006/relationships/hyperlink" Target="https://www.sebi.gov.in/filings/public-issues/jun-2023/crayons-advertising-limited_72503.html" TargetMode="External" Id="rId1829" /><Relationship Type="http://schemas.openxmlformats.org/officeDocument/2006/relationships/hyperlink" Target="https://www.business-standard.com/markets/ipo/crayons-advertising-ltd-ipo-45823" TargetMode="External" Id="rId1830" /><Relationship Type="http://schemas.openxmlformats.org/officeDocument/2006/relationships/hyperlink" Target="https://www.sebi.gov.in/sebi_data/attachdocs/jun-2023/1686655767869.pdf" TargetMode="External" Id="rId1831" /><Relationship Type="http://schemas.openxmlformats.org/officeDocument/2006/relationships/hyperlink" Target="https://www.sebi.gov.in/filings/public-issues/jun-2023/western-carriers-india-limited-drhp_72492.html" TargetMode="External" Id="rId1832" /><Relationship Type="http://schemas.openxmlformats.org/officeDocument/2006/relationships/hyperlink" Target="https://www.sebi.gov.in/sebi_data/attachdocs/jun-2023/1686204253802.PDF" TargetMode="External" Id="rId1833" /><Relationship Type="http://schemas.openxmlformats.org/officeDocument/2006/relationships/hyperlink" Target="https://www.sebi.gov.in/filings/public-issues/jun-2023/valiant-laboratories-limited-drhp_72352.html" TargetMode="External" Id="rId1834" /><Relationship Type="http://schemas.openxmlformats.org/officeDocument/2006/relationships/hyperlink" Target="https://www.sebi.gov.in/sebi_data/attachdocs/jun-2023/1685681262177.pdf" TargetMode="External" Id="rId1835" /><Relationship Type="http://schemas.openxmlformats.org/officeDocument/2006/relationships/hyperlink" Target="https://www.sebi.gov.in/filings/public-issues/jun-2023/ebixcash-limited-addendum-to-drhp_72220.html" TargetMode="External" Id="rId1836" /><Relationship Type="http://schemas.openxmlformats.org/officeDocument/2006/relationships/hyperlink" Target="https://www.religareonline.com/ipo/ebixcash-ipo" TargetMode="External" Id="rId1837" /><Relationship Type="http://schemas.openxmlformats.org/officeDocument/2006/relationships/hyperlink" Target="https://www.sebi.gov.in/sebi_data/attachdocs/may-2023/1684756814905_93.pdf" TargetMode="External" Id="rId1838" /><Relationship Type="http://schemas.openxmlformats.org/officeDocument/2006/relationships/hyperlink" Target="https://www.sebi.gov.in/filings/public-issues/may-2023/infollion-research-services-limited_71491.html" TargetMode="External" Id="rId1839" /><Relationship Type="http://schemas.openxmlformats.org/officeDocument/2006/relationships/hyperlink" Target="https://www.sebi.gov.in/sebi_data/attachdocs/may-2023/1684756814905_91.pdf" TargetMode="External" Id="rId1840" /><Relationship Type="http://schemas.openxmlformats.org/officeDocument/2006/relationships/hyperlink" Target="https://www.sebi.gov.in/filings/public-issues/may-2023/crayons-advertising-limited_71487.html" TargetMode="External" Id="rId1841" /><Relationship Type="http://schemas.openxmlformats.org/officeDocument/2006/relationships/hyperlink" Target="https://www.sebi.gov.in/sebi_data/attachdocs/may-2023/1684756814905_92.pdf" TargetMode="External" Id="rId1842" /><Relationship Type="http://schemas.openxmlformats.org/officeDocument/2006/relationships/hyperlink" Target="https://www.sebi.gov.in/filings/public-issues/may-2023/hemant-surgical-industries-limited_71489.html" TargetMode="External" Id="rId1843" /><Relationship Type="http://schemas.openxmlformats.org/officeDocument/2006/relationships/hyperlink" Target="https://www.sebi.gov.in/sebi_data/attachdocs/may-2023/1684753283230.PDF" TargetMode="External" Id="rId1844" /><Relationship Type="http://schemas.openxmlformats.org/officeDocument/2006/relationships/hyperlink" Target="https://www.sebi.gov.in/filings/public-issues/may-2023/nova-agritech-limited-addendum-to-drhp_71465.html" TargetMode="External" Id="rId1845" /><Relationship Type="http://schemas.openxmlformats.org/officeDocument/2006/relationships/hyperlink" Target="https://www.sebi.gov.in/sebi_data/attachdocs/may-2023/1684408732919.PDF" TargetMode="External" Id="rId1846" /><Relationship Type="http://schemas.openxmlformats.org/officeDocument/2006/relationships/hyperlink" Target="https://www.sebi.gov.in/filings/public-issues/may-2023/netweb-technologies-india-limited-corrigendum-to-drhp_71377.html" TargetMode="External" Id="rId1847" /><Relationship Type="http://schemas.openxmlformats.org/officeDocument/2006/relationships/hyperlink" Target="https://www.sebi.gov.in/sebi_data/attachdocs/may-2023/1684323197879.pdf" TargetMode="External" Id="rId1848" /><Relationship Type="http://schemas.openxmlformats.org/officeDocument/2006/relationships/hyperlink" Target="https://www.sebi.gov.in/filings/public-issues/may-2023/jupiter-life-line-hospitals-limited-drhp_71267.html" TargetMode="External" Id="rId1849" /><Relationship Type="http://schemas.openxmlformats.org/officeDocument/2006/relationships/hyperlink" Target="https://www.sebi.gov.in/sebi_data/attachdocs/may-2023/1683716794791.pdf" TargetMode="External" Id="rId1850" /><Relationship Type="http://schemas.openxmlformats.org/officeDocument/2006/relationships/hyperlink" Target="https://www.sebi.gov.in/filings/public-issues/may-2023/jsw-infrastructure-limited-drhp_71056.html" TargetMode="External" Id="rId1851" /><Relationship Type="http://schemas.openxmlformats.org/officeDocument/2006/relationships/hyperlink" Target="https://www.sebi.gov.in/sebi_data/attachdocs/may-2023/1683621492177.PDF" TargetMode="External" Id="rId1852" /><Relationship Type="http://schemas.openxmlformats.org/officeDocument/2006/relationships/hyperlink" Target="https://www.sebi.gov.in/filings/public-issues/may-2023/r-r-kabel-limited-drhp_71012.html" TargetMode="External" Id="rId1853" /><Relationship Type="http://schemas.openxmlformats.org/officeDocument/2006/relationships/hyperlink" Target="https://www.sebi.gov.in/sebi_data/attachdocs/may-2023/1683116014796.pdf" TargetMode="External" Id="rId1854" /><Relationship Type="http://schemas.openxmlformats.org/officeDocument/2006/relationships/hyperlink" Target="https://www.sebi.gov.in/filings/public-issues/may-2023/tvs-supply-chain-solutions-limited-drhp_70876.html" TargetMode="External" Id="rId1855" /><Relationship Type="http://schemas.openxmlformats.org/officeDocument/2006/relationships/hyperlink" Target="https://www.sebi.gov.in/sebi_data/attachdocs/may-2023/1683096289229.pdf" TargetMode="External" Id="rId1856" /><Relationship Type="http://schemas.openxmlformats.org/officeDocument/2006/relationships/hyperlink" Target="https://www.sebi.gov.in/filings/public-issues/may-2023/fincare-small-finance-bank-limited-drhp_70850.html" TargetMode="External" Id="rId1857" /><Relationship Type="http://schemas.openxmlformats.org/officeDocument/2006/relationships/hyperlink" Target="https://finance.yahoo.com/news/fincare-small-finance-bank-gets-044405454.html" TargetMode="External" Id="rId1858" /><Relationship Type="http://schemas.openxmlformats.org/officeDocument/2006/relationships/hyperlink" Target="https://www.sebi.gov.in/sebi_data/attachdocs/apr-2023/1682655967651.pdf" TargetMode="External" Id="rId1859" /><Relationship Type="http://schemas.openxmlformats.org/officeDocument/2006/relationships/hyperlink" Target="https://www.sebi.gov.in/filings/public-issues/apr-2023/protean-egov-technologies-limited-addendum-ii-to-the-drhp_70669.html" TargetMode="External" Id="rId1860" /><Relationship Type="http://schemas.openxmlformats.org/officeDocument/2006/relationships/hyperlink" Target="https://www.sebi.gov.in/sebi_data/attachdocs/apr-2023/1681905621467_88.pdf" TargetMode="External" Id="rId1861" /><Relationship Type="http://schemas.openxmlformats.org/officeDocument/2006/relationships/hyperlink" Target="https://www.sebi.gov.in/filings/public-issues/apr-2023/vishnu-prakash-r-punglia-limited_70322.html" TargetMode="External" Id="rId1862" /><Relationship Type="http://schemas.openxmlformats.org/officeDocument/2006/relationships/hyperlink" Target="https://www.sebi.gov.in/sebi_data/attachdocs/apr-2023/1682078412067_87.pdf" TargetMode="External" Id="rId1863" /><Relationship Type="http://schemas.openxmlformats.org/officeDocument/2006/relationships/hyperlink" Target="https://www.sebi.gov.in/filings/public-issues/apr-2023/platinumone-business-services-limited_70447.html" TargetMode="External" Id="rId1864" /><Relationship Type="http://schemas.openxmlformats.org/officeDocument/2006/relationships/hyperlink" Target="https://www.business-standard.com/markets/ipo/platinumone-business-services-ltd-ipo-75113" TargetMode="External" Id="rId1865" /><Relationship Type="http://schemas.openxmlformats.org/officeDocument/2006/relationships/hyperlink" Target="https://www.sebi.gov.in/sebi_data/attachdocs/apr-2023/1681210724670.pdf" TargetMode="External" Id="rId1866" /><Relationship Type="http://schemas.openxmlformats.org/officeDocument/2006/relationships/hyperlink" Target="https://www.sebi.gov.in/filings/public-issues/apr-2023/ems-limited-drhp_70016.html" TargetMode="External" Id="rId1867" /><Relationship Type="http://schemas.openxmlformats.org/officeDocument/2006/relationships/hyperlink" Target="https://www.sebi.gov.in/sebi_data/attachdocs/apr-2023/1680765082765.pdf" TargetMode="External" Id="rId1868" /><Relationship Type="http://schemas.openxmlformats.org/officeDocument/2006/relationships/hyperlink" Target="https://www.sebi.gov.in/filings/public-issues/apr-2023/go-digit-general-insurance-limited-drhp_69822.html" TargetMode="External" Id="rId1869" /><Relationship Type="http://schemas.openxmlformats.org/officeDocument/2006/relationships/hyperlink" Target="https://www.sebi.gov.in/sebi_data/attachdocs/apr-2023/1680697115479.pdf" TargetMode="External" Id="rId1870" /><Relationship Type="http://schemas.openxmlformats.org/officeDocument/2006/relationships/hyperlink" Target="https://www.sebi.gov.in/filings/public-issues/apr-2023/samhi-hotels-limited-drhp_69808.html" TargetMode="External" Id="rId1871" /><Relationship Type="http://schemas.openxmlformats.org/officeDocument/2006/relationships/hyperlink" Target="https://www.sebi.gov.in/sebi_data/attachdocs/apr-2023/1680523220624_82.pdf" TargetMode="External" Id="rId1872" /><Relationship Type="http://schemas.openxmlformats.org/officeDocument/2006/relationships/hyperlink" Target="https://www.sebi.gov.in/filings/public-issues/apr-2023/aeroflex-industries-limited_69721.html" TargetMode="External" Id="rId1873" /><Relationship Type="http://schemas.openxmlformats.org/officeDocument/2006/relationships/hyperlink" Target="https://www.sebi.gov.in/sebi_data/attachdocs/apr-2023/1680523220624_81.pdf" TargetMode="External" Id="rId1874" /><Relationship Type="http://schemas.openxmlformats.org/officeDocument/2006/relationships/hyperlink" Target="https://www.sebi.gov.in/filings/public-issues/apr-2023/sancode-technologies-limited_69719.html" TargetMode="External" Id="rId1875" /><Relationship Type="http://schemas.openxmlformats.org/officeDocument/2006/relationships/hyperlink" Target="https://www.business-standard.com/markets/ipo/sancode-technologies-ltd-ipo-78789" TargetMode="External" Id="rId1876" /><Relationship Type="http://schemas.openxmlformats.org/officeDocument/2006/relationships/hyperlink" Target="https://www.sebi.gov.in/sebi_data/attachdocs/apr-2023/1680765001825.pdf" TargetMode="External" Id="rId1877" /><Relationship Type="http://schemas.openxmlformats.org/officeDocument/2006/relationships/hyperlink" Target="https://www.sebi.gov.in/filings/public-issues/apr-2023/pyramid-technoplast-limited-drhp_69688.html" TargetMode="External" Id="rId1878" /><Relationship Type="http://schemas.openxmlformats.org/officeDocument/2006/relationships/hyperlink" Target="https://www.sebi.gov.in/sebi_data/attachdocs/mar-2023/1680264041781_80.pdf" TargetMode="External" Id="rId1879" /><Relationship Type="http://schemas.openxmlformats.org/officeDocument/2006/relationships/hyperlink" Target="https://www.sebi.gov.in/filings/public-issues/mar-2023/updater-services-limited_69634.html" TargetMode="External" Id="rId1880" /><Relationship Type="http://schemas.openxmlformats.org/officeDocument/2006/relationships/hyperlink" Target="https://www.sebi.gov.in/sebi_data/attachdocs/mar-2023/1680236918309.pdf" TargetMode="External" Id="rId1881" /><Relationship Type="http://schemas.openxmlformats.org/officeDocument/2006/relationships/hyperlink" Target="https://www.sebi.gov.in/filings/public-issues/mar-2023/spc-life-sciences-limited-drhp_69567.html" TargetMode="External" Id="rId1882" /><Relationship Type="http://schemas.openxmlformats.org/officeDocument/2006/relationships/hyperlink" Target="https://www.business-standard.com/markets/ipo/spc-life-sciences-ltd-ipo-78853" TargetMode="External" Id="rId1883" /><Relationship Type="http://schemas.openxmlformats.org/officeDocument/2006/relationships/hyperlink" Target="https://www.sebi.gov.in/sebi_data/attachdocs/mar-2023/1680257780744.PDF" TargetMode="External" Id="rId1884" /><Relationship Type="http://schemas.openxmlformats.org/officeDocument/2006/relationships/hyperlink" Target="https://www.sebi.gov.in/filings/public-issues/mar-2023/netweb-technologies-india-limited-drhp_69580.html" TargetMode="External" Id="rId1885" /><Relationship Type="http://schemas.openxmlformats.org/officeDocument/2006/relationships/hyperlink" Target="https://www.sebi.gov.in/sebi_data/attachdocs/mar-2023/1679900321115.pdf" TargetMode="External" Id="rId1886" /><Relationship Type="http://schemas.openxmlformats.org/officeDocument/2006/relationships/hyperlink" Target="https://www.sebi.gov.in/filings/public-issues/mar-2023/motisons-jewellers-limited-drhp_69335.html" TargetMode="External" Id="rId1887" /><Relationship Type="http://schemas.openxmlformats.org/officeDocument/2006/relationships/hyperlink" Target="https://www.sebi.gov.in/sebi_data/attachdocs/mar-2023/1679659218079_76.pdf" TargetMode="External" Id="rId1888" /><Relationship Type="http://schemas.openxmlformats.org/officeDocument/2006/relationships/hyperlink" Target="https://www.sebi.gov.in/filings/public-issues/mar-2023/infinium-pharmachem-limited_69297.html" TargetMode="External" Id="rId1889" /><Relationship Type="http://schemas.openxmlformats.org/officeDocument/2006/relationships/hyperlink" Target="https://www.sebi.gov.in/sebi_data/attachdocs/mar-2023/1679906630033.pdf" TargetMode="External" Id="rId1890" /><Relationship Type="http://schemas.openxmlformats.org/officeDocument/2006/relationships/hyperlink" Target="https://www.sebi.gov.in/filings/public-issues/mar-2023/sbfc-finance-limited-drhp_69343.html" TargetMode="External" Id="rId1891" /><Relationship Type="http://schemas.openxmlformats.org/officeDocument/2006/relationships/hyperlink" Target="https://www.sebi.gov.in/sebi_data/attachdocs/mar-2023/1679486410438_74.pdf" TargetMode="External" Id="rId1892" /><Relationship Type="http://schemas.openxmlformats.org/officeDocument/2006/relationships/hyperlink" Target="https://www.sebi.gov.in/filings/public-issues/mar-2023/svj-enterprises-limited_69201.html" TargetMode="External" Id="rId1893" /><Relationship Type="http://schemas.openxmlformats.org/officeDocument/2006/relationships/hyperlink" Target="https://www.business-standard.com/markets/ipo/s-v-j-enterprises-ltd-ipo-78003" TargetMode="External" Id="rId1894" /><Relationship Type="http://schemas.openxmlformats.org/officeDocument/2006/relationships/hyperlink" Target="https://www.sebi.gov.in/sebi_data/attachdocs/mar-2023/1678708849713_63.pdf" TargetMode="External" Id="rId1895" /><Relationship Type="http://schemas.openxmlformats.org/officeDocument/2006/relationships/hyperlink" Target="https://www.sebi.gov.in/filings/public-issues/mar-2023/tata-technologies-limited_68881.html" TargetMode="External" Id="rId1896" /><Relationship Type="http://schemas.openxmlformats.org/officeDocument/2006/relationships/hyperlink" Target="https://www.sebi.gov.in/sebi_data/attachdocs/mar-2023/1678686404640.pdf" TargetMode="External" Id="rId1897" /><Relationship Type="http://schemas.openxmlformats.org/officeDocument/2006/relationships/hyperlink" Target="https://www.sebi.gov.in/filings/public-issues/mar-2023/healthvista-india-limited-addendum-to-drhp_68837.html" TargetMode="External" Id="rId1898" /><Relationship Type="http://schemas.openxmlformats.org/officeDocument/2006/relationships/hyperlink" Target="https://www.business-standard.com/markets/ipo/healthvista-india-ltd-ipo-70164" TargetMode="External" Id="rId1899" /><Relationship Type="http://schemas.openxmlformats.org/officeDocument/2006/relationships/hyperlink" Target="https://www.sebi.gov.in/sebi_data/attachdocs/mar-2023/1678099410372.pdf" TargetMode="External" Id="rId1900" /><Relationship Type="http://schemas.openxmlformats.org/officeDocument/2006/relationships/hyperlink" Target="https://www.sebi.gov.in/filings/public-issues/mar-2023/nova-agritech-limited-drhp_68706.html" TargetMode="External" Id="rId1901" /><Relationship Type="http://schemas.openxmlformats.org/officeDocument/2006/relationships/hyperlink" Target="https://www.sebi.gov.in/sebi_data/attachdocs/feb-2023/1676540623342.pdf" TargetMode="External" Id="rId1902" /><Relationship Type="http://schemas.openxmlformats.org/officeDocument/2006/relationships/hyperlink" Target="https://www.sebi.gov.in/filings/public-issues/feb-2023/ideaforge-technology-limited-drhp_68081.html" TargetMode="External" Id="rId1903" /><Relationship Type="http://schemas.openxmlformats.org/officeDocument/2006/relationships/hyperlink" Target="https://www.sebi.gov.in/sebi_data/attachdocs/feb-2023/1676529180210.pdf" TargetMode="External" Id="rId1904" /><Relationship Type="http://schemas.openxmlformats.org/officeDocument/2006/relationships/hyperlink" Target="https://www.sebi.gov.in/filings/public-issues/feb-2023/akme-fintrade-india-limited-drhp_68071.html" TargetMode="External" Id="rId1905" /><Relationship Type="http://schemas.openxmlformats.org/officeDocument/2006/relationships/hyperlink" Target="https://www.chittorgarh.com/ipo/aasaan-loans-ipo/1751/" TargetMode="External" Id="rId1906" /><Relationship Type="http://schemas.openxmlformats.org/officeDocument/2006/relationships/hyperlink" Target="https://www.sebi.gov.in/sebi_data/attachdocs/feb-2023/1676009092199.pdf" TargetMode="External" Id="rId1907" /><Relationship Type="http://schemas.openxmlformats.org/officeDocument/2006/relationships/hyperlink" Target="https://www.sebi.gov.in/filings/public-issues/feb-2023/corrtech-international-limited_67950.html" TargetMode="External" Id="rId1908" /><Relationship Type="http://schemas.openxmlformats.org/officeDocument/2006/relationships/hyperlink" Target="https://www.5paisa.com/ipo/corrtech-international-ltd-ipo" TargetMode="External" Id="rId1909" /><Relationship Type="http://schemas.openxmlformats.org/officeDocument/2006/relationships/hyperlink" Target="https://www.sebi.gov.in/sebi_data/attachdocs/jan-2023/1675074421849.pdf" TargetMode="External" Id="rId1910" /><Relationship Type="http://schemas.openxmlformats.org/officeDocument/2006/relationships/hyperlink" Target="https://www.sebi.gov.in/filings/public-issues/jan-2023/firstmeridian-business-services-limited-drhp_67602.html" TargetMode="External" Id="rId1911" /><Relationship Type="http://schemas.openxmlformats.org/officeDocument/2006/relationships/hyperlink" Target="https://www.business-standard.com/markets/ipo/firstmeridian-business-services-ltd-ipo-76806" TargetMode="External" Id="rId1912" /><Relationship Type="http://schemas.openxmlformats.org/officeDocument/2006/relationships/hyperlink" Target="https://www.sebi.gov.in/sebi_data/attachdocs/jan-2023/1674822071523.pdf" TargetMode="External" Id="rId1913" /><Relationship Type="http://schemas.openxmlformats.org/officeDocument/2006/relationships/hyperlink" Target="https://www.sebi.gov.in/filings/public-issues/jan-2023/ratnaveer-precision-engineering-limited_67585.html" TargetMode="External" Id="rId1914" /><Relationship Type="http://schemas.openxmlformats.org/officeDocument/2006/relationships/hyperlink" Target="https://www.sebi.gov.in/sebi_data/attachdocs/jan-2023/1674213565033.PDF" TargetMode="External" Id="rId1915" /><Relationship Type="http://schemas.openxmlformats.org/officeDocument/2006/relationships/hyperlink" Target="https://www.sebi.gov.in/filings/public-issues/jan-2023/rashi-peripherals-limited_67397.html" TargetMode="External" Id="rId1916" /><Relationship Type="http://schemas.openxmlformats.org/officeDocument/2006/relationships/hyperlink" Target="https://www.sebi.gov.in/sebi_data/attachdocs/jan-2023/1673352015580_49.pdf" TargetMode="External" Id="rId1917" /><Relationship Type="http://schemas.openxmlformats.org/officeDocument/2006/relationships/hyperlink" Target="https://www.sebi.gov.in/filings/public-issues/jan-2023/cyient-dlm-limited_67167.html" TargetMode="External" Id="rId1918" /><Relationship Type="http://schemas.openxmlformats.org/officeDocument/2006/relationships/hyperlink" Target="https://www.sebi.gov.in/sebi_data/attachdocs/jan-2023/1672994402870_48.pdf" TargetMode="External" Id="rId1919" /><Relationship Type="http://schemas.openxmlformats.org/officeDocument/2006/relationships/hyperlink" Target="https://www.sebi.gov.in/filings/public-issues/jan-2023/j-g-chemicals-limited_67061.html" TargetMode="External" Id="rId1920" /><Relationship Type="http://schemas.openxmlformats.org/officeDocument/2006/relationships/hyperlink" Target="https://www.sebi.gov.in/sebi_data/attachdocs/jan-2023/1672640689987.pdf" TargetMode="External" Id="rId1921" /><Relationship Type="http://schemas.openxmlformats.org/officeDocument/2006/relationships/hyperlink" Target="https://www.sebi.gov.in/filings/public-issues/jan-2023/rishabh-instruments-limited-drhp_66824.html" TargetMode="External" Id="rId1922" /><Relationship Type="http://schemas.openxmlformats.org/officeDocument/2006/relationships/hyperlink" Target="https://www.sebi.gov.in/sebi_data/attachdocs/dec-2022/1672393990129.pdf" TargetMode="External" Id="rId1923" /><Relationship Type="http://schemas.openxmlformats.org/officeDocument/2006/relationships/hyperlink" Target="https://www.sebi.gov.in/filings/public-issues/dec-2022/survival-technologies-limited-drhp_66782.html" TargetMode="External" Id="rId1924" /><Relationship Type="http://schemas.openxmlformats.org/officeDocument/2006/relationships/hyperlink" Target="https://www.business-standard.com/markets/ipo/survival-technologies-ltd-ipo-69846" TargetMode="External" Id="rId1925" /><Relationship Type="http://schemas.openxmlformats.org/officeDocument/2006/relationships/hyperlink" Target="https://www.sebi.gov.in/sebi_data/attachdocs/dec-2022/1672380661526.pdf" TargetMode="External" Id="rId1926" /><Relationship Type="http://schemas.openxmlformats.org/officeDocument/2006/relationships/hyperlink" Target="https://www.sebi.gov.in/filings/public-issues/dec-2022/honasa-consumer-limited-drhp_66770.html" TargetMode="External" Id="rId1927" /><Relationship Type="http://schemas.openxmlformats.org/officeDocument/2006/relationships/hyperlink" Target="https://www.sebi.gov.in/sebi_data/attachdocs/dec-2022/1672139791587.pdf" TargetMode="External" Id="rId1928" /><Relationship Type="http://schemas.openxmlformats.org/officeDocument/2006/relationships/hyperlink" Target="https://www.sebi.gov.in/filings/public-issues/dec-2022/balaji-solutions-limited-corrigendum-to-drhp_66617.html" TargetMode="External" Id="rId1929" /><Relationship Type="http://schemas.openxmlformats.org/officeDocument/2006/relationships/hyperlink" Target="https://www.business-standard.com/markets/ipo/balaji-solutions-ltd-ipo-73583" TargetMode="External" Id="rId1930" /><Relationship Type="http://schemas.openxmlformats.org/officeDocument/2006/relationships/hyperlink" Target="https://www.sebi.gov.in/sebi_data/attachdocs/dec-2022/1671796408126.pdf" TargetMode="External" Id="rId1931" /><Relationship Type="http://schemas.openxmlformats.org/officeDocument/2006/relationships/hyperlink" Target="https://www.sebi.gov.in/filings/public-issues/dec-2022/gandhar-oil-refinery-india-limited-drhp_66570.html" TargetMode="External" Id="rId1932" /><Relationship Type="http://schemas.openxmlformats.org/officeDocument/2006/relationships/hyperlink" Target="https://www.sebi.gov.in/sebi_data/attachdocs/dec-2022/1671620784576.pdf" TargetMode="External" Id="rId1933" /><Relationship Type="http://schemas.openxmlformats.org/officeDocument/2006/relationships/hyperlink" Target="https://www.sebi.gov.in/filings/public-issues/dec-2022/zaggle-prepaid-ocean-services-limited-drhp_66440.html" TargetMode="External" Id="rId1934" /><Relationship Type="http://schemas.openxmlformats.org/officeDocument/2006/relationships/hyperlink" Target="https://www.sebi.gov.in/sebi_data/attachdocs/dec-2022/1671190032394.pdf" TargetMode="External" Id="rId1935" /><Relationship Type="http://schemas.openxmlformats.org/officeDocument/2006/relationships/hyperlink" Target="https://www.sebi.gov.in/filings/public-issues/dec-2022/indegene-limited-drhp_66254.html" TargetMode="External" Id="rId1936" /><Relationship Type="http://schemas.openxmlformats.org/officeDocument/2006/relationships/hyperlink" Target="https://www.sebi.gov.in/sebi_data/attachdocs/dec-2022/1671168829456.pdf" TargetMode="External" Id="rId1937" /><Relationship Type="http://schemas.openxmlformats.org/officeDocument/2006/relationships/hyperlink" Target="https://www.sebi.gov.in/filings/public-issues/dec-2022/irm-energy-limited-drhp_66245.html" TargetMode="External" Id="rId1938" /><Relationship Type="http://schemas.openxmlformats.org/officeDocument/2006/relationships/hyperlink" Target="https://www.sebi.gov.in/sebi_data/attachdocs/nov-2022/1669616284896.PDF" TargetMode="External" Id="rId1939" /><Relationship Type="http://schemas.openxmlformats.org/officeDocument/2006/relationships/hyperlink" Target="https://www.sebi.gov.in/filings/public-issues/nov-2022/tvs-supply-chain-solutions-limited-addendum-to-drhp_65519.html" TargetMode="External" Id="rId1940" /><Relationship Type="http://schemas.openxmlformats.org/officeDocument/2006/relationships/hyperlink" Target="https://www.sebi.gov.in/sebi_data/attachdocs/nov-2022/1669613102669.pdf" TargetMode="External" Id="rId1941" /><Relationship Type="http://schemas.openxmlformats.org/officeDocument/2006/relationships/hyperlink" Target="https://www.sebi.gov.in/filings/public-issues/nov-2022/oravel-stays-limited-addendum-to-the-drhp_65503.html" TargetMode="External" Id="rId1942" /><Relationship Type="http://schemas.openxmlformats.org/officeDocument/2006/relationships/hyperlink" Target="https://www.chittorgarh.com/ipo/oyo-ipo/2843/" TargetMode="External" Id="rId1943" /><Relationship Type="http://schemas.openxmlformats.org/officeDocument/2006/relationships/hyperlink" Target="https://www.sebi.gov.in/sebi_data/attachdocs/nov-2022/1669203009231.pdf" TargetMode="External" Id="rId1944" /><Relationship Type="http://schemas.openxmlformats.org/officeDocument/2006/relationships/hyperlink" Target="https://www.sebi.gov.in/filings/public-issues/nov-2022/addendum-to-drhp-of-cogent-e-services-limited_65364.html" TargetMode="External" Id="rId1945" /><Relationship Type="http://schemas.openxmlformats.org/officeDocument/2006/relationships/hyperlink" Target="https://www.5paisa.com/ipo/cogent-e-services-ltd-ipo" TargetMode="External" Id="rId1946" /><Relationship Type="http://schemas.openxmlformats.org/officeDocument/2006/relationships/hyperlink" Target="https://www.sebi.gov.in/sebi_data/attachdocs/nov-2022/1667978603422.pdf" TargetMode="External" Id="rId1947" /><Relationship Type="http://schemas.openxmlformats.org/officeDocument/2006/relationships/hyperlink" Target="https://www.sebi.gov.in/filings/public-issues/nov-2022/fabindia-limited-corrigendum-to-drhp_64776.html" TargetMode="External" Id="rId1948" /><Relationship Type="http://schemas.openxmlformats.org/officeDocument/2006/relationships/hyperlink" Target="https://www.5paisa.com/ipo/fabindia-ltd-ipo" TargetMode="External" Id="rId1949" /><Relationship Type="http://schemas.openxmlformats.org/officeDocument/2006/relationships/hyperlink" Target="https://www.sebi.gov.in/sebi_data/attachdocs/nov-2022/1668054674080.pdf" TargetMode="External" Id="rId1950" /><Relationship Type="http://schemas.openxmlformats.org/officeDocument/2006/relationships/hyperlink" Target="https://www.sebi.gov.in/filings/public-issues/nov-2022/drhp-of-sbfc-finance-limited_64817.html" TargetMode="External" Id="rId1951" /><Relationship Type="http://schemas.openxmlformats.org/officeDocument/2006/relationships/hyperlink" Target="https://www.chittorgarh.com/ipo/sbfc-finance-ipo/1470/" TargetMode="External" Id="rId1952" /><Relationship Type="http://schemas.openxmlformats.org/officeDocument/2006/relationships/hyperlink" Target="https://www.sebi.gov.in/sebi_data/attachdocs/nov-2022/1667821034088.pdf" TargetMode="External" Id="rId1953" /><Relationship Type="http://schemas.openxmlformats.org/officeDocument/2006/relationships/hyperlink" Target="https://www.sebi.gov.in/filings/public-issues/nov-2022/ease-of-operational-procedure_64739.html" TargetMode="External" Id="rId1954" /><Relationship Type="http://schemas.openxmlformats.org/officeDocument/2006/relationships/hyperlink" Target="https://www.sebi.gov.in/sebi_data/attachdocs/oct-2022/1666940625609.pdf" TargetMode="External" Id="rId1955" /><Relationship Type="http://schemas.openxmlformats.org/officeDocument/2006/relationships/hyperlink" Target="https://www.sebi.gov.in/filings/public-issues/oct-2022/indiafirst-life-insurance-company-limited-drhp_64424.html" TargetMode="External" Id="rId1956" /><Relationship Type="http://schemas.openxmlformats.org/officeDocument/2006/relationships/hyperlink" Target="https://www.business-standard.com/markets/ipo/indiafirst-life-insurance-company-ltd-ipo-36755" TargetMode="External" Id="rId1957" /><Relationship Type="http://schemas.openxmlformats.org/officeDocument/2006/relationships/hyperlink" Target="https://www.sebi.gov.in/sebi_data/attachdocs/oct-2022/1665029967837.pdf" TargetMode="External" Id="rId1958" /><Relationship Type="http://schemas.openxmlformats.org/officeDocument/2006/relationships/hyperlink" Target="https://www.sebi.gov.in/filings/public-issues/oct-2022/motisons-jewellers-limited-drhp_63720.html" TargetMode="External" Id="rId1959" /><Relationship Type="http://schemas.openxmlformats.org/officeDocument/2006/relationships/hyperlink" Target="https://www.sebi.gov.in/sebi_data/attachdocs/oct-2022/1664860712075.pdf" TargetMode="External" Id="rId1960" /><Relationship Type="http://schemas.openxmlformats.org/officeDocument/2006/relationships/hyperlink" Target="https://www.sebi.gov.in/filings/public-issues/oct-2022/ikio-lighting-limited-drhp_63658.html" TargetMode="External" Id="rId1961" /><Relationship Type="http://schemas.openxmlformats.org/officeDocument/2006/relationships/hyperlink" Target="https://www.sebi.gov.in/sebi_data/attachdocs/oct-2022/1664789602888.pdf" TargetMode="External" Id="rId1962" /><Relationship Type="http://schemas.openxmlformats.org/officeDocument/2006/relationships/hyperlink" Target="https://www.sebi.gov.in/filings/public-issues/oct-2022/r-and-b-infra-limited-drhp_63623.html" TargetMode="External" Id="rId1963" /><Relationship Type="http://schemas.openxmlformats.org/officeDocument/2006/relationships/hyperlink" Target="https://www.angelone.in/ipo/r-b-infra-project-ltd-ipo" TargetMode="External" Id="rId1964" /><Relationship Type="http://schemas.openxmlformats.org/officeDocument/2006/relationships/hyperlink" Target="https://www.sebi.gov.in/sebi_data/attachdocs/oct-2022/1664779518143.pdf" TargetMode="External" Id="rId1965" /><Relationship Type="http://schemas.openxmlformats.org/officeDocument/2006/relationships/hyperlink" Target="https://www.sebi.gov.in/filings/public-issues/sep-2022/airox-technologies-limited-drhp_63605.html" TargetMode="External" Id="rId1966" /><Relationship Type="http://schemas.openxmlformats.org/officeDocument/2006/relationships/hyperlink" Target="https://www.business-standard.com/markets/ipo/airox-technologies-ltd-ipo-73340" TargetMode="External" Id="rId1967" /><Relationship Type="http://schemas.openxmlformats.org/officeDocument/2006/relationships/hyperlink" Target="https://www.sebi.gov.in/sebi_data/attachdocs/oct-2022/1664773998401.PDF" TargetMode="External" Id="rId1968" /><Relationship Type="http://schemas.openxmlformats.org/officeDocument/2006/relationships/hyperlink" Target="https://www.sebi.gov.in/filings/public-issues/sep-2022/lohia-corp-limited-drhp_63601.html" TargetMode="External" Id="rId1969" /><Relationship Type="http://schemas.openxmlformats.org/officeDocument/2006/relationships/hyperlink" Target="https://www.business-standard.com/markets/ipo/lohia-corp-ltd-ipo-95865" TargetMode="External" Id="rId1970" /><Relationship Type="http://schemas.openxmlformats.org/officeDocument/2006/relationships/hyperlink" Target="https://www.sebi.gov.in/sebi_data/attachdocs/sep-2022/1664517282750.pdf" TargetMode="External" Id="rId1971" /><Relationship Type="http://schemas.openxmlformats.org/officeDocument/2006/relationships/hyperlink" Target="https://www.sebi.gov.in/filings/public-issues/sep-2022/enviro-infra-engineers-limited-drhp_63529.html" TargetMode="External" Id="rId1972" /><Relationship Type="http://schemas.openxmlformats.org/officeDocument/2006/relationships/hyperlink" Target="https://www.chittorgarh.com/ipo/enviro-infra-engineers-ipo/1911/" TargetMode="External" Id="rId1973" /><Relationship Type="http://schemas.openxmlformats.org/officeDocument/2006/relationships/hyperlink" Target="https://www.sebi.gov.in/sebi_data/attachdocs/sep-2022/1664427888261.pdf" TargetMode="External" Id="rId1974" /><Relationship Type="http://schemas.openxmlformats.org/officeDocument/2006/relationships/hyperlink" Target="https://www.sebi.gov.in/filings/public-issues/sep-2022/udayshivakumar-infra-limited-drhp_63457.html" TargetMode="External" Id="rId1975" /><Relationship Type="http://schemas.openxmlformats.org/officeDocument/2006/relationships/hyperlink" Target="https://www.sebi.gov.in/sebi_data/attachdocs/sep-2022/1664270325636.pdf" TargetMode="External" Id="rId1976" /><Relationship Type="http://schemas.openxmlformats.org/officeDocument/2006/relationships/hyperlink" Target="https://www.sebi.gov.in/filings/public-issues/sep-2022/wapcos-limited_63398.html" TargetMode="External" Id="rId1977" /><Relationship Type="http://schemas.openxmlformats.org/officeDocument/2006/relationships/hyperlink" Target="https://www.business-standard.com/markets/ipo/wapcos-ltd-ipo-13201" TargetMode="External" Id="rId1978" /><Relationship Type="http://schemas.openxmlformats.org/officeDocument/2006/relationships/hyperlink" Target="https://www.sebi.gov.in/sebi_data/attachdocs/sep-2022/1664430377326.PDF" TargetMode="External" Id="rId1979" /><Relationship Type="http://schemas.openxmlformats.org/officeDocument/2006/relationships/hyperlink" Target="https://www.sebi.gov.in/filings/public-issues/sep-2022/dharmaj-crop-guard-limited-addendum-to-drhp_63458.html" TargetMode="External" Id="rId1980" /><Relationship Type="http://schemas.openxmlformats.org/officeDocument/2006/relationships/hyperlink" Target="https://www.sebi.gov.in/sebi_data/attachdocs/sep-2022/1663923007921.PDF" TargetMode="External" Id="rId1981" /><Relationship Type="http://schemas.openxmlformats.org/officeDocument/2006/relationships/hyperlink" Target="https://www.sebi.gov.in/filings/public-issues/sep-2022/divgi-torqtransfer-systems-limited-drhp_63303.html" TargetMode="External" Id="rId1982" /><Relationship Type="http://schemas.openxmlformats.org/officeDocument/2006/relationships/hyperlink" Target="https://www.sebi.gov.in/sebi_data/attachdocs/sep-2022/1663916527724.pdf" TargetMode="External" Id="rId1983" /><Relationship Type="http://schemas.openxmlformats.org/officeDocument/2006/relationships/hyperlink" Target="https://www.sebi.gov.in/filings/public-issues/sep-2022/puranik-builders-limited-addendum-to-drhp_63297.html" TargetMode="External" Id="rId1984" /><Relationship Type="http://schemas.openxmlformats.org/officeDocument/2006/relationships/hyperlink" Target="https://www.business-standard.com/markets/ipo/puranik-builders-ltd-ipo-66783" TargetMode="External" Id="rId1985" /><Relationship Type="http://schemas.openxmlformats.org/officeDocument/2006/relationships/hyperlink" Target="https://www.sebi.gov.in/sebi_data/attachdocs/sep-2022/1663658220973.pdf" TargetMode="External" Id="rId1986" /><Relationship Type="http://schemas.openxmlformats.org/officeDocument/2006/relationships/hyperlink" Target="https://www.sebi.gov.in/filings/public-issues/sep-2022/addendum-to-drhp-of-plaza-wires-limited_63061.html" TargetMode="External" Id="rId1987" /><Relationship Type="http://schemas.openxmlformats.org/officeDocument/2006/relationships/hyperlink" Target="https://www.chittorgarh.com/ipo/plaza-wires-ipo/1539/" TargetMode="External" Id="rId1988" /><Relationship Type="http://schemas.openxmlformats.org/officeDocument/2006/relationships/hyperlink" Target="https://www.sebi.gov.in/sebi_data/attachdocs/sep-2022/1663559912097.pdf" TargetMode="External" Id="rId1989" /><Relationship Type="http://schemas.openxmlformats.org/officeDocument/2006/relationships/hyperlink" Target="https://www.sebi.gov.in/filings/public-issues/sep-2022/oravel-stays-limited-addendum-to-the-drhp_63023.html" TargetMode="External" Id="rId1990" /><Relationship Type="http://schemas.openxmlformats.org/officeDocument/2006/relationships/hyperlink" Target="https://www.chittorgarh.com/ipo/oyo-ipo/2843/" TargetMode="External" Id="rId1991" /><Relationship Type="http://schemas.openxmlformats.org/officeDocument/2006/relationships/hyperlink" Target="https://www.sebi.gov.in/sebi_data/attachdocs/sep-2022/1663321983909.pdf" TargetMode="External" Id="rId1992" /><Relationship Type="http://schemas.openxmlformats.org/officeDocument/2006/relationships/hyperlink" Target="https://www.sebi.gov.in/filings/public-issues/sep-2022/mankind-pharma-ltd-drhp_63010.html" TargetMode="External" Id="rId1993" /><Relationship Type="http://schemas.openxmlformats.org/officeDocument/2006/relationships/hyperlink" Target="https://www.sebi.gov.in/sebi_data/attachdocs/sep-2022/1663152481684.PDF" TargetMode="External" Id="rId1994" /><Relationship Type="http://schemas.openxmlformats.org/officeDocument/2006/relationships/hyperlink" Target="https://www.sebi.gov.in/filings/public-issues/sep-2022/capital-small-finance-bank-limited-addendum-to-the-drhp_62952.html" TargetMode="External" Id="rId1995" /><Relationship Type="http://schemas.openxmlformats.org/officeDocument/2006/relationships/hyperlink" Target="https://www.sebi.gov.in/sebi_data/attachdocs/sep-2022/1662972579788.pdf" TargetMode="External" Id="rId1996" /><Relationship Type="http://schemas.openxmlformats.org/officeDocument/2006/relationships/hyperlink" Target="https://www.sebi.gov.in/filings/public-issues/sep-2022/le-travenues-technology-limited-addendum-to-drhp_62873.html" TargetMode="External" Id="rId1997" /><Relationship Type="http://schemas.openxmlformats.org/officeDocument/2006/relationships/hyperlink" Target="https://www.sebi.gov.in/sebi_data/attachdocs/sep-2022/1662637007311.pdf" TargetMode="External" Id="rId1998" /><Relationship Type="http://schemas.openxmlformats.org/officeDocument/2006/relationships/hyperlink" Target="https://www.sebi.gov.in/filings/public-issues/sep-2022/aprameya-engineering-limited-drhp_62841.html" TargetMode="External" Id="rId1999" /><Relationship Type="http://schemas.openxmlformats.org/officeDocument/2006/relationships/hyperlink" Target="https://www.sebi.gov.in/sebi_data/attachdocs/sep-2022/1662540902220.pdf" TargetMode="External" Id="rId2000" /><Relationship Type="http://schemas.openxmlformats.org/officeDocument/2006/relationships/hyperlink" Target="https://www.sebi.gov.in/filings/public-issues/sep-2022/manoj-vaibhav-gems-n-jewellers-limited-drhp_62727.html" TargetMode="External" Id="rId2001" /><Relationship Type="http://schemas.openxmlformats.org/officeDocument/2006/relationships/hyperlink" Target="https://www.sebi.gov.in/sebi_data/attachdocs/sep-2022/1662522066376.PDF" TargetMode="External" Id="rId2002" /><Relationship Type="http://schemas.openxmlformats.org/officeDocument/2006/relationships/hyperlink" Target="https://www.sebi.gov.in/filings/public-issues/sep-2022/sah-polymers-limited-addendum-to-drhp_62723.html" TargetMode="External" Id="rId2003" /><Relationship Type="http://schemas.openxmlformats.org/officeDocument/2006/relationships/hyperlink" Target="https://www.sebi.gov.in/sebi_data/attachdocs/sep-2022/1662371991171.pdf" TargetMode="External" Id="rId2004" /><Relationship Type="http://schemas.openxmlformats.org/officeDocument/2006/relationships/hyperlink" Target="https://www.sebi.gov.in/filings/public-issues/sep-2022/blue-jet-healthcare-limited_62646.html" TargetMode="External" Id="rId2005" /><Relationship Type="http://schemas.openxmlformats.org/officeDocument/2006/relationships/hyperlink" Target="https://www.sebi.gov.in/sebi_data/attachdocs/aug-2022/1661849591625.pdf" TargetMode="External" Id="rId2006" /><Relationship Type="http://schemas.openxmlformats.org/officeDocument/2006/relationships/hyperlink" Target="https://www.sebi.gov.in/filings/public-issues/aug-2022/addendum-to-drhp-of-navi-technologies-limited_62459.html" TargetMode="External" Id="rId2007" /><Relationship Type="http://schemas.openxmlformats.org/officeDocument/2006/relationships/hyperlink" Target="https://inc42.com/buzz/navi-restarts-ipo-preparations-eyes-launch-in-second-half-of-fy26/" TargetMode="External" Id="rId2008" /><Relationship Type="http://schemas.openxmlformats.org/officeDocument/2006/relationships/hyperlink" Target="https://www.sebi.gov.in/sebi_data/attachdocs/aug-2022/1660732945575.pdf" TargetMode="External" Id="rId2009" /><Relationship Type="http://schemas.openxmlformats.org/officeDocument/2006/relationships/hyperlink" Target="https://www.sebi.gov.in/filings/public-issues/aug-2022/balaji-solutions-limited_61974.html" TargetMode="External" Id="rId2010" /><Relationship Type="http://schemas.openxmlformats.org/officeDocument/2006/relationships/hyperlink" Target="https://www.business-standard.com/markets/ipo/balaji-solutions-ltd-ipo-73583" TargetMode="External" Id="rId2011" /><Relationship Type="http://schemas.openxmlformats.org/officeDocument/2006/relationships/hyperlink" Target="https://www.sebi.gov.in/sebi_data/attachdocs/aug-2022/1660725516098.PDF" TargetMode="External" Id="rId2012" /><Relationship Type="http://schemas.openxmlformats.org/officeDocument/2006/relationships/hyperlink" Target="https://www.sebi.gov.in/filings/public-issues/aug-2022/go-digit-general-insurance-limited_61970.html" TargetMode="External" Id="rId2013" /><Relationship Type="http://schemas.openxmlformats.org/officeDocument/2006/relationships/hyperlink" Target="https://www.sebi.gov.in/sebi_data/attachdocs/aug-2022/1660714052191.pdf" TargetMode="External" Id="rId2014" /><Relationship Type="http://schemas.openxmlformats.org/officeDocument/2006/relationships/hyperlink" Target="https://www.sebi.gov.in/filings/public-issues/aug-2022/concord-biotech-limited_61961.html" TargetMode="External" Id="rId2015" /><Relationship Type="http://schemas.openxmlformats.org/officeDocument/2006/relationships/hyperlink" Target="https://www.sebi.gov.in/sebi_data/attachdocs/aug-2022/1660298640346.pdf" TargetMode="External" Id="rId2016" /><Relationship Type="http://schemas.openxmlformats.org/officeDocument/2006/relationships/hyperlink" Target="https://www.sebi.gov.in/filings/public-issues/aug-2022/balaji-speciality-chemicals-limited-drhp_61929.html" TargetMode="External" Id="rId2017" /><Relationship Type="http://schemas.openxmlformats.org/officeDocument/2006/relationships/hyperlink" Target="https://www.business-standard.com/markets/ipo/balaji-speciality-chemicals-ltd-ipo-74896" TargetMode="External" Id="rId2018" /><Relationship Type="http://schemas.openxmlformats.org/officeDocument/2006/relationships/hyperlink" Target="https://www.sebi.gov.in/sebi_data/attachdocs/aug-2022/1660200896282.PDF" TargetMode="External" Id="rId2019" /><Relationship Type="http://schemas.openxmlformats.org/officeDocument/2006/relationships/hyperlink" Target="https://www.sebi.gov.in/filings/public-issues/aug-2022/avalon-technologies-limited_61872.html" TargetMode="External" Id="rId2020" /><Relationship Type="http://schemas.openxmlformats.org/officeDocument/2006/relationships/hyperlink" Target="https://www.sebi.gov.in/sebi_data/attachdocs/aug-2022/1659942966902.pdf" TargetMode="External" Id="rId2021" /><Relationship Type="http://schemas.openxmlformats.org/officeDocument/2006/relationships/hyperlink" Target="https://www.sebi.gov.in/filings/public-issues/aug-2022/fincare-small-finance-bank-limited_61794.html" TargetMode="External" Id="rId2022" /><Relationship Type="http://schemas.openxmlformats.org/officeDocument/2006/relationships/hyperlink" Target="https://finance.yahoo.com/news/fincare-small-finance-bank-gets-044405454.html" TargetMode="External" Id="rId2023" /><Relationship Type="http://schemas.openxmlformats.org/officeDocument/2006/relationships/hyperlink" Target="https://www.sebi.gov.in/sebi_data/attachdocs/aug-2022/1659433623186.pdf" TargetMode="External" Id="rId2024" /><Relationship Type="http://schemas.openxmlformats.org/officeDocument/2006/relationships/hyperlink" Target="https://www.sebi.gov.in/filings/public-issues/aug-2022/utkarsh-small-finance-bank-ltd_61497.html" TargetMode="External" Id="rId2025" /><Relationship Type="http://schemas.openxmlformats.org/officeDocument/2006/relationships/hyperlink" Target="https://www.sebi.gov.in/sebi_data/attachdocs/aug-2022/1659418620527.pdf" TargetMode="External" Id="rId2026" /><Relationship Type="http://schemas.openxmlformats.org/officeDocument/2006/relationships/hyperlink" Target="https://www.sebi.gov.in/filings/public-issues/aug-2022/ssba-innovations-limited_61474.html" TargetMode="External" Id="rId2027" /><Relationship Type="http://schemas.openxmlformats.org/officeDocument/2006/relationships/hyperlink" Target="https://www.business-standard.com/markets/ipo/ssba-innovations-ltd-ipo-77343" TargetMode="External" Id="rId2028" /><Relationship Type="http://schemas.openxmlformats.org/officeDocument/2006/relationships/hyperlink" Target="https://www.sebi.gov.in/sebi_data/attachdocs/jul-2022/1659005306568.pdf" TargetMode="External" Id="rId2029" /><Relationship Type="http://schemas.openxmlformats.org/officeDocument/2006/relationships/hyperlink" Target="https://www.sebi.gov.in/filings/public-issues/jul-2022/biba-fashions-limited-addendum-to-the-drhp_61285.html" TargetMode="External" Id="rId2030" /><Relationship Type="http://schemas.openxmlformats.org/officeDocument/2006/relationships/hyperlink" Target="https://www.business-standard.com/markets/ipo/biba-fashion-ltd-ipo-72600" TargetMode="External" Id="rId2031" /><Relationship Type="http://schemas.openxmlformats.org/officeDocument/2006/relationships/hyperlink" Target="https://www.sebi.gov.in/sebi_data/attachdocs/jul-2022/1658900123833.pdf" TargetMode="External" Id="rId2032" /><Relationship Type="http://schemas.openxmlformats.org/officeDocument/2006/relationships/hyperlink" Target="https://www.sebi.gov.in/filings/public-issues/jul-2022/uniparts-india-limited-addendum-to-the-drhp_61214.html" TargetMode="External" Id="rId2033" /><Relationship Type="http://schemas.openxmlformats.org/officeDocument/2006/relationships/hyperlink" Target="https://www.sebi.gov.in/sebi_data/attachdocs/jul-2022/1658818653116.pdf" TargetMode="External" Id="rId2034" /><Relationship Type="http://schemas.openxmlformats.org/officeDocument/2006/relationships/hyperlink" Target="https://www.sebi.gov.in/filings/public-issues/jul-2022/sai-silk-kalamandir-limited-drhp_61175.html" TargetMode="External" Id="rId2035" /><Relationship Type="http://schemas.openxmlformats.org/officeDocument/2006/relationships/hyperlink" Target="https://www.business-standard.com/markets/ipo/sai-silks-kalamandir-ltd-ipo-34768" TargetMode="External" Id="rId2036" /><Relationship Type="http://schemas.openxmlformats.org/officeDocument/2006/relationships/hyperlink" Target="https://www.sebi.gov.in/sebi_data/attachdocs/jul-2022/1658137325541.PDF" TargetMode="External" Id="rId2037" /><Relationship Type="http://schemas.openxmlformats.org/officeDocument/2006/relationships/hyperlink" Target="https://www.sebi.gov.in/filings/public-issues/jul-2022/sula-vineyards-limited_60878.html" TargetMode="External" Id="rId2038" /><Relationship Type="http://schemas.openxmlformats.org/officeDocument/2006/relationships/hyperlink" Target="https://www.sebi.gov.in/sebi_data/attachdocs/jul-2022/1657860250451.pdf" TargetMode="External" Id="rId2039" /><Relationship Type="http://schemas.openxmlformats.org/officeDocument/2006/relationships/hyperlink" Target="https://www.sebi.gov.in/filings/public-issues/jul-2022/signature-global-india-limited-drhp_60808.html" TargetMode="External" Id="rId2040" /><Relationship Type="http://schemas.openxmlformats.org/officeDocument/2006/relationships/hyperlink" Target="https://www.sebi.gov.in/sebi_data/attachdocs/jul-2022/1657692732674.pdf" TargetMode="External" Id="rId2041" /><Relationship Type="http://schemas.openxmlformats.org/officeDocument/2006/relationships/hyperlink" Target="https://www.sebi.gov.in/filings/public-issues/jul-2022/sah-polymers-limited-corrigendum-to-draft-red-herring-prospectus_60756.html" TargetMode="External" Id="rId2042" /><Relationship Type="http://schemas.openxmlformats.org/officeDocument/2006/relationships/hyperlink" Target="https://www.sebi.gov.in/sebi_data/attachdocs/jul-2022/1657187215936.pdf" TargetMode="External" Id="rId2043" /><Relationship Type="http://schemas.openxmlformats.org/officeDocument/2006/relationships/hyperlink" Target="https://www.sebi.gov.in/filings/public-issues/jul-2022/mitsu-chem-plast-limited_60645.html" TargetMode="External" Id="rId2044" /><Relationship Type="http://schemas.openxmlformats.org/officeDocument/2006/relationships/hyperlink" Target="https://www.business-standard.com/markets/ipo/mitsu-chem-plast-ltd-ipo-68583" TargetMode="External" Id="rId2045" /><Relationship Type="http://schemas.openxmlformats.org/officeDocument/2006/relationships/hyperlink" Target="https://www.sebi.gov.in/sebi_data/attachdocs/jul-2022/1656669957126.PDF" TargetMode="External" Id="rId2046" /><Relationship Type="http://schemas.openxmlformats.org/officeDocument/2006/relationships/hyperlink" Target="https://www.sebi.gov.in/filings/public-issues/jul-2022/healthvista-india-limited-drhp_60506.html" TargetMode="External" Id="rId2047" /><Relationship Type="http://schemas.openxmlformats.org/officeDocument/2006/relationships/hyperlink" Target="https://www.business-standard.com/markets/ipo/healthvista-india-ltd-ipo-70164" TargetMode="External" Id="rId2048" /><Relationship Type="http://schemas.openxmlformats.org/officeDocument/2006/relationships/hyperlink" Target="https://www.sebi.gov.in/sebi_data/attachdocs/jul-2022/1656653167014.pdf" TargetMode="External" Id="rId2049" /><Relationship Type="http://schemas.openxmlformats.org/officeDocument/2006/relationships/hyperlink" Target="https://www.sebi.gov.in/filings/public-issues/jul-2022/concord-enviro-systems-limited_60500.html" TargetMode="External" Id="rId2050" /><Relationship Type="http://schemas.openxmlformats.org/officeDocument/2006/relationships/hyperlink" Target="https://www.chittorgarh.com/ipo/concord-enviro-ipo/1941/" TargetMode="External" Id="rId2051" /><Relationship Type="http://schemas.openxmlformats.org/officeDocument/2006/relationships/hyperlink" Target="https://www.sebi.gov.in/sebi_data/attachdocs/jun-2022/1656578776098.pdf" TargetMode="External" Id="rId2052" /><Relationship Type="http://schemas.openxmlformats.org/officeDocument/2006/relationships/hyperlink" Target="https://www.sebi.gov.in/filings/public-issues/jun-2022/innova-captab-limited-drhp_60404.html" TargetMode="External" Id="rId2053" /><Relationship Type="http://schemas.openxmlformats.org/officeDocument/2006/relationships/hyperlink" Target="https://www.sebi.gov.in/sebi_data/attachdocs/jun-2022/1656405876894.pdf" TargetMode="External" Id="rId2054" /><Relationship Type="http://schemas.openxmlformats.org/officeDocument/2006/relationships/hyperlink" Target="https://www.sebi.gov.in/filings/public-issues/jun-2022/allied-blenders-and-distillers-limited-drhp_60292.html" TargetMode="External" Id="rId2055" /><Relationship Type="http://schemas.openxmlformats.org/officeDocument/2006/relationships/hyperlink" Target="https://www.sebi.gov.in/sebi_data/attachdocs/jun-2022/1656400680973.pdf" TargetMode="External" Id="rId2056" /><Relationship Type="http://schemas.openxmlformats.org/officeDocument/2006/relationships/hyperlink" Target="https://www.sebi.gov.in/filings/public-issues/jun-2022/global-surfaces-limited_60289.html" TargetMode="External" Id="rId2057" /><Relationship Type="http://schemas.openxmlformats.org/officeDocument/2006/relationships/hyperlink" Target="https://www.sebi.gov.in/sebi_data/attachdocs/jun-2022/1656319694106.pdf" TargetMode="External" Id="rId2058" /><Relationship Type="http://schemas.openxmlformats.org/officeDocument/2006/relationships/hyperlink" Target="https://www.sebi.gov.in/filings/public-issues/jun-2022/corrigendum-to-drhp-of-plaza-wires-limited_60197.html" TargetMode="External" Id="rId2059" /><Relationship Type="http://schemas.openxmlformats.org/officeDocument/2006/relationships/hyperlink" Target="https://www.chittorgarh.com/ipo/plaza-wires-ipo/1539/" TargetMode="External" Id="rId2060" /><Relationship Type="http://schemas.openxmlformats.org/officeDocument/2006/relationships/hyperlink" Target="https://www.sebi.gov.in/sebi_data/attachdocs/jun-2022/1656308835091.PDF" TargetMode="External" Id="rId2061" /><Relationship Type="http://schemas.openxmlformats.org/officeDocument/2006/relationships/hyperlink" Target="https://www.sebi.gov.in/filings/public-issues/jun-2022/sah-polymers-limited-addendum-to-drhp_60146.html" TargetMode="External" Id="rId2062" /><Relationship Type="http://schemas.openxmlformats.org/officeDocument/2006/relationships/hyperlink" Target="https://www.sebi.gov.in/sebi_data/attachdocs/jun-2022/1655982257046.pdf" TargetMode="External" Id="rId2063" /><Relationship Type="http://schemas.openxmlformats.org/officeDocument/2006/relationships/hyperlink" Target="https://www.sebi.gov.in/filings/public-issues/jun-2022/global-health-limited-addendum-to-the-drhp-_59963.html" TargetMode="External" Id="rId2064" /><Relationship Type="http://schemas.openxmlformats.org/officeDocument/2006/relationships/hyperlink" Target="https://www.sebi.gov.in/sebi_data/attachdocs/jun-2022/1655876827634.pdf" TargetMode="External" Id="rId2065" /><Relationship Type="http://schemas.openxmlformats.org/officeDocument/2006/relationships/hyperlink" Target="https://www.sebi.gov.in/filings/public-issues/jun-2022/bharat-fih-limited-addendum-to-the-drhp_59903.html" TargetMode="External" Id="rId2066" /><Relationship Type="http://schemas.openxmlformats.org/officeDocument/2006/relationships/hyperlink" Target="https://www.business-standard.com/markets/ipo/bharat-fih-ltd-ipo-75553" TargetMode="External" Id="rId2067" /><Relationship Type="http://schemas.openxmlformats.org/officeDocument/2006/relationships/hyperlink" Target="https://www.sebi.gov.in/sebi_data/attachdocs/jun-2022/1655725396233.pdf" TargetMode="External" Id="rId2068" /><Relationship Type="http://schemas.openxmlformats.org/officeDocument/2006/relationships/hyperlink" Target="https://www.sebi.gov.in/filings/public-issues/jun-2022/stitched-textiles-limited_59831.html" TargetMode="External" Id="rId2069" /><Relationship Type="http://schemas.openxmlformats.org/officeDocument/2006/relationships/hyperlink" Target="https://www.5paisa.com/ipo/stitched-textiles-ltd-ipo" TargetMode="External" Id="rId2070" /><Relationship Type="http://schemas.openxmlformats.org/officeDocument/2006/relationships/hyperlink" Target="https://www.sebi.gov.in/sebi_data/attachdocs/jun-2022/1655725142192.pdf" TargetMode="External" Id="rId2071" /><Relationship Type="http://schemas.openxmlformats.org/officeDocument/2006/relationships/hyperlink" Target="https://www.sebi.gov.in/filings/public-issues/jun-2022/inox-green-energy-services-limited_59829.html" TargetMode="External" Id="rId2072" /><Relationship Type="http://schemas.openxmlformats.org/officeDocument/2006/relationships/hyperlink" Target="https://www.sebi.gov.in/sebi_data/attachdocs/jun-2022/1655459382467.pdf" TargetMode="External" Id="rId2073" /><Relationship Type="http://schemas.openxmlformats.org/officeDocument/2006/relationships/hyperlink" Target="https://www.sebi.gov.in/filings/public-issues/jun-2022/deltatech-gaming-limited-drhp_59791.html" TargetMode="External" Id="rId2074" /><Relationship Type="http://schemas.openxmlformats.org/officeDocument/2006/relationships/hyperlink" Target="https://www.5paisa.com/ipo/deltatech-gaming-ltd-ipo" TargetMode="External" Id="rId2075" /><Relationship Type="http://schemas.openxmlformats.org/officeDocument/2006/relationships/hyperlink" Target="https://www.sebi.gov.in/sebi_data/attachdocs/jun-2022/1655095999372.pdf" TargetMode="External" Id="rId2076" /><Relationship Type="http://schemas.openxmlformats.org/officeDocument/2006/relationships/hyperlink" Target="https://www.sebi.gov.in/filings/public-issues/jun-2022/keystone-realtors-limited-drhp_59686.html" TargetMode="External" Id="rId2077" /><Relationship Type="http://schemas.openxmlformats.org/officeDocument/2006/relationships/hyperlink" Target="https://www.sebi.gov.in/sebi_data/attachdocs/jun-2022/1654756574549.pdf" TargetMode="External" Id="rId2078" /><Relationship Type="http://schemas.openxmlformats.org/officeDocument/2006/relationships/hyperlink" Target="https://www.sebi.gov.in/filings/public-issues/jun-2022/five-star-business-finance-limited-addendum-to-the-drhp_59600.html" TargetMode="External" Id="rId2079" /><Relationship Type="http://schemas.openxmlformats.org/officeDocument/2006/relationships/hyperlink" Target="https://www.sebi.gov.in/sebi_data/attachdocs/jun-2022/1654085904201.pdf" TargetMode="External" Id="rId2080" /><Relationship Type="http://schemas.openxmlformats.org/officeDocument/2006/relationships/hyperlink" Target="https://www.sebi.gov.in/filings/public-issues/jun-2022/gemini-edibles-and-fats-india-limited-addendum-to-the-drhp-_59457.html" TargetMode="External" Id="rId2081" /><Relationship Type="http://schemas.openxmlformats.org/officeDocument/2006/relationships/hyperlink" Target="https://www.chittorgarh.com/ipo/gemini-edibles-fats-india-ipo/3238/" TargetMode="External" Id="rId2082" /><Relationship Type="http://schemas.openxmlformats.org/officeDocument/2006/relationships/hyperlink" Target="https://www.sebi.gov.in/sebi_data/attachdocs/may-2022/1653895122418.pdf" TargetMode="External" Id="rId2083" /><Relationship Type="http://schemas.openxmlformats.org/officeDocument/2006/relationships/hyperlink" Target="https://www.sebi.gov.in/filings/public-issues/may-2022/paymate-india-limited-drhp_59313.html" TargetMode="External" Id="rId2084" /><Relationship Type="http://schemas.openxmlformats.org/officeDocument/2006/relationships/hyperlink" Target="https://www.5paisa.com/ipo/paymate-india-ltd-ipo" TargetMode="External" Id="rId2085" /><Relationship Type="http://schemas.openxmlformats.org/officeDocument/2006/relationships/hyperlink" Target="https://www.sebi.gov.in/sebi_data/attachdocs/may-2022/1653371532879.PDF" TargetMode="External" Id="rId2086" /><Relationship Type="http://schemas.openxmlformats.org/officeDocument/2006/relationships/hyperlink" Target="https://www.sebi.gov.in/filings/public-issues/may-2022/addendum-to-drhp-of-fusion-micro-finance-limited_59119.html" TargetMode="External" Id="rId2087" /><Relationship Type="http://schemas.openxmlformats.org/officeDocument/2006/relationships/hyperlink" Target="https://www.chittorgarh.com/ipo/fusion-micro-finance-ipo/1331/" TargetMode="External" Id="rId2088" /><Relationship Type="http://schemas.openxmlformats.org/officeDocument/2006/relationships/hyperlink" Target="https://www.sebi.gov.in/sebi_data/attachdocs/may-2022/1652423343024.pdf" TargetMode="External" Id="rId2089" /><Relationship Type="http://schemas.openxmlformats.org/officeDocument/2006/relationships/hyperlink" Target="https://www.sebi.gov.in/filings/public-issues/may-2022/pristine-logistics-and-infraprojects-limited-drhp_58907.html" TargetMode="External" Id="rId2090" /><Relationship Type="http://schemas.openxmlformats.org/officeDocument/2006/relationships/hyperlink" Target="https://www.chittorgarh.com/ipo/pristine-logistics-infraprojects-ipo/3160/" TargetMode="External" Id="rId2091" /><Relationship Type="http://schemas.openxmlformats.org/officeDocument/2006/relationships/hyperlink" Target="https://www.sebi.gov.in/sebi_data/attachdocs/may-2022/1652349605720.pdf" TargetMode="External" Id="rId2092" /><Relationship Type="http://schemas.openxmlformats.org/officeDocument/2006/relationships/hyperlink" Target="https://www.sebi.gov.in/filings/public-issues/may-2022/firstmeridian-business-services-limited-drhp_58894.html" TargetMode="External" Id="rId2093" /><Relationship Type="http://schemas.openxmlformats.org/officeDocument/2006/relationships/hyperlink" Target="https://www.business-standard.com/markets/ipo/firstmeridian-business-services-ltd-ipo-76806" TargetMode="External" Id="rId2094" /><Relationship Type="http://schemas.openxmlformats.org/officeDocument/2006/relationships/hyperlink" Target="https://www.sebi.gov.in/sebi_data/attachdocs/may-2022/1652161383291.pdf" TargetMode="External" Id="rId2095" /><Relationship Type="http://schemas.openxmlformats.org/officeDocument/2006/relationships/hyperlink" Target="https://www.sebi.gov.in/filings/public-issues/may-2022/plaza-wires-limited_58799.html" TargetMode="External" Id="rId2096" /><Relationship Type="http://schemas.openxmlformats.org/officeDocument/2006/relationships/hyperlink" Target="https://www.sebi.gov.in/sebi_data/attachdocs/may-2022/1651746906727.pdf" TargetMode="External" Id="rId2097" /><Relationship Type="http://schemas.openxmlformats.org/officeDocument/2006/relationships/hyperlink" Target="https://www.sebi.gov.in/filings/public-issues/apr-2022/uniparts-india-ltd-drhp_58720.html" TargetMode="External" Id="rId2098" /><Relationship Type="http://schemas.openxmlformats.org/officeDocument/2006/relationships/hyperlink" Target="https://www.sebi.gov.in/sebi_data/attachdocs/apr-2022/1651122905344.PDF" TargetMode="External" Id="rId2099" /><Relationship Type="http://schemas.openxmlformats.org/officeDocument/2006/relationships/hyperlink" Target="https://www.sebi.gov.in/filings/public-issues/apr-2022/protean-egov-technologies-limited-addendum-to-the-drhp_58494.html" TargetMode="External" Id="rId2100" /><Relationship Type="http://schemas.openxmlformats.org/officeDocument/2006/relationships/hyperlink" Target="https://www.sebi.gov.in/sebi_data/attachdocs/apr-2022/1650949750064.pdf" TargetMode="External" Id="rId2101" /><Relationship Type="http://schemas.openxmlformats.org/officeDocument/2006/relationships/hyperlink" Target="https://www.sebi.gov.in/filings/public-issues/apr-2022/sah-polymers-limited-drhp_58383.html" TargetMode="External" Id="rId2102" /><Relationship Type="http://schemas.openxmlformats.org/officeDocument/2006/relationships/hyperlink" Target="https://www.sebi.gov.in/sebi_data/attachdocs/apr-2022/1650361305479.PDF" TargetMode="External" Id="rId2103" /><Relationship Type="http://schemas.openxmlformats.org/officeDocument/2006/relationships/hyperlink" Target="https://www.sebi.gov.in/filings/public-issues/apr-2022/prasol-chemicals-limited-drhp_58196.html" TargetMode="External" Id="rId2104" /><Relationship Type="http://schemas.openxmlformats.org/officeDocument/2006/relationships/hyperlink" Target="https://www.chittorgarh.com/ipo/prasol-chemicals-ipo/2775/" TargetMode="External" Id="rId2105" /><Relationship Type="http://schemas.openxmlformats.org/officeDocument/2006/relationships/hyperlink" Target="https://www.sebi.gov.in/sebi_data/attachdocs/apr-2022/1650279468468.PDF" TargetMode="External" Id="rId2106" /><Relationship Type="http://schemas.openxmlformats.org/officeDocument/2006/relationships/hyperlink" Target="https://www.sebi.gov.in/filings/public-issues/apr-2022/kaynes-technology-india-limited-drhp_58131.html" TargetMode="External" Id="rId2107" /><Relationship Type="http://schemas.openxmlformats.org/officeDocument/2006/relationships/hyperlink" Target="https://www.sebi.gov.in/sebi_data/attachdocs/apr-2022/1650272025516.pdf" TargetMode="External" Id="rId2108" /><Relationship Type="http://schemas.openxmlformats.org/officeDocument/2006/relationships/hyperlink" Target="https://www.sebi.gov.in/filings/public-issues/apr-2022/senco-gold-limited-drhp_58130.html" TargetMode="External" Id="rId2109" /><Relationship Type="http://schemas.openxmlformats.org/officeDocument/2006/relationships/hyperlink" Target="https://www.sebi.gov.in/sebi_data/attachdocs/apr-2022/1649740255603.pdf" TargetMode="External" Id="rId2110" /><Relationship Type="http://schemas.openxmlformats.org/officeDocument/2006/relationships/hyperlink" Target="https://www.sebi.gov.in/filings/public-issues/apr-2022/biba-fashion-limited-drhp_57967.html" TargetMode="External" Id="rId2111" /><Relationship Type="http://schemas.openxmlformats.org/officeDocument/2006/relationships/hyperlink" Target="https://www.sebi.gov.in/sebi_data/attachdocs/apr-2022/1649669575753.pdf" TargetMode="External" Id="rId2112" /><Relationship Type="http://schemas.openxmlformats.org/officeDocument/2006/relationships/hyperlink" Target="https://www.sebi.gov.in/filings/public-issues/apr-2022/gold-plus-glass-industry-limited-drhp_57911.html" TargetMode="External" Id="rId2113" /><Relationship Type="http://schemas.openxmlformats.org/officeDocument/2006/relationships/hyperlink" Target="https://www.chittorgarh.com/ipo/gold-plus-glass-industry-ipo/2458/" TargetMode="External" Id="rId2114" /><Relationship Type="http://schemas.openxmlformats.org/officeDocument/2006/relationships/hyperlink" Target="https://www.sebi.gov.in/sebi_data/attachdocs/apr-2022/1649222063715.pdf" TargetMode="External" Id="rId2115" /><Relationship Type="http://schemas.openxmlformats.org/officeDocument/2006/relationships/hyperlink" Target="https://www.sebi.gov.in/filings/public-issues/apr-2022/aadhar-housing-finance-limited-addendum_57639.html" TargetMode="External" Id="rId2116" /><Relationship Type="http://schemas.openxmlformats.org/officeDocument/2006/relationships/hyperlink" Target="https://www.chittorgarh.com/ipo/aadhar-housing-finance-ipo/1717/" TargetMode="External" Id="rId2117" /><Relationship Type="http://schemas.openxmlformats.org/officeDocument/2006/relationships/hyperlink" Target="https://www.sebi.gov.in/sebi_data/attachdocs/apr-2022/1649217556348.pdf" TargetMode="External" Id="rId2118" /><Relationship Type="http://schemas.openxmlformats.org/officeDocument/2006/relationships/hyperlink" Target="https://www.sebi.gov.in/filings/public-issues/apr-2022/dcx-systems-limited_57631.html" TargetMode="External" Id="rId2119" /><Relationship Type="http://schemas.openxmlformats.org/officeDocument/2006/relationships/hyperlink" Target="https://www.sebi.gov.in/sebi_data/attachdocs/apr-2022/1649149837349.pdf" TargetMode="External" Id="rId2120" /><Relationship Type="http://schemas.openxmlformats.org/officeDocument/2006/relationships/hyperlink" Target="https://www.sebi.gov.in/filings/public-issues/apr-2022/yatharth-hospital-and-trauma-care-services-limited_57585.html" TargetMode="External" Id="rId2121" /><Relationship Type="http://schemas.openxmlformats.org/officeDocument/2006/relationships/hyperlink" Target="https://www.sebi.gov.in/sebi_data/attachdocs/apr-2022/1649061896992.PDF" TargetMode="External" Id="rId2122" /><Relationship Type="http://schemas.openxmlformats.org/officeDocument/2006/relationships/hyperlink" Target="https://www.sebi.gov.in/filings/public-issues/apr-2022/kfin-technologies-limited_57539.html" TargetMode="External" Id="rId2123" /><Relationship Type="http://schemas.openxmlformats.org/officeDocument/2006/relationships/hyperlink" Target="https://www.sebi.gov.in/sebi_data/attachdocs/mar-2022/1648632326825.pdf" TargetMode="External" Id="rId2124" /><Relationship Type="http://schemas.openxmlformats.org/officeDocument/2006/relationships/hyperlink" Target="https://www.sebi.gov.in/filings/public-issues/mar-2022/hemani-industries-limited_57349.html" TargetMode="External" Id="rId2125" /><Relationship Type="http://schemas.openxmlformats.org/officeDocument/2006/relationships/hyperlink" Target="https://www.angelone.in/ipo/hemani-industries-ipo" TargetMode="External" Id="rId2126" /><Relationship Type="http://schemas.openxmlformats.org/officeDocument/2006/relationships/hyperlink" Target="https://www.sebi.gov.in/sebi_data/attachdocs/mar-2022/1648550617486.pdf" TargetMode="External" Id="rId2127" /><Relationship Type="http://schemas.openxmlformats.org/officeDocument/2006/relationships/hyperlink" Target="https://www.sebi.gov.in/filings/public-issues/mar-2022/gujarat-polysol-chemicals-limited_57298.html" TargetMode="External" Id="rId2128" /><Relationship Type="http://schemas.openxmlformats.org/officeDocument/2006/relationships/hyperlink" Target="https://www.5paisa.com/ipo/gujarat-polysol-chemicals-ipo" TargetMode="External" Id="rId2129" /><Relationship Type="http://schemas.openxmlformats.org/officeDocument/2006/relationships/hyperlink" Target="https://www.sebi.gov.in/sebi_data/attachdocs/mar-2022/1648451411816.pdf" TargetMode="External" Id="rId2130" /><Relationship Type="http://schemas.openxmlformats.org/officeDocument/2006/relationships/hyperlink" Target="https://www.sebi.gov.in/filings/public-issues/mar-2022/joyalukkas-india-limited_57219.html" TargetMode="External" Id="rId2131" /><Relationship Type="http://schemas.openxmlformats.org/officeDocument/2006/relationships/hyperlink" Target="https://www.business-standard.com/markets/ipo/joyalukkas-india-ltd-ipo-37998" TargetMode="External" Id="rId2132" /><Relationship Type="http://schemas.openxmlformats.org/officeDocument/2006/relationships/hyperlink" Target="https://www.sebi.gov.in/sebi_data/attachdocs/mar-2022/1648451219761.pdf" TargetMode="External" Id="rId2133" /><Relationship Type="http://schemas.openxmlformats.org/officeDocument/2006/relationships/hyperlink" Target="https://www.sebi.gov.in/filings/public-issues/mar-2022/yatra-online-limited_57218.html" TargetMode="External" Id="rId2134" /><Relationship Type="http://schemas.openxmlformats.org/officeDocument/2006/relationships/hyperlink" Target="https://www.sebi.gov.in/sebi_data/attachdocs/mar-2022/1648442915512.pdf" TargetMode="External" Id="rId2135" /><Relationship Type="http://schemas.openxmlformats.org/officeDocument/2006/relationships/hyperlink" Target="https://www.sebi.gov.in/filings/public-issues/mar-2022/hma-agro-industries-limited_57195.html" TargetMode="External" Id="rId2136" /><Relationship Type="http://schemas.openxmlformats.org/officeDocument/2006/relationships/hyperlink" Target="https://www.sebi.gov.in/sebi_data/attachdocs/mar-2022/1648118634631.pdf" TargetMode="External" Id="rId2137" /><Relationship Type="http://schemas.openxmlformats.org/officeDocument/2006/relationships/hyperlink" Target="https://www.sebi.gov.in/filings/public-issues/mar-2022/vikram-solar-limited-drhp_57110.html" TargetMode="External" Id="rId2138" /><Relationship Type="http://schemas.openxmlformats.org/officeDocument/2006/relationships/hyperlink" Target="https://www.chittorgarh.com/ipo/vikram-solar-ipo/2152/" TargetMode="External" Id="rId2139" /><Relationship Type="http://schemas.openxmlformats.org/officeDocument/2006/relationships/hyperlink" Target="https://www.sebi.gov.in/sebi_data/attachdocs/mar-2022/1648115477416.pdf" TargetMode="External" Id="rId2140" /><Relationship Type="http://schemas.openxmlformats.org/officeDocument/2006/relationships/hyperlink" Target="https://www.sebi.gov.in/filings/public-issues/mar-2022/pkh-ventures-limited_57108.html" TargetMode="External" Id="rId2141" /><Relationship Type="http://schemas.openxmlformats.org/officeDocument/2006/relationships/hyperlink" Target="https://www.chittorgarh.com/ipo/pkh-ventures-ipo/1448/" TargetMode="External" Id="rId2142" /><Relationship Type="http://schemas.openxmlformats.org/officeDocument/2006/relationships/hyperlink" Target="https://www.sebi.gov.in/sebi_data/attachdocs/mar-2022/1647922049984.pdf" TargetMode="External" Id="rId2143" /><Relationship Type="http://schemas.openxmlformats.org/officeDocument/2006/relationships/hyperlink" Target="https://www.sebi.gov.in/filings/public-issues/mar-2022/mukka-proteins-limited_57014.html" TargetMode="External" Id="rId2144" /><Relationship Type="http://schemas.openxmlformats.org/officeDocument/2006/relationships/hyperlink" Target="https://www.sebi.gov.in/sebi_data/attachdocs/mar-2022/1647520140209.PDF" TargetMode="External" Id="rId2145" /><Relationship Type="http://schemas.openxmlformats.org/officeDocument/2006/relationships/hyperlink" Target="https://www.sebi.gov.in/filings/public-issues/mar-2022/corrtech-international-limited_56996.html" TargetMode="External" Id="rId2146" /><Relationship Type="http://schemas.openxmlformats.org/officeDocument/2006/relationships/hyperlink" Target="https://www.5paisa.com/ipo/corrtech-international-ltd-ipo" TargetMode="External" Id="rId2147" /><Relationship Type="http://schemas.openxmlformats.org/officeDocument/2006/relationships/hyperlink" Target="https://www.sebi.gov.in/sebi_data/attachdocs/mar-2022/1647250417596.pdf" TargetMode="External" Id="rId2148" /><Relationship Type="http://schemas.openxmlformats.org/officeDocument/2006/relationships/hyperlink" Target="https://www.sebi.gov.in/filings/public-issues/mar-2022/navi-technologies-limited_56853.html" TargetMode="External" Id="rId2149" /><Relationship Type="http://schemas.openxmlformats.org/officeDocument/2006/relationships/hyperlink" Target="https://inc42.com/buzz/navi-restarts-ipo-preparations-eyes-launch-in-second-half-of-fy26/" TargetMode="External" Id="rId2150" /><Relationship Type="http://schemas.openxmlformats.org/officeDocument/2006/relationships/hyperlink" Target="https://www.sebi.gov.in/sebi_data/attachdocs/mar-2022/1646902016643.PDF" TargetMode="External" Id="rId2151" /><Relationship Type="http://schemas.openxmlformats.org/officeDocument/2006/relationships/hyperlink" Target="https://www.sebi.gov.in/filings/public-issues/mar-2022/ebixcash-limited_56719.html" TargetMode="External" Id="rId2152" /><Relationship Type="http://schemas.openxmlformats.org/officeDocument/2006/relationships/hyperlink" Target="https://www.religareonline.com/ipo/ebixcash-ipo" TargetMode="External" Id="rId2153" /><Relationship Type="http://schemas.openxmlformats.org/officeDocument/2006/relationships/hyperlink" Target="https://www.sebi.gov.in/sebi_data/attachdocs/mar-2022/1646821102490.PDF" TargetMode="External" Id="rId2154" /><Relationship Type="http://schemas.openxmlformats.org/officeDocument/2006/relationships/hyperlink" Target="https://www.sebi.gov.in/filings/public-issues/mar-2022/india-exposition-mart-limited_56684.html" TargetMode="External" Id="rId2155" /><Relationship Type="http://schemas.openxmlformats.org/officeDocument/2006/relationships/hyperlink" Target="https://www.chittorgarh.com/ipo/india-exposition-mart-ipo/3225/" TargetMode="External" Id="rId2156" /><Relationship Type="http://schemas.openxmlformats.org/officeDocument/2006/relationships/hyperlink" Target="https://www.sebi.gov.in/sebi_data/attachdocs/mar-2022/1646631081824.pdf" TargetMode="External" Id="rId2157" /><Relationship Type="http://schemas.openxmlformats.org/officeDocument/2006/relationships/hyperlink" Target="https://www.sebi.gov.in/filings/public-issues/mar-2022/suraj-estate-developers-limited-drhp_56639.html" TargetMode="External" Id="rId2158" /><Relationship Type="http://schemas.openxmlformats.org/officeDocument/2006/relationships/hyperlink" Target="https://www.sebi.gov.in/sebi_data/attachdocs/feb-2022/1645595502807.pdf" TargetMode="External" Id="rId2159" /><Relationship Type="http://schemas.openxmlformats.org/officeDocument/2006/relationships/hyperlink" Target="https://www.sebi.gov.in/filings/public-issues/feb-2022/bikaji-foods-international-limited_56321.html" TargetMode="External" Id="rId2160" /><Relationship Type="http://schemas.openxmlformats.org/officeDocument/2006/relationships/hyperlink" Target="https://www.sebi.gov.in/sebi_data/attachdocs/feb-2022/1645505802717.pdf" TargetMode="External" Id="rId2161" /><Relationship Type="http://schemas.openxmlformats.org/officeDocument/2006/relationships/hyperlink" Target="https://www.sebi.gov.in/filings/public-issues/feb-2022/fedbank-financial-services-limited_56273.html" TargetMode="External" Id="rId2162" /><Relationship Type="http://schemas.openxmlformats.org/officeDocument/2006/relationships/hyperlink" Target="https://www.sebi.gov.in/sebi_data/attachdocs/feb-2022/1645434836236.PDF" TargetMode="External" Id="rId2163" /><Relationship Type="http://schemas.openxmlformats.org/officeDocument/2006/relationships/hyperlink" Target="https://www.sebi.gov.in/filings/public-issues/feb-2022/archean-chemical-industries-limited_56255.html" TargetMode="External" Id="rId2164" /><Relationship Type="http://schemas.openxmlformats.org/officeDocument/2006/relationships/hyperlink" Target="https://www.sebi.gov.in/sebi_data/attachdocs/feb-2022/1644990054346.pdf" TargetMode="External" Id="rId2165" /><Relationship Type="http://schemas.openxmlformats.org/officeDocument/2006/relationships/hyperlink" Target="https://www.sebi.gov.in/filings/public-issues/feb-2022/life-insurance-corporation-of-india-corrigendum-to-drhp_56092.html" TargetMode="External" Id="rId2166" /><Relationship Type="http://schemas.openxmlformats.org/officeDocument/2006/relationships/hyperlink" Target="https://www.sebi.gov.in/sebi_data/attachdocs/feb-2022/1644925771350.PDF" TargetMode="External" Id="rId2167" /><Relationship Type="http://schemas.openxmlformats.org/officeDocument/2006/relationships/hyperlink" Target="https://www.sebi.gov.in/filings/public-issues/feb-2022/tvs-supply-chain-solutions-limited_56081.html" TargetMode="External" Id="rId2168" /><Relationship Type="http://schemas.openxmlformats.org/officeDocument/2006/relationships/hyperlink" Target="https://www.sebi.gov.in/sebi_data/attachdocs/feb-2022/1644915066679.PDF" TargetMode="External" Id="rId2169" /><Relationship Type="http://schemas.openxmlformats.org/officeDocument/2006/relationships/hyperlink" Target="https://www.sebi.gov.in/filings/public-issues/feb-2022/macleods-pharmaceuticals-limited_56072.html" TargetMode="External" Id="rId2170" /><Relationship Type="http://schemas.openxmlformats.org/officeDocument/2006/relationships/hyperlink" Target="https://www.5paisa.com/ipo/macleods-pharmaceuticals-ltd-ipo" TargetMode="External" Id="rId2171" /><Relationship Type="http://schemas.openxmlformats.org/officeDocument/2006/relationships/hyperlink" Target="https://www.sebi.gov.in/sebi_data/attachdocs/feb-2022/1644761029168.pdf" TargetMode="External" Id="rId2172" /><Relationship Type="http://schemas.openxmlformats.org/officeDocument/2006/relationships/hyperlink" Target="https://www.sebi.gov.in/filings/public-issues/feb-2022/life-insurance-corporation-of-india_56035.html" TargetMode="External" Id="rId2173" /><Relationship Type="http://schemas.openxmlformats.org/officeDocument/2006/relationships/hyperlink" Target="https://www.sebi.gov.in/sebi_data/attachdocs/feb-2022/1644577140463.pdf" TargetMode="External" Id="rId2174" /><Relationship Type="http://schemas.openxmlformats.org/officeDocument/2006/relationships/hyperlink" Target="https://www.sebi.gov.in/filings/public-issues/feb-2022/kids-clinic-india-limited_56011.html" TargetMode="External" Id="rId2175" /><Relationship Type="http://schemas.openxmlformats.org/officeDocument/2006/relationships/hyperlink" Target="https://www.business-standard.com/markets/ipo/kids-clinic-india-ltd-ipo-76485" TargetMode="External" Id="rId2176" /><Relationship Type="http://schemas.openxmlformats.org/officeDocument/2006/relationships/hyperlink" Target="https://www.sebi.gov.in/sebi_data/attachdocs/feb-2022/1644388324612.PDF" TargetMode="External" Id="rId2177" /><Relationship Type="http://schemas.openxmlformats.org/officeDocument/2006/relationships/hyperlink" Target="https://www.sebi.gov.in/filings/public-issues/feb-2022/cogent-e-services-limited_55966.html" TargetMode="External" Id="rId2178" /><Relationship Type="http://schemas.openxmlformats.org/officeDocument/2006/relationships/hyperlink" Target="https://www.5paisa.com/ipo/cogent-e-services-ltd-ipo" TargetMode="External" Id="rId2179" /><Relationship Type="http://schemas.openxmlformats.org/officeDocument/2006/relationships/hyperlink" Target="https://www.sebi.gov.in/sebi_data/attachdocs/feb-2022/1644388087350.pdf" TargetMode="External" Id="rId2180" /><Relationship Type="http://schemas.openxmlformats.org/officeDocument/2006/relationships/hyperlink" Target="https://www.sebi.gov.in/filings/public-issues/feb-2022/harsha-engineers-international-limited_55965.html" TargetMode="External" Id="rId2181" /><Relationship Type="http://schemas.openxmlformats.org/officeDocument/2006/relationships/hyperlink" Target="https://www.sebi.gov.in/sebi_data/attachdocs/feb-2022/1644320501889.pdf" TargetMode="External" Id="rId2182" /><Relationship Type="http://schemas.openxmlformats.org/officeDocument/2006/relationships/hyperlink" Target="https://www.sebi.gov.in/filings/public-issues/feb-2022/inox-green-energy-services-limited_55952.html" TargetMode="External" Id="rId2183" /><Relationship Type="http://schemas.openxmlformats.org/officeDocument/2006/relationships/hyperlink" Target="https://www.sebi.gov.in/sebi_data/attachdocs/feb-2022/1643704377168.pdf" TargetMode="External" Id="rId2184" /><Relationship Type="http://schemas.openxmlformats.org/officeDocument/2006/relationships/hyperlink" Target="https://www.sebi.gov.in/filings/public-issues/feb-2022/ethos-limited_55804.html" TargetMode="External" Id="rId2185" /><Relationship Type="http://schemas.openxmlformats.org/officeDocument/2006/relationships/hyperlink" Target="https://www.sebi.gov.in/sebi_data/attachdocs/jan-2022/1643625050275.pdf" TargetMode="External" Id="rId2186" /><Relationship Type="http://schemas.openxmlformats.org/officeDocument/2006/relationships/hyperlink" Target="https://www.sebi.gov.in/filings/public-issues/jan-2022/adani-wilmar-limited-corrigendum_55746.html" TargetMode="External" Id="rId2187" /><Relationship Type="http://schemas.openxmlformats.org/officeDocument/2006/relationships/hyperlink" Target="https://www.chittorgarh.com/ipo/adani-wilmar-ipo/1173/" TargetMode="External" Id="rId2188" /><Relationship Type="http://schemas.openxmlformats.org/officeDocument/2006/relationships/hyperlink" Target="https://www.sebi.gov.in/sebi_data/attachdocs/jan-2022/1643600980018.pdf" TargetMode="External" Id="rId2189" /><Relationship Type="http://schemas.openxmlformats.org/officeDocument/2006/relationships/hyperlink" Target="https://www.sebi.gov.in/filings/public-issues/jan-2022/dharmaj-crop-guard-limited_55731.html" TargetMode="External" Id="rId2190" /><Relationship Type="http://schemas.openxmlformats.org/officeDocument/2006/relationships/hyperlink" Target="https://www.sebi.gov.in/sebi_data/attachdocs/jan-2022/1643353844101.PDF" TargetMode="External" Id="rId2191" /><Relationship Type="http://schemas.openxmlformats.org/officeDocument/2006/relationships/hyperlink" Target="https://www.sebi.gov.in/filings/public-issues/jan-2022/imagine-marketing-limited_55666.html" TargetMode="External" Id="rId2192" /><Relationship Type="http://schemas.openxmlformats.org/officeDocument/2006/relationships/hyperlink" Target="https://www.chittorgarh.com/ipo/boat-ipo/2310/" TargetMode="External" Id="rId2193" /><Relationship Type="http://schemas.openxmlformats.org/officeDocument/2006/relationships/hyperlink" Target="https://www.sebi.gov.in/sebi_data/attachdocs/jan-2022/1643089255412.pdf" TargetMode="External" Id="rId2194" /><Relationship Type="http://schemas.openxmlformats.org/officeDocument/2006/relationships/hyperlink" Target="https://www.sebi.gov.in/filings/public-issues/jan-2022/fabindia-limited_55532.html" TargetMode="External" Id="rId2195" /><Relationship Type="http://schemas.openxmlformats.org/officeDocument/2006/relationships/hyperlink" Target="https://www.5paisa.com/ipo/fabindia-ltd-ipo" TargetMode="External" Id="rId2196" /><Relationship Type="http://schemas.openxmlformats.org/officeDocument/2006/relationships/hyperlink" Target="https://www.sebi.gov.in/sebi_data/attachdocs/jan-2022/1643024252581.PDF" TargetMode="External" Id="rId2197" /><Relationship Type="http://schemas.openxmlformats.org/officeDocument/2006/relationships/hyperlink" Target="https://www.sebi.gov.in/filings/public-issues/jan-2022/dreamfolks-services-limited_55509.html" TargetMode="External" Id="rId2198" /><Relationship Type="http://schemas.openxmlformats.org/officeDocument/2006/relationships/hyperlink" Target="https://www.sebi.gov.in/sebi_data/attachdocs/jan-2022/1643024168944.pdf" TargetMode="External" Id="rId2199" /><Relationship Type="http://schemas.openxmlformats.org/officeDocument/2006/relationships/hyperlink" Target="https://www.sebi.gov.in/filings/public-issues/jan-2022/nandan-terry-limited-corrigendum_55508.html" TargetMode="External" Id="rId2200" /><Relationship Type="http://schemas.openxmlformats.org/officeDocument/2006/relationships/hyperlink" Target="https://www.business-standard.com/markets/ipo/nandan-terry-ltd-ipo-75820" TargetMode="External" Id="rId2201" /><Relationship Type="http://schemas.openxmlformats.org/officeDocument/2006/relationships/hyperlink" Target="https://www.sebi.gov.in/sebi_data/attachdocs/jan-2022/1642660211430.pdf" TargetMode="External" Id="rId2202" /><Relationship Type="http://schemas.openxmlformats.org/officeDocument/2006/relationships/hyperlink" Target="https://www.sebi.gov.in/filings/public-issues/jan-2022/landmark-cars-limited_55417.html" TargetMode="External" Id="rId2203" /><Relationship Type="http://schemas.openxmlformats.org/officeDocument/2006/relationships/hyperlink" Target="https://www.sebi.gov.in/sebi_data/attachdocs/jan-2022/1641882492892.pdf" TargetMode="External" Id="rId2204" /><Relationship Type="http://schemas.openxmlformats.org/officeDocument/2006/relationships/hyperlink" Target="https://www.sebi.gov.in/filings/public-issues/jan-2022/sresta-natural-bioproducts-limited_55257.html" TargetMode="External" Id="rId2205" /><Relationship Type="http://schemas.openxmlformats.org/officeDocument/2006/relationships/hyperlink" Target="https://www.business-standard.com/markets/ipo/sresta-natural-bioproducts-ltd-ipo-66553" TargetMode="External" Id="rId2206" /><Relationship Type="http://schemas.openxmlformats.org/officeDocument/2006/relationships/hyperlink" Target="https://www.sebi.gov.in/sebi_data/attachdocs/may-2023/1684477689622.pdf" TargetMode="External" Id="rId2207" /><Relationship Type="http://schemas.openxmlformats.org/officeDocument/2006/relationships/hyperlink" Target="https://www.sebi.gov.in/filings/public-issues/jan-2022/sanathan-textiles-limited_55255.html" TargetMode="External" Id="rId2208" /><Relationship Type="http://schemas.openxmlformats.org/officeDocument/2006/relationships/hyperlink" Target="https://www.chittorgarh.com/ipo/sanathan-textiles-ipo/1940/" TargetMode="External" Id="rId2209" /><Relationship Type="http://schemas.openxmlformats.org/officeDocument/2006/relationships/hyperlink" Target="https://www.sebi.gov.in/sebi_data/attachdocs/apr-2023/1682055984160.pdf" TargetMode="External" Id="rId2210" /><Relationship Type="http://schemas.openxmlformats.org/officeDocument/2006/relationships/hyperlink" Target="https://www.sebi.gov.in/filings/public-issues/jan-2022/course5-intelligence-limited_55249.html" TargetMode="External" Id="rId2211" /><Relationship Type="http://schemas.openxmlformats.org/officeDocument/2006/relationships/hyperlink" Target="https://www.business-standard.com/markets/ipo/course5-intelligence-ltd-ipo-76399" TargetMode="External" Id="rId2212" /><Relationship Type="http://schemas.openxmlformats.org/officeDocument/2006/relationships/hyperlink" Target="https://www.sebi.gov.in/sebi_data/attachdocs/dec-2021/1640926829917.PDF" TargetMode="External" Id="rId2213" /><Relationship Type="http://schemas.openxmlformats.org/officeDocument/2006/relationships/hyperlink" Target="https://www.sebi.gov.in/filings/public-issues/dec-2021/aether-industries-limited_55116.html" TargetMode="External" Id="rId2214" /><Relationship Type="http://schemas.openxmlformats.org/officeDocument/2006/relationships/hyperlink" Target="https://www.sebi.gov.in/sebi_data/attachdocs/dec-2021/1640691609915.pdf" TargetMode="External" Id="rId2215" /><Relationship Type="http://schemas.openxmlformats.org/officeDocument/2006/relationships/hyperlink" Target="https://www.sebi.gov.in/filings/public-issues/dec-2021/rainbow-childrens-medicare-limited_55030.html" TargetMode="External" Id="rId2216" /><Relationship Type="http://schemas.openxmlformats.org/officeDocument/2006/relationships/hyperlink" Target="https://www.sebi.gov.in/sebi_data/attachdocs/dec-2021/1640667337266.PDF" TargetMode="External" Id="rId2217" /><Relationship Type="http://schemas.openxmlformats.org/officeDocument/2006/relationships/hyperlink" Target="https://www.sebi.gov.in/filings/public-issues/dec-2021/protean-egov-technologies-limited_55005.html" TargetMode="External" Id="rId2218" /><Relationship Type="http://schemas.openxmlformats.org/officeDocument/2006/relationships/hyperlink" Target="https://www.sebi.gov.in/sebi_data/attachdocs/may-2023/1684478101993.pdf" TargetMode="External" Id="rId2219" /><Relationship Type="http://schemas.openxmlformats.org/officeDocument/2006/relationships/hyperlink" Target="https://www.sebi.gov.in/filings/public-issues/dec-2021/campus-activewear-limited_54993.html" TargetMode="External" Id="rId2220" /><Relationship Type="http://schemas.openxmlformats.org/officeDocument/2006/relationships/hyperlink" Target="https://www.sebi.gov.in/sebi_data/attachdocs/dec-2021/1640598942536.pdf" TargetMode="External" Id="rId2221" /><Relationship Type="http://schemas.openxmlformats.org/officeDocument/2006/relationships/hyperlink" Target="https://www.sebi.gov.in/filings/public-issues/dec-2021/bharat-fih-limited_54984.html" TargetMode="External" Id="rId2222" /><Relationship Type="http://schemas.openxmlformats.org/officeDocument/2006/relationships/hyperlink" Target="https://www.business-standard.com/markets/ipo/bharat-fih-ltd-ipo-75553" TargetMode="External" Id="rId2223" /><Relationship Type="http://schemas.openxmlformats.org/officeDocument/2006/relationships/hyperlink" Target="https://www.sebi.gov.in/sebi_data/attachdocs/mar-2023/1680236774794.pdf" TargetMode="External" Id="rId2224" /><Relationship Type="http://schemas.openxmlformats.org/officeDocument/2006/relationships/hyperlink" Target="https://www.sebi.gov.in/filings/public-issues/dec-2021/venus-pipes-and-tubes-limited_54981.html" TargetMode="External" Id="rId2225" /><Relationship Type="http://schemas.openxmlformats.org/officeDocument/2006/relationships/hyperlink" Target="https://www.sebi.gov.in/sebi_data/attachdocs/apr-2023/1682056189212.pdf" TargetMode="External" Id="rId2226" /><Relationship Type="http://schemas.openxmlformats.org/officeDocument/2006/relationships/hyperlink" Target="https://www.sebi.gov.in/filings/public-issues/dec-2021/tbo-tek-limited_54978.html" TargetMode="External" Id="rId2227" /><Relationship Type="http://schemas.openxmlformats.org/officeDocument/2006/relationships/hyperlink" Target="https://www.chittorgarh.com/ipo/tbo-tek-ipo/1716/" TargetMode="External" Id="rId2228" /><Relationship Type="http://schemas.openxmlformats.org/officeDocument/2006/relationships/hyperlink" Target="https://www.sebi.gov.in/sebi_data/attachdocs/dec-2021/1640597265468.pdf" TargetMode="External" Id="rId2229" /><Relationship Type="http://schemas.openxmlformats.org/officeDocument/2006/relationships/hyperlink" Target="https://www.sebi.gov.in/filings/public-issues/dec-2021/capillary-technologies-india-limited_54977.html" TargetMode="External" Id="rId2230" /><Relationship Type="http://schemas.openxmlformats.org/officeDocument/2006/relationships/hyperlink" Target="https://www.business-standard.com/markets/ipo/capillary-technologies-india-ltd-ipo-76330" TargetMode="External" Id="rId2231" /><Relationship Type="http://schemas.openxmlformats.org/officeDocument/2006/relationships/hyperlink" Target="https://www.sebi.gov.in/sebi_data/attachdocs/apr-2023/1681708455360.pdf" TargetMode="External" Id="rId2232" /><Relationship Type="http://schemas.openxmlformats.org/officeDocument/2006/relationships/hyperlink" Target="https://www.sebi.gov.in/filings/public-issues/dec-2021/hexagon-nutrition-limited_54958.html" TargetMode="External" Id="rId2233" /><Relationship Type="http://schemas.openxmlformats.org/officeDocument/2006/relationships/hyperlink" Target="https://www.business-standard.com/markets/ipo/hexagon-nutrition-ltd-ipo-69779" TargetMode="External" Id="rId2234" /><Relationship Type="http://schemas.openxmlformats.org/officeDocument/2006/relationships/hyperlink" Target="https://www.sebi.gov.in/sebi_data/attachdocs/apr-2023/1682056359774.pdf" TargetMode="External" Id="rId2235" /><Relationship Type="http://schemas.openxmlformats.org/officeDocument/2006/relationships/hyperlink" Target="https://www.sebi.gov.in/filings/public-issues/dec-2021/asianet-satellite-communications-limited_54857.html" TargetMode="External" Id="rId2236" /><Relationship Type="http://schemas.openxmlformats.org/officeDocument/2006/relationships/hyperlink" Target="https://www.business-standard.com/markets/ipo/asianet-satellite-communication-ltd-ipo-20406" TargetMode="External" Id="rId2237" /><Relationship Type="http://schemas.openxmlformats.org/officeDocument/2006/relationships/hyperlink" Target="https://www.sebi.gov.in/sebi_data/attachdocs/dec-2021/1640066533522.pdf" TargetMode="External" Id="rId2238" /><Relationship Type="http://schemas.openxmlformats.org/officeDocument/2006/relationships/hyperlink" Target="https://www.sebi.gov.in/filings/public-issues/dec-2021/snapdeal-limited-drhp_54826.html" TargetMode="External" Id="rId2239" /><Relationship Type="http://schemas.openxmlformats.org/officeDocument/2006/relationships/hyperlink" Target="https://www.chittorgarh.com/ipo/snapdeal-ipo/2543/" TargetMode="External" Id="rId2240" /><Relationship Type="http://schemas.openxmlformats.org/officeDocument/2006/relationships/hyperlink" Target="https://www.sebi.gov.in/sebi_data/attachdocs/apr-2023/1681728325244.pdf" TargetMode="External" Id="rId2241" /><Relationship Type="http://schemas.openxmlformats.org/officeDocument/2006/relationships/hyperlink" Target="https://www.sebi.gov.in/filings/public-issues/dec-2021/syrma-sgs-technology-limited_54635.html" TargetMode="External" Id="rId2242" /><Relationship Type="http://schemas.openxmlformats.org/officeDocument/2006/relationships/hyperlink" Target="https://www.sebi.gov.in/sebi_data/attachdocs/jun-2023/1687844703232.pdf" TargetMode="External" Id="rId2243" /><Relationship Type="http://schemas.openxmlformats.org/officeDocument/2006/relationships/hyperlink" Target="https://www.sebi.gov.in/filings/public-issues/dec-2021/nandan-terry-limited_54588.html" TargetMode="External" Id="rId2244" /><Relationship Type="http://schemas.openxmlformats.org/officeDocument/2006/relationships/hyperlink" Target="https://www.business-standard.com/markets/ipo/nandan-terry-ltd-ipo-75820" TargetMode="External" Id="rId2245" /><Relationship Type="http://schemas.openxmlformats.org/officeDocument/2006/relationships/hyperlink" Target="https://www.sebi.gov.in/sebi_data/attachdocs/may-2023/1684478880364.pdf" TargetMode="External" Id="rId2246" /><Relationship Type="http://schemas.openxmlformats.org/officeDocument/2006/relationships/hyperlink" Target="https://www.sebi.gov.in/filings/public-issues/dec-2021/maini-precision-products-ltd_54615.html" TargetMode="External" Id="rId2247" /><Relationship Type="http://schemas.openxmlformats.org/officeDocument/2006/relationships/hyperlink" Target="https://www.business-standard.com/markets/ipo/maini-precision-products-ltd-ipo-15381" TargetMode="External" Id="rId2248" /><Relationship Type="http://schemas.openxmlformats.org/officeDocument/2006/relationships/hyperlink" Target="https://www.sebi.gov.in/sebi_data/attachdocs/dec-2021/1639117458686.pdf" TargetMode="External" Id="rId2249" /><Relationship Type="http://schemas.openxmlformats.org/officeDocument/2006/relationships/hyperlink" Target="https://www.sebi.gov.in/filings/public-issues/dec-2021/cmr-green-technologies-limited-addendum-cum-corrigendum_54525.html" TargetMode="External" Id="rId2250" /><Relationship Type="http://schemas.openxmlformats.org/officeDocument/2006/relationships/hyperlink" Target="https://www.business-standard.com/markets/ipo/cmr-green-technologies-ltd-ipo-32473" TargetMode="External" Id="rId2251" /><Relationship Type="http://schemas.openxmlformats.org/officeDocument/2006/relationships/hyperlink" Target="https://www.sebi.gov.in/sebi_data/attachdocs/dec-2021/1639044167121.pdf" TargetMode="External" Id="rId2252" /><Relationship Type="http://schemas.openxmlformats.org/officeDocument/2006/relationships/hyperlink" Target="https://www.sebi.gov.in/filings/public-issues/dec-2021/jk-files-and-engineering-limited_54514.html" TargetMode="External" Id="rId2253" /><Relationship Type="http://schemas.openxmlformats.org/officeDocument/2006/relationships/hyperlink" Target="https://www.business-standard.com/markets/ipo/jk-files-engineering-ltd-ipo-42996" TargetMode="External" Id="rId2254" /><Relationship Type="http://schemas.openxmlformats.org/officeDocument/2006/relationships/hyperlink" Target="https://www.sebi.gov.in/sebi_data/attachdocs/may-2023/1684478187166.pdf" TargetMode="External" Id="rId2255" /><Relationship Type="http://schemas.openxmlformats.org/officeDocument/2006/relationships/hyperlink" Target="https://www.sebi.gov.in/filings/public-issues/nov-2021/jesons-industries-limited-drhp_54222.html" TargetMode="External" Id="rId2256" /><Relationship Type="http://schemas.openxmlformats.org/officeDocument/2006/relationships/hyperlink" Target="https://www.business-standard.com/markets/ipo/jesons-industries-ltd-ipo-27109" TargetMode="External" Id="rId2257" /><Relationship Type="http://schemas.openxmlformats.org/officeDocument/2006/relationships/hyperlink" Target="https://www.sebi.gov.in/sebi_data/attachdocs/nov-2021/1637659122113.pdf" TargetMode="External" Id="rId2258" /><Relationship Type="http://schemas.openxmlformats.org/officeDocument/2006/relationships/hyperlink" Target="https://www.sebi.gov.in/filings/public-issues/nov-2021/go-airlines-india-limited-second-addendum-to-the-drhp_54128.html" TargetMode="External" Id="rId2259" /><Relationship Type="http://schemas.openxmlformats.org/officeDocument/2006/relationships/hyperlink" Target="https://www.5paisa.com/ipo/go-airlines-india-ltd-ipo" TargetMode="External" Id="rId2260" /><Relationship Type="http://schemas.openxmlformats.org/officeDocument/2006/relationships/hyperlink" Target="https://www.sebi.gov.in/sebi_data/attachdocs/nov-2021/1637573093024.pdf" TargetMode="External" Id="rId2261" /><Relationship Type="http://schemas.openxmlformats.org/officeDocument/2006/relationships/hyperlink" Target="https://www.sebi.gov.in/filings/public-issues/nov-2021/adani-wilmar-limited-corrigendum_54098.html" TargetMode="External" Id="rId2262" /><Relationship Type="http://schemas.openxmlformats.org/officeDocument/2006/relationships/hyperlink" Target="https://www.sebi.gov.in/sebi_data/attachdocs/apr-2023/1682057447460.pdf" TargetMode="External" Id="rId2263" /><Relationship Type="http://schemas.openxmlformats.org/officeDocument/2006/relationships/hyperlink" Target="https://www.sebi.gov.in/filings/public-issues/nov-2021/elin-electronics-limited_54076.html" TargetMode="External" Id="rId2264" /><Relationship Type="http://schemas.openxmlformats.org/officeDocument/2006/relationships/hyperlink" Target="https://www.sebi.gov.in/sebi_data/attachdocs/may-2023/1683610115492.pdf" TargetMode="External" Id="rId2265" /><Relationship Type="http://schemas.openxmlformats.org/officeDocument/2006/relationships/hyperlink" Target="https://www.sebi.gov.in/filings/public-issues/nov-2021/droom-technology-limited_53946.html" TargetMode="External" Id="rId2266" /><Relationship Type="http://schemas.openxmlformats.org/officeDocument/2006/relationships/hyperlink" Target="https://www.business-standard.com/markets/ipo/droom-technology-ltd-ipo-69759" TargetMode="External" Id="rId2267" /><Relationship Type="http://schemas.openxmlformats.org/officeDocument/2006/relationships/hyperlink" Target="https://www.sebi.gov.in/sebi_data/attachdocs/apr-2023/1681727908413.pdf" TargetMode="External" Id="rId2268" /><Relationship Type="http://schemas.openxmlformats.org/officeDocument/2006/relationships/hyperlink" Target="https://www.sebi.gov.in/filings/public-issues/nov-2021/emudhra-limited_53934.html" TargetMode="External" Id="rId2269" /><Relationship Type="http://schemas.openxmlformats.org/officeDocument/2006/relationships/hyperlink" Target="https://www.sebi.gov.in/sebi_data/attachdocs/may-2023/1684485971694.pdf" TargetMode="External" Id="rId2270" /><Relationship Type="http://schemas.openxmlformats.org/officeDocument/2006/relationships/hyperlink" Target="https://www.sebi.gov.in/filings/public-issues/nov-2021/five-star-business-finance-limited_53885.html" TargetMode="External" Id="rId2271" /><Relationship Type="http://schemas.openxmlformats.org/officeDocument/2006/relationships/hyperlink" Target="https://www.sebi.gov.in/sebi_data/attachdocs/apr-2023/1681124791057.pdf" TargetMode="External" Id="rId2272" /><Relationship Type="http://schemas.openxmlformats.org/officeDocument/2006/relationships/hyperlink" Target="https://www.sebi.gov.in/filings/public-issues/nov-2021/veranda-learning-solutions-limited_53868.html" TargetMode="External" Id="rId2273" /><Relationship Type="http://schemas.openxmlformats.org/officeDocument/2006/relationships/hyperlink" Target="https://www.sebi.gov.in/sebi_data/attachdocs/nov-2021/1636605933124.pdf" TargetMode="External" Id="rId2274" /><Relationship Type="http://schemas.openxmlformats.org/officeDocument/2006/relationships/hyperlink" Target="https://www.sebi.gov.in/filings/public-issues/nov-2021/api-holdings-limited-ipo-drhp_53850.html" TargetMode="External" Id="rId2275" /><Relationship Type="http://schemas.openxmlformats.org/officeDocument/2006/relationships/hyperlink" Target="https://www.business-standard.com/markets/ipo/api-holdings-ltd-ipo-76195" TargetMode="External" Id="rId2276" /><Relationship Type="http://schemas.openxmlformats.org/officeDocument/2006/relationships/hyperlink" Target="https://www.sebi.gov.in/sebi_data/attachdocs/nov-2021/1636527663772.pdf" TargetMode="External" Id="rId2277" /><Relationship Type="http://schemas.openxmlformats.org/officeDocument/2006/relationships/hyperlink" Target="https://www.sebi.gov.in/filings/public-issues/nov-2021/go-airlines-india-limited-addendum-to-drhp_53827.html" TargetMode="External" Id="rId2278" /><Relationship Type="http://schemas.openxmlformats.org/officeDocument/2006/relationships/hyperlink" Target="https://www.5paisa.com/ipo/go-airlines-india-ltd-ipo" TargetMode="External" Id="rId2279" /><Relationship Type="http://schemas.openxmlformats.org/officeDocument/2006/relationships/hyperlink" Target="https://www.sebi.gov.in/sebi_data/attachdocs/nov-2021/1635921144635.pdf" TargetMode="External" Id="rId2280" /><Relationship Type="http://schemas.openxmlformats.org/officeDocument/2006/relationships/hyperlink" Target="https://www.sebi.gov.in/filings/public-issues/nov-2021/delhivery-limited_53741.html" TargetMode="External" Id="rId2281" /><Relationship Type="http://schemas.openxmlformats.org/officeDocument/2006/relationships/hyperlink" Target="https://www.sebi.gov.in/sebi_data/attachdocs/jun-2023/1687844519514.pdf" TargetMode="External" Id="rId2282" /><Relationship Type="http://schemas.openxmlformats.org/officeDocument/2006/relationships/hyperlink" Target="https://www.sebi.gov.in/filings/public-issues/nov-2021/capital-small-finance-bank-limited_53666.html" TargetMode="External" Id="rId2283" /><Relationship Type="http://schemas.openxmlformats.org/officeDocument/2006/relationships/hyperlink" Target="https://www.chittorgarh.com/ipo/capital-sfb-ipo/1641/" TargetMode="External" Id="rId2284" /><Relationship Type="http://schemas.openxmlformats.org/officeDocument/2006/relationships/hyperlink" Target="https://www.sebi.gov.in/sebi_data/attachdocs/apr-2023/1681728121033.PDF" TargetMode="External" Id="rId2285" /><Relationship Type="http://schemas.openxmlformats.org/officeDocument/2006/relationships/hyperlink" Target="https://www.sebi.gov.in/filings/public-issues/oct-2021/gpt-healthcare-limited_53315.html" TargetMode="External" Id="rId2286" /><Relationship Type="http://schemas.openxmlformats.org/officeDocument/2006/relationships/hyperlink" Target="https://www.chittorgarh.com/ipo/gpt-healthcare-ipo/1655/" TargetMode="External" Id="rId2287" /><Relationship Type="http://schemas.openxmlformats.org/officeDocument/2006/relationships/hyperlink" Target="https://www.sebi.gov.in/sebi_data/attachdocs/apr-2023/1681729285497.pdf" TargetMode="External" Id="rId2288" /><Relationship Type="http://schemas.openxmlformats.org/officeDocument/2006/relationships/hyperlink" Target="https://www.sebi.gov.in/filings/public-issues/oct-2021/radiant-cash-management-services-limited_53262.html" TargetMode="External" Id="rId2289" /><Relationship Type="http://schemas.openxmlformats.org/officeDocument/2006/relationships/hyperlink" Target="https://www.sebi.gov.in/sebi_data/attachdocs/oct-2021/1634115848881.pdf" TargetMode="External" Id="rId2290" /><Relationship Type="http://schemas.openxmlformats.org/officeDocument/2006/relationships/hyperlink" Target="https://www.sebi.gov.in/filings/public-issues/oct-2021/easing-of-operational-procedure_53257.html" TargetMode="External" Id="rId2291" /><Relationship Type="http://schemas.openxmlformats.org/officeDocument/2006/relationships/hyperlink" Target="https://www.sebi.gov.in/sebi_data/attachdocs/oct-2021/1633086336012.pdf" TargetMode="External" Id="rId2292" /><Relationship Type="http://schemas.openxmlformats.org/officeDocument/2006/relationships/hyperlink" Target="https://www.sebi.gov.in/filings/public-issues/oct-2021/oravel-stays-limited_53084.html" TargetMode="External" Id="rId2293" /><Relationship Type="http://schemas.openxmlformats.org/officeDocument/2006/relationships/hyperlink" Target="https://www.chittorgarh.com/ipo/oyo-ipo/2843/" TargetMode="External" Id="rId2294" /><Relationship Type="http://schemas.openxmlformats.org/officeDocument/2006/relationships/hyperlink" Target="https://www.sebi.gov.in/sebi_data/attachdocs/may-2023/1683610288276.pdf" TargetMode="External" Id="rId2295" /><Relationship Type="http://schemas.openxmlformats.org/officeDocument/2006/relationships/hyperlink" Target="https://www.sebi.gov.in/filings/public-issues/oct-2021/bvg-india-limited_53072.html" TargetMode="External" Id="rId2296" /><Relationship Type="http://schemas.openxmlformats.org/officeDocument/2006/relationships/hyperlink" Target="https://www.chittorgarh.com/ipo/bvg-india-ipo/2684/" TargetMode="External" Id="rId2297" /><Relationship Type="http://schemas.openxmlformats.org/officeDocument/2006/relationships/hyperlink" Target="https://www.sebi.gov.in/sebi_data/attachdocs/oct-2021/1633068598567.pdf" TargetMode="External" Id="rId2298" /><Relationship Type="http://schemas.openxmlformats.org/officeDocument/2006/relationships/hyperlink" Target="https://www.sebi.gov.in/filings/public-issues/oct-2021/uma-exports-limited_53071.html" TargetMode="External" Id="rId2299" /><Relationship Type="http://schemas.openxmlformats.org/officeDocument/2006/relationships/hyperlink" Target="https://www.sebi.gov.in/sebi_data/attachdocs/oct-2021/1633066313151.pdf" TargetMode="External" Id="rId2300" /><Relationship Type="http://schemas.openxmlformats.org/officeDocument/2006/relationships/hyperlink" Target="https://www.sebi.gov.in/filings/public-issues/oct-2021/wellness-forever-medicare-limited_53070.html" TargetMode="External" Id="rId2301" /><Relationship Type="http://schemas.openxmlformats.org/officeDocument/2006/relationships/hyperlink" Target="https://www.business-standard.com/markets/ipo/wellness-forever-medicare-ltd-ipo-71843" TargetMode="External" Id="rId2302" /><Relationship Type="http://schemas.openxmlformats.org/officeDocument/2006/relationships/hyperlink" Target="https://www.sebi.gov.in/sebi_data/attachdocs/oct-2021/1633065250451.pdf" TargetMode="External" Id="rId2303" /><Relationship Type="http://schemas.openxmlformats.org/officeDocument/2006/relationships/hyperlink" Target="https://www.sebi.gov.in/filings/public-issues/oct-2021/pkh-ventures-limited_53069.html" TargetMode="External" Id="rId2304" /><Relationship Type="http://schemas.openxmlformats.org/officeDocument/2006/relationships/hyperlink" Target="https://www.chittorgarh.com/ipo/pkh-ventures-ipo/1448/" TargetMode="External" Id="rId2305" /><Relationship Type="http://schemas.openxmlformats.org/officeDocument/2006/relationships/hyperlink" Target="https://www.sebi.gov.in/sebi_data/attachdocs/sep-2021/1632991079985.pdf" TargetMode="External" Id="rId2306" /><Relationship Type="http://schemas.openxmlformats.org/officeDocument/2006/relationships/hyperlink" Target="https://www.sebi.gov.in/filings/public-issues/sep-2021/global-health-limited_53030.html" TargetMode="External" Id="rId2307" /><Relationship Type="http://schemas.openxmlformats.org/officeDocument/2006/relationships/hyperlink" Target="https://www.sebi.gov.in/sebi_data/attachdocs/sep-2021/1632978355924.pdf" TargetMode="External" Id="rId2308" /><Relationship Type="http://schemas.openxmlformats.org/officeDocument/2006/relationships/hyperlink" Target="https://www.sebi.gov.in/filings/public-issues/sep-2021/abans-holdings-limited_53019.html" TargetMode="External" Id="rId2309" /><Relationship Type="http://schemas.openxmlformats.org/officeDocument/2006/relationships/hyperlink" Target="https://www.sebi.gov.in/sebi_data/attachdocs/apr-2023/1682057747724.PDF" TargetMode="External" Id="rId2310" /><Relationship Type="http://schemas.openxmlformats.org/officeDocument/2006/relationships/hyperlink" Target="https://www.sebi.gov.in/filings/public-issues/sep-2021/sahajanand-medical-technologies-limited_52996.html" TargetMode="External" Id="rId2311" /><Relationship Type="http://schemas.openxmlformats.org/officeDocument/2006/relationships/hyperlink" Target="https://www.chittorgarh.com/ipo/sahajanand-medical-technologies-ipo/2550/" TargetMode="External" Id="rId2312" /><Relationship Type="http://schemas.openxmlformats.org/officeDocument/2006/relationships/hyperlink" Target="https://www.sebi.gov.in/sebi_data/attachdocs/sep-2021/1632912125249.pdf" TargetMode="External" Id="rId2313" /><Relationship Type="http://schemas.openxmlformats.org/officeDocument/2006/relationships/hyperlink" Target="https://www.sebi.gov.in/filings/public-issues/sep-2021/veeda-clinical-research-limited_52985.html" TargetMode="External" Id="rId2314" /><Relationship Type="http://schemas.openxmlformats.org/officeDocument/2006/relationships/hyperlink" Target="https://www.business-standard.com/markets/ipo/veeda-clinical-research-ltd-ipo-67701" TargetMode="External" Id="rId2315" /><Relationship Type="http://schemas.openxmlformats.org/officeDocument/2006/relationships/hyperlink" Target="https://www.sebi.gov.in/sebi_data/attachdocs/apr-2023/1682058378328.PDF" TargetMode="External" Id="rId2316" /><Relationship Type="http://schemas.openxmlformats.org/officeDocument/2006/relationships/hyperlink" Target="https://www.sebi.gov.in/filings/public-issues/sep-2021/waaree-energies-limited_52983.html" TargetMode="External" Id="rId2317" /><Relationship Type="http://schemas.openxmlformats.org/officeDocument/2006/relationships/hyperlink" Target="https://www.business-standard.com/markets/ipo/waaree-energies-ltd-ipo-39763" TargetMode="External" Id="rId2318" /><Relationship Type="http://schemas.openxmlformats.org/officeDocument/2006/relationships/hyperlink" Target="https://www.sebi.gov.in/sebi_data/attachdocs/apr-2023/1682057845662.PDF" TargetMode="External" Id="rId2319" /><Relationship Type="http://schemas.openxmlformats.org/officeDocument/2006/relationships/hyperlink" Target="https://www.sebi.gov.in/filings/public-issues/sep-2021/lava-international-limited_52980.html" TargetMode="External" Id="rId2320" /><Relationship Type="http://schemas.openxmlformats.org/officeDocument/2006/relationships/hyperlink" Target="https://www.business-standard.com/article/markets/sebi-returns-lava-intl-s-draft-ipo-papers-asks-to-refile-with-updates-123011700495_1.html" TargetMode="External" Id="rId2321" /><Relationship Type="http://schemas.openxmlformats.org/officeDocument/2006/relationships/hyperlink" Target="https://www.sebi.gov.in/sebi_data/attachdocs/may-2023/1683610487738.pdf" TargetMode="External" Id="rId2322" /><Relationship Type="http://schemas.openxmlformats.org/officeDocument/2006/relationships/hyperlink" Target="https://www.sebi.gov.in/filings/public-issues/sep-2021/cmr-green-technologies-limited_52979.html" TargetMode="External" Id="rId2323" /><Relationship Type="http://schemas.openxmlformats.org/officeDocument/2006/relationships/hyperlink" Target="https://www.business-standard.com/markets/ipo/cmr-green-technologies-ltd-ipo-32473" TargetMode="External" Id="rId2324" /><Relationship Type="http://schemas.openxmlformats.org/officeDocument/2006/relationships/hyperlink" Target="https://www.sebi.gov.in/sebi_data/attachdocs/apr-2023/1681713289967.pdf" TargetMode="External" Id="rId2325" /><Relationship Type="http://schemas.openxmlformats.org/officeDocument/2006/relationships/hyperlink" Target="https://www.sebi.gov.in/filings/public-issues/sep-2021/godavari-biorefineries-limited_52933.html" TargetMode="External" Id="rId2326" /><Relationship Type="http://schemas.openxmlformats.org/officeDocument/2006/relationships/hyperlink" Target="https://www.business-standard.com/markets/ipo/godavari-biorefineries-ltd-ipo-40541" TargetMode="External" Id="rId2327" /><Relationship Type="http://schemas.openxmlformats.org/officeDocument/2006/relationships/hyperlink" Target="https://www.sebi.gov.in/sebi_data/attachdocs/apr-2023/1681726875378.pdf" TargetMode="External" Id="rId2328" /><Relationship Type="http://schemas.openxmlformats.org/officeDocument/2006/relationships/hyperlink" Target="https://www.sebi.gov.in/filings/public-issues/sep-2021/electronics-mart-india-limited_52760.html" TargetMode="External" Id="rId2329" /><Relationship Type="http://schemas.openxmlformats.org/officeDocument/2006/relationships/hyperlink" Target="https://www.sebi.gov.in/sebi_data/attachdocs/may-2023/1684483816065.pdf" TargetMode="External" Id="rId2330" /><Relationship Type="http://schemas.openxmlformats.org/officeDocument/2006/relationships/hyperlink" Target="https://www.sebi.gov.in/filings/public-issues/sep-2021/data-patterns-india-limited_52759.html" TargetMode="External" Id="rId2331" /><Relationship Type="http://schemas.openxmlformats.org/officeDocument/2006/relationships/hyperlink" Target="https://www.sebi.gov.in/sebi_data/attachdocs/sep-2021/1632208724120.pdf" TargetMode="External" Id="rId2332" /><Relationship Type="http://schemas.openxmlformats.org/officeDocument/2006/relationships/hyperlink" Target="https://www.sebi.gov.in/filings/public-issues/sep-2021/puranik-builders-limited_52737.html" TargetMode="External" Id="rId2333" /><Relationship Type="http://schemas.openxmlformats.org/officeDocument/2006/relationships/hyperlink" Target="https://www.business-standard.com/markets/ipo/puranik-builders-ltd-ipo-66783" TargetMode="External" Id="rId2334" /><Relationship Type="http://schemas.openxmlformats.org/officeDocument/2006/relationships/hyperlink" Target="https://www.sebi.gov.in/sebi_data/attachdocs/apr-2023/1681727033745.pdf" TargetMode="External" Id="rId2335" /><Relationship Type="http://schemas.openxmlformats.org/officeDocument/2006/relationships/hyperlink" Target="https://www.sebi.gov.in/filings/public-issues/sep-2021/hariom-pipe-industries-limited_52718.html" TargetMode="External" Id="rId2336" /><Relationship Type="http://schemas.openxmlformats.org/officeDocument/2006/relationships/hyperlink" Target="https://www.sebi.gov.in/sebi_data/attachdocs/apr-2023/1682060315396.pdf" TargetMode="External" Id="rId2337" /><Relationship Type="http://schemas.openxmlformats.org/officeDocument/2006/relationships/hyperlink" Target="https://www.sebi.gov.in/filings/public-issues/sep-2021/vedant-fashions-limited_52555.html" TargetMode="External" Id="rId2338" /><Relationship Type="http://schemas.openxmlformats.org/officeDocument/2006/relationships/hyperlink" Target="https://www.sebi.gov.in/sebi_data/attachdocs/sep-2021/1631013990540.PDF" TargetMode="External" Id="rId2339" /><Relationship Type="http://schemas.openxmlformats.org/officeDocument/2006/relationships/hyperlink" Target="https://www.sebi.gov.in/filings/public-issues/sep-2021/healthium-medtech-limited-drhp_52453.html" TargetMode="External" Id="rId2340" /><Relationship Type="http://schemas.openxmlformats.org/officeDocument/2006/relationships/hyperlink" Target="https://www.business-standard.com/markets/ipo/healthium-medtech-ltd-ipo-38807" TargetMode="External" Id="rId2341" /><Relationship Type="http://schemas.openxmlformats.org/officeDocument/2006/relationships/hyperlink" Target="https://www.sebi.gov.in/sebi_data/attachdocs/sep-2021/1631013813872.pdf" TargetMode="External" Id="rId2342" /><Relationship Type="http://schemas.openxmlformats.org/officeDocument/2006/relationships/hyperlink" Target="https://www.sebi.gov.in/filings/public-issues/sep-2021/india1-payments-limited-drhp_52451.html" TargetMode="External" Id="rId2343" /><Relationship Type="http://schemas.openxmlformats.org/officeDocument/2006/relationships/hyperlink" Target="https://www.business-standard.com/markets/ipo/india1-payments-ltd-ipo-74893" TargetMode="External" Id="rId2344" /><Relationship Type="http://schemas.openxmlformats.org/officeDocument/2006/relationships/hyperlink" Target="https://www.sebi.gov.in/sebi_data/attachdocs/sep-2021/1630994629026.pdf" TargetMode="External" Id="rId2345" /><Relationship Type="http://schemas.openxmlformats.org/officeDocument/2006/relationships/hyperlink" Target="https://www.sebi.gov.in/filings/public-issues/sep-2021/tamilnad-mercantile-bank-limited_52434.html" TargetMode="External" Id="rId2346" /><Relationship Type="http://schemas.openxmlformats.org/officeDocument/2006/relationships/hyperlink" Target="https://www.sebi.gov.in/sebi_data/attachdocs/apr-2023/1682058494706.pdf" TargetMode="External" Id="rId2347" /><Relationship Type="http://schemas.openxmlformats.org/officeDocument/2006/relationships/hyperlink" Target="https://www.sebi.gov.in/filings/public-issues/sep-2021/esds-software-solutions-limited_52398.html" TargetMode="External" Id="rId2348" /><Relationship Type="http://schemas.openxmlformats.org/officeDocument/2006/relationships/hyperlink" Target="https://www.business-standard.com/markets/ipo/esds-software-solution-ltd-ipo-71185" TargetMode="External" Id="rId2349" /><Relationship Type="http://schemas.openxmlformats.org/officeDocument/2006/relationships/hyperlink" Target="https://www.sebi.gov.in/sebi_data/attachdocs/sep-2021/1630664390458.pdf" TargetMode="External" Id="rId2350" /><Relationship Type="http://schemas.openxmlformats.org/officeDocument/2006/relationships/hyperlink" Target="https://www.sebi.gov.in/filings/public-issues/sep-2021/d-k-enterprises-global-limited_52364.html" TargetMode="External" Id="rId2351" /><Relationship Type="http://schemas.openxmlformats.org/officeDocument/2006/relationships/hyperlink" Target="https://www.sebi.gov.in/sebi_data/attachdocs/sep-2021/1630660650926.pdf" TargetMode="External" Id="rId2352" /><Relationship Type="http://schemas.openxmlformats.org/officeDocument/2006/relationships/hyperlink" Target="https://www.sebi.gov.in/filings/public-issues/sep-2021/avyukta-dairy-products-limited_52362.html" TargetMode="External" Id="rId2353" /><Relationship Type="http://schemas.openxmlformats.org/officeDocument/2006/relationships/hyperlink" Target="https://www.business-standard.com/markets/ipo/avyukta-dairy-products-ltd-ipo-75899" TargetMode="External" Id="rId2354" /><Relationship Type="http://schemas.openxmlformats.org/officeDocument/2006/relationships/hyperlink" Target="https://www.sebi.gov.in/sebi_data/attachdocs/apr-2023/1682059822787.pdf" TargetMode="External" Id="rId2355" /><Relationship Type="http://schemas.openxmlformats.org/officeDocument/2006/relationships/hyperlink" Target="https://www.sebi.gov.in/filings/public-issues/sep-2021/c-e-info-systems-limited-drhp_52321.html" TargetMode="External" Id="rId2356" /><Relationship Type="http://schemas.openxmlformats.org/officeDocument/2006/relationships/hyperlink" Target="https://www.sebi.gov.in/sebi_data/attachdocs/sep-2021/1630484305586.pdf" TargetMode="External" Id="rId2357" /><Relationship Type="http://schemas.openxmlformats.org/officeDocument/2006/relationships/hyperlink" Target="https://www.sebi.gov.in/filings/public-issues/sep-2021/aditya-birla-sun-life-amc-corrigendum-to-drhp_52304.html" TargetMode="External" Id="rId2358" /><Relationship Type="http://schemas.openxmlformats.org/officeDocument/2006/relationships/hyperlink" Target="https://www.sebi.gov.in/sebi_data/attachdocs/sep-2021/1630484205106.pdf" TargetMode="External" Id="rId2359" /><Relationship Type="http://schemas.openxmlformats.org/officeDocument/2006/relationships/hyperlink" Target="https://www.sebi.gov.in/filings/public-issues/sep-2021/infinion-biopharma-limited_52303.html" TargetMode="External" Id="rId2360" /><Relationship Type="http://schemas.openxmlformats.org/officeDocument/2006/relationships/hyperlink" Target="https://www.business-standard.com/markets/ipo/infinion-biopharma-ltd-ipo-75880" TargetMode="External" Id="rId2361" /><Relationship Type="http://schemas.openxmlformats.org/officeDocument/2006/relationships/hyperlink" Target="https://www.sebi.gov.in/sebi_data/attachdocs/aug-2021/1630066435746.pdf" TargetMode="External" Id="rId2362" /><Relationship Type="http://schemas.openxmlformats.org/officeDocument/2006/relationships/hyperlink" Target="https://www.sebi.gov.in/filings/public-issues/aug-2021/maximus-international-limited_52143.html" TargetMode="External" Id="rId2363" /><Relationship Type="http://schemas.openxmlformats.org/officeDocument/2006/relationships/hyperlink" Target="https://www.business-standard.com/markets/ipo/maximus-international-ltd-ipo-69821" TargetMode="External" Id="rId2364" /><Relationship Type="http://schemas.openxmlformats.org/officeDocument/2006/relationships/hyperlink" Target="https://www.sebi.gov.in/sebi_data/attachdocs/may-2023/1683093571163.pdf" TargetMode="External" Id="rId2365" /><Relationship Type="http://schemas.openxmlformats.org/officeDocument/2006/relationships/hyperlink" Target="https://www.sebi.gov.in/filings/public-issues/aug-2021/prudent-corporate-advisory-services-limited_52022.html" TargetMode="External" Id="rId2366" /><Relationship Type="http://schemas.openxmlformats.org/officeDocument/2006/relationships/hyperlink" Target="https://www.sebi.gov.in/sebi_data/attachdocs/apr-2023/1681886073770.pdf" TargetMode="External" Id="rId2367" /><Relationship Type="http://schemas.openxmlformats.org/officeDocument/2006/relationships/hyperlink" Target="https://www.sebi.gov.in/filings/public-issues/aug-2021/metro-brands-limited_52009.html" TargetMode="External" Id="rId2368" /><Relationship Type="http://schemas.openxmlformats.org/officeDocument/2006/relationships/hyperlink" Target="https://www.sebi.gov.in/sebi_data/attachdocs/may-2023/1683612171593.pdf" TargetMode="External" Id="rId2369" /><Relationship Type="http://schemas.openxmlformats.org/officeDocument/2006/relationships/hyperlink" Target="https://www.sebi.gov.in/filings/public-issues/aug-2021/ags-transact-technologies-limited_51981.html" TargetMode="External" Id="rId2370" /><Relationship Type="http://schemas.openxmlformats.org/officeDocument/2006/relationships/hyperlink" Target="https://www.sebi.gov.in/sebi_data/attachdocs/apr-2023/1681883610977.pdf" TargetMode="External" Id="rId2371" /><Relationship Type="http://schemas.openxmlformats.org/officeDocument/2006/relationships/hyperlink" Target="https://www.sebi.gov.in/filings/public-issues/aug-2021/emcure-pharmaceuticals-limited_51971.html" TargetMode="External" Id="rId2372" /><Relationship Type="http://schemas.openxmlformats.org/officeDocument/2006/relationships/hyperlink" Target="https://www.chittorgarh.com/ipo/emcure-pharma-ipo/1766/" TargetMode="External" Id="rId2373" /><Relationship Type="http://schemas.openxmlformats.org/officeDocument/2006/relationships/hyperlink" Target="https://www.sebi.gov.in/sebi_data/attachdocs/apr-2023/1681883356106.pdf" TargetMode="External" Id="rId2374" /><Relationship Type="http://schemas.openxmlformats.org/officeDocument/2006/relationships/hyperlink" Target="https://www.sebi.gov.in/filings/public-issues/aug-2021/medplus-health-services-limited_51966.html" TargetMode="External" Id="rId2375" /><Relationship Type="http://schemas.openxmlformats.org/officeDocument/2006/relationships/hyperlink" Target="https://www.sebi.gov.in/sebi_data/attachdocs/aug-2021/1629284268385.pdf" TargetMode="External" Id="rId2376" /><Relationship Type="http://schemas.openxmlformats.org/officeDocument/2006/relationships/hyperlink" Target="https://www.sebi.gov.in/filings/public-issues/aug-2021/sterlite-power-transmissions-limited-drhp_51956.html" TargetMode="External" Id="rId2377" /><Relationship Type="http://schemas.openxmlformats.org/officeDocument/2006/relationships/hyperlink" Target="https://www.sterliteelectric.com/press-release/sterlite-power-transmission-limited-alters-strategic-plans" TargetMode="External" Id="rId2378" /><Relationship Type="http://schemas.openxmlformats.org/officeDocument/2006/relationships/hyperlink" Target="https://www.sebi.gov.in/sebi_data/attachdocs/apr-2023/1681883056051.pdf" TargetMode="External" Id="rId2379" /><Relationship Type="http://schemas.openxmlformats.org/officeDocument/2006/relationships/hyperlink" Target="https://www.sebi.gov.in/filings/public-issues/aug-2021/tega-industries-limited-drhp_51954.html" TargetMode="External" Id="rId2380" /><Relationship Type="http://schemas.openxmlformats.org/officeDocument/2006/relationships/hyperlink" Target="https://www.sebi.gov.in/sebi_data/attachdocs/aug-2021/1629278801573.pdf" TargetMode="External" Id="rId2381" /><Relationship Type="http://schemas.openxmlformats.org/officeDocument/2006/relationships/hyperlink" Target="https://www.sebi.gov.in/filings/public-issues/aug-2021/rategain-travel-technologies-limited_51940.html" TargetMode="External" Id="rId2382" /><Relationship Type="http://schemas.openxmlformats.org/officeDocument/2006/relationships/hyperlink" Target="https://www.sebi.gov.in/sebi_data/attachdocs/apr-2023/1681883512747.pdf" TargetMode="External" Id="rId2383" /><Relationship Type="http://schemas.openxmlformats.org/officeDocument/2006/relationships/hyperlink" Target="https://www.sebi.gov.in/filings/public-issues/aug-2021/inspira-enterprise-india-limited_51934.html" TargetMode="External" Id="rId2384" /><Relationship Type="http://schemas.openxmlformats.org/officeDocument/2006/relationships/hyperlink" Target="https://www.business-standard.com/markets/ipo/inspira-enterprise-india-ltd-ipo-75821" TargetMode="External" Id="rId2385" /><Relationship Type="http://schemas.openxmlformats.org/officeDocument/2006/relationships/hyperlink" Target="https://www.sebi.gov.in/sebi_data/attachdocs/aug-2021/1629264527205.pdf" TargetMode="External" Id="rId2386" /><Relationship Type="http://schemas.openxmlformats.org/officeDocument/2006/relationships/hyperlink" Target="https://www.sebi.gov.in/filings/public-issues/aug-2021/aditya-birla-sun-life-amc-addendum-to-drhp_51930.html" TargetMode="External" Id="rId2387" /><Relationship Type="http://schemas.openxmlformats.org/officeDocument/2006/relationships/hyperlink" Target="https://www.sebi.gov.in/sebi_data/attachdocs/apr-2023/1681728022374.pdf" TargetMode="External" Id="rId2388" /><Relationship Type="http://schemas.openxmlformats.org/officeDocument/2006/relationships/hyperlink" Target="https://www.sebi.gov.in/filings/public-issues/aug-2021/tracxn-technologies-limited_51961.html" TargetMode="External" Id="rId2389" /><Relationship Type="http://schemas.openxmlformats.org/officeDocument/2006/relationships/hyperlink" Target="https://www.sebi.gov.in/sebi_data/attachdocs/may-2023/1683091160982.pdf" TargetMode="External" Id="rId2390" /><Relationship Type="http://schemas.openxmlformats.org/officeDocument/2006/relationships/hyperlink" Target="https://www.sebi.gov.in/filings/public-issues/aug-2021/vlcc-health-care-limited_51901.html" TargetMode="External" Id="rId2391" /><Relationship Type="http://schemas.openxmlformats.org/officeDocument/2006/relationships/hyperlink" Target="https://www.businessinsider.in/business/corporates/news/carlyle-group-acquires-majority-stake-in-vlcc-a-beauty-and-wellness-chain-which-was-headed-for-an-ipo/articleshow/96880486.cms" TargetMode="External" Id="rId2392" /><Relationship Type="http://schemas.openxmlformats.org/officeDocument/2006/relationships/hyperlink" Target="https://www.sebi.gov.in/sebi_data/attachdocs/may-2023/1685435181878.pdf" TargetMode="External" Id="rId2393" /><Relationship Type="http://schemas.openxmlformats.org/officeDocument/2006/relationships/hyperlink" Target="https://www.sebi.gov.in/filings/public-issues/aug-2021/go-fashion-india-limited-drhp_51887.html" TargetMode="External" Id="rId2394" /><Relationship Type="http://schemas.openxmlformats.org/officeDocument/2006/relationships/hyperlink" Target="https://www.sebi.gov.in/sebi_data/attachdocs/aug-2021/1629175422290.pdf" TargetMode="External" Id="rId2395" /><Relationship Type="http://schemas.openxmlformats.org/officeDocument/2006/relationships/hyperlink" Target="https://www.sebi.gov.in/filings/public-issues/aug-2021/paradeep-phosphates-limited_51883.html" TargetMode="External" Id="rId2396" /><Relationship Type="http://schemas.openxmlformats.org/officeDocument/2006/relationships/hyperlink" Target="https://www.sebi.gov.in/sebi_data/attachdocs/aug-2021/1629174551568.pdf" TargetMode="External" Id="rId2397" /><Relationship Type="http://schemas.openxmlformats.org/officeDocument/2006/relationships/hyperlink" Target="https://www.sebi.gov.in/filings/public-issues/aug-2021/cms-info-systems-limited-drhp_51874.html" TargetMode="External" Id="rId2398" /><Relationship Type="http://schemas.openxmlformats.org/officeDocument/2006/relationships/hyperlink" Target="https://www.sebi.gov.in/sebi_data/attachdocs/apr-2023/1681883825138.pdf" TargetMode="External" Id="rId2399" /><Relationship Type="http://schemas.openxmlformats.org/officeDocument/2006/relationships/hyperlink" Target="https://www.sebi.gov.in/filings/public-issues/aug-2021/latent-view-analytics-limited_51900.html" TargetMode="External" Id="rId2400" /><Relationship Type="http://schemas.openxmlformats.org/officeDocument/2006/relationships/hyperlink" Target="https://www.sebi.gov.in/sebi_data/attachdocs/aug-2021/1628842822688.pdf" TargetMode="External" Id="rId2401" /><Relationship Type="http://schemas.openxmlformats.org/officeDocument/2006/relationships/hyperlink" Target="https://www.sebi.gov.in/filings/public-issues/aug-2021/le-travenues-technology-limited-drhp_51830.html" TargetMode="External" Id="rId2402" /><Relationship Type="http://schemas.openxmlformats.org/officeDocument/2006/relationships/hyperlink" Target="https://www.chittorgarh.com/ipo/ixigo-ipo/1742/" TargetMode="External" Id="rId2403" /><Relationship Type="http://schemas.openxmlformats.org/officeDocument/2006/relationships/hyperlink" Target="https://www.sebi.gov.in/sebi_data/attachdocs/aug-2021/1628744638556.pdf" TargetMode="External" Id="rId2404" /><Relationship Type="http://schemas.openxmlformats.org/officeDocument/2006/relationships/hyperlink" Target="https://www.sebi.gov.in/filings/public-issues/aug-2021/sapphire-foods-india-limited-drhp_51813.html" TargetMode="External" Id="rId2405" /><Relationship Type="http://schemas.openxmlformats.org/officeDocument/2006/relationships/hyperlink" Target="https://www.sebi.gov.in/sebi_data/attachdocs/aug-2021/1628655252340.pdf" TargetMode="External" Id="rId2406" /><Relationship Type="http://schemas.openxmlformats.org/officeDocument/2006/relationships/hyperlink" Target="https://www.sebi.gov.in/filings/public-issues/aug-2021/easing-of-operational-procedure_51777.html" TargetMode="External" Id="rId2407" /><Relationship Type="http://schemas.openxmlformats.org/officeDocument/2006/relationships/hyperlink" Target="https://www.sebi.gov.in/sebi_data/attachdocs/may-2023/1683090800507.pdf" TargetMode="External" Id="rId2408" /><Relationship Type="http://schemas.openxmlformats.org/officeDocument/2006/relationships/hyperlink" Target="https://www.sebi.gov.in/filings/public-issues/aug-2021/tarsons-products-limited_51774.html" TargetMode="External" Id="rId2409" /><Relationship Type="http://schemas.openxmlformats.org/officeDocument/2006/relationships/hyperlink" Target="https://www.sebi.gov.in/sebi_data/attachdocs/aug-2021/1628654919955.pdf" TargetMode="External" Id="rId2410" /><Relationship Type="http://schemas.openxmlformats.org/officeDocument/2006/relationships/hyperlink" Target="https://www.sebi.gov.in/filings/public-issues/aug-2021/sigachi-industries-limited_51775.html" TargetMode="External" Id="rId2411" /><Relationship Type="http://schemas.openxmlformats.org/officeDocument/2006/relationships/hyperlink" Target="https://www.sebi.gov.in/sebi_data/attachdocs/may-2023/1684478703627.pdf" TargetMode="External" Id="rId2412" /><Relationship Type="http://schemas.openxmlformats.org/officeDocument/2006/relationships/hyperlink" Target="https://www.sebi.gov.in/filings/public-issues/aug-2021/keventer-agro-limited-drhp_51756.html" TargetMode="External" Id="rId2413" /><Relationship Type="http://schemas.openxmlformats.org/officeDocument/2006/relationships/hyperlink" Target="https://www.angelone.in/news/keventer-agro-files-drhp-with-sebi-to-float-its-ipo" TargetMode="External" Id="rId2414" /><Relationship Type="http://schemas.openxmlformats.org/officeDocument/2006/relationships/hyperlink" Target="https://www.sebi.gov.in/sebi_data/attachdocs/may-2023/1684485520346.PDF" TargetMode="External" Id="rId2415" /><Relationship Type="http://schemas.openxmlformats.org/officeDocument/2006/relationships/hyperlink" Target="https://www.sebi.gov.in/filings/public-issues/aug-2021/fusion-micro-finance-limited_51753.html" TargetMode="External" Id="rId2416" /><Relationship Type="http://schemas.openxmlformats.org/officeDocument/2006/relationships/hyperlink" Target="https://www.sebi.gov.in/sebi_data/attachdocs/apr-2023/1681881260338.PDF" TargetMode="External" Id="rId2417" /><Relationship Type="http://schemas.openxmlformats.org/officeDocument/2006/relationships/hyperlink" Target="https://www.sebi.gov.in/filings/public-issues/aug-2021/gemini-edibles-and-fats-india-limited-drhp_51728.html" TargetMode="External" Id="rId2418" /><Relationship Type="http://schemas.openxmlformats.org/officeDocument/2006/relationships/hyperlink" Target="https://www.chittorgarh.com/ipo/gemini-edibles-fats-india-ipo/3238/" TargetMode="External" Id="rId2419" /><Relationship Type="http://schemas.openxmlformats.org/officeDocument/2006/relationships/hyperlink" Target="https://www.sebi.gov.in/sebi_data/attachdocs/apr-2023/1681881395807.pdf" TargetMode="External" Id="rId2420" /><Relationship Type="http://schemas.openxmlformats.org/officeDocument/2006/relationships/hyperlink" Target="https://www.sebi.gov.in/filings/public-issues/aug-2021/popular-vehicles-and-services-limited_51669.html" TargetMode="External" Id="rId2421" /><Relationship Type="http://schemas.openxmlformats.org/officeDocument/2006/relationships/hyperlink" Target="https://www.sebi.gov.in/sebi_data/attachdocs/aug-2021/1627982722189.PDF" TargetMode="External" Id="rId2422" /><Relationship Type="http://schemas.openxmlformats.org/officeDocument/2006/relationships/hyperlink" Target="https://www.sebi.gov.in/filings/public-issues/aug-2021/adani-wilmar-limited_51577.html" TargetMode="External" Id="rId2423" /><Relationship Type="http://schemas.openxmlformats.org/officeDocument/2006/relationships/hyperlink" Target="https://www.sebi.gov.in/sebi_data/attachdocs/aug-2021/1627980678999.pdf" TargetMode="External" Id="rId2424" /><Relationship Type="http://schemas.openxmlformats.org/officeDocument/2006/relationships/hyperlink" Target="https://www.sebi.gov.in/filings/public-issues/aug-2021/fsn-e-commerce-ventures-limited_51574.html" TargetMode="External" Id="rId2425" /><Relationship Type="http://schemas.openxmlformats.org/officeDocument/2006/relationships/hyperlink" Target="https://www.sebi.gov.in/sebi_data/attachdocs/aug-2021/1627894921606.pdf" TargetMode="External" Id="rId2426" /><Relationship Type="http://schemas.openxmlformats.org/officeDocument/2006/relationships/hyperlink" Target="https://www.sebi.gov.in/filings/public-issues/aug-2021/pb-fintech-limited-drhp_51551.html" TargetMode="External" Id="rId2427" /><Relationship Type="http://schemas.openxmlformats.org/officeDocument/2006/relationships/hyperlink" Target="https://www.sebi.gov.in/sebi_data/attachdocs/aug-2021/1627879493797.pdf" TargetMode="External" Id="rId2428" /><Relationship Type="http://schemas.openxmlformats.org/officeDocument/2006/relationships/hyperlink" Target="https://www.sebi.gov.in/filings/public-issues/aug-2021/fino-payments-bank-limited-drhp_51537.html" TargetMode="External" Id="rId2429" /><Relationship Type="http://schemas.openxmlformats.org/officeDocument/2006/relationships/hyperlink" Target="https://www.sebi.gov.in/sebi_data/attachdocs/apr-2023/1681881733916.PDF" TargetMode="External" Id="rId2430" /><Relationship Type="http://schemas.openxmlformats.org/officeDocument/2006/relationships/hyperlink" Target="https://www.sebi.gov.in/filings/public-issues/jul-2021/sjs-enterprises-limited-drhp_51425.html" TargetMode="External" Id="rId2431" /><Relationship Type="http://schemas.openxmlformats.org/officeDocument/2006/relationships/hyperlink" Target="https://www.sebi.gov.in/sebi_data/attachdocs/jul-2021/1627281939111.pdf" TargetMode="External" Id="rId2432" /><Relationship Type="http://schemas.openxmlformats.org/officeDocument/2006/relationships/hyperlink" Target="https://www.sebi.gov.in/filings/public-issues/jul-2021/esaf-small-finance-bank-limited-drhp_51383.html" TargetMode="External" Id="rId2433" /><Relationship Type="http://schemas.openxmlformats.org/officeDocument/2006/relationships/hyperlink" Target="https://www.chittorgarh.com/ipo/esaf-small-finance-bank-ipo/1553/" TargetMode="External" Id="rId2434" /><Relationship Type="http://schemas.openxmlformats.org/officeDocument/2006/relationships/hyperlink" Target="https://www.sebi.gov.in/sebi_data/attachdocs/jul-2021/1627036206572.pdf" TargetMode="External" Id="rId2435" /><Relationship Type="http://schemas.openxmlformats.org/officeDocument/2006/relationships/hyperlink" Target="https://www.sebi.gov.in/filings/public-issues/jul-2021/star-health-and-allied-insurance-company-limited-drhp_51323.html" TargetMode="External" Id="rId2436" /><Relationship Type="http://schemas.openxmlformats.org/officeDocument/2006/relationships/hyperlink" Target="https://www.sebi.gov.in/sebi_data/attachdocs/apr-2023/1681710901338.pdf" TargetMode="External" Id="rId2437" /><Relationship Type="http://schemas.openxmlformats.org/officeDocument/2006/relationships/hyperlink" Target="https://www.sebi.gov.in/filings/public-issues/jul-2021/anand-rathi-wealth-limited_51249.html" TargetMode="External" Id="rId2438" /><Relationship Type="http://schemas.openxmlformats.org/officeDocument/2006/relationships/hyperlink" Target="https://www.sebi.gov.in/sebi_data/attachdocs/may-2023/1684478374985.pdf" TargetMode="External" Id="rId2439" /><Relationship Type="http://schemas.openxmlformats.org/officeDocument/2006/relationships/hyperlink" Target="https://www.sebi.gov.in/filings/public-issues/jul-2021/chemspec-chemicals-limited_51232.html" TargetMode="External" Id="rId2440" /><Relationship Type="http://schemas.openxmlformats.org/officeDocument/2006/relationships/hyperlink" Target="https://www.business-standard.com/article/markets/chemspec-chemicals-northern-arc-capital-get-sebi-s-nod-to-float-ipo-121090600885_1.html" TargetMode="External" Id="rId2441" /><Relationship Type="http://schemas.openxmlformats.org/officeDocument/2006/relationships/hyperlink" Target="https://www.sebi.gov.in/sebi_data/attachdocs/jul-2021/1626680438413.pdf" TargetMode="External" Id="rId2442" /><Relationship Type="http://schemas.openxmlformats.org/officeDocument/2006/relationships/hyperlink" Target="https://www.sebi.gov.in/filings/public-issues/jul-2021/hp-adhesives-limited_51229.html" TargetMode="External" Id="rId2443" /><Relationship Type="http://schemas.openxmlformats.org/officeDocument/2006/relationships/hyperlink" Target="https://www.sebi.gov.in/sebi_data/attachdocs/jul-2021/1626426805246.pdf" TargetMode="External" Id="rId2444" /><Relationship Type="http://schemas.openxmlformats.org/officeDocument/2006/relationships/hyperlink" Target="https://www.sebi.gov.in/filings/public-issues/jul-2021/one-97-communications-limited_51156.html" TargetMode="External" Id="rId2445" /><Relationship Type="http://schemas.openxmlformats.org/officeDocument/2006/relationships/hyperlink" Target="https://www.sebi.gov.in/sebi_data/attachdocs/jul-2021/1626414845763.PDF" TargetMode="External" Id="rId2446" /><Relationship Type="http://schemas.openxmlformats.org/officeDocument/2006/relationships/hyperlink" Target="https://www.sebi.gov.in/filings/public-issues/jul-2021/northern-arc-capital-limited_51118.html" TargetMode="External" Id="rId2447" /><Relationship Type="http://schemas.openxmlformats.org/officeDocument/2006/relationships/hyperlink" Target="https://www.chittorgarh.com/ipo/northern-arc-capital-ipo/1855/" TargetMode="External" Id="rId2448" /><Relationship Type="http://schemas.openxmlformats.org/officeDocument/2006/relationships/hyperlink" Target="https://www.sebi.gov.in/sebi_data/attachdocs/may-2023/1683091053319.pdf" TargetMode="External" Id="rId2449" /><Relationship Type="http://schemas.openxmlformats.org/officeDocument/2006/relationships/hyperlink" Target="https://www.sebi.gov.in/filings/public-issues/jul-2021/one-mobikwik-systems-limited_51019.html" TargetMode="External" Id="rId2450" /><Relationship Type="http://schemas.openxmlformats.org/officeDocument/2006/relationships/hyperlink" Target="https://www.chittorgarh.com/ipo/mobikwik-ipo/1928/" TargetMode="External" Id="rId2451" /><Relationship Type="http://schemas.openxmlformats.org/officeDocument/2006/relationships/hyperlink" Target="https://www.sebi.gov.in/sebi_data/attachdocs/apr-2023/1681707959879.pdf" TargetMode="External" Id="rId2452" /><Relationship Type="http://schemas.openxmlformats.org/officeDocument/2006/relationships/hyperlink" Target="https://www.sebi.gov.in/filings/public-issues/jul-2021/shri-bajrang-power-and-ispat-limited_51017.html" TargetMode="External" Id="rId2453" /><Relationship Type="http://schemas.openxmlformats.org/officeDocument/2006/relationships/hyperlink" Target="https://www.business-standard.com/markets/ipo/shri-bajrang-power-ispat-ltd-ipo-33671" TargetMode="External" Id="rId2454" /><Relationship Type="http://schemas.openxmlformats.org/officeDocument/2006/relationships/hyperlink" Target="https://www.sebi.gov.in/sebi_data/attachdocs/jul-2021/1625734748891.pdf" TargetMode="External" Id="rId2455" /><Relationship Type="http://schemas.openxmlformats.org/officeDocument/2006/relationships/hyperlink" Target="https://www.sebi.gov.in/filings/public-issues/jul-2021/utkarsh-small-finance-bank-limited-addendum-to-drhp_50954.html" TargetMode="External" Id="rId2456" /><Relationship Type="http://schemas.openxmlformats.org/officeDocument/2006/relationships/hyperlink" Target="https://www.chittorgarh.com/ipo/utkarsh-small-finance-bank-ipo/1456/" TargetMode="External" Id="rId2457" /><Relationship Type="http://schemas.openxmlformats.org/officeDocument/2006/relationships/hyperlink" Target="https://www.sebi.gov.in/sebi_data/attachdocs/jul-2021/1625647160172.pdf" TargetMode="External" Id="rId2458" /><Relationship Type="http://schemas.openxmlformats.org/officeDocument/2006/relationships/hyperlink" Target="https://www.sebi.gov.in/filings/public-issues/jul-2021/uma-converter-limited-drhp_50936.html" TargetMode="External" Id="rId2459" /><Relationship Type="http://schemas.openxmlformats.org/officeDocument/2006/relationships/hyperlink" Target="https://www.sebi.gov.in/sebi_data/attachdocs/jun-2021/1624870811964.pdf" TargetMode="External" Id="rId2460" /><Relationship Type="http://schemas.openxmlformats.org/officeDocument/2006/relationships/hyperlink" Target="https://www.sebi.gov.in/filings/public-issues/jun-2021/skanray-technologies-limited_50724.html" TargetMode="External" Id="rId2461" /><Relationship Type="http://schemas.openxmlformats.org/officeDocument/2006/relationships/hyperlink" Target="https://www.5paisa.com/ipo/skanray-technologies-ltd-ipo" TargetMode="External" Id="rId2462" /><Relationship Type="http://schemas.openxmlformats.org/officeDocument/2006/relationships/hyperlink" Target="https://www.sebi.gov.in/sebi_data/attachdocs/apr-2023/1681728772799.pdf" TargetMode="External" Id="rId2463" /><Relationship Type="http://schemas.openxmlformats.org/officeDocument/2006/relationships/hyperlink" Target="https://www.sebi.gov.in/filings/public-issues/jun-2021/ruchi-soya-industries-limited_50522.html" TargetMode="External" Id="rId2464" /><Relationship Type="http://schemas.openxmlformats.org/officeDocument/2006/relationships/hyperlink" Target="https://www.sebi.gov.in/sebi_data/attachdocs/may-2023/1683091344512.pdf" TargetMode="External" Id="rId2465" /><Relationship Type="http://schemas.openxmlformats.org/officeDocument/2006/relationships/hyperlink" Target="https://www.sebi.gov.in/filings/public-issues/jun-2021/sansera-engineering-limited_50499.html" TargetMode="External" Id="rId2466" /><Relationship Type="http://schemas.openxmlformats.org/officeDocument/2006/relationships/hyperlink" Target="https://www.sebi.gov.in/sebi_data/attachdocs/jun-2021/1623223411196.pdf" TargetMode="External" Id="rId2467" /><Relationship Type="http://schemas.openxmlformats.org/officeDocument/2006/relationships/hyperlink" Target="https://www.sebi.gov.in/filings/public-issues/jun-2021/ab-cotspin-india-limited-sme-ipo_50465.html" TargetMode="External" Id="rId2468" /><Relationship Type="http://schemas.openxmlformats.org/officeDocument/2006/relationships/hyperlink" Target="https://www.sebi.gov.in/sebi_data/attachdocs/jun-2023/1687843606945.pdf" TargetMode="External" Id="rId2469" /><Relationship Type="http://schemas.openxmlformats.org/officeDocument/2006/relationships/hyperlink" Target="https://www.sebi.gov.in/filings/public-issues/jun-2021/ami-organics-limited-drhp_50456.html" TargetMode="External" Id="rId2470" /><Relationship Type="http://schemas.openxmlformats.org/officeDocument/2006/relationships/hyperlink" Target="https://www.sebi.gov.in/sebi_data/attachdocs/may-2023/1683095460609.pdf" TargetMode="External" Id="rId2471" /><Relationship Type="http://schemas.openxmlformats.org/officeDocument/2006/relationships/hyperlink" Target="https://www.sebi.gov.in/filings/public-issues/jun-2021/vijaya-diagnostic-centre-limited_50437.html" TargetMode="External" Id="rId2472" /><Relationship Type="http://schemas.openxmlformats.org/officeDocument/2006/relationships/hyperlink" Target="https://www.sebi.gov.in/sebi_data/attachdocs/apr-2023/1681728638471.pdf" TargetMode="External" Id="rId2473" /><Relationship Type="http://schemas.openxmlformats.org/officeDocument/2006/relationships/hyperlink" Target="https://www.sebi.gov.in/filings/public-issues/may-2021/windlas-biotech-limited_50158.html" TargetMode="External" Id="rId2474" /><Relationship Type="http://schemas.openxmlformats.org/officeDocument/2006/relationships/hyperlink" Target="https://www.sebi.gov.in/sebi_data/attachdocs/may-2023/1683089249059.pdf" TargetMode="External" Id="rId2475" /><Relationship Type="http://schemas.openxmlformats.org/officeDocument/2006/relationships/hyperlink" Target="https://www.sebi.gov.in/filings/public-issues/may-2021/supriya-lifescience-limited_50137.html" TargetMode="External" Id="rId2476" /><Relationship Type="http://schemas.openxmlformats.org/officeDocument/2006/relationships/hyperlink" Target="https://www.sebi.gov.in/sebi_data/attachdocs/may-2021/1621233522211.pdf" TargetMode="External" Id="rId2477" /><Relationship Type="http://schemas.openxmlformats.org/officeDocument/2006/relationships/hyperlink" Target="https://www.sebi.gov.in/filings/public-issues/may-2021/devyani-international-limited_50136.html" TargetMode="External" Id="rId2478" /><Relationship Type="http://schemas.openxmlformats.org/officeDocument/2006/relationships/hyperlink" Target="https://www.sebi.gov.in/sebi_data/attachdocs/may-2023/1683611856071.pdf" TargetMode="External" Id="rId2479" /><Relationship Type="http://schemas.openxmlformats.org/officeDocument/2006/relationships/hyperlink" Target="https://www.sebi.gov.in/filings/public-issues/may-2021/aptus-value-housing-finance-india-limited_50135.html" TargetMode="External" Id="rId2480" /><Relationship Type="http://schemas.openxmlformats.org/officeDocument/2006/relationships/hyperlink" Target="https://www.sebi.gov.in/sebi_data/attachdocs/may-2021/1621232058140.pdf" TargetMode="External" Id="rId2481" /><Relationship Type="http://schemas.openxmlformats.org/officeDocument/2006/relationships/hyperlink" Target="https://www.sebi.gov.in/filings/public-issues/may-2021/cartrade-tech-limited-drhp_50134.html" TargetMode="External" Id="rId2482" /><Relationship Type="http://schemas.openxmlformats.org/officeDocument/2006/relationships/hyperlink" Target="https://www.sebi.gov.in/sebi_data/attachdocs/may-2023/1684479827992.pdf" TargetMode="External" Id="rId2483" /><Relationship Type="http://schemas.openxmlformats.org/officeDocument/2006/relationships/hyperlink" Target="https://www.sebi.gov.in/filings/public-issues/may-2021/krsnaa-diagnostics-limited_50149.html" TargetMode="External" Id="rId2484" /><Relationship Type="http://schemas.openxmlformats.org/officeDocument/2006/relationships/hyperlink" Target="https://www.sebi.gov.in/sebi_data/attachdocs/may-2023/1684477607868.pdf" TargetMode="External" Id="rId2485" /><Relationship Type="http://schemas.openxmlformats.org/officeDocument/2006/relationships/hyperlink" Target="https://www.sebi.gov.in/filings/public-issues/may-2021/penna-cement-industries-limited_50123.html" TargetMode="External" Id="rId2486" /><Relationship Type="http://schemas.openxmlformats.org/officeDocument/2006/relationships/hyperlink" Target="https://www.business-standard.com/markets/ipo/penna-cement-indutries-ltd-ipo-25179" TargetMode="External" Id="rId2487" /><Relationship Type="http://schemas.openxmlformats.org/officeDocument/2006/relationships/hyperlink" Target="https://www.sebi.gov.in/sebi_data/attachdocs/may-2023/1684479007171.pdf" TargetMode="External" Id="rId2488" /><Relationship Type="http://schemas.openxmlformats.org/officeDocument/2006/relationships/hyperlink" Target="https://www.sebi.gov.in/filings/public-issues/may-2021/go-airlines-india-limited-drhp_50122.html" TargetMode="External" Id="rId2489" /><Relationship Type="http://schemas.openxmlformats.org/officeDocument/2006/relationships/hyperlink" Target="https://www.5paisa.com/ipo/go-airlines-india-ltd-ipo" TargetMode="External" Id="rId2490" /><Relationship Type="http://schemas.openxmlformats.org/officeDocument/2006/relationships/hyperlink" Target="https://www.sebi.gov.in/sebi_data/attachdocs/apr-2023/1681818840108.pdf" TargetMode="External" Id="rId2491" /><Relationship Type="http://schemas.openxmlformats.org/officeDocument/2006/relationships/hyperlink" Target="https://www.sebi.gov.in/filings/public-issues/may-2021/medi-assist-healthcare-services-limited_50115.html" TargetMode="External" Id="rId2492" /><Relationship Type="http://schemas.openxmlformats.org/officeDocument/2006/relationships/hyperlink" Target="https://www.sebi.gov.in/sebi_data/attachdocs/may-2021/1620645846903.pdf" TargetMode="External" Id="rId2493" /><Relationship Type="http://schemas.openxmlformats.org/officeDocument/2006/relationships/hyperlink" Target="https://www.sebi.gov.in/filings/public-issues/may-2021/fincare-small-finance-bank-limited_50091.html" TargetMode="External" Id="rId2494" /><Relationship Type="http://schemas.openxmlformats.org/officeDocument/2006/relationships/hyperlink" Target="https://finance.yahoo.com/news/fincare-small-finance-bank-gets-044405454.html" TargetMode="External" Id="rId2495" /><Relationship Type="http://schemas.openxmlformats.org/officeDocument/2006/relationships/hyperlink" Target="https://www.sebi.gov.in/sebi_data/attachdocs/may-2023/1684484764300.pdf" TargetMode="External" Id="rId2496" /><Relationship Type="http://schemas.openxmlformats.org/officeDocument/2006/relationships/hyperlink" Target="https://www.sebi.gov.in/filings/public-issues/may-2021/nuvoco-vistas-corporation-limited_50076.html" TargetMode="External" Id="rId2497" /><Relationship Type="http://schemas.openxmlformats.org/officeDocument/2006/relationships/hyperlink" Target="https://www.sebi.gov.in/sebi_data/attachdocs/may-2021/1620030645369.pdf" TargetMode="External" Id="rId2498" /><Relationship Type="http://schemas.openxmlformats.org/officeDocument/2006/relationships/hyperlink" Target="https://www.sebi.gov.in/filings/public-issues/may-2021/chemplast-sanmar-limited_50032.html" TargetMode="External" Id="rId2499" /><Relationship Type="http://schemas.openxmlformats.org/officeDocument/2006/relationships/hyperlink" Target="https://www.sebi.gov.in/sebi_data/attachdocs/apr-2021/1619584567739.pdf" TargetMode="External" Id="rId2500" /><Relationship Type="http://schemas.openxmlformats.org/officeDocument/2006/relationships/hyperlink" Target="https://www.sebi.gov.in/filings/public-issues/apr-2021/zomato-limited-drhp_49956.html" TargetMode="External" Id="rId2501" /><Relationship Type="http://schemas.openxmlformats.org/officeDocument/2006/relationships/hyperlink" Target="https://www.sebi.gov.in/sebi_data/attachdocs/apr-2021/1618900186387.PDF" TargetMode="External" Id="rId2502" /><Relationship Type="http://schemas.openxmlformats.org/officeDocument/2006/relationships/hyperlink" Target="https://www.sebi.gov.in/filings/public-issues/apr-2021/aditya-birla-sun-life-amc-limited_49880.html" TargetMode="External" Id="rId2503" /><Relationship Type="http://schemas.openxmlformats.org/officeDocument/2006/relationships/hyperlink" Target="https://www.sebi.gov.in/sebi_data/attachdocs/apr-2021/1618814754067.pdf" TargetMode="External" Id="rId2504" /><Relationship Type="http://schemas.openxmlformats.org/officeDocument/2006/relationships/hyperlink" Target="https://www.sebi.gov.in/filings/public-issues/apr-2021/glenmark-life-sciences-limited_49859.html" TargetMode="External" Id="rId2505" /><Relationship Type="http://schemas.openxmlformats.org/officeDocument/2006/relationships/hyperlink" Target="https://www.sebi.gov.in/sebi_data/attachdocs/apr-2021/1618569865941.pdf" TargetMode="External" Id="rId2506" /><Relationship Type="http://schemas.openxmlformats.org/officeDocument/2006/relationships/hyperlink" Target="https://www.sebi.gov.in/filings/public-issues/apr-2021/g-r-infraprojects-limited-draft-red-herring-prospectus_49840.html" TargetMode="External" Id="rId2507" /><Relationship Type="http://schemas.openxmlformats.org/officeDocument/2006/relationships/hyperlink" Target="https://www.sebi.gov.in/sebi_data/attachdocs/apr-2023/1681818993862.pdf" TargetMode="External" Id="rId2508" /><Relationship Type="http://schemas.openxmlformats.org/officeDocument/2006/relationships/hyperlink" Target="https://www.sebi.gov.in/filings/public-issues/apr-2021/shriram-properties-limited_49810.html" TargetMode="External" Id="rId2509" /><Relationship Type="http://schemas.openxmlformats.org/officeDocument/2006/relationships/hyperlink" Target="https://www.sebi.gov.in/sebi_data/attachdocs/apr-2023/1681818593843.pdf" TargetMode="External" Id="rId2510" /><Relationship Type="http://schemas.openxmlformats.org/officeDocument/2006/relationships/hyperlink" Target="https://www.sebi.gov.in/filings/public-issues/apr-2021/clean-science-and-technology-limited-drhp_49777.html" TargetMode="External" Id="rId2511" /><Relationship Type="http://schemas.openxmlformats.org/officeDocument/2006/relationships/hyperlink" Target="https://www.sebi.gov.in/sebi_data/attachdocs/may-2023/1683095701736.pdf" TargetMode="External" Id="rId2512" /><Relationship Type="http://schemas.openxmlformats.org/officeDocument/2006/relationships/hyperlink" Target="https://www.sebi.gov.in/filings/public-issues/apr-2021/tatva-chintan-pharma-drhp_49757.html" TargetMode="External" Id="rId2513" /><Relationship Type="http://schemas.openxmlformats.org/officeDocument/2006/relationships/hyperlink" Target="https://www.sebi.gov.in/sebi_data/attachdocs/apr-2021/1617948141178.pdf" TargetMode="External" Id="rId2514" /><Relationship Type="http://schemas.openxmlformats.org/officeDocument/2006/relationships/hyperlink" Target="https://www.sebi.gov.in/filings/public-issues/apr-2021/v-marc-india-limited-sme-ipo-drhp_49796.html" TargetMode="External" Id="rId2515" /><Relationship Type="http://schemas.openxmlformats.org/officeDocument/2006/relationships/hyperlink" Target="https://www.sebi.gov.in/sebi_data/attachdocs/apr-2021/1617255348598.pdf" TargetMode="External" Id="rId2516" /><Relationship Type="http://schemas.openxmlformats.org/officeDocument/2006/relationships/hyperlink" Target="https://www.sebi.gov.in/filings/public-issues/apr-2021/jana-small-finance-bank-limited_49730.html" TargetMode="External" Id="rId2517" /><Relationship Type="http://schemas.openxmlformats.org/officeDocument/2006/relationships/hyperlink" Target="https://www.chittorgarh.com/ipo/jana-sfb-ipo/1640/" TargetMode="External" Id="rId2518" /><Relationship Type="http://schemas.openxmlformats.org/officeDocument/2006/relationships/hyperlink" Target="https://www.sebi.gov.in/sebi_data/attachdocs/mar-2021/1617099157053.pdf" TargetMode="External" Id="rId2519" /><Relationship Type="http://schemas.openxmlformats.org/officeDocument/2006/relationships/hyperlink" Target="https://www.sebi.gov.in/filings/public-issues/mar-2021/maks-energy-solutions-india-limited_49688.html" TargetMode="External" Id="rId2520" /><Relationship Type="http://schemas.openxmlformats.org/officeDocument/2006/relationships/hyperlink" Target="https://www.sebi.gov.in/sebi_data/attachdocs/mar-2021/1616042080442.pdf" TargetMode="External" Id="rId2521" /><Relationship Type="http://schemas.openxmlformats.org/officeDocument/2006/relationships/hyperlink" Target="https://www.sebi.gov.in/filings/public-issues/mar-2021/exxaro-tiles-limited-drhp_49534.html" TargetMode="External" Id="rId2522" /><Relationship Type="http://schemas.openxmlformats.org/officeDocument/2006/relationships/hyperlink" Target="https://www.sebi.gov.in/sebi_data/attachdocs/apr-2023/1681710560649.pdf" TargetMode="External" Id="rId2523" /><Relationship Type="http://schemas.openxmlformats.org/officeDocument/2006/relationships/hyperlink" Target="https://www.sebi.gov.in/filings/public-issues/mar-2021/rolex-rings-limited-drhp_49544.html" TargetMode="External" Id="rId2524" /><Relationship Type="http://schemas.openxmlformats.org/officeDocument/2006/relationships/hyperlink" Target="https://www.sebi.gov.in/sebi_data/attachdocs/jun-2023/1687843934119.pdf" TargetMode="External" Id="rId2525" /><Relationship Type="http://schemas.openxmlformats.org/officeDocument/2006/relationships/hyperlink" Target="https://www.sebi.gov.in/filings/public-issues/mar-2021/paras-defence-and-space-technologies-limited_49418.html" TargetMode="External" Id="rId2526" /><Relationship Type="http://schemas.openxmlformats.org/officeDocument/2006/relationships/hyperlink" Target="https://www.sebi.gov.in/sebi_data/attachdocs/mar-2021/1615177612049.pdf" TargetMode="External" Id="rId2527" /><Relationship Type="http://schemas.openxmlformats.org/officeDocument/2006/relationships/hyperlink" Target="https://www.sebi.gov.in/filings/public-issues/mar-2021/montecarlo-limited-update-in-the-objects-of-the-issue_49411.html" TargetMode="External" Id="rId2528" /><Relationship Type="http://schemas.openxmlformats.org/officeDocument/2006/relationships/hyperlink" Target="https://www.motilaloswal.com/learning-centre/2021/4/montecarlo-limited-ipo-montecarlo-limited-ipo-date-share-price-and-news" TargetMode="External" Id="rId2529" /><Relationship Type="http://schemas.openxmlformats.org/officeDocument/2006/relationships/hyperlink" Target="https://www.sebi.gov.in/sebi_data/attachdocs/mar-2021/1614924914132.pdf" TargetMode="External" Id="rId2530" /><Relationship Type="http://schemas.openxmlformats.org/officeDocument/2006/relationships/hyperlink" Target="https://www.sebi.gov.in/filings/public-issues/mar-2021/utkarsh-small-finance-bank-limited-drhp_49398.html" TargetMode="External" Id="rId2531" /><Relationship Type="http://schemas.openxmlformats.org/officeDocument/2006/relationships/hyperlink" Target="https://www.chittorgarh.com/ipo/utkarsh-small-finance-bank-ipo/1456/" TargetMode="External" Id="rId2532" /><Relationship Type="http://schemas.openxmlformats.org/officeDocument/2006/relationships/hyperlink" Target="https://www.sebi.gov.in/sebi_data/attachdocs/mar-2021/1614565972050.pdf" TargetMode="External" Id="rId2533" /><Relationship Type="http://schemas.openxmlformats.org/officeDocument/2006/relationships/hyperlink" Target="https://www.sebi.gov.in/filings/public-issues/feb-2021/krishna-institute-of-medical-sciences-limited-drhp_49322.html" TargetMode="External" Id="rId2534" /><Relationship Type="http://schemas.openxmlformats.org/officeDocument/2006/relationships/hyperlink" Target="https://www.sebi.gov.in/sebi_data/attachdocs/may-2023/1683086405416.pdf" TargetMode="External" Id="rId2535" /><Relationship Type="http://schemas.openxmlformats.org/officeDocument/2006/relationships/hyperlink" Target="https://www.sebi.gov.in/filings/public-issues/feb-2021/shyam-metalics-and-energy-limited_49305.html" TargetMode="External" Id="rId2536" /><Relationship Type="http://schemas.openxmlformats.org/officeDocument/2006/relationships/hyperlink" Target="https://www.sebi.gov.in/sebi_data/attachdocs/feb-2021/1614163178341.pdf" TargetMode="External" Id="rId2537" /><Relationship Type="http://schemas.openxmlformats.org/officeDocument/2006/relationships/hyperlink" Target="https://www.sebi.gov.in/filings/public-issues/feb-2021/sona-blw-precision-forgings-limited_49256.html" TargetMode="External" Id="rId2538" /><Relationship Type="http://schemas.openxmlformats.org/officeDocument/2006/relationships/hyperlink" Target="https://www.sebi.gov.in/sebi_data/attachdocs/feb-2021/1614062386224.pdf" TargetMode="External" Id="rId2539" /><Relationship Type="http://schemas.openxmlformats.org/officeDocument/2006/relationships/hyperlink" Target="https://www.sebi.gov.in/filings/public-issues/feb-2021/aadhar-housing-finance-limited-corrigendum_49228.html" TargetMode="External" Id="rId2540" /><Relationship Type="http://schemas.openxmlformats.org/officeDocument/2006/relationships/hyperlink" Target="https://www.chittorgarh.com/ipo/aadhar-housing-finance-ipo/1717/" TargetMode="External" Id="rId2541" /><Relationship Type="http://schemas.openxmlformats.org/officeDocument/2006/relationships/hyperlink" Target="https://www.sebi.gov.in/sebi_data/attachdocs/apr-2023/1681818049692.pdf" TargetMode="External" Id="rId2542" /><Relationship Type="http://schemas.openxmlformats.org/officeDocument/2006/relationships/hyperlink" Target="https://www.sebi.gov.in/filings/public-issues/feb-2021/macrotech-developers-limited_49172.html" TargetMode="External" Id="rId2543" /><Relationship Type="http://schemas.openxmlformats.org/officeDocument/2006/relationships/hyperlink" Target="https://www.sebi.gov.in/sebi_data/attachdocs/may-2023/1683611315129.pdf" TargetMode="External" Id="rId2544" /><Relationship Type="http://schemas.openxmlformats.org/officeDocument/2006/relationships/hyperlink" Target="https://www.sebi.gov.in/filings/public-issues/feb-2021/dodla-dairy-limited-drhp_49197.html" TargetMode="External" Id="rId2545" /><Relationship Type="http://schemas.openxmlformats.org/officeDocument/2006/relationships/hyperlink" Target="https://www.sebi.gov.in/sebi_data/attachdocs/feb-2021/1613373596700.pdf" TargetMode="External" Id="rId2546" /><Relationship Type="http://schemas.openxmlformats.org/officeDocument/2006/relationships/hyperlink" Target="https://www.sebi.gov.in/filings/public-issues/feb-2021/arohan-financial-services-limited_49148.html" TargetMode="External" Id="rId2547" /><Relationship Type="http://schemas.openxmlformats.org/officeDocument/2006/relationships/hyperlink" Target="https://www.chittorgarh.com/ipo/arohan-financial-services-ipo/3135/" TargetMode="External" Id="rId2548" /><Relationship Type="http://schemas.openxmlformats.org/officeDocument/2006/relationships/hyperlink" Target="https://www.sebi.gov.in/sebi_data/attachdocs/may-2023/1684478290179.pdf" TargetMode="External" Id="rId2549" /><Relationship Type="http://schemas.openxmlformats.org/officeDocument/2006/relationships/hyperlink" Target="https://www.sebi.gov.in/filings/public-issues/feb-2021/seven-islands-shipping-limited-drhp_49146.html" TargetMode="External" Id="rId2550" /><Relationship Type="http://schemas.openxmlformats.org/officeDocument/2006/relationships/hyperlink" Target="https://www.business-standard.com/markets/ipo/seven-islands-shipping-ltd-ipo-38967" TargetMode="External" Id="rId2551" /><Relationship Type="http://schemas.openxmlformats.org/officeDocument/2006/relationships/hyperlink" Target="https://www.sebi.gov.in/sebi_data/attachdocs/apr-2023/1681360369818.pdf" TargetMode="External" Id="rId2552" /><Relationship Type="http://schemas.openxmlformats.org/officeDocument/2006/relationships/hyperlink" Target="https://www.sebi.gov.in/filings/public-issues/feb-2021/india-pesticides-limited-drhp_49103.html" TargetMode="External" Id="rId2553" /><Relationship Type="http://schemas.openxmlformats.org/officeDocument/2006/relationships/hyperlink" Target="https://www.sebi.gov.in/sebi_data/attachdocs/feb-2021/1612849058075.pdf" TargetMode="External" Id="rId2554" /><Relationship Type="http://schemas.openxmlformats.org/officeDocument/2006/relationships/hyperlink" Target="https://www.sebi.gov.in/filings/public-issues/feb-2021/suryoday-small-finance-bank-limited-addendum-to-drhp_49054.html" TargetMode="External" Id="rId2555" /><Relationship Type="http://schemas.openxmlformats.org/officeDocument/2006/relationships/hyperlink" Target="https://www.sebi.gov.in/sebi_data/attachdocs/feb-2021/1612440230653.pdf" TargetMode="External" Id="rId2556" /><Relationship Type="http://schemas.openxmlformats.org/officeDocument/2006/relationships/hyperlink" Target="https://www.sebi.gov.in/filings/public-issues/feb-2021/ashapuri-gold-ornament-limited_49013.html" TargetMode="External" Id="rId2557" /><Relationship Type="http://schemas.openxmlformats.org/officeDocument/2006/relationships/hyperlink" Target="https://www.sebi.gov.in/sebi_data/attachdocs/jan-2021/1611557799393.pdf" TargetMode="External" Id="rId2558" /><Relationship Type="http://schemas.openxmlformats.org/officeDocument/2006/relationships/hyperlink" Target="https://www.sebi.gov.in/filings/public-issues/jan-2021/aadhar-housing-finance-limited_48869.html" TargetMode="External" Id="rId2559" /><Relationship Type="http://schemas.openxmlformats.org/officeDocument/2006/relationships/hyperlink" Target="https://www.chittorgarh.com/ipo/aadhar-housing-finance-ipo/1717/" TargetMode="External" Id="rId2560" /><Relationship Type="http://schemas.openxmlformats.org/officeDocument/2006/relationships/hyperlink" Target="https://www.sebi.gov.in/sebi_data/attachdocs/may-2023/1684484450159.pdf" TargetMode="External" Id="rId2561" /><Relationship Type="http://schemas.openxmlformats.org/officeDocument/2006/relationships/hyperlink" Target="https://www.sebi.gov.in/filings/public-issues/jan-2021/nazara-technologies-limited_48816.html" TargetMode="External" Id="rId2562" /><Relationship Type="http://schemas.openxmlformats.org/officeDocument/2006/relationships/hyperlink" Target="https://www.sebi.gov.in/sebi_data/attachdocs/jan-2021/1610540459702.pdf" TargetMode="External" Id="rId2563" /><Relationship Type="http://schemas.openxmlformats.org/officeDocument/2006/relationships/hyperlink" Target="https://www.sebi.gov.in/filings/public-issues/jan-2021/addendum-ii-stove-kraft-limited_48753.html" TargetMode="External" Id="rId2564" /><Relationship Type="http://schemas.openxmlformats.org/officeDocument/2006/relationships/hyperlink" Target="https://www.chittorgarh.com/ipo/stove-kraft-ipo/1081/" TargetMode="External" Id="rId2565" /><Relationship Type="http://schemas.openxmlformats.org/officeDocument/2006/relationships/hyperlink" Target="https://www.sebi.gov.in/sebi_data/attachdocs/apr-2023/1681360837560.pdf" TargetMode="External" Id="rId2566" /><Relationship Type="http://schemas.openxmlformats.org/officeDocument/2006/relationships/hyperlink" Target="https://www.sebi.gov.in/filings/public-issues/dec-2020/anupam-rasayan-india-limited_48559.html" TargetMode="External" Id="rId2567" /><Relationship Type="http://schemas.openxmlformats.org/officeDocument/2006/relationships/hyperlink" Target="https://www.sebi.gov.in/sebi_data/attachdocs/may-2023/1684480191283.pdf" TargetMode="External" Id="rId2568" /><Relationship Type="http://schemas.openxmlformats.org/officeDocument/2006/relationships/hyperlink" Target="https://www.sebi.gov.in/filings/public-issues/dec-2020/mtar-technologies-limited_48488.html" TargetMode="External" Id="rId2569" /><Relationship Type="http://schemas.openxmlformats.org/officeDocument/2006/relationships/hyperlink" Target="https://www.sebi.gov.in/sebi_data/attachdocs/apr-2023/1681361130856.PDF" TargetMode="External" Id="rId2570" /><Relationship Type="http://schemas.openxmlformats.org/officeDocument/2006/relationships/hyperlink" Target="https://www.sebi.gov.in/filings/public-issues/dec-2020/craftsman-automation-limited_48450.html" TargetMode="External" Id="rId2571" /><Relationship Type="http://schemas.openxmlformats.org/officeDocument/2006/relationships/hyperlink" Target="https://www.sebi.gov.in/sebi_data/attachdocs/apr-2023/1681361684845.pdf" TargetMode="External" Id="rId2572" /><Relationship Type="http://schemas.openxmlformats.org/officeDocument/2006/relationships/hyperlink" Target="https://www.sebi.gov.in/filings/public-issues/dec-2020/laxmi-organic-industries-limited-drhp_48448.html" TargetMode="External" Id="rId2573" /><Relationship Type="http://schemas.openxmlformats.org/officeDocument/2006/relationships/hyperlink" Target="https://www.sebi.gov.in/sebi_data/attachdocs/dec-2020/1606806251037.pdf" TargetMode="External" Id="rId2574" /><Relationship Type="http://schemas.openxmlformats.org/officeDocument/2006/relationships/hyperlink" Target="https://www.sebi.gov.in/filings/public-issues/dec-2020/esaf-small-finance-bank-limited-addendum-to-drhp_48320.html" TargetMode="External" Id="rId2575" /><Relationship Type="http://schemas.openxmlformats.org/officeDocument/2006/relationships/hyperlink" Target="https://www.chittorgarh.com/ipo/esaf-small-finance-bank-ipo/1553/" TargetMode="External" Id="rId2576" /><Relationship Type="http://schemas.openxmlformats.org/officeDocument/2006/relationships/hyperlink" Target="https://www.sebi.gov.in/sebi_data/attachdocs/nov-2020/1606456332643.pdf" TargetMode="External" Id="rId2577" /><Relationship Type="http://schemas.openxmlformats.org/officeDocument/2006/relationships/hyperlink" Target="https://www.sebi.gov.in/filings/public-issues/nov-2020/home-first-finance-company-india-ltd-addendum_48295.html" TargetMode="External" Id="rId2578" /><Relationship Type="http://schemas.openxmlformats.org/officeDocument/2006/relationships/hyperlink" Target="https://www.sebi.gov.in/sebi_data/attachdocs/nov-2020/1606125030670.pdf" TargetMode="External" Id="rId2579" /><Relationship Type="http://schemas.openxmlformats.org/officeDocument/2006/relationships/hyperlink" Target="https://www.sebi.gov.in/filings/public-issues/nov-2020/stove-kraft-ltd-addendum-to-drhp_48233.html" TargetMode="External" Id="rId2580" /><Relationship Type="http://schemas.openxmlformats.org/officeDocument/2006/relationships/hyperlink" Target="https://www.sebi.gov.in/sebi_data/attachdocs/apr-2023/1681727502176.pdf" TargetMode="External" Id="rId2581" /><Relationship Type="http://schemas.openxmlformats.org/officeDocument/2006/relationships/hyperlink" Target="https://www.sebi.gov.in/filings/public-issues/nov-2020/nureca-limited_48168.html" TargetMode="External" Id="rId2582" /><Relationship Type="http://schemas.openxmlformats.org/officeDocument/2006/relationships/hyperlink" Target="https://www.sebi.gov.in/sebi_data/attachdocs/nov-2020/1605244575800.pdf" TargetMode="External" Id="rId2583" /><Relationship Type="http://schemas.openxmlformats.org/officeDocument/2006/relationships/hyperlink" Target="https://www.sebi.gov.in/filings/public-issues/nov-2020/indigo-paints-limited-drhp_48167.html" TargetMode="External" Id="rId2584" /><Relationship Type="http://schemas.openxmlformats.org/officeDocument/2006/relationships/hyperlink" Target="https://www.sebi.gov.in/sebi_data/attachdocs/oct-2020/1603351828724.pdf" TargetMode="External" Id="rId2585" /><Relationship Type="http://schemas.openxmlformats.org/officeDocument/2006/relationships/hyperlink" Target="https://www.sebi.gov.in/filings/public-issues/oct-2020/burger-king-india-ltd-addendum-to-drhp_47935.html" TargetMode="External" Id="rId2586" /><Relationship Type="http://schemas.openxmlformats.org/officeDocument/2006/relationships/hyperlink" Target="https://www.sebi.gov.in/sebi_data/attachdocs/apr-2023/1681729763578.pdf" TargetMode="External" Id="rId2587" /><Relationship Type="http://schemas.openxmlformats.org/officeDocument/2006/relationships/hyperlink" Target="https://www.sebi.gov.in/filings/public-issues/oct-2020/mrs-bectors-food-specialities-limited-drhp_47901.html" TargetMode="External" Id="rId2588" /><Relationship Type="http://schemas.openxmlformats.org/officeDocument/2006/relationships/hyperlink" Target="https://www.sebi.gov.in/sebi_data/attachdocs/apr-2023/1681362096079.pdf" TargetMode="External" Id="rId2589" /><Relationship Type="http://schemas.openxmlformats.org/officeDocument/2006/relationships/hyperlink" Target="https://www.sebi.gov.in/filings/public-issues/oct-2020/suryoday-small-finance-bank-limited_47774.html" TargetMode="External" Id="rId2590" /><Relationship Type="http://schemas.openxmlformats.org/officeDocument/2006/relationships/hyperlink" Target="https://www.sebi.gov.in/sebi_data/attachdocs/oct-2020/1601887225837.pdf" TargetMode="External" Id="rId2591" /><Relationship Type="http://schemas.openxmlformats.org/officeDocument/2006/relationships/hyperlink" Target="https://www.sebi.gov.in/filings/public-issues/sep-2020/railtel-corporation-of-india-limited-draft-red-herring-prospectus_47788.html" TargetMode="External" Id="rId2592" /><Relationship Type="http://schemas.openxmlformats.org/officeDocument/2006/relationships/hyperlink" Target="https://www.sebi.gov.in/sebi_data/attachdocs/apr-2023/1681707416612.pdf" TargetMode="External" Id="rId2593" /><Relationship Type="http://schemas.openxmlformats.org/officeDocument/2006/relationships/hyperlink" Target="https://www.sebi.gov.in/filings/public-issues/sep-2020/antony-waste-handling-cell-ltd-_47784.html" TargetMode="External" Id="rId2594" /><Relationship Type="http://schemas.openxmlformats.org/officeDocument/2006/relationships/hyperlink" Target="https://www.sebi.gov.in/sebi_data/attachdocs/oct-2020/1601561683347.pdf" TargetMode="External" Id="rId2595" /><Relationship Type="http://schemas.openxmlformats.org/officeDocument/2006/relationships/hyperlink" Target="https://www.sebi.gov.in/filings/public-issues/sep-2020/heranba-industries-limited_47782.html" TargetMode="External" Id="rId2596" /><Relationship Type="http://schemas.openxmlformats.org/officeDocument/2006/relationships/hyperlink" Target="https://www.sebi.gov.in/sebi_data/attachdocs/sep-2020/1601287570698.pdf" TargetMode="External" Id="rId2597" /><Relationship Type="http://schemas.openxmlformats.org/officeDocument/2006/relationships/hyperlink" Target="https://www.sebi.gov.in/filings/public-issues/sep-2020/sigachi-industries-limited_47691.html" TargetMode="External" Id="rId2598" /><Relationship Type="http://schemas.openxmlformats.org/officeDocument/2006/relationships/hyperlink" Target="https://www.sebi.gov.in/sebi_data/attachdocs/sep-2020/1601009157778.pdf" TargetMode="External" Id="rId2599" /><Relationship Type="http://schemas.openxmlformats.org/officeDocument/2006/relationships/hyperlink" Target="https://www.sebi.gov.in/filings/public-issues/sep-2020/equitas-small-finance-bank-addendum-to-drhp_47659.html" TargetMode="External" Id="rId2600" /><Relationship Type="http://schemas.openxmlformats.org/officeDocument/2006/relationships/hyperlink" Target="https://www.sebi.gov.in/sebi_data/attachdocs/sep-2020/1599454014113.pdf" TargetMode="External" Id="rId2601" /><Relationship Type="http://schemas.openxmlformats.org/officeDocument/2006/relationships/hyperlink" Target="https://www.sebi.gov.in/filings/public-issues/sep-2020/mazagon-dock-shipbuilders-limited-addendum-to-the-drhp_47497.html" TargetMode="External" Id="rId2602" /><Relationship Type="http://schemas.openxmlformats.org/officeDocument/2006/relationships/hyperlink" Target="https://www.sebi.gov.in/sebi_data/attachdocs/apr-2023/1681362731759.pdf" TargetMode="External" Id="rId2603" /><Relationship Type="http://schemas.openxmlformats.org/officeDocument/2006/relationships/hyperlink" Target="https://www.sebi.gov.in/filings/public-issues/aug-2020/kalyan-jewellers-india-limited_47390.html" TargetMode="External" Id="rId2604" /><Relationship Type="http://schemas.openxmlformats.org/officeDocument/2006/relationships/hyperlink" Target="https://www.sebi.gov.in/sebi_data/attachdocs/jul-2020/1594448799112.pdf" TargetMode="External" Id="rId2605" /><Relationship Type="http://schemas.openxmlformats.org/officeDocument/2006/relationships/hyperlink" Target="https://www.sebi.gov.in/filings/public-issues/jul-2020/gland-pharma-limited_47048.html" TargetMode="External" Id="rId2606" /><Relationship Type="http://schemas.openxmlformats.org/officeDocument/2006/relationships/hyperlink" Target="https://www.sebi.gov.in/sebi_data/attachdocs/may-2023/1684485212884.pdf" TargetMode="External" Id="rId2607" /><Relationship Type="http://schemas.openxmlformats.org/officeDocument/2006/relationships/hyperlink" Target="https://www.sebi.gov.in/filings/public-issues/jun-2020/happiest-minds-technologies-limited_46843.html" TargetMode="External" Id="rId2608" /><Relationship Type="http://schemas.openxmlformats.org/officeDocument/2006/relationships/hyperlink" Target="https://www.sebi.gov.in/sebi_data/attachdocs/jun-2020/1591341524067.pdf" TargetMode="External" Id="rId2609" /><Relationship Type="http://schemas.openxmlformats.org/officeDocument/2006/relationships/hyperlink" Target="https://www.sebi.gov.in/filings/public-issues/jun-2020/jaikumar-constructions-ltd-drhp_46774.html" TargetMode="External" Id="rId2610" /><Relationship Type="http://schemas.openxmlformats.org/officeDocument/2006/relationships/hyperlink" Target="https://www.5paisa.com/ipo/jaikumar-constructions-ltd-ipo" TargetMode="External" Id="rId2611" /><Relationship Type="http://schemas.openxmlformats.org/officeDocument/2006/relationships/hyperlink" Target="https://www.sebi.gov.in/sebi_data/attachdocs/may-2020/1588567958454.pdf" TargetMode="External" Id="rId2612" /><Relationship Type="http://schemas.openxmlformats.org/officeDocument/2006/relationships/hyperlink" Target="https://www.sebi.gov.in/filings/public-issues/may-2020/ksolves-india-limited_46644.html" TargetMode="External" Id="rId2613" /><Relationship Type="http://schemas.openxmlformats.org/officeDocument/2006/relationships/hyperlink" Target="https://www.sebi.gov.in/sebi_data/attachdocs/mar-2020/1585303778620.pdf" TargetMode="External" Id="rId2614" /><Relationship Type="http://schemas.openxmlformats.org/officeDocument/2006/relationships/hyperlink" Target="https://www.sebi.gov.in/filings/public-issues/mar-2020/easing-of-operational-procedure-division-of-issues-and-listing-cfd_46443.html" TargetMode="External" Id="rId2615" /><Relationship Type="http://schemas.openxmlformats.org/officeDocument/2006/relationships/hyperlink" Target="https://www.sebi.gov.in/sebi_data/attachdocs/feb-2020/1582197103291.PDF" TargetMode="External" Id="rId2616" /><Relationship Type="http://schemas.openxmlformats.org/officeDocument/2006/relationships/hyperlink" Target="https://www.sebi.gov.in/filings/public-issues/feb-2020/barbeque-nation-hospitality-limited_46043.html" TargetMode="External" Id="rId2617" /><Relationship Type="http://schemas.openxmlformats.org/officeDocument/2006/relationships/hyperlink" Target="https://www.sebi.gov.in/sebi_data/attachdocs/feb-2020/1581516794147.pdf" TargetMode="External" Id="rId2618" /><Relationship Type="http://schemas.openxmlformats.org/officeDocument/2006/relationships/hyperlink" Target="https://www.sebi.gov.in/filings/public-issues/feb-2020/national-commodity-and-derivatives-exchange-limited_45970.html" TargetMode="External" Id="rId2619" /><Relationship Type="http://schemas.openxmlformats.org/officeDocument/2006/relationships/hyperlink" Target="https://top10stockbroker.com/ipo-review/ncdex-ipo/" TargetMode="External" Id="rId2620" /><Relationship Type="http://schemas.openxmlformats.org/officeDocument/2006/relationships/hyperlink" Target="https://www.sebi.gov.in/sebi_data/attachdocs/jun-2023/1687844257165.pdf" TargetMode="External" Id="rId2621" /><Relationship Type="http://schemas.openxmlformats.org/officeDocument/2006/relationships/hyperlink" Target="https://www.sebi.gov.in/filings/public-issues/feb-2020/stove-kraft-limited_45894.html" TargetMode="External" Id="rId2622" /><Relationship Type="http://schemas.openxmlformats.org/officeDocument/2006/relationships/hyperlink" Target="https://www.sebi.gov.in/sebi_data/attachdocs/jan-2020/1579667742592.pdf" TargetMode="External" Id="rId2623" /><Relationship Type="http://schemas.openxmlformats.org/officeDocument/2006/relationships/hyperlink" Target="https://www.sebi.gov.in/filings/public-issues/jan-2020/indian-railway-finance-corporation-limited_45739.html" TargetMode="External" Id="rId2624" /><Relationship Type="http://schemas.openxmlformats.org/officeDocument/2006/relationships/hyperlink" Target="https://www.sebi.gov.in/sebi_data/attachdocs/jan-2020/1578913939132.pdf" TargetMode="External" Id="rId2625" /><Relationship Type="http://schemas.openxmlformats.org/officeDocument/2006/relationships/hyperlink" Target="https://www.sebi.gov.in/filings/public-issues/jan-2020/likhitha-infrastructure-limited_45651.html" TargetMode="External" Id="rId2626" /><Relationship Type="http://schemas.openxmlformats.org/officeDocument/2006/relationships/hyperlink" Target="https://www.sebi.gov.in/sebi_data/attachdocs/jan-2020/1578660547821.pdf" TargetMode="External" Id="rId2627" /><Relationship Type="http://schemas.openxmlformats.org/officeDocument/2006/relationships/hyperlink" Target="https://www.sebi.gov.in/filings/public-issues/jan-2020/computer-age-management-services-limited_45631.html" TargetMode="External" Id="rId2628" /><Relationship Type="http://schemas.openxmlformats.org/officeDocument/2006/relationships/hyperlink" Target="https://www.sebi.gov.in/sebi_data/attachdocs/apr-2023/1681364502739.pdf" TargetMode="External" Id="rId2629" /><Relationship Type="http://schemas.openxmlformats.org/officeDocument/2006/relationships/hyperlink" Target="https://www.sebi.gov.in/filings/public-issues/jan-2020/esaf-small-finance-bank-limited_45604.html" TargetMode="External" Id="rId2630" /><Relationship Type="http://schemas.openxmlformats.org/officeDocument/2006/relationships/hyperlink" Target="https://www.chittorgarh.com/ipo/esaf-small-finance-bank-ipo/1553/" TargetMode="External" Id="rId2631" /><Relationship Type="http://schemas.openxmlformats.org/officeDocument/2006/relationships/hyperlink" Target="https://www.sebi.gov.in/sebi_data/attachdocs/may-2023/1683610619410.pdf" TargetMode="External" Id="rId2632" /><Relationship Type="http://schemas.openxmlformats.org/officeDocument/2006/relationships/hyperlink" Target="https://www.sebi.gov.in/filings/public-issues/jan-2020/apeejay-surrendra-park-hotels-limited_45539.html" TargetMode="External" Id="rId2633" /><Relationship Type="http://schemas.openxmlformats.org/officeDocument/2006/relationships/hyperlink" Target="https://www.chittorgarh.com/ipo/apeejay-surrendra-park-ipo/1635/" TargetMode="External" Id="rId2634" /><Relationship Type="http://schemas.openxmlformats.org/officeDocument/2006/relationships/hyperlink" Target="https://www.sebi.gov.in/sebi_data/attachdocs/jan-2020/1577871159537.pdf" TargetMode="External" Id="rId2635" /><Relationship Type="http://schemas.openxmlformats.org/officeDocument/2006/relationships/hyperlink" Target="https://www.sebi.gov.in/filings/public-issues/dec-2019/ro-jewels-limited_45518.html" TargetMode="External" Id="rId2636" /><Relationship Type="http://schemas.openxmlformats.org/officeDocument/2006/relationships/hyperlink" Target="https://www.sebi.gov.in/sebi_data/attachdocs/apr-2023/1681365034384.pdf" TargetMode="External" Id="rId2637" /><Relationship Type="http://schemas.openxmlformats.org/officeDocument/2006/relationships/hyperlink" Target="https://www.sebi.gov.in/filings/public-issues/dec-2019/rossari-biotech-limited_45405.html" TargetMode="External" Id="rId2638" /><Relationship Type="http://schemas.openxmlformats.org/officeDocument/2006/relationships/hyperlink" Target="https://www.sebi.gov.in/sebi_data/attachdocs/dec-2019/1577109330084.pdf" TargetMode="External" Id="rId2639" /><Relationship Type="http://schemas.openxmlformats.org/officeDocument/2006/relationships/hyperlink" Target="https://www.sebi.gov.in/filings/public-issues/dec-2019/uti-asset-management-company-limited_45426.html" TargetMode="External" Id="rId2640" /><Relationship Type="http://schemas.openxmlformats.org/officeDocument/2006/relationships/hyperlink" Target="https://www.sebi.gov.in/sebi_data/attachdocs/dec-2019/1576647333973.pdf" TargetMode="External" Id="rId2641" /><Relationship Type="http://schemas.openxmlformats.org/officeDocument/2006/relationships/hyperlink" Target="https://www.sebi.gov.in/filings/public-issues/dec-2019/equitas-small-finance-bank-limited_45353.html" TargetMode="External" Id="rId2642" /><Relationship Type="http://schemas.openxmlformats.org/officeDocument/2006/relationships/hyperlink" Target="https://www.sebi.gov.in/sebi_data/attachdocs/apr-2023/1681125913749.pdf" TargetMode="External" Id="rId2643" /><Relationship Type="http://schemas.openxmlformats.org/officeDocument/2006/relationships/hyperlink" Target="https://www.sebi.gov.in/filings/public-issues/dec-2019/icl-organic-dairy-products-limited_45336.html" TargetMode="External" Id="rId2644" /><Relationship Type="http://schemas.openxmlformats.org/officeDocument/2006/relationships/hyperlink" Target="https://www.sebi.gov.in/sebi_data/attachdocs/dec-2019/1576817027159.PDF" TargetMode="External" Id="rId2645" /><Relationship Type="http://schemas.openxmlformats.org/officeDocument/2006/relationships/hyperlink" Target="https://www.sebi.gov.in/filings/public-issues/dec-2019/madhav-copper-limited_45393.html" TargetMode="External" Id="rId2646" /><Relationship Type="http://schemas.openxmlformats.org/officeDocument/2006/relationships/hyperlink" Target="https://www.sebi.gov.in/sebi_data/attachdocs/apr-2023/1681212063911.pdf" TargetMode="External" Id="rId2647" /><Relationship Type="http://schemas.openxmlformats.org/officeDocument/2006/relationships/hyperlink" Target="https://www.sebi.gov.in/filings/public-issues/dec-2019/easy-trip-planners-limited_45323.html" TargetMode="External" Id="rId2648" /><Relationship Type="http://schemas.openxmlformats.org/officeDocument/2006/relationships/hyperlink" Target="https://www.sebi.gov.in/sebi_data/attachdocs/dec-2019/1575274673139.pdf" TargetMode="External" Id="rId2649" /><Relationship Type="http://schemas.openxmlformats.org/officeDocument/2006/relationships/hyperlink" Target="https://www.sebi.gov.in/filings/public-issues/dec-2019/home-first-finance-company-india-limited_45165.html" TargetMode="External" Id="rId2650" /><Relationship Type="http://schemas.openxmlformats.org/officeDocument/2006/relationships/hyperlink" Target="https://www.sebi.gov.in/sebi_data/attachdocs/dec-2019/1575268925170.PDF" TargetMode="External" Id="rId2651" /><Relationship Type="http://schemas.openxmlformats.org/officeDocument/2006/relationships/hyperlink" Target="https://www.sebi.gov.in/filings/public-issues/dec-2019/sbi-cards-and-payment-services-limited_45160.html" TargetMode="External" Id="rId2652" /><Relationship Type="http://schemas.openxmlformats.org/officeDocument/2006/relationships/hyperlink" Target="https://www.sebi.gov.in/sebi_data/attachdocs/may-2023/1684477803458.pdf" TargetMode="External" Id="rId2653" /><Relationship Type="http://schemas.openxmlformats.org/officeDocument/2006/relationships/hyperlink" Target="https://www.sebi.gov.in/filings/public-issues/nov-2019/puranik-builders-limited_45050.html" TargetMode="External" Id="rId2654" /><Relationship Type="http://schemas.openxmlformats.org/officeDocument/2006/relationships/hyperlink" Target="https://www.business-standard.com/markets/ipo/puranik-builders-ltd-ipo-66783" TargetMode="External" Id="rId2655" /><Relationship Type="http://schemas.openxmlformats.org/officeDocument/2006/relationships/hyperlink" Target="https://www.sebi.gov.in/sebi_data/attachdocs/nov-2019/1573013898727.pdf" TargetMode="External" Id="rId2656" /><Relationship Type="http://schemas.openxmlformats.org/officeDocument/2006/relationships/hyperlink" Target="https://www.sebi.gov.in/filings/public-issues/nov-2019/burger-king-india-limited_44876.html" TargetMode="External" Id="rId2657" /><Relationship Type="http://schemas.openxmlformats.org/officeDocument/2006/relationships/hyperlink" Target="https://www.sebi.gov.in/sebi_data/attachdocs/oct-2019/1572410055177.pdf" TargetMode="External" Id="rId2658" /><Relationship Type="http://schemas.openxmlformats.org/officeDocument/2006/relationships/hyperlink" Target="https://www.sebi.gov.in/filings/public-issues/oct-2019/mangalam-global-enterprise-limited_44795.html" TargetMode="External" Id="rId2659" /><Relationship Type="http://schemas.openxmlformats.org/officeDocument/2006/relationships/hyperlink" Target="https://www.sebi.gov.in/sebi_data/attachdocs/oct-2019/1572002560483.pdf" TargetMode="External" Id="rId2660" /><Relationship Type="http://schemas.openxmlformats.org/officeDocument/2006/relationships/hyperlink" Target="https://www.sebi.gov.in/filings/public-issues/oct-2019/bonlon-industries-limited_44778.html" TargetMode="External" Id="rId2661" /><Relationship Type="http://schemas.openxmlformats.org/officeDocument/2006/relationships/hyperlink" Target="https://www.sebi.gov.in/sebi_data/attachdocs/oct-2019/1571917589761.PDF" TargetMode="External" Id="rId2662" /><Relationship Type="http://schemas.openxmlformats.org/officeDocument/2006/relationships/hyperlink" Target="https://www.sebi.gov.in/filings/public-issues/oct-2019/ramsons-food-products-limited_44753.html" TargetMode="External" Id="rId2663" /><Relationship Type="http://schemas.openxmlformats.org/officeDocument/2006/relationships/hyperlink" Target="https://www.sebi.gov.in/sebi_data/attachdocs/oct-2019/1571745925606.PDF" TargetMode="External" Id="rId2664" /><Relationship Type="http://schemas.openxmlformats.org/officeDocument/2006/relationships/hyperlink" Target="https://www.sebi.gov.in/filings/public-issues/oct-2019/rainbow-crop-health-limited_44714.html" TargetMode="External" Id="rId2665" /><Relationship Type="http://schemas.openxmlformats.org/officeDocument/2006/relationships/hyperlink" Target="https://www.business-standard.com/markets/ipo/rainbow-crop-health-ltd-ipo-74559" TargetMode="External" Id="rId2666" /><Relationship Type="http://schemas.openxmlformats.org/officeDocument/2006/relationships/hyperlink" Target="https://www.sebi.gov.in/sebi_data/attachdocs/oct-2019/1570183901946.pdf" TargetMode="External" Id="rId2667" /><Relationship Type="http://schemas.openxmlformats.org/officeDocument/2006/relationships/hyperlink" Target="https://www.sebi.gov.in/filings/public-issues/oct-2019/nilshikhaa-projects-ltd-_44577.html" TargetMode="External" Id="rId2668" /><Relationship Type="http://schemas.openxmlformats.org/officeDocument/2006/relationships/hyperlink" Target="https://www.business-standard.com/markets/ipo/nilshikhaa-projects-ltd-ipo-74561" TargetMode="External" Id="rId2669" /><Relationship Type="http://schemas.openxmlformats.org/officeDocument/2006/relationships/hyperlink" Target="https://www.sebi.gov.in/sebi_data/attachdocs/oct-2019/1570183832734.pdf" TargetMode="External" Id="rId2670" /><Relationship Type="http://schemas.openxmlformats.org/officeDocument/2006/relationships/hyperlink" Target="https://www.sebi.gov.in/filings/public-issues/oct-2019/zircar-refractories-ltd-_44576.html" TargetMode="External" Id="rId2671" /><Relationship Type="http://schemas.openxmlformats.org/officeDocument/2006/relationships/hyperlink" Target="https://www.business-standard.com/markets/ipo/zircar-refractories-ltd-ipo-74560" TargetMode="External" Id="rId2672" /><Relationship Type="http://schemas.openxmlformats.org/officeDocument/2006/relationships/hyperlink" Target="https://www.sebi.gov.in/sebi_data/attachdocs/may-2023/1683095174184.pdf" TargetMode="External" Id="rId2673" /><Relationship Type="http://schemas.openxmlformats.org/officeDocument/2006/relationships/hyperlink" Target="https://www.sebi.gov.in/filings/public-issues/oct-2019/route-mobile-limited_44646.html" TargetMode="External" Id="rId2674" /><Relationship Type="http://schemas.openxmlformats.org/officeDocument/2006/relationships/hyperlink" Target="https://www.sebi.gov.in/sebi_data/attachdocs/oct-2019/1569921982503.pdf" TargetMode="External" Id="rId2675" /><Relationship Type="http://schemas.openxmlformats.org/officeDocument/2006/relationships/hyperlink" Target="https://www.sebi.gov.in/filings/public-issues/oct-2019/mukesh-trends-life-style-limited_44548.html" TargetMode="External" Id="rId2676" /><Relationship Type="http://schemas.openxmlformats.org/officeDocument/2006/relationships/hyperlink" Target="https://www.business-standard.com/markets/ipo/mukesh-trends-lifestyle-ltd-ipo-74553" TargetMode="External" Id="rId2677" /><Relationship Type="http://schemas.openxmlformats.org/officeDocument/2006/relationships/hyperlink" Target="https://www.sebi.gov.in/sebi_data/attachdocs/may-2023/1684477400672.pdf" TargetMode="External" Id="rId2678" /><Relationship Type="http://schemas.openxmlformats.org/officeDocument/2006/relationships/hyperlink" Target="https://www.sebi.gov.in/filings/public-issues/sep-2019/montecarlo-limited_44529.html" TargetMode="External" Id="rId2679" /><Relationship Type="http://schemas.openxmlformats.org/officeDocument/2006/relationships/hyperlink" Target="https://www.motilaloswal.com/learning-centre/2021/4/montecarlo-limited-ipo-montecarlo-limited-ipo-date-share-price-and-news" TargetMode="External" Id="rId2680" /><Relationship Type="http://schemas.openxmlformats.org/officeDocument/2006/relationships/hyperlink" Target="https://www.sebi.gov.in/sebi_data/attachdocs/oct-2019/1570084748102.pdf" TargetMode="External" Id="rId2681" /><Relationship Type="http://schemas.openxmlformats.org/officeDocument/2006/relationships/hyperlink" Target="https://www.sebi.gov.in/filings/public-issues/sep-2019/samhi-hotels-limited_44561.html" TargetMode="External" Id="rId2682" /><Relationship Type="http://schemas.openxmlformats.org/officeDocument/2006/relationships/hyperlink" Target="https://www.chittorgarh.com/ipo/samhi-hotels-ipo/1502/" TargetMode="External" Id="rId2683" /><Relationship Type="http://schemas.openxmlformats.org/officeDocument/2006/relationships/hyperlink" Target="https://www.sebi.gov.in/sebi_data/attachdocs/sep-2019/1568803208643.pdf" TargetMode="External" Id="rId2684" /><Relationship Type="http://schemas.openxmlformats.org/officeDocument/2006/relationships/hyperlink" Target="https://www.sebi.gov.in/filings/public-issues/sep-2019/gensol-engineering-limited_44284.html" TargetMode="External" Id="rId2685" /><Relationship Type="http://schemas.openxmlformats.org/officeDocument/2006/relationships/hyperlink" Target="https://www.sebi.gov.in/sebi_data/attachdocs/oct-2019/1570163328439.pdf" TargetMode="External" Id="rId2686" /><Relationship Type="http://schemas.openxmlformats.org/officeDocument/2006/relationships/hyperlink" Target="https://www.sebi.gov.in/filings/public-issues/sep-2019/unidrug-innovative-pharma-technologies-limited_44566.html" TargetMode="External" Id="rId2687" /><Relationship Type="http://schemas.openxmlformats.org/officeDocument/2006/relationships/hyperlink" Target="https://top10stockbroker.com/ipo-review/unidrug-innovative-pharma-ipo/" TargetMode="External" Id="rId2688" /><Relationship Type="http://schemas.openxmlformats.org/officeDocument/2006/relationships/hyperlink" Target="https://www.sebi.gov.in/sebi_data/attachdocs/aug-2019/1566449751846.pdf" TargetMode="External" Id="rId2689" /><Relationship Type="http://schemas.openxmlformats.org/officeDocument/2006/relationships/hyperlink" Target="https://www.sebi.gov.in/filings/public-issues/aug-2019/indian-railway-catering-and-tourism-corporation-limited_43981.html" TargetMode="External" Id="rId2690" /><Relationship Type="http://schemas.openxmlformats.org/officeDocument/2006/relationships/hyperlink" Target="https://www.sebi.gov.in/sebi_data/attachdocs/aug-2019/1566450897703.PDF" TargetMode="External" Id="rId2691" /><Relationship Type="http://schemas.openxmlformats.org/officeDocument/2006/relationships/hyperlink" Target="https://www.sebi.gov.in/filings/public-issues/aug-2019/ujjivan-small-finance-bank-limited_43982.html" TargetMode="External" Id="rId2692" /><Relationship Type="http://schemas.openxmlformats.org/officeDocument/2006/relationships/hyperlink" Target="https://www.sebi.gov.in/sebi_data/attachdocs/aug-2019/1565675210432.PDF" TargetMode="External" Id="rId2693" /><Relationship Type="http://schemas.openxmlformats.org/officeDocument/2006/relationships/hyperlink" Target="https://www.sebi.gov.in/filings/public-issues/aug-2019/csb-bank-limited_43872.html" TargetMode="External" Id="rId2694" /><Relationship Type="http://schemas.openxmlformats.org/officeDocument/2006/relationships/hyperlink" Target="https://www.sebi.gov.in/sebi_data/attachdocs/aug-2019/1565331596490.pdf" TargetMode="External" Id="rId2695" /><Relationship Type="http://schemas.openxmlformats.org/officeDocument/2006/relationships/hyperlink" Target="https://www.sebi.gov.in/filings/public-issues/aug-2019/chemcon-speciality-chemicals-ltd-_43860.html" TargetMode="External" Id="rId2696" /><Relationship Type="http://schemas.openxmlformats.org/officeDocument/2006/relationships/hyperlink" Target="https://www.sebi.gov.in/sebi_data/attachdocs/aug-2019/1565270005228.pdf" TargetMode="External" Id="rId2697" /><Relationship Type="http://schemas.openxmlformats.org/officeDocument/2006/relationships/hyperlink" Target="https://www.sebi.gov.in/filings/public-issues/aug-2019/mazagon-dock-shipbuilders-limited-drhp_43848.html" TargetMode="External" Id="rId2698" /><Relationship Type="http://schemas.openxmlformats.org/officeDocument/2006/relationships/hyperlink" Target="https://www.sebi.gov.in/sebi_data/attachdocs/jul-2019/1564575726252.pdf" TargetMode="External" Id="rId2699" /><Relationship Type="http://schemas.openxmlformats.org/officeDocument/2006/relationships/hyperlink" Target="https://www.sebi.gov.in/filings/public-issues/jul-2019/indian-renewable-energy-development-agency-limited_43772.html" TargetMode="External" Id="rId2700" /><Relationship Type="http://schemas.openxmlformats.org/officeDocument/2006/relationships/hyperlink" Target="https://www.business-standard.com/markets/ipo/indian-renewable-energy-development-agency-ipo-15550" TargetMode="External" Id="rId2701" /><Relationship Type="http://schemas.openxmlformats.org/officeDocument/2006/relationships/hyperlink" Target="https://www.sebi.gov.in/sebi_data/attachdocs/jul-2019/1563338426844.pdf" TargetMode="External" Id="rId2702" /><Relationship Type="http://schemas.openxmlformats.org/officeDocument/2006/relationships/hyperlink" Target="https://www.sebi.gov.in/filings/public-issues/jul-2019/wonder-fibromats-limited_43585.html" TargetMode="External" Id="rId2703" /><Relationship Type="http://schemas.openxmlformats.org/officeDocument/2006/relationships/hyperlink" Target="https://www.sebi.gov.in/sebi_data/attachdocs/apr-2023/1681212317639.pdf" TargetMode="External" Id="rId2704" /><Relationship Type="http://schemas.openxmlformats.org/officeDocument/2006/relationships/hyperlink" Target="https://www.sebi.gov.in/filings/public-issues/jun-2019/shyam-steel-industries-limited_43188.html" TargetMode="External" Id="rId2705" /><Relationship Type="http://schemas.openxmlformats.org/officeDocument/2006/relationships/hyperlink" Target="https://top10stockbroker.com/ipo-review/shyam-steel-industries-limited-ipo/" TargetMode="External" Id="rId2706" /><Relationship Type="http://schemas.openxmlformats.org/officeDocument/2006/relationships/hyperlink" Target="https://www.sebi.gov.in/sebi_data/attachdocs/may-2019/1556793606287.pdf" TargetMode="External" Id="rId2707" /><Relationship Type="http://schemas.openxmlformats.org/officeDocument/2006/relationships/hyperlink" Target="https://www.sebi.gov.in/filings/public-issues/may-2019/sbc-exports-limited_42903.html" TargetMode="External" Id="rId2708" /><Relationship Type="http://schemas.openxmlformats.org/officeDocument/2006/relationships/hyperlink" Target="https://www.sebi.gov.in/sebi_data/attachdocs/may-2023/1683087698716.pdf" TargetMode="External" Id="rId2709" /><Relationship Type="http://schemas.openxmlformats.org/officeDocument/2006/relationships/hyperlink" Target="https://www.sebi.gov.in/filings/public-issues/apr-2019/sterling-and-wilson-solar-limited_42763.html" TargetMode="External" Id="rId2710" /><Relationship Type="http://schemas.openxmlformats.org/officeDocument/2006/relationships/hyperlink" Target="https://www.sebi.gov.in/sebi_data/attachdocs/may-2023/1684477298748.pdf" TargetMode="External" Id="rId2711" /><Relationship Type="http://schemas.openxmlformats.org/officeDocument/2006/relationships/hyperlink" Target="https://www.sebi.gov.in/filings/public-issues/apr-2019/bajaj-energy-limited_42638.html" TargetMode="External" Id="rId2712" /><Relationship Type="http://schemas.openxmlformats.org/officeDocument/2006/relationships/hyperlink" Target="https://www.business-standard.com/markets/ipo/bajaj-energy-pvt-ltd-ipo-64836" TargetMode="External" Id="rId2713" /><Relationship Type="http://schemas.openxmlformats.org/officeDocument/2006/relationships/hyperlink" Target="https://www.sebi.gov.in/sebi_data/attachdocs/apr-2019/1554175454973.pdf" TargetMode="External" Id="rId2714" /><Relationship Type="http://schemas.openxmlformats.org/officeDocument/2006/relationships/hyperlink" Target="https://www.sebi.gov.in/filings/public-issues/apr-2019/annai-infra-developers-limited_42585.html" TargetMode="External" Id="rId2715" /><Relationship Type="http://schemas.openxmlformats.org/officeDocument/2006/relationships/hyperlink" Target="https://www.business-standard.com/markets/ipo/annai-infra-developers-ltd-ipo-74055" TargetMode="External" Id="rId2716" /><Relationship Type="http://schemas.openxmlformats.org/officeDocument/2006/relationships/hyperlink" Target="https://www.sebi.gov.in/sebi_data/attachdocs/mar-2019/1553064316857.pdf" TargetMode="External" Id="rId2717" /><Relationship Type="http://schemas.openxmlformats.org/officeDocument/2006/relationships/hyperlink" Target="https://www.sebi.gov.in/filings/public-issues/mar-2019/satyasai-pressure-vessels-limited_42423.html" TargetMode="External" Id="rId2718" /><Relationship Type="http://schemas.openxmlformats.org/officeDocument/2006/relationships/hyperlink" Target="https://www.business-standard.com/markets/ipo/satyasai-pressure-vessels-ltd-ipo-74026" TargetMode="External" Id="rId2719" /><Relationship Type="http://schemas.openxmlformats.org/officeDocument/2006/relationships/hyperlink" Target="https://www.sebi.gov.in/sebi_data/attachdocs/may-2023/1683090960086.pdf" TargetMode="External" Id="rId2720" /><Relationship Type="http://schemas.openxmlformats.org/officeDocument/2006/relationships/hyperlink" Target="https://www.sebi.gov.in/filings/public-issues/mar-2019/powerica-limited_42371.html" TargetMode="External" Id="rId2721" /><Relationship Type="http://schemas.openxmlformats.org/officeDocument/2006/relationships/hyperlink" Target="https://www.business-standard.com/markets/ipo/powerica-ltd-ipo-23308" TargetMode="External" Id="rId2722" /><Relationship Type="http://schemas.openxmlformats.org/officeDocument/2006/relationships/hyperlink" Target="https://www.sebi.gov.in/sebi_data/attachdocs/feb-2019/1550719259598.pdf" TargetMode="External" Id="rId2723" /><Relationship Type="http://schemas.openxmlformats.org/officeDocument/2006/relationships/hyperlink" Target="https://www.sebi.gov.in/filings/public-issues/feb-2019/m-k-roy-and-bros-projects-limited_42102.html" TargetMode="External" Id="rId2724" /><Relationship Type="http://schemas.openxmlformats.org/officeDocument/2006/relationships/hyperlink" Target="https://www.business-standard.com/markets/ipo/m-k-roy-bros-projects-ipo-39913" TargetMode="External" Id="rId2725" /><Relationship Type="http://schemas.openxmlformats.org/officeDocument/2006/relationships/hyperlink" Target="https://www.sebi.gov.in/sebi_data/attachdocs/apr-2023/1681124400398.pdf" TargetMode="External" Id="rId2726" /><Relationship Type="http://schemas.openxmlformats.org/officeDocument/2006/relationships/hyperlink" Target="https://www.sebi.gov.in/filings/public-issues/feb-2019/mahip-industries-limited-_42091.html" TargetMode="External" Id="rId2727" /><Relationship Type="http://schemas.openxmlformats.org/officeDocument/2006/relationships/hyperlink" Target="https://www.sebi.gov.in/sebi_data/attachdocs/feb-2019/1550059208223_13.pdf" TargetMode="External" Id="rId2728" /><Relationship Type="http://schemas.openxmlformats.org/officeDocument/2006/relationships/hyperlink" Target="https://www.sebi.gov.in/filings/public-issues/feb-2019/reliance-general-insurance-company-limited_42061.html" TargetMode="External" Id="rId2729" /><Relationship Type="http://schemas.openxmlformats.org/officeDocument/2006/relationships/hyperlink" Target="https://www.business-standard.com/article/pti-stories/reliance-general-insurance-scraps-ipo-plan-withdraw-offer-documents-119103000735_1.html" TargetMode="External" Id="rId2730" /><Relationship Type="http://schemas.openxmlformats.org/officeDocument/2006/relationships/hyperlink" Target="https://www.sebi.gov.in/sebi_data/attachdocs/feb-2019/1550030004468.pdf" TargetMode="External" Id="rId2731" /><Relationship Type="http://schemas.openxmlformats.org/officeDocument/2006/relationships/hyperlink" Target="https://www.sebi.gov.in/filings/public-issues/feb-2019/welpar-pharmbizz-limited_42053.html" TargetMode="External" Id="rId2732" /><Relationship Type="http://schemas.openxmlformats.org/officeDocument/2006/relationships/hyperlink" Target="https://www.business-standard.com/markets/ipo/welpar-pharmbizz-ltd-ipo-74003" TargetMode="External" Id="rId2733" /><Relationship Type="http://schemas.openxmlformats.org/officeDocument/2006/relationships/hyperlink" Target="https://www.sebi.gov.in/sebi_data/attachdocs/feb-2019/1549426044617.pdf" TargetMode="External" Id="rId2734" /><Relationship Type="http://schemas.openxmlformats.org/officeDocument/2006/relationships/hyperlink" Target="https://www.sebi.gov.in/filings/public-issues/feb-2019/humming-bird-education-limited_41979.html" TargetMode="External" Id="rId2735" /><Relationship Type="http://schemas.openxmlformats.org/officeDocument/2006/relationships/hyperlink" Target="https://www.sebi.gov.in/sebi_data/attachdocs/feb-2019/1549274383844.pdf" TargetMode="External" Id="rId2736" /><Relationship Type="http://schemas.openxmlformats.org/officeDocument/2006/relationships/hyperlink" Target="https://www.sebi.gov.in/filings/public-issues/feb-2019/mstc-limited_41966.html" TargetMode="External" Id="rId2737" /><Relationship Type="http://schemas.openxmlformats.org/officeDocument/2006/relationships/hyperlink" Target="https://www.sebi.gov.in/sebi_data/attachdocs/apr-2023/1681124360045.pdf" TargetMode="External" Id="rId2738" /><Relationship Type="http://schemas.openxmlformats.org/officeDocument/2006/relationships/hyperlink" Target="https://www.sebi.gov.in/filings/public-issues/jan-2019/northern-spirits-limited_41863.html" TargetMode="External" Id="rId2739" /><Relationship Type="http://schemas.openxmlformats.org/officeDocument/2006/relationships/hyperlink" Target="https://www.sebi.gov.in/sebi_data/attachdocs/jan-2019/1546581784822.pdf" TargetMode="External" Id="rId2740" /><Relationship Type="http://schemas.openxmlformats.org/officeDocument/2006/relationships/hyperlink" Target="https://www.sebi.gov.in/filings/public-issues/jan-2019/kranti-industries-limited_41537.html" TargetMode="External" Id="rId2741" /><Relationship Type="http://schemas.openxmlformats.org/officeDocument/2006/relationships/hyperlink" Target="https://www.sebi.gov.in/sebi_data/attachdocs/apr-2023/1681707020351.pdf" TargetMode="External" Id="rId2742" /><Relationship Type="http://schemas.openxmlformats.org/officeDocument/2006/relationships/hyperlink" Target="https://www.sebi.gov.in/filings/public-issues/jan-2019/antony-waste-handling-cell-limited_41518.html" TargetMode="External" Id="rId2743" /><Relationship Type="http://schemas.openxmlformats.org/officeDocument/2006/relationships/hyperlink" Target="https://www.sebi.gov.in/sebi_data/attachdocs/apr-2023/1681818971633.pdf" TargetMode="External" Id="rId2744" /><Relationship Type="http://schemas.openxmlformats.org/officeDocument/2006/relationships/hyperlink" Target="https://www.sebi.gov.in/filings/public-issues/dec-2018/shriram-properties-limited_41454.html" TargetMode="External" Id="rId2745" /><Relationship Type="http://schemas.openxmlformats.org/officeDocument/2006/relationships/hyperlink" Target="https://www.chittorgarh.com/ipo/shriram-properties-ipo/1191/" TargetMode="External" Id="rId2746" /><Relationship Type="http://schemas.openxmlformats.org/officeDocument/2006/relationships/hyperlink" Target="https://www.sebi.gov.in/sebi_data/attachdocs/apr-2023/1681212442052.pdf" TargetMode="External" Id="rId2747" /><Relationship Type="http://schemas.openxmlformats.org/officeDocument/2006/relationships/hyperlink" Target="https://www.sebi.gov.in/filings/public-issues/dec-2018/uniparts-india-limited_41250.html" TargetMode="External" Id="rId2748" /><Relationship Type="http://schemas.openxmlformats.org/officeDocument/2006/relationships/hyperlink" Target="https://www.business-standard.com/markets/ipo/uniparts-india-ltd-ipo-45939" TargetMode="External" Id="rId2749" /><Relationship Type="http://schemas.openxmlformats.org/officeDocument/2006/relationships/hyperlink" Target="https://www.sebi.gov.in/sebi_data/attachdocs/nov-2018/1543549582524.pdf" TargetMode="External" Id="rId2750" /><Relationship Type="http://schemas.openxmlformats.org/officeDocument/2006/relationships/hyperlink" Target="https://www.sebi.gov.in/filings/public-issues/nov-2018/coldex-limited_41154.html" TargetMode="External" Id="rId2751" /><Relationship Type="http://schemas.openxmlformats.org/officeDocument/2006/relationships/hyperlink" Target="https://www.business-standard.com/markets/ipo/coldex-ltd-ipo-43826" TargetMode="External" Id="rId2752" /><Relationship Type="http://schemas.openxmlformats.org/officeDocument/2006/relationships/hyperlink" Target="https://www.sebi.gov.in/sebi_data/attachdocs/nov-2018/1542278014804.pdf" TargetMode="External" Id="rId2753" /><Relationship Type="http://schemas.openxmlformats.org/officeDocument/2006/relationships/hyperlink" Target="https://www.sebi.gov.in/filings/public-issues/nov-2018/penna-cement-industries-limited_41004.html" TargetMode="External" Id="rId2754" /><Relationship Type="http://schemas.openxmlformats.org/officeDocument/2006/relationships/hyperlink" Target="https://www.business-standard.com/markets/ipo/penna-cement-indutries-ltd-ipo-25179" TargetMode="External" Id="rId2755" /><Relationship Type="http://schemas.openxmlformats.org/officeDocument/2006/relationships/hyperlink" Target="https://www.sebi.gov.in/sebi_data/attachdocs/nov-2018/1541419209760_7.pdf" TargetMode="External" Id="rId2756" /><Relationship Type="http://schemas.openxmlformats.org/officeDocument/2006/relationships/hyperlink" Target="https://www.sebi.gov.in/filings/public-issues/nov-2018/neogen-chemicals-limited_40952.html" TargetMode="External" Id="rId2757" /><Relationship Type="http://schemas.openxmlformats.org/officeDocument/2006/relationships/hyperlink" Target="https://www.sebi.gov.in/sebi_data/attachdocs/nov-2018/1541160009196_6.pdf" TargetMode="External" Id="rId2758" /><Relationship Type="http://schemas.openxmlformats.org/officeDocument/2006/relationships/hyperlink" Target="https://www.sebi.gov.in/filings/public-issues/nov-2018/polycab-india-limited_40933.html" TargetMode="External" Id="rId2759" /><Relationship Type="http://schemas.openxmlformats.org/officeDocument/2006/relationships/hyperlink" Target="https://www.sebi.gov.in/sebi_data/attachdocs/oct-2018/1539777610868_5.pdf" TargetMode="External" Id="rId2760" /><Relationship Type="http://schemas.openxmlformats.org/officeDocument/2006/relationships/hyperlink" Target="https://www.sebi.gov.in/filings/public-issues/oct-2018/prince-pipes-and-fittings-limited_40754.html" TargetMode="External" Id="rId2761" /><Relationship Type="http://schemas.openxmlformats.org/officeDocument/2006/relationships/hyperlink" Target="https://www.sebi.gov.in/sebi_data/attachdocs/oct-2018/1539666184545.pdf" TargetMode="External" Id="rId2762" /><Relationship Type="http://schemas.openxmlformats.org/officeDocument/2006/relationships/hyperlink" Target="https://www.sebi.gov.in/filings/public-issues/oct-2018/narmada-bio-chem-limited_40732.html" TargetMode="External" Id="rId2763" /><Relationship Type="http://schemas.openxmlformats.org/officeDocument/2006/relationships/hyperlink" Target="https://www.business-standard.com/markets/ipo/narmada-bio-chem-ltd-ipo-40265" TargetMode="External" Id="rId2764" /><Relationship Type="http://schemas.openxmlformats.org/officeDocument/2006/relationships/hyperlink" Target="https://www.sebi.gov.in/sebi_data/attachdocs/oct-2018/1539578504153.pdf" TargetMode="External" Id="rId2765" /><Relationship Type="http://schemas.openxmlformats.org/officeDocument/2006/relationships/hyperlink" Target="https://www.sebi.gov.in/filings/public-issues/oct-2018/emami-cement-limited_40726.html" TargetMode="External" Id="rId2766" /><Relationship Type="http://schemas.openxmlformats.org/officeDocument/2006/relationships/hyperlink" Target="https://www.business-standard.com/article/markets/emami-cement-gets-sebi-approval-for-initial-public-offering-of-rs-1-000-cr-119052201460_1.html" TargetMode="External" Id="rId2767" /><Relationship Type="http://schemas.openxmlformats.org/officeDocument/2006/relationships/hyperlink" Target="https://www.sebi.gov.in/sebi_data/attachdocs/oct-2018/1538393293334.pdf" TargetMode="External" Id="rId2768" /><Relationship Type="http://schemas.openxmlformats.org/officeDocument/2006/relationships/hyperlink" Target="https://www.sebi.gov.in/filings/public-issues/oct-2018/heranba-industries-limited_40572.html" TargetMode="External" Id="rId2769" /><Relationship Type="http://schemas.openxmlformats.org/officeDocument/2006/relationships/hyperlink" Target="https://www.chittorgarh.com/ipo/heranba-industries-ipo/1085/" TargetMode="External" Id="rId2770" /><Relationship Type="http://schemas.openxmlformats.org/officeDocument/2006/relationships/hyperlink" Target="https://www.sebi.gov.in/sebi_data/attachdocs/oct-2018/1538393281700.pdf" TargetMode="External" Id="rId2771" /><Relationship Type="http://schemas.openxmlformats.org/officeDocument/2006/relationships/hyperlink" Target="https://www.sebi.gov.in/filings/public-issues/oct-2018/chartered-speed-limited_40571.html" TargetMode="External" Id="rId2772" /><Relationship Type="http://schemas.openxmlformats.org/officeDocument/2006/relationships/hyperlink" Target="https://www.chittorgarh.com/ipo/chartered-speed-ipo/2596/" TargetMode="External" Id="rId2773" /><Relationship Type="http://schemas.openxmlformats.org/officeDocument/2006/relationships/hyperlink" Target="https://www.sebi.gov.in/sebi_data/attachdocs/sep-2018/1538145015018.pdf" TargetMode="External" Id="rId2774" /><Relationship Type="http://schemas.openxmlformats.org/officeDocument/2006/relationships/hyperlink" Target="https://www.sebi.gov.in/filings/public-issues/sep-2018/neccon-power-and-infra-limited_40543.html" TargetMode="External" Id="rId2775" /><Relationship Type="http://schemas.openxmlformats.org/officeDocument/2006/relationships/hyperlink" Target="https://www.business-standard.com/markets/ipo/neccon-power-infra-ltd-ipo-29207" TargetMode="External" Id="rId2776" /><Relationship Type="http://schemas.openxmlformats.org/officeDocument/2006/relationships/hyperlink" Target="https://www.sebi.gov.in/sebi_data/attachdocs/sep-2018/1538144892170.pdf" TargetMode="External" Id="rId2777" /><Relationship Type="http://schemas.openxmlformats.org/officeDocument/2006/relationships/hyperlink" Target="https://www.sebi.gov.in/filings/public-issues/sep-2018/stove-kraft-limited_40540.html" TargetMode="External" Id="rId2778" /><Relationship Type="http://schemas.openxmlformats.org/officeDocument/2006/relationships/hyperlink" Target="https://www.chittorgarh.com/ipo/stove-kraft-ipo/1081/" TargetMode="External" Id="rId2779" /><Relationship Type="http://schemas.openxmlformats.org/officeDocument/2006/relationships/hyperlink" Target="https://www.sebi.gov.in/sebi_data/attachdocs/sep-2018/1538132305423.pdf" TargetMode="External" Id="rId2780" /><Relationship Type="http://schemas.openxmlformats.org/officeDocument/2006/relationships/hyperlink" Target="https://www.sebi.gov.in/filings/public-issues/sep-2018/metropolis-healthcare-limited_40520.html" TargetMode="External" Id="rId2781" /><Relationship Type="http://schemas.openxmlformats.org/officeDocument/2006/relationships/hyperlink" Target="https://www.sebi.gov.in/sebi_data/attachdocs/sep-2018/1538127439555.pdf" TargetMode="External" Id="rId2782" /><Relationship Type="http://schemas.openxmlformats.org/officeDocument/2006/relationships/hyperlink" Target="https://www.sebi.gov.in/filings/public-issues/sep-2018/iti-limited_40510.html" TargetMode="External" Id="rId2783" /><Relationship Type="http://schemas.openxmlformats.org/officeDocument/2006/relationships/hyperlink" Target="https://www.chittorgarh.com/ipo/iti-fpo/1034/" TargetMode="External" Id="rId2784" /><Relationship Type="http://schemas.openxmlformats.org/officeDocument/2006/relationships/hyperlink" Target="https://www.sebi.gov.in/sebi_data/attachdocs/sep-2018/1538127118589.pdf" TargetMode="External" Id="rId2785" /><Relationship Type="http://schemas.openxmlformats.org/officeDocument/2006/relationships/hyperlink" Target="https://www.sebi.gov.in/filings/public-issues/sep-2018/narmada-biochem-limited_40508.html" TargetMode="External" Id="rId2786" /><Relationship Type="http://schemas.openxmlformats.org/officeDocument/2006/relationships/hyperlink" Target="https://www.business-standard.com/markets/ipo/narmada-bio-chem-ltd-ipo-40265" TargetMode="External" Id="rId2787" /><Relationship Type="http://schemas.openxmlformats.org/officeDocument/2006/relationships/hyperlink" Target="https://www.sebi.gov.in/sebi_data/attachdocs/sep-2018/1538038940705_3.pdf" TargetMode="External" Id="rId2788" /><Relationship Type="http://schemas.openxmlformats.org/officeDocument/2006/relationships/hyperlink" Target="https://www.sebi.gov.in/filings/public-issues/sep-2018/anand-rathi-wealth-services-limited_40463.html" TargetMode="External" Id="rId2789" /><Relationship Type="http://schemas.openxmlformats.org/officeDocument/2006/relationships/hyperlink" Target="https://www.chittorgarh.com/ipo/anand-rathi-ipo/1186/" TargetMode="External" Id="rId2790" /><Relationship Type="http://schemas.openxmlformats.org/officeDocument/2006/relationships/hyperlink" Target="https://www.sebi.gov.in/sebi_data/attachdocs/sep-2018/1538047747515.pdf" TargetMode="External" Id="rId2791" /><Relationship Type="http://schemas.openxmlformats.org/officeDocument/2006/relationships/hyperlink" Target="https://www.sebi.gov.in/filings/public-issues/sep-2018/zircon-technologies-india-ltd_40442.html" TargetMode="External" Id="rId2792" /><Relationship Type="http://schemas.openxmlformats.org/officeDocument/2006/relationships/hyperlink" Target="https://www.business-standard.com/markets/ipo/zircon-technologies-india-ltd-ipo-73290" TargetMode="External" Id="rId2793" /><Relationship Type="http://schemas.openxmlformats.org/officeDocument/2006/relationships/hyperlink" Target="https://www.sebi.gov.in/sebi_data/attachdocs/sep-2018/1538038940705_4.pdf" TargetMode="External" Id="rId2794" /><Relationship Type="http://schemas.openxmlformats.org/officeDocument/2006/relationships/hyperlink" Target="https://www.sebi.gov.in/filings/public-issues/sep-2018/flair-writing-industries-limited_40462.html" TargetMode="External" Id="rId2795" /><Relationship Type="http://schemas.openxmlformats.org/officeDocument/2006/relationships/hyperlink" Target="https://www.business-standard.com/markets/ipo/flair-writing-industries-ltd-ipo-73283" TargetMode="External" Id="rId2796" /><Relationship Type="http://schemas.openxmlformats.org/officeDocument/2006/relationships/hyperlink" Target="https://www.sebi.gov.in/sebi_data/attachdocs/sep-2018/1537761634122.pdf" TargetMode="External" Id="rId2797" /><Relationship Type="http://schemas.openxmlformats.org/officeDocument/2006/relationships/hyperlink" Target="https://www.sebi.gov.in/filings/public-issues/sep-2018/inventia-healthcare-limited_40414.html" TargetMode="External" Id="rId2798" /><Relationship Type="http://schemas.openxmlformats.org/officeDocument/2006/relationships/hyperlink" Target="https://www.business-standard.com/markets/ipo/inventia-healthcare-ltd-ipo-35923" TargetMode="External" Id="rId2799" /><Relationship Type="http://schemas.openxmlformats.org/officeDocument/2006/relationships/hyperlink" Target="https://www.sebi.gov.in/sebi_data/attachdocs/sep-2018/1537525278696.pdf" TargetMode="External" Id="rId2800" /><Relationship Type="http://schemas.openxmlformats.org/officeDocument/2006/relationships/hyperlink" Target="https://www.sebi.gov.in/filings/public-issues/sep-2018/t-and-t-infra-limited_40398.html" TargetMode="External" Id="rId2801" /><Relationship Type="http://schemas.openxmlformats.org/officeDocument/2006/relationships/hyperlink" Target="https://www.business-standard.com/markets/ipo/t-t-infra-ltd-ipo-73280" TargetMode="External" Id="rId2802" /><Relationship Type="http://schemas.openxmlformats.org/officeDocument/2006/relationships/hyperlink" Target="https://www.sebi.gov.in/sebi_data/attachdocs/sep-2018/1537360982747.pdf" TargetMode="External" Id="rId2803" /><Relationship Type="http://schemas.openxmlformats.org/officeDocument/2006/relationships/hyperlink" Target="https://www.sebi.gov.in/filings/public-issues/sep-2018/shri-bajrang-power-and-ispat-limited_40369.html" TargetMode="External" Id="rId2804" /><Relationship Type="http://schemas.openxmlformats.org/officeDocument/2006/relationships/hyperlink" Target="https://www.business-standard.com/markets/ipo/shri-bajrang-power-ispat-ltd-ipo-33671" TargetMode="External" Id="rId2805" /><Relationship Type="http://schemas.openxmlformats.org/officeDocument/2006/relationships/hyperlink" Target="https://www.sebi.gov.in/sebi_data/attachdocs/sep-2018/1536302772232.pdf" TargetMode="External" Id="rId2806" /><Relationship Type="http://schemas.openxmlformats.org/officeDocument/2006/relationships/hyperlink" Target="https://www.sebi.gov.in/filings/public-issues/sep-2018/angel-broking-limited_40269.html" TargetMode="External" Id="rId2807" /><Relationship Type="http://schemas.openxmlformats.org/officeDocument/2006/relationships/hyperlink" Target="https://www.sebi.gov.in/sebi_data/attachdocs/aug-2018/1535541224817.pdf" TargetMode="External" Id="rId2808" /><Relationship Type="http://schemas.openxmlformats.org/officeDocument/2006/relationships/hyperlink" Target="https://www.sebi.gov.in/filings/public-issues/aug-2018/studds-accessories-limited_40127.html" TargetMode="External" Id="rId2809" /><Relationship Type="http://schemas.openxmlformats.org/officeDocument/2006/relationships/hyperlink" Target="https://www.business-standard.com/markets/ipo/studds-accessories-ltd-ipo-45910" TargetMode="External" Id="rId2810" /><Relationship Type="http://schemas.openxmlformats.org/officeDocument/2006/relationships/hyperlink" Target="https://www.sebi.gov.in/sebi_data/attachdocs/aug-2018/1535533795754.pdf" TargetMode="External" Id="rId2811" /><Relationship Type="http://schemas.openxmlformats.org/officeDocument/2006/relationships/hyperlink" Target="https://www.sebi.gov.in/filings/public-issues/aug-2018/xelpmoc-design-and-tech-limited_40116.html" TargetMode="External" Id="rId2812" /><Relationship Type="http://schemas.openxmlformats.org/officeDocument/2006/relationships/hyperlink" Target="https://www.sebi.gov.in/sebi_data/attachdocs/aug-2018/1535105436108.pdf" TargetMode="External" Id="rId2813" /><Relationship Type="http://schemas.openxmlformats.org/officeDocument/2006/relationships/hyperlink" Target="https://www.sebi.gov.in/filings/public-issues/aug-2018/senco-gold-limited_40087.html" TargetMode="External" Id="rId2814" /><Relationship Type="http://schemas.openxmlformats.org/officeDocument/2006/relationships/hyperlink" Target="https://www.business-standard.com/markets/ipo/senco-gold-ltd-ipo-33975" TargetMode="External" Id="rId2815" /><Relationship Type="http://schemas.openxmlformats.org/officeDocument/2006/relationships/hyperlink" Target="https://www.sebi.gov.in/sebi_data/attachdocs/aug-2018/1535105305269.pdf" TargetMode="External" Id="rId2816" /><Relationship Type="http://schemas.openxmlformats.org/officeDocument/2006/relationships/hyperlink" Target="https://www.sebi.gov.in/filings/public-issues/aug-2018/ags-transact-technologies-limited_40086.html" TargetMode="External" Id="rId2817" /><Relationship Type="http://schemas.openxmlformats.org/officeDocument/2006/relationships/hyperlink" Target="https://www.sebi.gov.in/sebi_data/attachdocs/aug-2018/1534850331129.pdf" TargetMode="External" Id="rId2818" /><Relationship Type="http://schemas.openxmlformats.org/officeDocument/2006/relationships/hyperlink" Target="https://www.sebi.gov.in/filings/public-issues/aug-2018/harsha-engineers-limited_40062.html" TargetMode="External" Id="rId2819" /><Relationship Type="http://schemas.openxmlformats.org/officeDocument/2006/relationships/hyperlink" Target="https://www.chittorgarh.com/ipo/harsha-engineers-international-ipo/1283/" TargetMode="External" Id="rId2820" /><Relationship Type="http://schemas.openxmlformats.org/officeDocument/2006/relationships/hyperlink" Target="https://www.sebi.gov.in/sebi_data/attachdocs/aug-2018/1534745184141.pdf" TargetMode="External" Id="rId2821" /><Relationship Type="http://schemas.openxmlformats.org/officeDocument/2006/relationships/hyperlink" Target="https://www.sebi.gov.in/filings/public-issues/aug-2018/ami-organics-ltd-corrigendum_40017.html" TargetMode="External" Id="rId2822" /><Relationship Type="http://schemas.openxmlformats.org/officeDocument/2006/relationships/hyperlink" Target="https://www.chittorgarh.com/ipo/ami-organics-ipo/1143/" TargetMode="External" Id="rId2823" /><Relationship Type="http://schemas.openxmlformats.org/officeDocument/2006/relationships/hyperlink" Target="https://www.sebi.gov.in/sebi_data/attachdocs/aug-2018/1534742703611.pdf" TargetMode="External" Id="rId2824" /><Relationship Type="http://schemas.openxmlformats.org/officeDocument/2006/relationships/hyperlink" Target="https://www.sebi.gov.in/filings/public-issues/aug-2018/mrs-bectors-food-specialities-limited_40016.html" TargetMode="External" Id="rId2825" /><Relationship Type="http://schemas.openxmlformats.org/officeDocument/2006/relationships/hyperlink" Target="https://www.chittorgarh.com/ipo/mrs-bectors-food-ipo/1077/" TargetMode="External" Id="rId2826" /><Relationship Type="http://schemas.openxmlformats.org/officeDocument/2006/relationships/hyperlink" Target="https://www.sebi.gov.in/sebi_data/attachdocs/may-2023/1683091276085.pdf" TargetMode="External" Id="rId2827" /><Relationship Type="http://schemas.openxmlformats.org/officeDocument/2006/relationships/hyperlink" Target="https://www.sebi.gov.in/filings/public-issues/aug-2018/sansera-engineering-limited_40005.html" TargetMode="External" Id="rId2828" /><Relationship Type="http://schemas.openxmlformats.org/officeDocument/2006/relationships/hyperlink" Target="https://www.business-standard.com/markets/ipo/sansera-engineering-ltd-ipo-39378" TargetMode="External" Id="rId2829" /><Relationship Type="http://schemas.openxmlformats.org/officeDocument/2006/relationships/hyperlink" Target="https://www.sebi.gov.in/sebi_data/attachdocs/aug-2018/1534149714106.pdf" TargetMode="External" Id="rId2830" /><Relationship Type="http://schemas.openxmlformats.org/officeDocument/2006/relationships/hyperlink" Target="https://www.sebi.gov.in/filings/public-issues/aug-2018/nihilent-limited_39956.html" TargetMode="External" Id="rId2831" /><Relationship Type="http://schemas.openxmlformats.org/officeDocument/2006/relationships/hyperlink" Target="https://www.business-standard.com/markets/ipo/nihilent-ltd-ipo-67375" TargetMode="External" Id="rId2832" /><Relationship Type="http://schemas.openxmlformats.org/officeDocument/2006/relationships/hyperlink" Target="https://www.sebi.gov.in/sebi_data/attachdocs/aug-2018/1534134934789.pdf" TargetMode="External" Id="rId2833" /><Relationship Type="http://schemas.openxmlformats.org/officeDocument/2006/relationships/hyperlink" Target="https://www.sebi.gov.in/filings/public-issues/aug-2018/dodla-dairy-limited_39950.html" TargetMode="External" Id="rId2834" /><Relationship Type="http://schemas.openxmlformats.org/officeDocument/2006/relationships/hyperlink" Target="https://www.chittorgarh.com/ipo/dodla-dairy-ipo/1114/" TargetMode="External" Id="rId2835" /><Relationship Type="http://schemas.openxmlformats.org/officeDocument/2006/relationships/hyperlink" Target="https://www.sebi.gov.in/sebi_data/attachdocs/aug-2018/1533882148112.pdf" TargetMode="External" Id="rId2836" /><Relationship Type="http://schemas.openxmlformats.org/officeDocument/2006/relationships/hyperlink" Target="https://www.sebi.gov.in/filings/public-issues/aug-2018/shyam-metalics-and-energy-limited_39899.html" TargetMode="External" Id="rId2837" /><Relationship Type="http://schemas.openxmlformats.org/officeDocument/2006/relationships/hyperlink" Target="https://www.sebi.gov.in/sebi_data/attachdocs/aug-2018/1533789168871.pdf" TargetMode="External" Id="rId2838" /><Relationship Type="http://schemas.openxmlformats.org/officeDocument/2006/relationships/hyperlink" Target="https://www.sebi.gov.in/filings/public-issues/aug-2018/ask-investment-managers-limited_39874.html" TargetMode="External" Id="rId2839" /><Relationship Type="http://schemas.openxmlformats.org/officeDocument/2006/relationships/hyperlink" Target="https://www.business-standard.com/markets/ipo/ask-investment-managers-ltd-ipo-64724" TargetMode="External" Id="rId2840" /><Relationship Type="http://schemas.openxmlformats.org/officeDocument/2006/relationships/hyperlink" Target="https://www.sebi.gov.in/sebi_data/attachdocs/jul-2018/1533021999771.pdf" TargetMode="External" Id="rId2841" /><Relationship Type="http://schemas.openxmlformats.org/officeDocument/2006/relationships/hyperlink" Target="https://www.sebi.gov.in/filings/public-issues/jul-2018/pnb-metlife-india-insurance-company-limited_39756.html" TargetMode="External" Id="rId2842" /><Relationship Type="http://schemas.openxmlformats.org/officeDocument/2006/relationships/hyperlink" Target="https://www.business-standard.com/markets/ipo/pnb-metlife-india-insurance-company-ipo-28698" TargetMode="External" Id="rId2843" /><Relationship Type="http://schemas.openxmlformats.org/officeDocument/2006/relationships/hyperlink" Target="https://www.sebi.gov.in/sebi_data/attachdocs/jul-2018/1533016080994.pdf" TargetMode="External" Id="rId2844" /><Relationship Type="http://schemas.openxmlformats.org/officeDocument/2006/relationships/hyperlink" Target="https://www.sebi.gov.in/filings/public-issues/jul-2018/muthoot-microfin-limited_39755.html" TargetMode="External" Id="rId2845" /><Relationship Type="http://schemas.openxmlformats.org/officeDocument/2006/relationships/hyperlink" Target="https://www.business-standard.com/markets/ipo/muthoot-microfin-ltd-ipo-69580" TargetMode="External" Id="rId2846" /><Relationship Type="http://schemas.openxmlformats.org/officeDocument/2006/relationships/hyperlink" Target="https://www.sebi.gov.in/sebi_data/attachdocs/jul-2018/1532085883820.pdf" TargetMode="External" Id="rId2847" /><Relationship Type="http://schemas.openxmlformats.org/officeDocument/2006/relationships/hyperlink" Target="https://www.sebi.gov.in/filings/public-issues/jul-2018/aakash-educational-services-limited_39646.html" TargetMode="External" Id="rId2848" /><Relationship Type="http://schemas.openxmlformats.org/officeDocument/2006/relationships/hyperlink" Target="https://www.business-standard.com/markets/ipo/aakash-educational-services-ltd-ipo-45932" TargetMode="External" Id="rId2849" /><Relationship Type="http://schemas.openxmlformats.org/officeDocument/2006/relationships/hyperlink" Target="https://www.sebi.gov.in/sebi_data/attachdocs/jul-2018/1531992223336.pdf" TargetMode="External" Id="rId2850" /><Relationship Type="http://schemas.openxmlformats.org/officeDocument/2006/relationships/hyperlink" Target="https://www.sebi.gov.in/filings/public-issues/jul-2018/affle-india-llimited_39609.html" TargetMode="External" Id="rId2851" /><Relationship Type="http://schemas.openxmlformats.org/officeDocument/2006/relationships/hyperlink" Target="https://www.sebi.gov.in/sebi_data/attachdocs/jul-2018/1531386592293.pdf" TargetMode="External" Id="rId2852" /><Relationship Type="http://schemas.openxmlformats.org/officeDocument/2006/relationships/hyperlink" Target="https://www.sebi.gov.in/filings/public-issues/jul-2018/ami-organics-ltd_39529.html" TargetMode="External" Id="rId2853" /><Relationship Type="http://schemas.openxmlformats.org/officeDocument/2006/relationships/hyperlink" Target="https://www.chittorgarh.com/ipo/ami-organics-ipo/1143/" TargetMode="External" Id="rId2854" /><Relationship Type="http://schemas.openxmlformats.org/officeDocument/2006/relationships/hyperlink" Target="https://www.sebi.gov.in/sebi_data/attachdocs/jul-2018/1530875881774.pdf" TargetMode="External" Id="rId2855" /><Relationship Type="http://schemas.openxmlformats.org/officeDocument/2006/relationships/hyperlink" Target="https://www.sebi.gov.in/filings/public-issues/jul-2018/bharat-hotels-limited_39465.html" TargetMode="External" Id="rId2856" /><Relationship Type="http://schemas.openxmlformats.org/officeDocument/2006/relationships/hyperlink" Target="https://www.business-standard.com/markets/ipo/bharat-hotels-ltd-ipo-1400" TargetMode="External" Id="rId2857" /><Relationship Type="http://schemas.openxmlformats.org/officeDocument/2006/relationships/hyperlink" Target="https://www.sebi.gov.in/sebi_data/attachdocs/jul-2018/1530849126603.pdf" TargetMode="External" Id="rId2858" /><Relationship Type="http://schemas.openxmlformats.org/officeDocument/2006/relationships/hyperlink" Target="https://www.sebi.gov.in/filings/public-issues/jul-2018/chalet-hotels-limited_39457.html" TargetMode="External" Id="rId2859" /><Relationship Type="http://schemas.openxmlformats.org/officeDocument/2006/relationships/hyperlink" Target="https://www.sebi.gov.in/sebi_data/attachdocs/jul-2018/1530528082162.pdf" TargetMode="External" Id="rId2860" /><Relationship Type="http://schemas.openxmlformats.org/officeDocument/2006/relationships/hyperlink" Target="https://www.sebi.gov.in/filings/public-issues/jul-2018/puranik-builders-ltd-_39411.html" TargetMode="External" Id="rId2861" /><Relationship Type="http://schemas.openxmlformats.org/officeDocument/2006/relationships/hyperlink" Target="https://www.business-standard.com/markets/ipo/puranik-builders-ltd-ipo-66783" TargetMode="External" Id="rId2862" /><Relationship Type="http://schemas.openxmlformats.org/officeDocument/2006/relationships/hyperlink" Target="https://www.sebi.gov.in/sebi_data/attachdocs/jul-2018/1530527344318.pdf" TargetMode="External" Id="rId2863" /><Relationship Type="http://schemas.openxmlformats.org/officeDocument/2006/relationships/hyperlink" Target="https://www.sebi.gov.in/filings/public-issues/jul-2018/milltec-machinery-limited_39409.html" TargetMode="External" Id="rId2864" /><Relationship Type="http://schemas.openxmlformats.org/officeDocument/2006/relationships/hyperlink" Target="https://www.business-standard.com/markets/ipo/milltec-machinery-ltd-merged-ipo-73037" TargetMode="External" Id="rId2865" /><Relationship Type="http://schemas.openxmlformats.org/officeDocument/2006/relationships/hyperlink" Target="https://www.sebi.gov.in/sebi_data/attachdocs/jul-2018/1530686922831.pdf" TargetMode="External" Id="rId2866" /><Relationship Type="http://schemas.openxmlformats.org/officeDocument/2006/relationships/hyperlink" Target="https://www.sebi.gov.in/filings/public-issues/jun-2018/indiamart-intermesh-limited_39432.html" TargetMode="External" Id="rId2867" /><Relationship Type="http://schemas.openxmlformats.org/officeDocument/2006/relationships/hyperlink" Target="https://www.sebi.gov.in/sebi_data/attachdocs/jun-2018/1530183981177.pdf" TargetMode="External" Id="rId2868" /><Relationship Type="http://schemas.openxmlformats.org/officeDocument/2006/relationships/hyperlink" Target="https://www.sebi.gov.in/filings/public-issues/jun-2018/spandana-sphoorty-financial-limited_39377.html" TargetMode="External" Id="rId2869" /><Relationship Type="http://schemas.openxmlformats.org/officeDocument/2006/relationships/hyperlink" Target="https://www.sebi.gov.in/sebi_data/attachdocs/jun-2018/1530091023242.pdf" TargetMode="External" Id="rId2870" /><Relationship Type="http://schemas.openxmlformats.org/officeDocument/2006/relationships/hyperlink" Target="https://www.sebi.gov.in/filings/public-issues/jun-2018/penver-products-limited_39363.html" TargetMode="External" Id="rId2871" /><Relationship Type="http://schemas.openxmlformats.org/officeDocument/2006/relationships/hyperlink" Target="https://www.business-standard.com/markets/ipo/penver-products-ltd-ipo-38058" TargetMode="External" Id="rId2872" /><Relationship Type="http://schemas.openxmlformats.org/officeDocument/2006/relationships/hyperlink" Target="https://www.sebi.gov.in/sebi_data/attachdocs/jun-2018/1529990123673.pdf" TargetMode="External" Id="rId2873" /><Relationship Type="http://schemas.openxmlformats.org/officeDocument/2006/relationships/hyperlink" Target="https://www.sebi.gov.in/filings/public-issues/jun-2018/aavas-financiers-limited_39352.html" TargetMode="External" Id="rId2874" /><Relationship Type="http://schemas.openxmlformats.org/officeDocument/2006/relationships/hyperlink" Target="https://www.sebi.gov.in/sebi_data/attachdocs/jun-2018/1529649771895.pdf" TargetMode="External" Id="rId2875" /><Relationship Type="http://schemas.openxmlformats.org/officeDocument/2006/relationships/hyperlink" Target="https://www.sebi.gov.in/filings/public-issues/jun-2018/anmol-industries-limited_39326.html" TargetMode="External" Id="rId2876" /><Relationship Type="http://schemas.openxmlformats.org/officeDocument/2006/relationships/hyperlink" Target="https://www.business-standard.com/article/pti-stories/anmol-industries-files-ipo-papers-with-sebi-118062000383_1.html" TargetMode="External" Id="rId2877" /><Relationship Type="http://schemas.openxmlformats.org/officeDocument/2006/relationships/hyperlink" Target="https://www.sebi.gov.in/sebi_data/attachdocs/jun-2018/1529475294132.pdf" TargetMode="External" Id="rId2878" /><Relationship Type="http://schemas.openxmlformats.org/officeDocument/2006/relationships/hyperlink" Target="https://www.sebi.gov.in/filings/public-issues/jun-2018/vectus-industries-limited_39315.html" TargetMode="External" Id="rId2879" /><Relationship Type="http://schemas.openxmlformats.org/officeDocument/2006/relationships/hyperlink" Target="https://ipocentral.in/vectus-industries-ipo-cleared-sebi/" TargetMode="External" Id="rId2880" /><Relationship Type="http://schemas.openxmlformats.org/officeDocument/2006/relationships/hyperlink" Target="https://www.sebi.gov.in/sebi_data/attachdocs/jun-2018/1529388638703.pdf" TargetMode="External" Id="rId2881" /><Relationship Type="http://schemas.openxmlformats.org/officeDocument/2006/relationships/hyperlink" Target="https://www.sebi.gov.in/filings/public-issues/jun-2018/hinduja-leyland-finance-limited_39305.html" TargetMode="External" Id="rId2882" /><Relationship Type="http://schemas.openxmlformats.org/officeDocument/2006/relationships/hyperlink" Target="https://www.business-standard.com/markets/ipo/hinduja-leyland-finance-ltd-ipo-41297" TargetMode="External" Id="rId2883" /><Relationship Type="http://schemas.openxmlformats.org/officeDocument/2006/relationships/hyperlink" Target="https://www.sebi.gov.in/sebi_data/attachdocs/jun-2018/1529311319668.pdf" TargetMode="External" Id="rId2884" /><Relationship Type="http://schemas.openxmlformats.org/officeDocument/2006/relationships/hyperlink" Target="https://www.sebi.gov.in/filings/public-issues/jun-2018/avana-logistek-limited_39297.html" TargetMode="External" Id="rId2885" /><Relationship Type="http://schemas.openxmlformats.org/officeDocument/2006/relationships/hyperlink" Target="https://top10stockbroker.com/ipo-review/avana-logistek-ipo/" TargetMode="External" Id="rId2886" /><Relationship Type="http://schemas.openxmlformats.org/officeDocument/2006/relationships/hyperlink" Target="https://www.sebi.gov.in/sebi_data/attachdocs/jun-2018/1528862515741.pdf" TargetMode="External" Id="rId2887" /><Relationship Type="http://schemas.openxmlformats.org/officeDocument/2006/relationships/hyperlink" Target="https://www.sebi.gov.in/filings/public-issues/jun-2018/century-metal-recycling-ltd-_39257.html" TargetMode="External" Id="rId2888" /><Relationship Type="http://schemas.openxmlformats.org/officeDocument/2006/relationships/hyperlink" Target="https://www.tradejini.com/blogs/cmr-green-technologies-ipo--indias-largest-nonferrous-metal-recycler-opens-june-2026" TargetMode="External" Id="rId2889" /><Relationship Type="http://schemas.openxmlformats.org/officeDocument/2006/relationships/hyperlink" Target="https://www.sebi.gov.in/sebi_data/attachdocs/jun-2018/1528799503737.pdf" TargetMode="External" Id="rId2890" /><Relationship Type="http://schemas.openxmlformats.org/officeDocument/2006/relationships/hyperlink" Target="https://www.sebi.gov.in/filings/public-issues/jun-2018/craftsman-automation-limited_39253.html" TargetMode="External" Id="rId2891" /><Relationship Type="http://schemas.openxmlformats.org/officeDocument/2006/relationships/hyperlink" Target="https://www.chittorgarh.com/ipo/craftsman-automation-ipo/1095/" TargetMode="External" Id="rId2892" /><Relationship Type="http://schemas.openxmlformats.org/officeDocument/2006/relationships/hyperlink" Target="https://www.sebi.gov.in/sebi_data/attachdocs/may-2018/1526038531239.pdf" TargetMode="External" Id="rId2893" /><Relationship Type="http://schemas.openxmlformats.org/officeDocument/2006/relationships/hyperlink" Target="https://www.sebi.gov.in/filings/public-issues/may-2018/montecarlo-limited_38911.html" TargetMode="External" Id="rId2894" /><Relationship Type="http://schemas.openxmlformats.org/officeDocument/2006/relationships/hyperlink" Target="https://www.motilaloswal.com/learning-centre/2021/4/montecarlo-limited-ipo-montecarlo-limited-ipo-date-share-price-and-news" TargetMode="External" Id="rId2895" /><Relationship Type="http://schemas.openxmlformats.org/officeDocument/2006/relationships/hyperlink" Target="https://www.sebi.gov.in/sebi_data/attachdocs/may-2018/1525930664430.pdf" TargetMode="External" Id="rId2896" /><Relationship Type="http://schemas.openxmlformats.org/officeDocument/2006/relationships/hyperlink" Target="https://www.sebi.gov.in/filings/public-issues/may-2018/renew-power-limited_38899.html" TargetMode="External" Id="rId2897" /><Relationship Type="http://schemas.openxmlformats.org/officeDocument/2006/relationships/hyperlink" Target="https://www.businesswire.com/news/home/20210823005631/en/ReNew-Power-Completes-Business-Combination-with-RMG-Acquisition-Corporation-II" TargetMode="External" Id="rId2898" /><Relationship Type="http://schemas.openxmlformats.org/officeDocument/2006/relationships/hyperlink" Target="https://www.sebi.gov.in/sebi_data/attachdocs/may-2018/1525850505088.pdf" TargetMode="External" Id="rId2899" /><Relationship Type="http://schemas.openxmlformats.org/officeDocument/2006/relationships/hyperlink" Target="https://www.sebi.gov.in/filings/public-issues/may-2018/p-n-gadgil-and-sons-limited_38880.html" TargetMode="External" Id="rId2900" /><Relationship Type="http://schemas.openxmlformats.org/officeDocument/2006/relationships/hyperlink" Target="https://www.chittorgarh.com/ipo/p-n-gadgil-jewellers-ipo/1841/" TargetMode="External" Id="rId2901" /><Relationship Type="http://schemas.openxmlformats.org/officeDocument/2006/relationships/hyperlink" Target="https://www.sebi.gov.in/sebi_data/attachdocs/may-2018/1525695465898.pdf" TargetMode="External" Id="rId2902" /><Relationship Type="http://schemas.openxmlformats.org/officeDocument/2006/relationships/hyperlink" Target="https://www.sebi.gov.in/filings/public-issues/may-2018/milestone-furniture-limited_38868.html" TargetMode="External" Id="rId2903" /><Relationship Type="http://schemas.openxmlformats.org/officeDocument/2006/relationships/hyperlink" Target="https://www.sebi.gov.in/sebi_data/attachdocs/may-2018/1525695018561.pdf" TargetMode="External" Id="rId2904" /><Relationship Type="http://schemas.openxmlformats.org/officeDocument/2006/relationships/hyperlink" Target="https://www.sebi.gov.in/filings/public-issues/may-2018/shakun-polymers-limited_38867.html" TargetMode="External" Id="rId2905" /><Relationship Type="http://schemas.openxmlformats.org/officeDocument/2006/relationships/hyperlink" Target="https://ipocentral.in/shakun-polymers-files-draft-prospectus-for-ipo/" TargetMode="External" Id="rId2906" /><Relationship Type="http://schemas.openxmlformats.org/officeDocument/2006/relationships/hyperlink" Target="https://www.sebi.gov.in/sebi_data/attachdocs/may-2018/1525260712851.pdf" TargetMode="External" Id="rId2907" /><Relationship Type="http://schemas.openxmlformats.org/officeDocument/2006/relationships/hyperlink" Target="https://www.sebi.gov.in/filings/public-issues/may-2018/g-r-infraprojects-limited_38834.html" TargetMode="External" Id="rId2908" /><Relationship Type="http://schemas.openxmlformats.org/officeDocument/2006/relationships/hyperlink" Target="https://www.sebi.gov.in/sebi_data/attachdocs/apr-2018/1524829206227.pdf" TargetMode="External" Id="rId2909" /><Relationship Type="http://schemas.openxmlformats.org/officeDocument/2006/relationships/hyperlink" Target="https://www.sebi.gov.in/filings/public-issues/apr-2018/lodha-developers-limited_38812.html" TargetMode="External" Id="rId2910" /><Relationship Type="http://schemas.openxmlformats.org/officeDocument/2006/relationships/hyperlink" Target="https://www.business-standard.com/markets/ipo/lodha-developers-ltd-ipo-35713" TargetMode="External" Id="rId2911" /><Relationship Type="http://schemas.openxmlformats.org/officeDocument/2006/relationships/hyperlink" Target="https://www.sebi.gov.in/sebi_data/attachdocs/apr-2018/1523012849683.pdf" TargetMode="External" Id="rId2912" /><Relationship Type="http://schemas.openxmlformats.org/officeDocument/2006/relationships/hyperlink" Target="https://www.sebi.gov.in/filings/public-issues/apr-2018/crystal-crop-protection-limited_38594.html" TargetMode="External" Id="rId2913" /><Relationship Type="http://schemas.openxmlformats.org/officeDocument/2006/relationships/hyperlink" Target="https://ipowatch.in/crystal-crop-protection-ipo/" TargetMode="External" Id="rId2914" /><Relationship Type="http://schemas.openxmlformats.org/officeDocument/2006/relationships/hyperlink" Target="https://www.sebi.gov.in/sebi_data/attachdocs/apr-2018/1522668596969.pdf" TargetMode="External" Id="rId2915" /><Relationship Type="http://schemas.openxmlformats.org/officeDocument/2006/relationships/hyperlink" Target="https://www.sebi.gov.in/filings/public-issues/apr-2018/dinesh-engineers-limited_38512.html" TargetMode="External" Id="rId2916" /><Relationship Type="http://schemas.openxmlformats.org/officeDocument/2006/relationships/hyperlink" Target="https://www.chittorgarh.com/ipo/dinesh-engineers-limited/934/" TargetMode="External" Id="rId2917" /><Relationship Type="http://schemas.openxmlformats.org/officeDocument/2006/relationships/hyperlink" Target="https://www.sebi.gov.in/sebi_data/attachdocs/apr-2018/1522668400641.pdf" TargetMode="External" Id="rId2918" /><Relationship Type="http://schemas.openxmlformats.org/officeDocument/2006/relationships/hyperlink" Target="https://www.sebi.gov.in/filings/public-issues/apr-2018/varroc-engineering-limited_38511.html" TargetMode="External" Id="rId2919" /><Relationship Type="http://schemas.openxmlformats.org/officeDocument/2006/relationships/hyperlink" Target="https://www.sebi.gov.in/sebi_data/attachdocs/apr-2018/1522668210936.pdf" TargetMode="External" Id="rId2920" /><Relationship Type="http://schemas.openxmlformats.org/officeDocument/2006/relationships/hyperlink" Target="https://www.sebi.gov.in/filings/public-issues/apr-2018/rail-vikas-nigam-limited_38510.html" TargetMode="External" Id="rId2921" /><Relationship Type="http://schemas.openxmlformats.org/officeDocument/2006/relationships/hyperlink" Target="https://www.sebi.gov.in/sebi_data/attachdocs/apr-2018/1522662290321.pdf" TargetMode="External" Id="rId2922" /><Relationship Type="http://schemas.openxmlformats.org/officeDocument/2006/relationships/hyperlink" Target="https://www.sebi.gov.in/filings/public-issues/apr-2018/mazagon-dock-shipbuilders-limited_38506.html" TargetMode="External" Id="rId2923" /><Relationship Type="http://schemas.openxmlformats.org/officeDocument/2006/relationships/hyperlink" Target="https://www.sebi.gov.in/sebi_data/attachdocs/apr-2018/1522644269977.pdf" TargetMode="External" Id="rId2924" /><Relationship Type="http://schemas.openxmlformats.org/officeDocument/2006/relationships/hyperlink" Target="https://www.sebi.gov.in/filings/public-issues/apr-2018/genius-consultants-limited_38500.html" TargetMode="External" Id="rId2925" /><Relationship Type="http://schemas.openxmlformats.org/officeDocument/2006/relationships/hyperlink" Target="https://www.business-standard.com/markets/ipo/genius-consultants-ltd-ipo-72432" TargetMode="External" Id="rId2926" /><Relationship Type="http://schemas.openxmlformats.org/officeDocument/2006/relationships/hyperlink" Target="https://www.sebi.gov.in/sebi_data/attachdocs/mar-2018/1522233692094.pdf" TargetMode="External" Id="rId2927" /><Relationship Type="http://schemas.openxmlformats.org/officeDocument/2006/relationships/hyperlink" Target="https://www.sebi.gov.in/filings/public-issues/mar-2018/ircon-international-limited_38469.html" TargetMode="External" Id="rId2928" /><Relationship Type="http://schemas.openxmlformats.org/officeDocument/2006/relationships/hyperlink" Target="https://www.sebi.gov.in/sebi_data/attachdocs/mar-2018/1522152536420.pdf" TargetMode="External" Id="rId2929" /><Relationship Type="http://schemas.openxmlformats.org/officeDocument/2006/relationships/hyperlink" Target="https://www.sebi.gov.in/filings/public-issues/mar-2018/atria-convergence-technologies-limited_38445.html" TargetMode="External" Id="rId2930" /><Relationship Type="http://schemas.openxmlformats.org/officeDocument/2006/relationships/hyperlink" Target="https://www.business-standard.com/markets/ipo/atria-convergence-technologies-ltd-ipo-72206" TargetMode="External" Id="rId2931" /><Relationship Type="http://schemas.openxmlformats.org/officeDocument/2006/relationships/hyperlink" Target="https://www.sebi.gov.in/sebi_data/attachdocs/mar-2018/1522144575098.pdf" TargetMode="External" Id="rId2932" /><Relationship Type="http://schemas.openxmlformats.org/officeDocument/2006/relationships/hyperlink" Target="https://www.sebi.gov.in/filings/public-issues/mar-2018/garden-reach-shipbuilders-and-engineers-limited_38433.html" TargetMode="External" Id="rId2933" /><Relationship Type="http://schemas.openxmlformats.org/officeDocument/2006/relationships/hyperlink" Target="https://www.sebi.gov.in/sebi_data/attachdocs/may-2023/1684478559523.pdf" TargetMode="External" Id="rId2934" /><Relationship Type="http://schemas.openxmlformats.org/officeDocument/2006/relationships/hyperlink" Target="https://www.sebi.gov.in/filings/public-issues/mar-2018/k-p-r-agrochem-limited_38421.html" TargetMode="External" Id="rId2935" /><Relationship Type="http://schemas.openxmlformats.org/officeDocument/2006/relationships/hyperlink" Target="https://ipocentral.in/sebi-clears-kpr-agrochem-ipo/" TargetMode="External" Id="rId2936" /><Relationship Type="http://schemas.openxmlformats.org/officeDocument/2006/relationships/hyperlink" Target="https://www.sebi.gov.in/sebi_data/attachdocs/mar-2018/1521183392638.pdf" TargetMode="External" Id="rId2937" /><Relationship Type="http://schemas.openxmlformats.org/officeDocument/2006/relationships/hyperlink" Target="https://www.sebi.gov.in/filings/public-issues/mar-2018/hdfc-asset-management-company-limited_38250.html" TargetMode="External" Id="rId2938" /><Relationship Type="http://schemas.openxmlformats.org/officeDocument/2006/relationships/hyperlink" Target="https://www.sebi.gov.in/sebi_data/attachdocs/mar-2018/1520937294801.pdf" TargetMode="External" Id="rId2939" /><Relationship Type="http://schemas.openxmlformats.org/officeDocument/2006/relationships/hyperlink" Target="https://www.sebi.gov.in/filings/public-issues/mar-2018/nekkanti-sea-foods-limited_38191.html" TargetMode="External" Id="rId2940" /><Relationship Type="http://schemas.openxmlformats.org/officeDocument/2006/relationships/hyperlink" Target="https://www.business-standard.com/markets/ipo/nekkanti-sea-foods-ltd-ipo-25799" TargetMode="External" Id="rId2941" /><Relationship Type="http://schemas.openxmlformats.org/officeDocument/2006/relationships/hyperlink" Target="https://www.sebi.gov.in/sebi_data/attachdocs/mar-2018/1520332779373.pdf" TargetMode="External" Id="rId2942" /><Relationship Type="http://schemas.openxmlformats.org/officeDocument/2006/relationships/hyperlink" Target="https://www.sebi.gov.in/filings/public-issues/mar-2018/devi-seafoods-limited_38100.html" TargetMode="External" Id="rId2943" /><Relationship Type="http://schemas.openxmlformats.org/officeDocument/2006/relationships/hyperlink" Target="https://top10stockbroker.com/ipo-review/devi-seafoods-ipo/" TargetMode="External" Id="rId2944" /><Relationship Type="http://schemas.openxmlformats.org/officeDocument/2006/relationships/hyperlink" Target="https://www.sebi.gov.in/sebi_data/attachdocs/mar-2018/1519903826256.pdf" TargetMode="External" Id="rId2945" /><Relationship Type="http://schemas.openxmlformats.org/officeDocument/2006/relationships/hyperlink" Target="https://www.sebi.gov.in/filings/public-issues/mar-2018/tcns-clothing-co-limited_38064.html" TargetMode="External" Id="rId2946" /><Relationship Type="http://schemas.openxmlformats.org/officeDocument/2006/relationships/hyperlink" Target="https://www.sebi.gov.in/sebi_data/attachdocs/feb-2018/1519818404559.pdf" TargetMode="External" Id="rId2947" /><Relationship Type="http://schemas.openxmlformats.org/officeDocument/2006/relationships/hyperlink" Target="https://www.sebi.gov.in/filings/public-issues/feb-2018/sandhya-marines-limited_38047.html" TargetMode="External" Id="rId2948" /><Relationship Type="http://schemas.openxmlformats.org/officeDocument/2006/relationships/hyperlink" Target="https://www.sebi.gov.in/sebi_data/attachdocs/feb-2018/1519708576837.pdf" TargetMode="External" Id="rId2949" /><Relationship Type="http://schemas.openxmlformats.org/officeDocument/2006/relationships/hyperlink" Target="https://www.sebi.gov.in/filings/public-issues/feb-2018/sembcorp-energy-india-limited_38017.html" TargetMode="External" Id="rId2950" /><Relationship Type="http://schemas.openxmlformats.org/officeDocument/2006/relationships/hyperlink" Target="https://www.business-standard.com/amp/article/pti-stories/sembcorp-energy-montecarlo-get-sebi-s-go-ahead-for-ipo-118080600913_1.html" TargetMode="External" Id="rId2951" /><Relationship Type="http://schemas.openxmlformats.org/officeDocument/2006/relationships/hyperlink" Target="https://www.sebi.gov.in/sebi_data/attachdocs/feb-2018/1518778628692.pdf" TargetMode="External" Id="rId2952" /><Relationship Type="http://schemas.openxmlformats.org/officeDocument/2006/relationships/hyperlink" Target="https://www.sebi.gov.in/filings/public-issues/feb-2018/flemingo-travel-retail-limited_37892.html" TargetMode="External" Id="rId2953" /><Relationship Type="http://schemas.openxmlformats.org/officeDocument/2006/relationships/hyperlink" Target="https://www.business-standard.com/amp/article/pti-stories/flemingo-travel-retail-gets-sebi-s-go-ahead-to-float-rs-2-600-cr-ipo-118070300404_1.html" TargetMode="External" Id="rId2954" /><Relationship Type="http://schemas.openxmlformats.org/officeDocument/2006/relationships/hyperlink" Target="https://www.sebi.gov.in/sebi_data/attachdocs/feb-2018/1518777861430.pdf" TargetMode="External" Id="rId2955" /><Relationship Type="http://schemas.openxmlformats.org/officeDocument/2006/relationships/hyperlink" Target="https://www.sebi.gov.in/filings/public-issues/feb-2018/john-energy-limited_37889.html" TargetMode="External" Id="rId2956" /><Relationship Type="http://schemas.openxmlformats.org/officeDocument/2006/relationships/hyperlink" Target="https://www.sebi.gov.in/sebi_data/attachdocs/feb-2018/1518417324798.pdf" TargetMode="External" Id="rId2957" /><Relationship Type="http://schemas.openxmlformats.org/officeDocument/2006/relationships/hyperlink" Target="https://www.sebi.gov.in/filings/public-issues/feb-2018/indostar-capital-finance-limited_37826.html" TargetMode="External" Id="rId2958" /><Relationship Type="http://schemas.openxmlformats.org/officeDocument/2006/relationships/hyperlink" Target="https://www.sebi.gov.in/sebi_data/attachdocs/feb-2018/1518416668198.pdf" TargetMode="External" Id="rId2959" /><Relationship Type="http://schemas.openxmlformats.org/officeDocument/2006/relationships/hyperlink" Target="https://www.sebi.gov.in/filings/public-issues/feb-2018/fine-organic-industries-limited_37825.html" TargetMode="External" Id="rId2960" /><Relationship Type="http://schemas.openxmlformats.org/officeDocument/2006/relationships/hyperlink" Target="https://www.sebi.gov.in/sebi_data/attachdocs/feb-2018/1518069763957.pdf" TargetMode="External" Id="rId2961" /><Relationship Type="http://schemas.openxmlformats.org/officeDocument/2006/relationships/hyperlink" Target="https://www.sebi.gov.in/filings/public-issues/feb-2018/capricorn-food-products-india-limited_37746.html" TargetMode="External" Id="rId2962" /><Relationship Type="http://schemas.openxmlformats.org/officeDocument/2006/relationships/hyperlink" Target="https://www.business-standard.com/amp/article/markets/capricorn-food-products-gets-sebi-s-go-ahead-to-launch-rs-1-71-bn-ipo-118041700373_1.html" TargetMode="External" Id="rId2963" /><Relationship Type="http://schemas.openxmlformats.org/officeDocument/2006/relationships/hyperlink" Target="https://www.sebi.gov.in/sebi_data/attachdocs/feb-2018/1517570684223.pdf" TargetMode="External" Id="rId2964" /><Relationship Type="http://schemas.openxmlformats.org/officeDocument/2006/relationships/hyperlink" Target="https://www.sebi.gov.in/filings/public-issues/feb-2018/nazara-technologies-limited_37683.html" TargetMode="External" Id="rId2965" /><Relationship Type="http://schemas.openxmlformats.org/officeDocument/2006/relationships/hyperlink" Target="https://www.business-standard.com/markets/ipo/nazara-technologies-ltd-ipo-33311" TargetMode="External" Id="rId2966" /><Relationship Type="http://schemas.openxmlformats.org/officeDocument/2006/relationships/hyperlink" Target="https://www.sebi.gov.in/sebi_data/attachdocs/jan-2018/1517290968147.pdf" TargetMode="External" Id="rId2967" /><Relationship Type="http://schemas.openxmlformats.org/officeDocument/2006/relationships/hyperlink" Target="https://www.sebi.gov.in/filings/public-issues/jan-2018/credit-access-grameen-limited_37590.html" TargetMode="External" Id="rId2968" /><Relationship Type="http://schemas.openxmlformats.org/officeDocument/2006/relationships/hyperlink" Target="https://www.sebi.gov.in/sebi_data/attachdocs/jan-2018/1516776517759.pdf" TargetMode="External" Id="rId2969" /><Relationship Type="http://schemas.openxmlformats.org/officeDocument/2006/relationships/hyperlink" Target="https://www.sebi.gov.in/filings/public-issues/jan-2018/bharat-dynamics-limited_37516.html" TargetMode="External" Id="rId2970" /><Relationship Type="http://schemas.openxmlformats.org/officeDocument/2006/relationships/hyperlink" Target="https://www.sebi.gov.in/sebi_data/attachdocs/jan-2018/1516706664686.pdf" TargetMode="External" Id="rId2971" /><Relationship Type="http://schemas.openxmlformats.org/officeDocument/2006/relationships/hyperlink" Target="https://www.sebi.gov.in/filings/public-issues/jan-2018/route-mobile-limited_37508.html" TargetMode="External" Id="rId2972" /><Relationship Type="http://schemas.openxmlformats.org/officeDocument/2006/relationships/hyperlink" Target="https://www.chittorgarh.com/ipo/route-mobile-ipo/1058/" TargetMode="External" Id="rId2973" /><Relationship Type="http://schemas.openxmlformats.org/officeDocument/2006/relationships/hyperlink" Target="https://www.sebi.gov.in/sebi_data/attachdocs/jan-2018/1516189212839.pdf" TargetMode="External" Id="rId2974" /><Relationship Type="http://schemas.openxmlformats.org/officeDocument/2006/relationships/hyperlink" Target="https://www.sebi.gov.in/filings/public-issues/jan-2018/mishra-dhatu-nigam-limited_37428.html" TargetMode="External" Id="rId2975" /><Relationship Type="http://schemas.openxmlformats.org/officeDocument/2006/relationships/hyperlink" Target="https://www.sebi.gov.in/sebi_data/attachdocs/jan-2018/1516188332986.pdf" TargetMode="External" Id="rId2976" /><Relationship Type="http://schemas.openxmlformats.org/officeDocument/2006/relationships/hyperlink" Target="https://www.sebi.gov.in/filings/public-issues/jan-2018/rites-limited_37424.html" TargetMode="External" Id="rId2977" /><Relationship Type="http://schemas.openxmlformats.org/officeDocument/2006/relationships/hyperlink" Target="https://www.sebi.gov.in/sebi_data/attachdocs/jan-2018/1515474980332.pdf" TargetMode="External" Id="rId2978" /><Relationship Type="http://schemas.openxmlformats.org/officeDocument/2006/relationships/hyperlink" Target="https://www.sebi.gov.in/filings/public-issues/jan-2018/patel-infrastructure-limited_37323.html" TargetMode="External" Id="rId2979" /><Relationship Type="http://schemas.openxmlformats.org/officeDocument/2006/relationships/hyperlink" Target="https://www.business-standard.com/markets/ipo/patel-infrastructure-ltd-ipo-33810" TargetMode="External" Id="rId2980" /><Relationship Type="http://schemas.openxmlformats.org/officeDocument/2006/relationships/hyperlink" Target="https://www.sebi.gov.in/sebi_data/attachdocs/jan-2018/1514869991906.pdf" TargetMode="External" Id="rId2981" /><Relationship Type="http://schemas.openxmlformats.org/officeDocument/2006/relationships/hyperlink" Target="https://www.sebi.gov.in/filings/public-issues/jan-2018/bandhan-bank-limited_37220.html" TargetMode="External" Id="rId2982" /><Relationship Type="http://schemas.openxmlformats.org/officeDocument/2006/relationships/hyperlink" Target="https://www.sebi.gov.in/sebi_data/attachdocs/dec-2017/1514438337854.pdf" TargetMode="External" Id="rId2983" /><Relationship Type="http://schemas.openxmlformats.org/officeDocument/2006/relationships/hyperlink" Target="https://www.sebi.gov.in/filings/public-issues/dec-2017/india-renewable-energy-development-agency-limited_37171.html" TargetMode="External" Id="rId2984" /><Relationship Type="http://schemas.openxmlformats.org/officeDocument/2006/relationships/hyperlink" Target="https://www.business-standard.com/markets/ipo/indian-renewable-energy-development-agency-ipo-15550" TargetMode="External" Id="rId2985" /><Relationship Type="http://schemas.openxmlformats.org/officeDocument/2006/relationships/hyperlink" Target="https://www.sebi.gov.in/sebi_data/attachdocs/dec-2017/1514287613374.pdf" TargetMode="External" Id="rId2986" /><Relationship Type="http://schemas.openxmlformats.org/officeDocument/2006/relationships/hyperlink" Target="https://www.sebi.gov.in/filings/public-issues/dec-2017/indian-renewable-energy-development-agency-limited_37106.html" TargetMode="External" Id="rId2987" /><Relationship Type="http://schemas.openxmlformats.org/officeDocument/2006/relationships/hyperlink" Target="https://www.business-standard.com/markets/ipo/indian-renewable-energy-development-agency-ipo-15550" TargetMode="External" Id="rId2988" /><Relationship Type="http://schemas.openxmlformats.org/officeDocument/2006/relationships/hyperlink" Target="https://www.sebi.gov.in/sebi_data/attachdocs/dec-2017/1513851484240.pdf" TargetMode="External" Id="rId2989" /><Relationship Type="http://schemas.openxmlformats.org/officeDocument/2006/relationships/hyperlink" Target="https://www.sebi.gov.in/filings/public-issues/dec-2017/vishwaraj-sugar-industries-ltd-_37064.html" TargetMode="External" Id="rId2990" /><Relationship Type="http://schemas.openxmlformats.org/officeDocument/2006/relationships/hyperlink" Target="https://www.sebi.gov.in/sebi_data/attachdocs/dec-2017/1513588238933.pdf" TargetMode="External" Id="rId2991" /><Relationship Type="http://schemas.openxmlformats.org/officeDocument/2006/relationships/hyperlink" Target="https://www.sebi.gov.in/filings/public-issues/dec-2017/icici-securities-limited_37009.html" TargetMode="External" Id="rId2992" /><Relationship Type="http://schemas.openxmlformats.org/officeDocument/2006/relationships/hyperlink" Target="https://www.sebi.gov.in/sebi_data/attachdocs/dec-2017/1513149608025.pdf" TargetMode="External" Id="rId2993" /><Relationship Type="http://schemas.openxmlformats.org/officeDocument/2006/relationships/hyperlink" Target="https://www.sebi.gov.in/filings/public-issues/dec-2017/krishna-institute-of-medical-sciences-limited_36934.html" TargetMode="External" Id="rId2994" /><Relationship Type="http://schemas.openxmlformats.org/officeDocument/2006/relationships/hyperlink" Target="https://www.business-standard.com/markets/ipo/krishna-institute-of-medical-sciences-ipo-34776" TargetMode="External" Id="rId2995" /><Relationship Type="http://schemas.openxmlformats.org/officeDocument/2006/relationships/hyperlink" Target="https://www.sebi.gov.in/sebi_data/attachdocs/dec-2017/1513069228066.pdf" TargetMode="External" Id="rId2996" /><Relationship Type="http://schemas.openxmlformats.org/officeDocument/2006/relationships/hyperlink" Target="https://www.sebi.gov.in/filings/public-issues/dec-2017/srei-equipment-finance-limited-corrigendum-to-draft-red-herring-prospectus_36920.html" TargetMode="External" Id="rId2997" /><Relationship Type="http://schemas.openxmlformats.org/officeDocument/2006/relationships/hyperlink" Target="https://www.business-standard.com/markets/ipo/srei-equipment-finance-ltd-ipo-30298" TargetMode="External" Id="rId2998" /><Relationship Type="http://schemas.openxmlformats.org/officeDocument/2006/relationships/hyperlink" Target="https://www.sebi.gov.in/sebi_data/attachdocs/dec-2017/1512983415722.pdf" TargetMode="External" Id="rId2999" /><Relationship Type="http://schemas.openxmlformats.org/officeDocument/2006/relationships/hyperlink" Target="https://www.sebi.gov.in/filings/public-issues/dec-2017/sandhar-technologies-limited_36908.html" TargetMode="External" Id="rId3000" /><Relationship Type="http://schemas.openxmlformats.org/officeDocument/2006/relationships/hyperlink" Target="https://www.sebi.gov.in/sebi_data/attachdocs/nov-2017/1512016152850.pdf" TargetMode="External" Id="rId3001" /><Relationship Type="http://schemas.openxmlformats.org/officeDocument/2006/relationships/hyperlink" Target="https://www.sebi.gov.in/filings/public-issues/nov-2017/srei-equipment-finance-limited_36750.html" TargetMode="External" Id="rId3002" /><Relationship Type="http://schemas.openxmlformats.org/officeDocument/2006/relationships/hyperlink" Target="https://www.business-standard.com/markets/ipo/srei-equipment-finance-ltd-ipo-30298" TargetMode="External" Id="rId3003" /><Relationship Type="http://schemas.openxmlformats.org/officeDocument/2006/relationships/hyperlink" Target="https://www.sebi.gov.in/sebi_data/attachdocs/nov-2017/1510657713366.pdf" TargetMode="External" Id="rId3004" /><Relationship Type="http://schemas.openxmlformats.org/officeDocument/2006/relationships/hyperlink" Target="https://www.sebi.gov.in/filings/public-issues/nov-2017/galaxy-surfactants-limited_36585.html" TargetMode="External" Id="rId3005" /><Relationship Type="http://schemas.openxmlformats.org/officeDocument/2006/relationships/hyperlink" Target="https://www.sebi.gov.in/sebi_data/attachdocs/nov-2017/1510643054435.pdf" TargetMode="External" Id="rId3006" /><Relationship Type="http://schemas.openxmlformats.org/officeDocument/2006/relationships/hyperlink" Target="https://www.sebi.gov.in/filings/public-issues/nov-2017/future-supply-chain-solutions-limited_36576.html" TargetMode="External" Id="rId3007" /><Relationship Type="http://schemas.openxmlformats.org/officeDocument/2006/relationships/hyperlink" Target="https://www.sebi.gov.in/sebi_data/attachdocs/oct-2017/1509104518663.pdf" TargetMode="External" Id="rId3008" /><Relationship Type="http://schemas.openxmlformats.org/officeDocument/2006/relationships/hyperlink" Target="https://www.sebi.gov.in/filings/public-issues/oct-2017/newgen-software-technologies-limited-addendum_36359.html" TargetMode="External" Id="rId3009" /><Relationship Type="http://schemas.openxmlformats.org/officeDocument/2006/relationships/hyperlink" Target="https://www.sebi.gov.in/sebi_data/attachdocs/nov-2017/1511329941640.pdf" TargetMode="External" Id="rId3010" /><Relationship Type="http://schemas.openxmlformats.org/officeDocument/2006/relationships/hyperlink" Target="https://www.sebi.gov.in/filings/public-issues/oct-2017/reliance-general-insurance-company-limited_36214.html" TargetMode="External" Id="rId3011" /><Relationship Type="http://schemas.openxmlformats.org/officeDocument/2006/relationships/hyperlink" Target="https://www.business-standard.com/article/pti-stories/reliance-general-insurance-scraps-ipo-plan-withdraw-offer-documents-119103000735_1.html" TargetMode="External" Id="rId3012" /><Relationship Type="http://schemas.openxmlformats.org/officeDocument/2006/relationships/hyperlink" Target="https://www.sebi.gov.in/sebi_data/attachdocs/oct-2017/1509192541755.pdf" TargetMode="External" Id="rId3013" /><Relationship Type="http://schemas.openxmlformats.org/officeDocument/2006/relationships/hyperlink" Target="https://www.sebi.gov.in/filings/public-issues/oct-2017/seven-islands-shipping-limited_36159.html" TargetMode="External" Id="rId3014" /><Relationship Type="http://schemas.openxmlformats.org/officeDocument/2006/relationships/hyperlink" Target="https://www.business-standard.com/markets/ipo/seven-islands-shipping-ltd-ipo-38967" TargetMode="External" Id="rId3015" /><Relationship Type="http://schemas.openxmlformats.org/officeDocument/2006/relationships/hyperlink" Target="https://www.sebi.gov.in/sebi_data/attachdocs/oct-2017/1509188683886.pdf" TargetMode="External" Id="rId3016" /><Relationship Type="http://schemas.openxmlformats.org/officeDocument/2006/relationships/hyperlink" Target="https://www.sebi.gov.in/filings/public-issues/oct-2017/amber-enterprises-india-limited_36156.html" TargetMode="External" Id="rId3017" /><Relationship Type="http://schemas.openxmlformats.org/officeDocument/2006/relationships/hyperlink" Target="https://www.sebi.gov.in/sebi_data/attachdocs/oct-2017/1509188742822.pdf" TargetMode="External" Id="rId3018" /><Relationship Type="http://schemas.openxmlformats.org/officeDocument/2006/relationships/hyperlink" Target="https://www.sebi.gov.in/filings/public-issues/oct-2017/hindustan-aeronautics-limited_36155.html" TargetMode="External" Id="rId3019" /><Relationship Type="http://schemas.openxmlformats.org/officeDocument/2006/relationships/hyperlink" Target="https://www.sebi.gov.in/sebi_data/attachdocs/oct-2017/1509188816299.pdf" TargetMode="External" Id="rId3020" /><Relationship Type="http://schemas.openxmlformats.org/officeDocument/2006/relationships/hyperlink" Target="https://www.sebi.gov.in/filings/public-issues/oct-2017/karda-constructions-limited_36154.html" TargetMode="External" Id="rId3021" /><Relationship Type="http://schemas.openxmlformats.org/officeDocument/2006/relationships/hyperlink" Target="https://www.sebi.gov.in/sebi_data/attachdocs/oct-2017/1509189141848.pdf" TargetMode="External" Id="rId3022" /><Relationship Type="http://schemas.openxmlformats.org/officeDocument/2006/relationships/hyperlink" Target="https://www.sebi.gov.in/filings/public-issues/oct-2017/acme-solar-holdings-limited_36152.html" TargetMode="External" Id="rId3023" /><Relationship Type="http://schemas.openxmlformats.org/officeDocument/2006/relationships/hyperlink" Target="https://www.business-standard.com/markets/ipo/acme-solar-holdings-ltd-ipo-71636" TargetMode="External" Id="rId3024" /><Relationship Type="http://schemas.openxmlformats.org/officeDocument/2006/relationships/hyperlink" Target="https://www.sebi.gov.in/sebi_data/attachdocs/oct-2017/1509189368588.pdf" TargetMode="External" Id="rId3025" /><Relationship Type="http://schemas.openxmlformats.org/officeDocument/2006/relationships/hyperlink" Target="https://www.sebi.gov.in/filings/public-issues/oct-2017/cms-info-systems-limited_36149.html" TargetMode="External" Id="rId3026" /><Relationship Type="http://schemas.openxmlformats.org/officeDocument/2006/relationships/hyperlink" Target="https://www.business-standard.com/markets/ipo/cms-info-systems-ltd-ipo-44662" TargetMode="External" Id="rId3027" /><Relationship Type="http://schemas.openxmlformats.org/officeDocument/2006/relationships/hyperlink" Target="https://www.sebi.gov.in/sebi_data/attachdocs/nov-2017/1511331299254.pdf" TargetMode="External" Id="rId3028" /><Relationship Type="http://schemas.openxmlformats.org/officeDocument/2006/relationships/hyperlink" Target="https://www.sebi.gov.in/filings/public-issues/sep-2017/prince-pipes-and-fittings-limited_36131.html" TargetMode="External" Id="rId3029" /><Relationship Type="http://schemas.openxmlformats.org/officeDocument/2006/relationships/hyperlink" Target="https://www.sebi.gov.in/sebi_data/attachdocs/nov-2017/1510828304971.pdf" TargetMode="External" Id="rId3030" /><Relationship Type="http://schemas.openxmlformats.org/officeDocument/2006/relationships/hyperlink" Target="https://www.sebi.gov.in/filings/public-issues/sep-2017/general-insurance-corporation-of-india-corrigendum-to-draft-red-herring-prospectus_36126.html" TargetMode="External" Id="rId3031" /><Relationship Type="http://schemas.openxmlformats.org/officeDocument/2006/relationships/hyperlink" Target="https://www.sebi.gov.in/sebi_data/attachdocs/oct-2017/1509171299248.pdf" TargetMode="External" Id="rId3032" /><Relationship Type="http://schemas.openxmlformats.org/officeDocument/2006/relationships/hyperlink" Target="https://www.sebi.gov.in/filings/public-issues/sep-2017/h-g-infra-engineering-limited_36115.html" TargetMode="External" Id="rId3033" /><Relationship Type="http://schemas.openxmlformats.org/officeDocument/2006/relationships/hyperlink" Target="https://www.sebi.gov.in/sebi_data/attachdocs/oct-2017/1509171451854.PDF" TargetMode="External" Id="rId3034" /><Relationship Type="http://schemas.openxmlformats.org/officeDocument/2006/relationships/hyperlink" Target="https://www.sebi.gov.in/filings/public-issues/sep-2017/newgen-software-technologies-limited_36114.html" TargetMode="External" Id="rId3035" /><Relationship Type="http://schemas.openxmlformats.org/officeDocument/2006/relationships/hyperlink" Target="https://www.sebi.gov.in/sebi_data/attachdocs/oct-2017/1509178113185.pdf" TargetMode="External" Id="rId3036" /><Relationship Type="http://schemas.openxmlformats.org/officeDocument/2006/relationships/hyperlink" Target="https://www.sebi.gov.in/filings/public-issues/sep-2017/apollo-micro-systems-limited_36048.html" TargetMode="External" Id="rId3037" /><Relationship Type="http://schemas.openxmlformats.org/officeDocument/2006/relationships/hyperlink" Target="https://www.sebi.gov.in/sebi_data/attachdocs/oct-2017/1509179942020.pdf" TargetMode="External" Id="rId3038" /><Relationship Type="http://schemas.openxmlformats.org/officeDocument/2006/relationships/hyperlink" Target="https://www.sebi.gov.in/filings/public-issues/sep-2017/lemon-tree-hotels-limited_36022.html" TargetMode="External" Id="rId3039" /><Relationship Type="http://schemas.openxmlformats.org/officeDocument/2006/relationships/hyperlink" Target="https://www.sebi.gov.in/sebi_data/attachdocs/oct-2017/1509269001701.pdf" TargetMode="External" Id="rId3040" /><Relationship Type="http://schemas.openxmlformats.org/officeDocument/2006/relationships/hyperlink" Target="https://www.sebi.gov.in/filings/public-issues/sep-2017/gandhar-oil-refinery-india-limited_35803.html" TargetMode="External" Id="rId3041" /><Relationship Type="http://schemas.openxmlformats.org/officeDocument/2006/relationships/hyperlink" Target="https://www.business-standard.com/markets/ipo/gandhar-oil-refinery-india-ltd-ipo-38912" TargetMode="External" Id="rId3042" /><Relationship Type="http://schemas.openxmlformats.org/officeDocument/2006/relationships/hyperlink" Target="https://www.sebi.gov.in/sebi_data/attachdocs/nov-2017/1510829732919.pdf" TargetMode="External" Id="rId3043" /><Relationship Type="http://schemas.openxmlformats.org/officeDocument/2006/relationships/hyperlink" Target="https://www.sebi.gov.in/filings/public-issues/aug-2017/icici-lombard-general-insurance-company-limited-corrigendum_35774.html" TargetMode="External" Id="rId3044" /><Relationship Type="http://schemas.openxmlformats.org/officeDocument/2006/relationships/hyperlink" Target="https://www.sebi.gov.in/sebi_data/attachdocs/oct-2017/1509433067382.pdf" TargetMode="External" Id="rId3045" /><Relationship Type="http://schemas.openxmlformats.org/officeDocument/2006/relationships/hyperlink" Target="https://www.sebi.gov.in/filings/public-issues/aug-2017/future-supply-chain-solutions-limited_35751.html" TargetMode="External" Id="rId3046" /><Relationship Type="http://schemas.openxmlformats.org/officeDocument/2006/relationships/hyperlink" Target="https://www.sebi.gov.in/sebi_data/attachdocs/nov-2017/1510830888925.pdf" TargetMode="External" Id="rId3047" /><Relationship Type="http://schemas.openxmlformats.org/officeDocument/2006/relationships/hyperlink" Target="https://www.sebi.gov.in/filings/public-issues/aug-2017/hdfc-standard-life-insurance-company-limited-corrigendum-to-drhp_35716.html" TargetMode="External" Id="rId3048" /><Relationship Type="http://schemas.openxmlformats.org/officeDocument/2006/relationships/hyperlink" Target="https://www.sebi.gov.in/sebi_data/attachdocs/nov-2017/1510831240661.pdf" TargetMode="External" Id="rId3049" /><Relationship Type="http://schemas.openxmlformats.org/officeDocument/2006/relationships/hyperlink" Target="https://www.sebi.gov.in/filings/public-issues/aug-2017/hdfc-standard-life-insurance-company-limited_35715.html" TargetMode="External" Id="rId3050" /><Relationship Type="http://schemas.openxmlformats.org/officeDocument/2006/relationships/hyperlink" Target="https://www.sebi.gov.in/sebi_data/attachdocs/oct-2017/1509447884660.pdf" TargetMode="External" Id="rId3051" /><Relationship Type="http://schemas.openxmlformats.org/officeDocument/2006/relationships/hyperlink" Target="https://www.sebi.gov.in/filings/public-issues/aug-2017/reliance-nippon-life-asset-management-limited_35674.html" TargetMode="External" Id="rId3052" /><Relationship Type="http://schemas.openxmlformats.org/officeDocument/2006/relationships/hyperlink" Target="https://www.sebi.gov.in/sebi_data/attachdocs/oct-2017/1509453352229.pdf" TargetMode="External" Id="rId3053" /><Relationship Type="http://schemas.openxmlformats.org/officeDocument/2006/relationships/hyperlink" Target="https://www.sebi.gov.in/filings/public-issues/aug-2017/hdfc-standard-life-insurance-company-limited_35667.html" TargetMode="External" Id="rId3054" /><Relationship Type="http://schemas.openxmlformats.org/officeDocument/2006/relationships/hyperlink" Target="https://www.sebi.gov.in/sebi_data/attachdocs/oct-2017/1509458014500.pdf" TargetMode="External" Id="rId3055" /><Relationship Type="http://schemas.openxmlformats.org/officeDocument/2006/relationships/hyperlink" Target="https://www.sebi.gov.in/filings/public-issues/aug-2017/barbeque-nation-hospitality-limited_35647.html" TargetMode="External" Id="rId3056" /><Relationship Type="http://schemas.openxmlformats.org/officeDocument/2006/relationships/hyperlink" Target="https://www.chittorgarh.com/ipo/barbeque-nation-ipo/1102/" TargetMode="External" Id="rId3057" /><Relationship Type="http://schemas.openxmlformats.org/officeDocument/2006/relationships/hyperlink" Target="https://www.sebi.gov.in/sebi_data/attachdocs/oct-2017/1509459052314.pdf" TargetMode="External" Id="rId3058" /><Relationship Type="http://schemas.openxmlformats.org/officeDocument/2006/relationships/hyperlink" Target="https://www.sebi.gov.in/filings/public-issues/aug-2017/bharat-road-network-ltd-corrigendum-to-drhp_35641.html" TargetMode="External" Id="rId3059" /><Relationship Type="http://schemas.openxmlformats.org/officeDocument/2006/relationships/hyperlink" Target="https://www.sebi.gov.in/sebi_data/attachdocs/nov-2017/1510737201640.pdf" TargetMode="External" Id="rId3060" /><Relationship Type="http://schemas.openxmlformats.org/officeDocument/2006/relationships/hyperlink" Target="https://www.sebi.gov.in/filings/public-issues/aug-2017/aster-dm-healthcare-limited_35613.html" TargetMode="External" Id="rId3061" /><Relationship Type="http://schemas.openxmlformats.org/officeDocument/2006/relationships/hyperlink" Target="https://www.sebi.gov.in/sebi_data/attachdocs/nov-2017/1510840174853.pdf" TargetMode="External" Id="rId3062" /><Relationship Type="http://schemas.openxmlformats.org/officeDocument/2006/relationships/hyperlink" Target="https://www.sebi.gov.in/filings/public-issues/aug-2017/the-new-india-assurance-company-limited_35602.html" TargetMode="External" Id="rId3063" /><Relationship Type="http://schemas.openxmlformats.org/officeDocument/2006/relationships/hyperlink" Target="https://www.sebi.gov.in/sebi_data/attachdocs/nov-2017/1510902617562.pdf" TargetMode="External" Id="rId3064" /><Relationship Type="http://schemas.openxmlformats.org/officeDocument/2006/relationships/hyperlink" Target="https://www.sebi.gov.in/filings/public-issues/aug-2017/general-insurance-corporation-of-india_35566.html" TargetMode="External" Id="rId3065" /><Relationship Type="http://schemas.openxmlformats.org/officeDocument/2006/relationships/hyperlink" Target="https://www.sebi.gov.in/sebi_data/attachdocs/nov-2017/1510901765877.pdf" TargetMode="External" Id="rId3066" /><Relationship Type="http://schemas.openxmlformats.org/officeDocument/2006/relationships/hyperlink" Target="https://www.sebi.gov.in/filings/public-issues/aug-2017/mahindra-logistics-limited_35555.html" TargetMode="External" Id="rId3067" /><Relationship Type="http://schemas.openxmlformats.org/officeDocument/2006/relationships/hyperlink" Target="https://www.sebi.gov.in/sebi_data/attachdocs/oct-2017/1509361706599.pdf" TargetMode="External" Id="rId3068" /><Relationship Type="http://schemas.openxmlformats.org/officeDocument/2006/relationships/hyperlink" Target="https://www.sebi.gov.in/filings/public-issues/jul-2017/godrej-agrovet-limited_35368.html" TargetMode="External" Id="rId3069" /><Relationship Type="http://schemas.openxmlformats.org/officeDocument/2006/relationships/hyperlink" Target="https://www.sebi.gov.in/sebi_data/attachdocs/oct-2017/1509364304775.pdf" TargetMode="External" Id="rId3070" /><Relationship Type="http://schemas.openxmlformats.org/officeDocument/2006/relationships/hyperlink" Target="https://www.sebi.gov.in/filings/public-issues/jul-2017/sbi-life-insurance-company-limited_35336.html" TargetMode="External" Id="rId3071" /><Relationship Type="http://schemas.openxmlformats.org/officeDocument/2006/relationships/hyperlink" Target="https://www.sebi.gov.in/sebi_data/attachdocs/nov-2017/1510909125880.pdf" TargetMode="External" Id="rId3072" /><Relationship Type="http://schemas.openxmlformats.org/officeDocument/2006/relationships/hyperlink" Target="https://www.sebi.gov.in/filings/public-issues/jul-2017/icici-lombard-general-insurance-company-limited_35321.html" TargetMode="External" Id="rId3073" /><Relationship Type="http://schemas.openxmlformats.org/officeDocument/2006/relationships/hyperlink" Target="https://www.sebi.gov.in/sebi_data/attachdocs/oct-2017/1509345192676.pdf" TargetMode="External" Id="rId3074" /><Relationship Type="http://schemas.openxmlformats.org/officeDocument/2006/relationships/hyperlink" Target="https://www.sebi.gov.in/filings/public-issues/jul-2017/khadim-india-limited_35249.html" TargetMode="External" Id="rId3075" /><Relationship Type="http://schemas.openxmlformats.org/officeDocument/2006/relationships/hyperlink" Target="https://www.sebi.gov.in/sebi_data/attachdocs/jun-2017/1498217535905.pdf" TargetMode="External" Id="rId3076" /><Relationship Type="http://schemas.openxmlformats.org/officeDocument/2006/relationships/hyperlink" Target="https://www.sebi.gov.in/filings/public-issues/jun-2017/pratap-snacks-limited_35169.html" TargetMode="External" Id="rId3077" /><Relationship Type="http://schemas.openxmlformats.org/officeDocument/2006/relationships/hyperlink" Target="https://www.sebi.gov.in/sebi_data/attachdocs/nov-2017/1510910694504.pdf" TargetMode="External" Id="rId3078" /><Relationship Type="http://schemas.openxmlformats.org/officeDocument/2006/relationships/hyperlink" Target="https://www.sebi.gov.in/filings/public-issues/jun-2017/astron-paper-and-board-mill-ltd_35142.html" TargetMode="External" Id="rId3079" /><Relationship Type="http://schemas.openxmlformats.org/officeDocument/2006/relationships/hyperlink" Target="https://www.sebi.gov.in/sebi_data/attachdocs/jun-2017/1497957899070.pdf" TargetMode="External" Id="rId3080" /><Relationship Type="http://schemas.openxmlformats.org/officeDocument/2006/relationships/hyperlink" Target="https://www.sebi.gov.in/filings/public-issues/jun-2017/indian-energy-exchange-limited_35136.html" TargetMode="External" Id="rId3081" /><Relationship Type="http://schemas.openxmlformats.org/officeDocument/2006/relationships/hyperlink" Target="https://www.sebi.gov.in/sebi_data/attachdocs/may-2017/1495451226044.pdf" TargetMode="External" Id="rId3082" /><Relationship Type="http://schemas.openxmlformats.org/officeDocument/2006/relationships/hyperlink" Target="https://www.sebi.gov.in/filings/public-issues/may-2017/dixon-technologies-india-limited_34938.html" TargetMode="External" Id="rId3083" /><Relationship Type="http://schemas.openxmlformats.org/officeDocument/2006/relationships/hyperlink" Target="https://www.sebi.gov.in/sebi_data/attachdocs/may-2017/1495444881641.pdf" TargetMode="External" Id="rId3084" /><Relationship Type="http://schemas.openxmlformats.org/officeDocument/2006/relationships/hyperlink" Target="https://www.sebi.gov.in/filings/public-issues/may-2017/shalby-limited_34932.html" TargetMode="External" Id="rId3085" /><Relationship Type="http://schemas.openxmlformats.org/officeDocument/2006/relationships/hyperlink" Target="https://www.sebi.gov.in/sebi_data/attachdocs/may-2017/1494492485594.pdf" TargetMode="External" Id="rId3086" /><Relationship Type="http://schemas.openxmlformats.org/officeDocument/2006/relationships/hyperlink" Target="https://www.sebi.gov.in/filings/public-issues/may-2017/matrimony-com-limited_34845.html" TargetMode="External" Id="rId3087" /><Relationship Type="http://schemas.openxmlformats.org/officeDocument/2006/relationships/hyperlink" Target="https://www.sebi.gov.in/sebi_data/attachdocs/apr-2017/1492770637429.pdf" TargetMode="External" Id="rId3088" /><Relationship Type="http://schemas.openxmlformats.org/officeDocument/2006/relationships/hyperlink" Target="https://www.sebi.gov.in/filings/public-issues/apr-2017/capacit-e-infraprojects-limited_34732.html" TargetMode="External" Id="rId3089" /><Relationship Type="http://schemas.openxmlformats.org/officeDocument/2006/relationships/hyperlink" Target="https://www.sebi.gov.in/sebi_data/attachdocs/1490953484248.pdf" TargetMode="External" Id="rId3090" /><Relationship Type="http://schemas.openxmlformats.org/officeDocument/2006/relationships/hyperlink" Target="https://www.sebi.gov.in/filings/public-issues/mar-2017/apex-frozen-foods-limited_34510.html" TargetMode="External" Id="rId3091" /><Relationship Type="http://schemas.openxmlformats.org/officeDocument/2006/relationships/hyperlink" Target="https://www.sebi.gov.in/sebi_data/attachdocs/1490780945883.pdf" TargetMode="External" Id="rId3092" /><Relationship Type="http://schemas.openxmlformats.org/officeDocument/2006/relationships/hyperlink" Target="https://www.sebi.gov.in/filings/public-issues/mar-2017/mas-financial-services-limited_34488.html" TargetMode="External" Id="rId3093" /><Relationship Type="http://schemas.openxmlformats.org/officeDocument/2006/relationships/hyperlink" Target="https://www.sebi.gov.in/sebi_data/attachdocs/1490612792005.pdf" TargetMode="External" Id="rId3094" /><Relationship Type="http://schemas.openxmlformats.org/officeDocument/2006/relationships/hyperlink" Target="https://www.sebi.gov.in/filings/public-issues/mar-2017/cochin-shipyard-limited_34475.html" TargetMode="External" Id="rId3095" /><Relationship Type="http://schemas.openxmlformats.org/officeDocument/2006/relationships/hyperlink" Target="https://www.sebi.gov.in/sebi_data/attachdocs/1489483609363.pdf" TargetMode="External" Id="rId3096" /><Relationship Type="http://schemas.openxmlformats.org/officeDocument/2006/relationships/hyperlink" Target="https://www.sebi.gov.in/filings/public-issues/mar-2017/nakshatra-world-limited_34355.html" TargetMode="External" Id="rId3097" /><Relationship Type="http://schemas.openxmlformats.org/officeDocument/2006/relationships/hyperlink" Target="https://www.business-standard.com/markets/ipo/nakshatra-world-ltd-ipo-40352" TargetMode="External" Id="rId3098" /><Relationship Type="http://schemas.openxmlformats.org/officeDocument/2006/relationships/hyperlink" Target="https://www.sebi.gov.in/sebi_data/attachdocs/1487739314868.pdf" TargetMode="External" Id="rId3099" /><Relationship Type="http://schemas.openxmlformats.org/officeDocument/2006/relationships/hyperlink" Target="https://www.sebi.gov.in/filings/public-issues/feb-2017/four-seasons-residency-limited_34264.html" TargetMode="External" Id="rId3100" /><Relationship Type="http://schemas.openxmlformats.org/officeDocument/2006/relationships/hyperlink" Target="https://www.business-standard.com/markets/ipo/four-seasons-residency-ltd-ipo-70149" TargetMode="External" Id="rId3101" /><Relationship Type="http://schemas.openxmlformats.org/officeDocument/2006/relationships/hyperlink" Target="https://www.sebi.gov.in/sebi_data/attachdocs/1487591520094.pdf" TargetMode="External" Id="rId3102" /><Relationship Type="http://schemas.openxmlformats.org/officeDocument/2006/relationships/hyperlink" Target="https://www.sebi.gov.in/filings/public-issues/feb-2017/bharat-road-network-limited_34262.html" TargetMode="External" Id="rId3103" /><Relationship Type="http://schemas.openxmlformats.org/officeDocument/2006/relationships/hyperlink" Target="https://www.sebi.gov.in/sebi_data/attachdocs/1487157874525.pdf" TargetMode="External" Id="rId3104" /><Relationship Type="http://schemas.openxmlformats.org/officeDocument/2006/relationships/hyperlink" Target="https://www.sebi.gov.in/filings/public-issues/feb-2017/salasar-techno-engineering-limited_34199.html" TargetMode="External" Id="rId3105" /><Relationship Type="http://schemas.openxmlformats.org/officeDocument/2006/relationships/hyperlink" Target="https://www.sebi.gov.in/sebi_data/attachdocs/1486981606332.pdf" TargetMode="External" Id="rId3106" /><Relationship Type="http://schemas.openxmlformats.org/officeDocument/2006/relationships/hyperlink" Target="https://www.sebi.gov.in/filings/public-issues/feb-2017/tejas-networks-limited_34180.html" TargetMode="External" Id="rId3107" /><Relationship Type="http://schemas.openxmlformats.org/officeDocument/2006/relationships/hyperlink" Target="https://www.sebi.gov.in/sebi_data/attachdocs/1486702950321.pdf" TargetMode="External" Id="rId3108" /><Relationship Type="http://schemas.openxmlformats.org/officeDocument/2006/relationships/hyperlink" Target="https://www.sebi.gov.in/filings/public-issues/feb-2017/eris-lifesciences-limited_34167.html" TargetMode="External" Id="rId3109" /><Relationship Type="http://schemas.openxmlformats.org/officeDocument/2006/relationships/hyperlink" Target="https://www.sebi.gov.in/sebi_data/attachdocs/1486115445100.pdf" TargetMode="External" Id="rId3110" /><Relationship Type="http://schemas.openxmlformats.org/officeDocument/2006/relationships/hyperlink" Target="https://www.sebi.gov.in/filings/public-issues/feb-2017/au-financiers-india-limited_34131.html" TargetMode="External" Id="rId3111" /><Relationship Type="http://schemas.openxmlformats.org/officeDocument/2006/relationships/hyperlink" Target="https://www.sebi.gov.in/sebi_data/attachdocs/1483421360168.pdf" TargetMode="External" Id="rId3112" /><Relationship Type="http://schemas.openxmlformats.org/officeDocument/2006/relationships/hyperlink" Target="https://www.sebi.gov.in/filings/public-issues/jan-2017/gtpl-hathway-limited_33943.html" TargetMode="External" Id="rId3113" /><Relationship Type="http://schemas.openxmlformats.org/officeDocument/2006/relationships/hyperlink" Target="https://www.sebi.gov.in/sebi_data/attachdocs/1483435402664.pdf" TargetMode="External" Id="rId3114" /><Relationship Type="http://schemas.openxmlformats.org/officeDocument/2006/relationships/hyperlink" Target="https://www.sebi.gov.in/filings/public-issues/jan-2017/housing-and-urban-development-corporation-limited_33947.html" TargetMode="External" Id="rId3115" /><Relationship Type="http://schemas.openxmlformats.org/officeDocument/2006/relationships/hyperlink" Target="https://www.sebi.gov.in/sebi_data/attachdocs/1483073582321.pdf" TargetMode="External" Id="rId3116" /><Relationship Type="http://schemas.openxmlformats.org/officeDocument/2006/relationships/hyperlink" Target="https://www.sebi.gov.in/filings/public-issues/dec-2016/national-stock-exchange-of-india-limited_33921.html" TargetMode="External" Id="rId3117" /><Relationship Type="http://schemas.openxmlformats.org/officeDocument/2006/relationships/hyperlink" Target="https://www.business-standard.com/markets/ipo/national-stock-exchange-of-india-ipo-21241" TargetMode="External" Id="rId3118" /><Relationship Type="http://schemas.openxmlformats.org/officeDocument/2006/relationships/hyperlink" Target="https://www.sebi.gov.in/sebi_data/attachdocs/1483005934511.pdf" TargetMode="External" Id="rId3119" /><Relationship Type="http://schemas.openxmlformats.org/officeDocument/2006/relationships/hyperlink" Target="https://www.sebi.gov.in/filings/public-issues/dec-2016/psp-projects-limited_33915.html" TargetMode="External" Id="rId3120" /><Relationship Type="http://schemas.openxmlformats.org/officeDocument/2006/relationships/hyperlink" Target="https://www.sebi.gov.in/sebi_data/attachdocs/1482921811894.pdf" TargetMode="External" Id="rId3121" /><Relationship Type="http://schemas.openxmlformats.org/officeDocument/2006/relationships/hyperlink" Target="https://www.sebi.gov.in/filings/public-issues/dec-2016/central-desository-services-india-limited_33908.html" TargetMode="External" Id="rId3122" /><Relationship Type="http://schemas.openxmlformats.org/officeDocument/2006/relationships/hyperlink" Target="https://www.sebi.gov.in/sebi_data/attachdocs/1482145544958.pdf" TargetMode="External" Id="rId3123" /><Relationship Type="http://schemas.openxmlformats.org/officeDocument/2006/relationships/hyperlink" Target="https://www.sebi.gov.in/filings/public-issues/dec-2016/s-chand-and-company-limited_33820.html" TargetMode="External" Id="rId3124" /><Relationship Type="http://schemas.openxmlformats.org/officeDocument/2006/relationships/hyperlink" Target="https://www.sebi.gov.in/sebi_data/attachdocs/1481628639529.pdf" TargetMode="External" Id="rId3125" /><Relationship Type="http://schemas.openxmlformats.org/officeDocument/2006/relationships/hyperlink" Target="https://www.sebi.gov.in/filings/public-issues/dec-2016/corrigendum-to-the-drhp-of-bse-limited_33785.html" TargetMode="External" Id="rId3126" /><Relationship Type="http://schemas.openxmlformats.org/officeDocument/2006/relationships/hyperlink" Target="https://www.chittorgarh.com/ipo/bse-limited-ipo/611/" TargetMode="External" Id="rId3127" /><Relationship Type="http://schemas.openxmlformats.org/officeDocument/2006/relationships/hyperlink" Target="https://www.sebi.gov.in/sebi_data/attachdocs/1480587076180.pdf" TargetMode="External" Id="rId3128" /><Relationship Type="http://schemas.openxmlformats.org/officeDocument/2006/relationships/hyperlink" Target="https://www.sebi.gov.in/filings/public-issues/dec-2016/music-broadcast-limited_33745.html" TargetMode="External" Id="rId3129" /><Relationship Type="http://schemas.openxmlformats.org/officeDocument/2006/relationships/hyperlink" Target="https://www.sebi.gov.in/sebi_data/attachdocs/1475476252011.pdf" TargetMode="External" Id="rId3130" /><Relationship Type="http://schemas.openxmlformats.org/officeDocument/2006/relationships/hyperlink" Target="https://www.sebi.gov.in/filings/public-issues/oct-2016/continental-warehousing-corporation-nhava-seva-limited_33401.html" TargetMode="External" Id="rId3131" /><Relationship Type="http://schemas.openxmlformats.org/officeDocument/2006/relationships/hyperlink" Target="https://www.business-standard.com/article/pti-stories/dp-world-niif-jv-acquire-continental-warehousing-corporation-118071901251_1.html" TargetMode="External" Id="rId3132" /><Relationship Type="http://schemas.openxmlformats.org/officeDocument/2006/relationships/hyperlink" Target="https://www.sebi.gov.in/sebi_data/attachdocs/1475469156283.pdf" TargetMode="External" Id="rId3133" /><Relationship Type="http://schemas.openxmlformats.org/officeDocument/2006/relationships/hyperlink" Target="https://www.sebi.gov.in/filings/public-issues/oct-2016/g-r-infraprojects-limited_33399.html" TargetMode="External" Id="rId3134" /><Relationship Type="http://schemas.openxmlformats.org/officeDocument/2006/relationships/hyperlink" Target="https://www.business-standard.com/markets/ipo/g-r-infraprojects-ltd-ipo-35408" TargetMode="External" Id="rId3135" /><Relationship Type="http://schemas.openxmlformats.org/officeDocument/2006/relationships/hyperlink" Target="https://www.sebi.gov.in/sebi_data/attachdocs/1475485242952.pdf" TargetMode="External" Id="rId3136" /><Relationship Type="http://schemas.openxmlformats.org/officeDocument/2006/relationships/hyperlink" Target="https://www.sebi.gov.in/filings/public-issues/oct-2016/genesis-colors-limited_33403.html" TargetMode="External" Id="rId3137" /><Relationship Type="http://schemas.openxmlformats.org/officeDocument/2006/relationships/hyperlink" Target="https://www.business-standard.com/markets/ipo/genesis-colors-ltd-ipo-68135" TargetMode="External" Id="rId3138" /><Relationship Type="http://schemas.openxmlformats.org/officeDocument/2006/relationships/hyperlink" Target="https://www.sebi.gov.in/sebi_data/attachdocs/1475474399351.pdf" TargetMode="External" Id="rId3139" /><Relationship Type="http://schemas.openxmlformats.org/officeDocument/2006/relationships/hyperlink" Target="https://www.sebi.gov.in/filings/public-issues/oct-2016/prataap-snacks-limited_33400.html" TargetMode="External" Id="rId3140" /><Relationship Type="http://schemas.openxmlformats.org/officeDocument/2006/relationships/hyperlink" Target="https://www.sebi.gov.in/sebi_data/attachdocs/1475235183964.pdf" TargetMode="External" Id="rId3141" /><Relationship Type="http://schemas.openxmlformats.org/officeDocument/2006/relationships/hyperlink" Target="https://www.sebi.gov.in/filings/public-issues/sep-2016/avenue-supermarts-limited_33394.html" TargetMode="External" Id="rId3142" /><Relationship Type="http://schemas.openxmlformats.org/officeDocument/2006/relationships/hyperlink" Target="https://www.sebi.gov.in/sebi_data/attachdocs/1475145496926.pdf" TargetMode="External" Id="rId3143" /><Relationship Type="http://schemas.openxmlformats.org/officeDocument/2006/relationships/hyperlink" Target="https://www.sebi.gov.in/filings/public-issues/sep-2016/security-and-intelligence-services-india-limited_33367.html" TargetMode="External" Id="rId3144" /><Relationship Type="http://schemas.openxmlformats.org/officeDocument/2006/relationships/hyperlink" Target="https://www.sebi.gov.in/sebi_data/attachdocs/1475140160718.pdf" TargetMode="External" Id="rId3145" /><Relationship Type="http://schemas.openxmlformats.org/officeDocument/2006/relationships/hyperlink" Target="https://www.sebi.gov.in/filings/public-issues/sep-2016/shankara-building-products-limited_33365.html" TargetMode="External" Id="rId3146" /><Relationship Type="http://schemas.openxmlformats.org/officeDocument/2006/relationships/hyperlink" Target="https://www.sebi.gov.in/sebi_data/attachdocs/1473669901742.pdf" TargetMode="External" Id="rId3147" /><Relationship Type="http://schemas.openxmlformats.org/officeDocument/2006/relationships/hyperlink" Target="https://www.sebi.gov.in/filings/public-issues/sep-2016/bse-limited_33213.html" TargetMode="External" Id="rId3148" /><Relationship Type="http://schemas.openxmlformats.org/officeDocument/2006/relationships/hyperlink" Target="https://www.sebi.gov.in/sebi_data/attachdocs/1471952320948.pdf" TargetMode="External" Id="rId3149" /><Relationship Type="http://schemas.openxmlformats.org/officeDocument/2006/relationships/hyperlink" Target="https://www.sebi.gov.in/filings/public-issues/aug-2016/laurus-labs-limited_33031.html" TargetMode="External" Id="rId3150" /><Relationship Type="http://schemas.openxmlformats.org/officeDocument/2006/relationships/hyperlink" Target="https://www.sebi.gov.in/sebi_data/attachdocs/1470223129588.pdf" TargetMode="External" Id="rId3151" /><Relationship Type="http://schemas.openxmlformats.org/officeDocument/2006/relationships/hyperlink" Target="https://www.sebi.gov.in/filings/public-issues/aug-2016/sheela-foam-limited_32929.html" TargetMode="External" Id="rId3152" /><Relationship Type="http://schemas.openxmlformats.org/officeDocument/2006/relationships/hyperlink" Target="https://www.sebi.gov.in/sebi_data/attachdocs/1468906211630.pdf" TargetMode="External" Id="rId3153" /><Relationship Type="http://schemas.openxmlformats.org/officeDocument/2006/relationships/hyperlink" Target="https://www.sebi.gov.in/filings/public-issues/jul-2016/landt-technology-services-limited_32858.html" TargetMode="External" Id="rId3154" /><Relationship Type="http://schemas.openxmlformats.org/officeDocument/2006/relationships/hyperlink" Target="https://www.sebi.gov.in/sebi_data/attachdocs/1468842226820.pdf" TargetMode="External" Id="rId3155" /><Relationship Type="http://schemas.openxmlformats.org/officeDocument/2006/relationships/hyperlink" Target="https://www.sebi.gov.in/filings/public-issues/jul-2016/icici-prudential-life-insurance-company-limited_32855.html" TargetMode="External" Id="rId3156" /><Relationship Type="http://schemas.openxmlformats.org/officeDocument/2006/relationships/hyperlink" Target="https://www.sebi.gov.in/sebi_data/attachdocs/1467977949148.pdf" TargetMode="External" Id="rId3157" /><Relationship Type="http://schemas.openxmlformats.org/officeDocument/2006/relationships/hyperlink" Target="https://www.sebi.gov.in/filings/public-issues/jul-2016/endurance-technologies-limited_32819.html" TargetMode="External" Id="rId3158" /><Relationship Type="http://schemas.openxmlformats.org/officeDocument/2006/relationships/hyperlink" Target="https://www.sebi.gov.in/sebi_data/attachdocs/1467884999824.pdf" TargetMode="External" Id="rId3159" /><Relationship Type="http://schemas.openxmlformats.org/officeDocument/2006/relationships/hyperlink" Target="https://www.sebi.gov.in/filings/public-issues/jul-2016/pnb-housing-finance-limited_32797.html" TargetMode="External" Id="rId3160" /><Relationship Type="http://schemas.openxmlformats.org/officeDocument/2006/relationships/hyperlink" Target="https://www.sebi.gov.in/sebi_data/attachdocs/1467625587330.pdf" TargetMode="External" Id="rId3161" /><Relationship Type="http://schemas.openxmlformats.org/officeDocument/2006/relationships/hyperlink" Target="https://www.sebi.gov.in/filings/public-issues/jul-2016/greensignal-bio-pharma-limited_32778.html" TargetMode="External" Id="rId3162" /><Relationship Type="http://schemas.openxmlformats.org/officeDocument/2006/relationships/hyperlink" Target="https://www.chittorgarh.com/ipo/greensignal-bio-pharma-ipo/601/" TargetMode="External" Id="rId3163" /><Relationship Type="http://schemas.openxmlformats.org/officeDocument/2006/relationships/hyperlink" Target="https://www.sebi.gov.in/sebi_data/attachdocs/1467027412108.pdf" TargetMode="External" Id="rId3164" /><Relationship Type="http://schemas.openxmlformats.org/officeDocument/2006/relationships/hyperlink" Target="https://www.sebi.gov.in/filings/public-issues/jun-2016/aster-dm-healthcare-limited_32708.html" TargetMode="External" Id="rId3165" /><Relationship Type="http://schemas.openxmlformats.org/officeDocument/2006/relationships/hyperlink" Target="https://www.sebi.gov.in/sebi_data/attachdocs/1466744669824.pdf" TargetMode="External" Id="rId3166" /><Relationship Type="http://schemas.openxmlformats.org/officeDocument/2006/relationships/hyperlink" Target="https://www.sebi.gov.in/filings/public-issues/jun-2016/varun-beverages-limited_32675.html" TargetMode="External" Id="rId3167" /><Relationship Type="http://schemas.openxmlformats.org/officeDocument/2006/relationships/hyperlink" Target="https://www.sebi.gov.in/sebi_data/attachdocs/1463975515144.pdf" TargetMode="External" Id="rId3168" /><Relationship Type="http://schemas.openxmlformats.org/officeDocument/2006/relationships/hyperlink" Target="https://www.sebi.gov.in/filings/public-issues/may-2016/addendum-notice-hpl-electric-and-power-limited_32533.html" TargetMode="External" Id="rId3169" /><Relationship Type="http://schemas.openxmlformats.org/officeDocument/2006/relationships/hyperlink" Target="https://www.sebi.gov.in/sebi_data/attachdocs/1460961145946.pdf" TargetMode="External" Id="rId3170" /><Relationship Type="http://schemas.openxmlformats.org/officeDocument/2006/relationships/hyperlink" Target="https://www.sebi.gov.in/filings/public-issues/apr-2016/larsen-and-toubro-infotech-limited_32392.html" TargetMode="External" Id="rId3171" /><Relationship Type="http://schemas.openxmlformats.org/officeDocument/2006/relationships/hyperlink" Target="https://www.chittorgarh.com/ipo/l_t_infotech_ipo/555/" TargetMode="External" Id="rId3172" /><Relationship Type="http://schemas.openxmlformats.org/officeDocument/2006/relationships/hyperlink" Target="https://www.sebi.gov.in/sebi_data/attachdocs/1459486971532.pdf" TargetMode="External" Id="rId3173" /><Relationship Type="http://schemas.openxmlformats.org/officeDocument/2006/relationships/hyperlink" Target="https://www.sebi.gov.in/filings/public-issues/apr-2016/hinduja-leyland-finance-limited_32235.html" TargetMode="External" Id="rId3174" /><Relationship Type="http://schemas.openxmlformats.org/officeDocument/2006/relationships/hyperlink" Target="https://www.business-standard.com/markets/ipo/hinduja-leyland-finance-ltd-ipo-41297" TargetMode="External" Id="rId3175" /><Relationship Type="http://schemas.openxmlformats.org/officeDocument/2006/relationships/hyperlink" Target="https://www.sebi.gov.in/sebi_data/attachdocs/1459398053387.pdf" TargetMode="External" Id="rId3176" /><Relationship Type="http://schemas.openxmlformats.org/officeDocument/2006/relationships/hyperlink" Target="https://www.sebi.gov.in/filings/public-issues/mar-2016/cl-educate-limited_32196.html" TargetMode="External" Id="rId3177" /><Relationship Type="http://schemas.openxmlformats.org/officeDocument/2006/relationships/hyperlink" Target="https://www.sebi.gov.in/sebi_data/attachdocs/1459225984969.pdf" TargetMode="External" Id="rId3178" /><Relationship Type="http://schemas.openxmlformats.org/officeDocument/2006/relationships/hyperlink" Target="https://www.sebi.gov.in/filings/public-issues/mar-2016/seaways-shipping-and-logistics-limited_32077.html" TargetMode="External" Id="rId3179" /><Relationship Type="http://schemas.openxmlformats.org/officeDocument/2006/relationships/hyperlink" Target="https://www.business-standard.com/markets/ipo/seaways-shipping-logistics-ltd-ipo-41452" TargetMode="External" Id="rId3180" /><Relationship Type="http://schemas.openxmlformats.org/officeDocument/2006/relationships/hyperlink" Target="https://www.sebi.gov.in/sebi_data/commondocs/HPLElectric-Addendum_p.pdf" TargetMode="External" Id="rId3181" /><Relationship Type="http://schemas.openxmlformats.org/officeDocument/2006/relationships/hyperlink" Target="https://www.sebi.gov.in/filings/public-issues/feb-2016/hpl-electric-and-power-limited_32678.html" TargetMode="External" Id="rId3182" /><Relationship Type="http://schemas.openxmlformats.org/officeDocument/2006/relationships/hyperlink" Target="https://www.sebi.gov.in/sebi_data/attachdocs/1454495999707.pdf" TargetMode="External" Id="rId3183" /><Relationship Type="http://schemas.openxmlformats.org/officeDocument/2006/relationships/hyperlink" Target="https://www.sebi.gov.in/filings/public-issues/feb-2016/dilip-buildcon-limited_31603.html" TargetMode="External" Id="rId3184" /><Relationship Type="http://schemas.openxmlformats.org/officeDocument/2006/relationships/hyperlink" Target="https://www.sebi.gov.in/sebi_data/attachdocs/1454475043546.pdf" TargetMode="External" Id="rId3185" /><Relationship Type="http://schemas.openxmlformats.org/officeDocument/2006/relationships/hyperlink" Target="https://www.sebi.gov.in/filings/public-issues/feb-2016/quess-corp-limited_31598.html" TargetMode="External" Id="rId3186" /><Relationship Type="http://schemas.openxmlformats.org/officeDocument/2006/relationships/hyperlink" Target="https://www.sebi.gov.in/sebi_data/attachdocs/1453372309087.pdf" TargetMode="External" Id="rId3187" /><Relationship Type="http://schemas.openxmlformats.org/officeDocument/2006/relationships/hyperlink" Target="https://www.sebi.gov.in/filings/public-issues/jan-2016/advanced-enzyme-technologies-limited_31518.html" TargetMode="External" Id="rId3188" /><Relationship Type="http://schemas.openxmlformats.org/officeDocument/2006/relationships/hyperlink" Target="https://www.sebi.gov.in/sebi_data/attachdocs/1451886138156.pdf" TargetMode="External" Id="rId3189" /><Relationship Type="http://schemas.openxmlformats.org/officeDocument/2006/relationships/hyperlink" Target="https://www.sebi.gov.in/filings/public-issues/jan-2016/thyrocare-technologies-limited-draft-red-herring-prospectus_31406.html" TargetMode="External" Id="rId3190" /><Relationship Type="http://schemas.openxmlformats.org/officeDocument/2006/relationships/hyperlink" Target="https://www.sebi.gov.in/sebi_data/attachdocs/1451908310679.pdf" TargetMode="External" Id="rId3191" /><Relationship Type="http://schemas.openxmlformats.org/officeDocument/2006/relationships/hyperlink" Target="https://www.sebi.gov.in/filings/public-issues/jan-2016/ujjivan-financial-services-limited_31408.html" TargetMode="External" Id="rId3192" /><Relationship Type="http://schemas.openxmlformats.org/officeDocument/2006/relationships/hyperlink" Target="https://www.sebi.gov.in/sebi_data/attachdocs/1451632693056.pdf" TargetMode="External" Id="rId3193" /><Relationship Type="http://schemas.openxmlformats.org/officeDocument/2006/relationships/hyperlink" Target="https://www.sebi.gov.in/filings/public-issues/dec-2015/larsen-and-toubro-infotech-limited-addendum-to-draft-red-herring-prospectus_31398.html" TargetMode="External" Id="rId3194" /><Relationship Type="http://schemas.openxmlformats.org/officeDocument/2006/relationships/hyperlink" Target="https://www.chittorgarh.com/ipo/l_t_infotech_ipo/555/" TargetMode="External" Id="rId3195" /><Relationship Type="http://schemas.openxmlformats.org/officeDocument/2006/relationships/hyperlink" Target="https://www.sebi.gov.in/sebi_data/attachdocs/1451449620283.pdf" TargetMode="External" Id="rId3196" /><Relationship Type="http://schemas.openxmlformats.org/officeDocument/2006/relationships/hyperlink" Target="https://www.sebi.gov.in/filings/public-issues/dec-2015/s-p-apparels-limited-draft-red-herring-prospectus_31361.html" TargetMode="External" Id="rId3197" /><Relationship Type="http://schemas.openxmlformats.org/officeDocument/2006/relationships/hyperlink" Target="https://www.sebi.gov.in/sebi_data/attachdocs/1451367724010.pdf" TargetMode="External" Id="rId3198" /><Relationship Type="http://schemas.openxmlformats.org/officeDocument/2006/relationships/hyperlink" Target="https://www.sebi.gov.in/filings/public-issues/dec-2015/nihilent-technologies-limited_31351.html" TargetMode="External" Id="rId3199" /><Relationship Type="http://schemas.openxmlformats.org/officeDocument/2006/relationships/hyperlink" Target="https://www.dsij.in/article-details/articleid/13453/sebi-cleared-nihilent-technologies%E2%80%99-ipo-approval" TargetMode="External" Id="rId3200" /><Relationship Type="http://schemas.openxmlformats.org/officeDocument/2006/relationships/hyperlink" Target="https://www.sebi.gov.in/sebi_data/attachdocs/1450870575841.pdf" TargetMode="External" Id="rId3201" /><Relationship Type="http://schemas.openxmlformats.org/officeDocument/2006/relationships/hyperlink" Target="https://www.sebi.gov.in/filings/public-issues/dec-2015/k-p-r-agrochem-limited_31339.html" TargetMode="External" Id="rId3202" /><Relationship Type="http://schemas.openxmlformats.org/officeDocument/2006/relationships/hyperlink" Target="https://ipocentral.in/sebi-clears-kpr-agrochem-ipo/" TargetMode="External" Id="rId3203" /><Relationship Type="http://schemas.openxmlformats.org/officeDocument/2006/relationships/hyperlink" Target="https://www.sebi.gov.in/sebi_data/attachdocs/1448968753846.pdf" TargetMode="External" Id="rId3204" /><Relationship Type="http://schemas.openxmlformats.org/officeDocument/2006/relationships/hyperlink" Target="https://www.sebi.gov.in/filings/public-issues/dec-2015/new-delhi-centre-for-sight-limited_31152.html" TargetMode="External" Id="rId3205" /><Relationship Type="http://schemas.openxmlformats.org/officeDocument/2006/relationships/hyperlink" Target="https://www.business-standard.com/markets/ipo/new-delhi-centre-for-sight-ipo-44610" TargetMode="External" Id="rId3206" /><Relationship Type="http://schemas.openxmlformats.org/officeDocument/2006/relationships/hyperlink" Target="https://www.sebi.gov.in/sebi_data/attachdocs/1448014570335.pdf" TargetMode="External" Id="rId3207" /><Relationship Type="http://schemas.openxmlformats.org/officeDocument/2006/relationships/hyperlink" Target="https://www.sebi.gov.in/filings/public-issues/nov-2015/gvr-infra-projects-limited-public-announcement_31067.html" TargetMode="External" Id="rId3208" /><Relationship Type="http://schemas.openxmlformats.org/officeDocument/2006/relationships/hyperlink" Target="https://www.business-standard.com/markets/ipo/gvr-infra-projects-ltd-ipo-44053" TargetMode="External" Id="rId3209" /><Relationship Type="http://schemas.openxmlformats.org/officeDocument/2006/relationships/hyperlink" Target="https://www.sebi.gov.in/sebi_data/attachdocs/1447665137580.pdf" TargetMode="External" Id="rId3210" /><Relationship Type="http://schemas.openxmlformats.org/officeDocument/2006/relationships/hyperlink" Target="https://www.sebi.gov.in/filings/public-issues/nov-2015/mahanagar-gas-limited_31048.html" TargetMode="External" Id="rId3211" /><Relationship Type="http://schemas.openxmlformats.org/officeDocument/2006/relationships/hyperlink" Target="https://www.sebi.gov.in/sebi_data/attachdocs/1445574629842.pdf" TargetMode="External" Id="rId3212" /><Relationship Type="http://schemas.openxmlformats.org/officeDocument/2006/relationships/hyperlink" Target="https://www.sebi.gov.in/filings/public-issues/oct-2015/ssipl-retail-limited_30884.html" TargetMode="External" Id="rId3213" /><Relationship Type="http://schemas.openxmlformats.org/officeDocument/2006/relationships/hyperlink" Target="https://www.business-standard.com/markets/ipo/ssipl-retail-ltd-ipo-35618" TargetMode="External" Id="rId3214" /><Relationship Type="http://schemas.openxmlformats.org/officeDocument/2006/relationships/hyperlink" Target="https://www.sebi.gov.in/sebi_data/attachdocs/1445318358501.pdf" TargetMode="External" Id="rId3215" /><Relationship Type="http://schemas.openxmlformats.org/officeDocument/2006/relationships/hyperlink" Target="https://www.sebi.gov.in/filings/public-issues/oct-2015/equitas-holding-limited_30863.html" TargetMode="External" Id="rId3216" /><Relationship Type="http://schemas.openxmlformats.org/officeDocument/2006/relationships/hyperlink" Target="https://www.sebi.gov.in/sebi_data/attachdocs/1444123096362.pdf" TargetMode="External" Id="rId3217" /><Relationship Type="http://schemas.openxmlformats.org/officeDocument/2006/relationships/hyperlink" Target="https://www.sebi.gov.in/filings/public-issues/oct-2015/gvr-infra-projects-limited_30791.html" TargetMode="External" Id="rId3218" /><Relationship Type="http://schemas.openxmlformats.org/officeDocument/2006/relationships/hyperlink" Target="https://www.business-standard.com/markets/ipo/gvr-infra-projects-ltd-ipo-44053" TargetMode="External" Id="rId3219" /><Relationship Type="http://schemas.openxmlformats.org/officeDocument/2006/relationships/hyperlink" Target="https://www.sebi.gov.in/sebi_data/attachdocs/1443691566767.pdf" TargetMode="External" Id="rId3220" /><Relationship Type="http://schemas.openxmlformats.org/officeDocument/2006/relationships/hyperlink" Target="https://www.sebi.gov.in/filings/public-issues/oct-2015/narayana-hrudayalaya-limited_30769.html" TargetMode="External" Id="rId3221" /><Relationship Type="http://schemas.openxmlformats.org/officeDocument/2006/relationships/hyperlink" Target="https://www.sebi.gov.in/sebi_data/attachdocs/1443691705060.pdf" TargetMode="External" Id="rId3222" /><Relationship Type="http://schemas.openxmlformats.org/officeDocument/2006/relationships/hyperlink" Target="https://www.sebi.gov.in/filings/public-issues/oct-2015/parag-milk-foods-limited_30770.html" TargetMode="External" Id="rId3223" /><Relationship Type="http://schemas.openxmlformats.org/officeDocument/2006/relationships/hyperlink" Target="https://www.sebi.gov.in/sebi_data/attachdocs/1443691865670.pdf" TargetMode="External" Id="rId3224" /><Relationship Type="http://schemas.openxmlformats.org/officeDocument/2006/relationships/hyperlink" Target="https://www.sebi.gov.in/filings/public-issues/oct-2015/quick-heal-technologies-limited_30771.html" TargetMode="External" Id="rId3225" /><Relationship Type="http://schemas.openxmlformats.org/officeDocument/2006/relationships/hyperlink" Target="https://www.sebi.gov.in/sebi_data/attachdocs/1443681094816.pdf" TargetMode="External" Id="rId3226" /><Relationship Type="http://schemas.openxmlformats.org/officeDocument/2006/relationships/hyperlink" Target="https://www.sebi.gov.in/filings/public-issues/oct-2015/sandhar-technologies-limited_30768.html" TargetMode="External" Id="rId3227" /><Relationship Type="http://schemas.openxmlformats.org/officeDocument/2006/relationships/hyperlink" Target="https://www.chittorgarh.com/ipo/sandhar-technologies-ipo/834/" TargetMode="External" Id="rId3228" /><Relationship Type="http://schemas.openxmlformats.org/officeDocument/2006/relationships/hyperlink" Target="https://www.sebi.gov.in/sebi_data/attachdocs/1443677539851.pdf" TargetMode="External" Id="rId3229" /><Relationship Type="http://schemas.openxmlformats.org/officeDocument/2006/relationships/hyperlink" Target="https://www.sebi.gov.in/filings/public-issues/sep-2015/maini-precision-products-limited_30767.html" TargetMode="External" Id="rId3230" /><Relationship Type="http://schemas.openxmlformats.org/officeDocument/2006/relationships/hyperlink" Target="https://www.business-standard.com/markets/ipo/maini-precision-products-ltd-ipo-15381" TargetMode="External" Id="rId3231" /><Relationship Type="http://schemas.openxmlformats.org/officeDocument/2006/relationships/hyperlink" Target="https://www.sebi.gov.in/sebi_data/attachdocs/1443525818842.pdf" TargetMode="External" Id="rId3232" /><Relationship Type="http://schemas.openxmlformats.org/officeDocument/2006/relationships/hyperlink" Target="https://www.sebi.gov.in/filings/public-issues/sep-2015/g-n-a-axles-limited_30748.html" TargetMode="External" Id="rId3233" /><Relationship Type="http://schemas.openxmlformats.org/officeDocument/2006/relationships/hyperlink" Target="https://www.sebi.gov.in/sebi_data/attachdocs/1443519647196.pdf" TargetMode="External" Id="rId3234" /><Relationship Type="http://schemas.openxmlformats.org/officeDocument/2006/relationships/hyperlink" Target="https://www.sebi.gov.in/filings/public-issues/sep-2015/larsen-and-toubro-infotech-limited_30735.html" TargetMode="External" Id="rId3235" /><Relationship Type="http://schemas.openxmlformats.org/officeDocument/2006/relationships/hyperlink" Target="https://www.chittorgarh.com/ipo/l_t_infotech_ipo/555/" TargetMode="External" Id="rId3236" /><Relationship Type="http://schemas.openxmlformats.org/officeDocument/2006/relationships/hyperlink" Target="https://www.sebi.gov.in/sebi_data/attachdocs/1443087000366.pdf" TargetMode="External" Id="rId3237" /><Relationship Type="http://schemas.openxmlformats.org/officeDocument/2006/relationships/hyperlink" Target="https://www.sebi.gov.in/filings/public-issues/sep-2015/vlcc-health-care-limited_30712.html" TargetMode="External" Id="rId3238" /><Relationship Type="http://schemas.openxmlformats.org/officeDocument/2006/relationships/hyperlink" Target="https://www.businessinsider.in/business/corporates/news/carlyle-group-acquires-majority-stake-in-vlcc-a-beauty-and-wellness-chain-which-was-headed-for-an-ipo/articleshow/96880486.cms" TargetMode="External" Id="rId3239" /><Relationship Type="http://schemas.openxmlformats.org/officeDocument/2006/relationships/hyperlink" Target="https://www.sebi.gov.in/sebi_data/attachdocs/1442376547153.pdf" TargetMode="External" Id="rId3240" /><Relationship Type="http://schemas.openxmlformats.org/officeDocument/2006/relationships/hyperlink" Target="https://www.sebi.gov.in/filings/public-issues/sep-2015/dr-lal-pathlabs-limited_30670.html" TargetMode="External" Id="rId3241" /><Relationship Type="http://schemas.openxmlformats.org/officeDocument/2006/relationships/hyperlink" Target="https://www.sebi.gov.in/sebi_data/attachdocs/1442291914518.pdf" TargetMode="External" Id="rId3242" /><Relationship Type="http://schemas.openxmlformats.org/officeDocument/2006/relationships/hyperlink" Target="https://www.sebi.gov.in/filings/public-issues/sep-2015/teamlease-services-limited_30659.html" TargetMode="External" Id="rId3243" /><Relationship Type="http://schemas.openxmlformats.org/officeDocument/2006/relationships/hyperlink" Target="https://www.sebi.gov.in/sebi_data/attachdocs/1440044620390.pdf" TargetMode="External" Id="rId3244" /><Relationship Type="http://schemas.openxmlformats.org/officeDocument/2006/relationships/hyperlink" Target="https://www.sebi.gov.in/filings/public-issues/aug-2015/matrimony-com-limited_30490.html" TargetMode="External" Id="rId3245" /><Relationship Type="http://schemas.openxmlformats.org/officeDocument/2006/relationships/hyperlink" Target="https://www.sebi.gov.in/sebi_data/attachdocs/1438940277502.pdf" TargetMode="External" Id="rId3246" /><Relationship Type="http://schemas.openxmlformats.org/officeDocument/2006/relationships/hyperlink" Target="https://www.sebi.gov.in/filings/public-issues/aug-2015/alkem-laboratories-limited_30416.html" TargetMode="External" Id="rId3247" /><Relationship Type="http://schemas.openxmlformats.org/officeDocument/2006/relationships/hyperlink" Target="https://www.sebi.gov.in/sebi_data/attachdocs/1438141504258.pdf" TargetMode="External" Id="rId3248" /><Relationship Type="http://schemas.openxmlformats.org/officeDocument/2006/relationships/hyperlink" Target="https://www.sebi.gov.in/filings/public-issues/jul-2015/healthcare-global-enterprises-limited_30355.html" TargetMode="External" Id="rId3249" /><Relationship Type="http://schemas.openxmlformats.org/officeDocument/2006/relationships/hyperlink" Target="https://www.sebi.gov.in/sebi_data/attachdocs/1437639155088.pdf" TargetMode="External" Id="rId3250" /><Relationship Type="http://schemas.openxmlformats.org/officeDocument/2006/relationships/hyperlink" Target="https://www.sebi.gov.in/filings/public-issues/jul-2015/bharat-wire-ropes-limited_30318.html" TargetMode="External" Id="rId3251" /><Relationship Type="http://schemas.openxmlformats.org/officeDocument/2006/relationships/hyperlink" Target="https://www.sebi.gov.in/sebi_data/attachdocs/1436514431104.pdf" TargetMode="External" Id="rId3252" /><Relationship Type="http://schemas.openxmlformats.org/officeDocument/2006/relationships/hyperlink" Target="https://www.sebi.gov.in/filings/public-issues/jul-2015/paranjape-schemes-construction-limited_30233.html" TargetMode="External" Id="rId3253" /><Relationship Type="http://schemas.openxmlformats.org/officeDocument/2006/relationships/hyperlink" Target="https://mnacritique.mergersindia.com/news/paranjape-schemes-shelves-ipo-plan-begins-talks-with-investors-to-raise-capital/" TargetMode="External" Id="rId3254" /><Relationship Type="http://schemas.openxmlformats.org/officeDocument/2006/relationships/hyperlink" Target="https://www.sebi.gov.in/sebi_data/attachdocs/1435726888407.pdf" TargetMode="External" Id="rId3255" /><Relationship Type="http://schemas.openxmlformats.org/officeDocument/2006/relationships/hyperlink" Target="https://www.sebi.gov.in/filings/public-issues/jul-2015/infibeam-incorporation-limited_30174.html" TargetMode="External" Id="rId3256" /><Relationship Type="http://schemas.openxmlformats.org/officeDocument/2006/relationships/hyperlink" Target="https://www.sebi.gov.in/sebi_data/attachdocs/1435745197623.pdf" TargetMode="External" Id="rId3257" /><Relationship Type="http://schemas.openxmlformats.org/officeDocument/2006/relationships/hyperlink" Target="https://www.sebi.gov.in/filings/public-issues/jul-2015/interglobe-aviation-limited_30181.html" TargetMode="External" Id="rId3258" /><Relationship Type="http://schemas.openxmlformats.org/officeDocument/2006/relationships/hyperlink" Target="https://www.sebi.gov.in/sebi_data/attachdocs/1435720745997.pdf" TargetMode="External" Id="rId3259" /><Relationship Type="http://schemas.openxmlformats.org/officeDocument/2006/relationships/hyperlink" Target="https://www.sebi.gov.in/filings/public-issues/jun-2015/coffee-day-enterprises-limited_30173.html" TargetMode="External" Id="rId3260" /><Relationship Type="http://schemas.openxmlformats.org/officeDocument/2006/relationships/hyperlink" Target="https://www.sebi.gov.in/sebi_data/attachdocs/1435309201566.pdf" TargetMode="External" Id="rId3261" /><Relationship Type="http://schemas.openxmlformats.org/officeDocument/2006/relationships/hyperlink" Target="https://www.sebi.gov.in/filings/public-issues/jun-2015/rbl-bank-limited_30125.html" TargetMode="External" Id="rId3262" /><Relationship Type="http://schemas.openxmlformats.org/officeDocument/2006/relationships/hyperlink" Target="https://www.sebi.gov.in/sebi_data/attachdocs/1435043879942.pdf" TargetMode="External" Id="rId3263" /><Relationship Type="http://schemas.openxmlformats.org/officeDocument/2006/relationships/hyperlink" Target="https://www.sebi.gov.in/filings/public-issues/jun-2015/matrix-cellular-international-services-limited_30032.html" TargetMode="External" Id="rId3264" /><Relationship Type="http://schemas.openxmlformats.org/officeDocument/2006/relationships/hyperlink" Target="https://www.sebi.gov.in/sebi_data/commondocs/feb-2020/Issues%20Obs%20Issued%2031012020_p.pdf" TargetMode="External" Id="rId3265" /><Relationship Type="http://schemas.openxmlformats.org/officeDocument/2006/relationships/hyperlink" Target="https://www.sebi.gov.in/sebi_data/attachdocs/1432713714727.pdf" TargetMode="External" Id="rId3266" /><Relationship Type="http://schemas.openxmlformats.org/officeDocument/2006/relationships/hyperlink" Target="https://www.sebi.gov.in/filings/public-issues/may-2015/sadbhav-infrastructure-project-limited_29852.html" TargetMode="External" Id="rId3267" /><Relationship Type="http://schemas.openxmlformats.org/officeDocument/2006/relationships/hyperlink" Target="https://www.sebi.gov.in/sebi_data/attachdocs/1430568646805.pdf" TargetMode="External" Id="rId3268" /><Relationship Type="http://schemas.openxmlformats.org/officeDocument/2006/relationships/hyperlink" Target="https://www.sebi.gov.in/filings/public-issues/may-2015/numero-uno-clothing-limited_29705.html" TargetMode="External" Id="rId3269" /><Relationship Type="http://schemas.openxmlformats.org/officeDocument/2006/relationships/hyperlink" Target="https://www.business-standard.com/markets/ipo/numero-uno-clothing-ltd-ipo-33420" TargetMode="External" Id="rId3270" /><Relationship Type="http://schemas.openxmlformats.org/officeDocument/2006/relationships/hyperlink" Target="https://www.sebi.gov.in/sebi_data/attachdocs/1429780624226.pdf" TargetMode="External" Id="rId3271" /><Relationship Type="http://schemas.openxmlformats.org/officeDocument/2006/relationships/hyperlink" Target="https://www.sebi.gov.in/filings/public-issues/apr-2015/nuziveedu-seeds-limited_29642.html" TargetMode="External" Id="rId3272" /><Relationship Type="http://schemas.openxmlformats.org/officeDocument/2006/relationships/hyperlink" Target="https://www.business-standard.com/markets/ipo/nuziveedu-seeds-ltd-ipo-40516" TargetMode="External" Id="rId3273" /><Relationship Type="http://schemas.openxmlformats.org/officeDocument/2006/relationships/hyperlink" Target="https://www.sebi.gov.in/sebi_data/attachdocs/1429780781957.pdf" TargetMode="External" Id="rId3274" /><Relationship Type="http://schemas.openxmlformats.org/officeDocument/2006/relationships/hyperlink" Target="https://www.sebi.gov.in/filings/public-issues/apr-2015/syngene-international-limited_29643.html" TargetMode="External" Id="rId3275" /><Relationship Type="http://schemas.openxmlformats.org/officeDocument/2006/relationships/hyperlink" Target="https://www.sebi.gov.in/sebi_data/attachdocs/1427880821742.pdf" TargetMode="External" Id="rId3276" /><Relationship Type="http://schemas.openxmlformats.org/officeDocument/2006/relationships/hyperlink" Target="https://www.sebi.gov.in/filings/public-issues/apr-2015/dilip-buildcon-limited_29541.html" TargetMode="External" Id="rId3277" /><Relationship Type="http://schemas.openxmlformats.org/officeDocument/2006/relationships/hyperlink" Target="https://www.sebi.gov.in/sebi_data/attachdocs/1427884524256.pdf" TargetMode="External" Id="rId3278" /><Relationship Type="http://schemas.openxmlformats.org/officeDocument/2006/relationships/hyperlink" Target="https://www.sebi.gov.in/filings/public-issues/apr-2015/mm-auto-industries-limited_29544.html" TargetMode="External" Id="rId3279" /><Relationship Type="http://schemas.openxmlformats.org/officeDocument/2006/relationships/hyperlink" Target="https://www.business-standard.com/markets/ipo/mm-auto-industries-ltd-ipo-65956" TargetMode="External" Id="rId3280" /><Relationship Type="http://schemas.openxmlformats.org/officeDocument/2006/relationships/hyperlink" Target="https://www.sebi.gov.in/sebi_data/attachdocs/1427867739888.pdf" TargetMode="External" Id="rId3281" /><Relationship Type="http://schemas.openxmlformats.org/officeDocument/2006/relationships/hyperlink" Target="https://www.sebi.gov.in/filings/public-issues/apr-2015/navkar-corporation-limited_29518.html" TargetMode="External" Id="rId3282" /><Relationship Type="http://schemas.openxmlformats.org/officeDocument/2006/relationships/hyperlink" Target="https://www.sebi.gov.in/sebi_data/attachdocs/1427884590814.pdf" TargetMode="External" Id="rId3283" /><Relationship Type="http://schemas.openxmlformats.org/officeDocument/2006/relationships/hyperlink" Target="https://www.sebi.gov.in/filings/public-issues/apr-2015/prabhat-dairy-limited_29545.html" TargetMode="External" Id="rId3284" /><Relationship Type="http://schemas.openxmlformats.org/officeDocument/2006/relationships/hyperlink" Target="https://www.sebi.gov.in/sebi_data/attachdocs/1427863525884.pdf" TargetMode="External" Id="rId3285" /><Relationship Type="http://schemas.openxmlformats.org/officeDocument/2006/relationships/hyperlink" Target="https://www.sebi.gov.in/filings/public-issues/apr-2015/the-catholic-syrian-bank-limited_29516.html" TargetMode="External" Id="rId3286" /><Relationship Type="http://schemas.openxmlformats.org/officeDocument/2006/relationships/hyperlink" Target="https://www.chittorgarh.com/ipo/csb-bank-ipo/1021/" TargetMode="External" Id="rId3287" /><Relationship Type="http://schemas.openxmlformats.org/officeDocument/2006/relationships/hyperlink" Target="https://www.sebi.gov.in/sebi_data/attachdocs/1427781195107.pdf" TargetMode="External" Id="rId3288" /><Relationship Type="http://schemas.openxmlformats.org/officeDocument/2006/relationships/hyperlink" Target="https://www.sebi.gov.in/filings/public-issues/mar-2015/amar-ujala-publications-limited_29486.html" TargetMode="External" Id="rId3289" /><Relationship Type="http://schemas.openxmlformats.org/officeDocument/2006/relationships/hyperlink" Target="https://ipocentral.in/amar-ujala-publications-gets-sebi-nod-for-ipo/" TargetMode="External" Id="rId3290" /><Relationship Type="http://schemas.openxmlformats.org/officeDocument/2006/relationships/hyperlink" Target="https://www.sebi.gov.in/sebi_data/attachdocs/1427701205509.pdf" TargetMode="External" Id="rId3291" /><Relationship Type="http://schemas.openxmlformats.org/officeDocument/2006/relationships/hyperlink" Target="https://www.sebi.gov.in/filings/public-issues/mar-2015/pennar-engineered-building-systems-limited_29469.html" TargetMode="External" Id="rId3292" /><Relationship Type="http://schemas.openxmlformats.org/officeDocument/2006/relationships/hyperlink" Target="https://www.sebi.gov.in/sebi_data/attachdocs/1427358944543.pdf" TargetMode="External" Id="rId3293" /><Relationship Type="http://schemas.openxmlformats.org/officeDocument/2006/relationships/hyperlink" Target="https://www.sebi.gov.in/filings/public-issues/mar-2015/s-h-kelkar-and-company-limited_29445.html" TargetMode="External" Id="rId3294" /><Relationship Type="http://schemas.openxmlformats.org/officeDocument/2006/relationships/hyperlink" Target="https://www.sebi.gov.in/sebi_data/attachdocs/1427262791052.pdf" TargetMode="External" Id="rId3295" /><Relationship Type="http://schemas.openxmlformats.org/officeDocument/2006/relationships/hyperlink" Target="https://www.sebi.gov.in/filings/public-issues/mar-2015/ags-transact-technologies-limited_29429.html" TargetMode="External" Id="rId3296" /><Relationship Type="http://schemas.openxmlformats.org/officeDocument/2006/relationships/hyperlink" Target="https://www.chittorgarh.com/ipo/ags-transact-ipo/1209/" TargetMode="External" Id="rId3297" /><Relationship Type="http://schemas.openxmlformats.org/officeDocument/2006/relationships/hyperlink" Target="https://www.sebi.gov.in/sebi_data/attachdocs/1426594177338.pdf" TargetMode="External" Id="rId3298" /><Relationship Type="http://schemas.openxmlformats.org/officeDocument/2006/relationships/hyperlink" Target="https://www.sebi.gov.in/filings/public-issues/mar-2015/ssipl-retail-limited_29309.html" TargetMode="External" Id="rId3299" /><Relationship Type="http://schemas.openxmlformats.org/officeDocument/2006/relationships/hyperlink" Target="https://www.business-standard.com/markets/ipo/ssipl-retail-ltd-ipo-35618" TargetMode="External" Id="rId3300" /><Relationship Type="http://schemas.openxmlformats.org/officeDocument/2006/relationships/hyperlink" Target="https://www.sebi.gov.in/sebi_data/attachdocs/1426145620337.pdf" TargetMode="External" Id="rId3301" /><Relationship Type="http://schemas.openxmlformats.org/officeDocument/2006/relationships/hyperlink" Target="https://www.sebi.gov.in/filings/public-issues/mar-2015/precision-camshafts-limited_29264.html" TargetMode="External" Id="rId3302" /><Relationship Type="http://schemas.openxmlformats.org/officeDocument/2006/relationships/hyperlink" Target="https://www.sebi.gov.in/sebi_data/attachdocs/1424672870172.pdf" TargetMode="External" Id="rId3303" /><Relationship Type="http://schemas.openxmlformats.org/officeDocument/2006/relationships/hyperlink" Target="https://www.sebi.gov.in/filings/public-issues/feb-2015/shree-shubham-logistics-limited_29082.html" TargetMode="External" Id="rId3304" /><Relationship Type="http://schemas.openxmlformats.org/officeDocument/2006/relationships/hyperlink" Target="https://www.business-standard.com/markets/ipo/shree-shubham-logistics-ltd-ipo-39134" TargetMode="External" Id="rId3305" /><Relationship Type="http://schemas.openxmlformats.org/officeDocument/2006/relationships/hyperlink" Target="https://www.sebi.gov.in/sebi_data/attachdocs/1419220339596.pdf" TargetMode="External" Id="rId3306" /><Relationship Type="http://schemas.openxmlformats.org/officeDocument/2006/relationships/hyperlink" Target="https://www.sebi.gov.in/filings/public-issues/dec-2014/ufo-moviez-india-limited_28718.html" TargetMode="External" Id="rId3307" /><Relationship Type="http://schemas.openxmlformats.org/officeDocument/2006/relationships/hyperlink" Target="https://www.sebi.gov.in/sebi_data/attachdocs/1419220116463.pdf" TargetMode="External" Id="rId3308" /><Relationship Type="http://schemas.openxmlformats.org/officeDocument/2006/relationships/hyperlink" Target="https://www.sebi.gov.in/filings/public-issues/dec-2014/vrl-logistics-limited_28717.html" TargetMode="External" Id="rId3309" /><Relationship Type="http://schemas.openxmlformats.org/officeDocument/2006/relationships/hyperlink" Target="https://www.sebi.gov.in/sebi_data/attachdocs/1417758499107.pdf" TargetMode="External" Id="rId3310" /><Relationship Type="http://schemas.openxmlformats.org/officeDocument/2006/relationships/hyperlink" Target="https://www.sebi.gov.in/filings/public-issues/dec-2014/sadbhav-infrastructure-project-limited_28531.html" TargetMode="External" Id="rId3311" /><Relationship Type="http://schemas.openxmlformats.org/officeDocument/2006/relationships/hyperlink" Target="https://www.sebi.gov.in/sebi_data/attachdocs/1416998361433.pdf" TargetMode="External" Id="rId3312" /><Relationship Type="http://schemas.openxmlformats.org/officeDocument/2006/relationships/hyperlink" Target="https://www.sebi.gov.in/filings/public-issues/nov-2014/manpasand-beverages-limited_28454.html" TargetMode="External" Id="rId3313" /><Relationship Type="http://schemas.openxmlformats.org/officeDocument/2006/relationships/hyperlink" Target="https://www.sebi.gov.in/sebi_data/attachdocs/1414740811470.pdf" TargetMode="External" Id="rId3314" /><Relationship Type="http://schemas.openxmlformats.org/officeDocument/2006/relationships/hyperlink" Target="https://www.sebi.gov.in/filings/public-issues/oct-2014/power-mech-projects-limited_28310.html" TargetMode="External" Id="rId3315" /><Relationship Type="http://schemas.openxmlformats.org/officeDocument/2006/relationships/hyperlink" Target="https://www.sebi.gov.in/sebi_data/attachdocs/1413862263083.pdf" TargetMode="External" Id="rId3316" /><Relationship Type="http://schemas.openxmlformats.org/officeDocument/2006/relationships/hyperlink" Target="https://www.sebi.gov.in/filings/public-issues/oct-2014/smc-global-securities-limited_28239.html" TargetMode="External" Id="rId3317" /><Relationship Type="http://schemas.openxmlformats.org/officeDocument/2006/relationships/hyperlink" Target="https://www.business-standard.com/markets/ipo/smc-global-securities-ltd-ipo-6691" TargetMode="External" Id="rId3318" /><Relationship Type="http://schemas.openxmlformats.org/officeDocument/2006/relationships/hyperlink" Target="https://www.sebi.gov.in/sebi_data/attachdocs/1412159456778.pdf" TargetMode="External" Id="rId3319" /><Relationship Type="http://schemas.openxmlformats.org/officeDocument/2006/relationships/hyperlink" Target="https://www.sebi.gov.in/filings/public-issues/oct-2014/acb-india-limited_28143.html" TargetMode="External" Id="rId3320" /><Relationship Type="http://schemas.openxmlformats.org/officeDocument/2006/relationships/hyperlink" Target="https://www.business-standard.com/markets/ipo/acb-india-ltd-ipo-34883" TargetMode="External" Id="rId3321" /><Relationship Type="http://schemas.openxmlformats.org/officeDocument/2006/relationships/hyperlink" Target="https://www.sebi.gov.in/sebi_data/attachdocs/1412048554638.pdf" TargetMode="External" Id="rId3322" /><Relationship Type="http://schemas.openxmlformats.org/officeDocument/2006/relationships/hyperlink" Target="https://www.sebi.gov.in/filings/public-issues/sep-2014/cl-educate-limited_28114.html" TargetMode="External" Id="rId3323" /><Relationship Type="http://schemas.openxmlformats.org/officeDocument/2006/relationships/hyperlink" Target="https://www.chittorgarh.com/ipo/cl-educate-ipo/631/" TargetMode="External" Id="rId3324" /><Relationship Type="http://schemas.openxmlformats.org/officeDocument/2006/relationships/hyperlink" Target="https://www.sebi.gov.in/sebi_data/attachdocs/1412069092477.pdf" TargetMode="External" Id="rId3325" /><Relationship Type="http://schemas.openxmlformats.org/officeDocument/2006/relationships/hyperlink" Target="https://www.sebi.gov.in/filings/public-issues/sep-2014/mep-infrastructure-developers-limited_28126.html" TargetMode="External" Id="rId3326" /><Relationship Type="http://schemas.openxmlformats.org/officeDocument/2006/relationships/hyperlink" Target="https://www.sebi.gov.in/sebi_data/attachdocs/1412069211536.pdf" TargetMode="External" Id="rId3327" /><Relationship Type="http://schemas.openxmlformats.org/officeDocument/2006/relationships/hyperlink" Target="https://www.sebi.gov.in/filings/public-issues/sep-2014/shree-pushkar-chemicals-and-fertilizers-limited_28127.html" TargetMode="External" Id="rId3328" /><Relationship Type="http://schemas.openxmlformats.org/officeDocument/2006/relationships/hyperlink" Target="https://www.sebi.gov.in/sebi_data/attachdocs/1412133035557.pdf" TargetMode="External" Id="rId3329" /><Relationship Type="http://schemas.openxmlformats.org/officeDocument/2006/relationships/hyperlink" Target="https://www.sebi.gov.in/filings/public-issues/sep-2014/videocon-d2h-limited_28131.html" TargetMode="External" Id="rId3330" /><Relationship Type="http://schemas.openxmlformats.org/officeDocument/2006/relationships/hyperlink" Target="https://www.business-standard.com/markets/ipo/videocon-d2h-ltd-merged-ipo-41817" TargetMode="External" Id="rId3331" /><Relationship Type="http://schemas.openxmlformats.org/officeDocument/2006/relationships/hyperlink" Target="https://www.sebi.gov.in/sebi_data/attachdocs/1411730042918.pdf" TargetMode="External" Id="rId3332" /><Relationship Type="http://schemas.openxmlformats.org/officeDocument/2006/relationships/hyperlink" Target="https://www.sebi.gov.in/filings/public-issues/sep-2014/pnc-infratech-limited_28092.html" TargetMode="External" Id="rId3333" /><Relationship Type="http://schemas.openxmlformats.org/officeDocument/2006/relationships/hyperlink" Target="https://www.sebi.gov.in/sebi_data/attachdocs/1411728695258.pdf" TargetMode="External" Id="rId3334" /><Relationship Type="http://schemas.openxmlformats.org/officeDocument/2006/relationships/hyperlink" Target="https://www.sebi.gov.in/filings/public-issues/sep-2014/uniparts-india-limited_28090.html" TargetMode="External" Id="rId3335" /><Relationship Type="http://schemas.openxmlformats.org/officeDocument/2006/relationships/hyperlink" Target="https://www.business-standard.com/markets/ipo/uniparts-india-ltd-ipo-45939" TargetMode="External" Id="rId3336" /><Relationship Type="http://schemas.openxmlformats.org/officeDocument/2006/relationships/hyperlink" Target="https://www.sebi.gov.in/sebi_data/attachdocs/1411380087041.pdf" TargetMode="External" Id="rId3337" /><Relationship Type="http://schemas.openxmlformats.org/officeDocument/2006/relationships/hyperlink" Target="https://www.sebi.gov.in/filings/public-issues/sep-2014/rashtriya-ispat-nigam-limited_28031.html" TargetMode="External" Id="rId3338" /><Relationship Type="http://schemas.openxmlformats.org/officeDocument/2006/relationships/hyperlink" Target="https://www.business-standard.com/markets/ipo/rashtriya-ispat-nigam-ltd-ipo-12212" TargetMode="External" Id="rId3339" /><Relationship Type="http://schemas.openxmlformats.org/officeDocument/2006/relationships/hyperlink" Target="https://www.sebi.gov.in/sebi_data/attachdocs/1410514045903.pdf" TargetMode="External" Id="rId3340" /><Relationship Type="http://schemas.openxmlformats.org/officeDocument/2006/relationships/hyperlink" Target="https://www.sebi.gov.in/filings/public-issues/sep-2014/ortel-communications-limited_27955.html" TargetMode="External" Id="rId3341" /><Relationship Type="http://schemas.openxmlformats.org/officeDocument/2006/relationships/hyperlink" Target="https://www.sebi.gov.in/sebi_data/attachdocs/1405331158947.pdf" TargetMode="External" Id="rId3342" /><Relationship Type="http://schemas.openxmlformats.org/officeDocument/2006/relationships/hyperlink" Target="https://www.sebi.gov.in/filings/public-issues/jul-2014/monte-carlo-fashions-limited_27377.html" TargetMode="External" Id="rId3343" /><Relationship Type="http://schemas.openxmlformats.org/officeDocument/2006/relationships/hyperlink" Target="https://www.sebi.gov.in/sebi_data/attachdocs/1404296879493.pdf" TargetMode="External" Id="rId3344" /><Relationship Type="http://schemas.openxmlformats.org/officeDocument/2006/relationships/hyperlink" Target="https://www.sebi.gov.in/filings/public-issues/jul-2014/lavasa-corporation-limited_27248.html" TargetMode="External" Id="rId3345" /><Relationship Type="http://schemas.openxmlformats.org/officeDocument/2006/relationships/hyperlink" Target="https://www.business-standard.com/markets/ipo/lavasa-corporation-ltd-ipo-34370" TargetMode="External" Id="rId3346" /><Relationship Type="http://schemas.openxmlformats.org/officeDocument/2006/relationships/hyperlink" Target="https://www.sebi.gov.in/sebi_data/commondocs/1412741679150_p.pdf" TargetMode="External" Id="rId3347" /><Relationship Type="http://schemas.openxmlformats.org/officeDocument/2006/relationships/hyperlink" Target="https://www.sebi.gov.in/filings/public-issues/may-2014/adlabs-entertainment-limited_28258.html" TargetMode="External" Id="rId3348" /><Relationship Type="http://schemas.openxmlformats.org/officeDocument/2006/relationships/hyperlink" Target="https://www.sebi.gov.in/sebi_data/attachdocs/1396504133041.pdf" TargetMode="External" Id="rId3349" /><Relationship Type="http://schemas.openxmlformats.org/officeDocument/2006/relationships/hyperlink" Target="https://www.sebi.gov.in/filings/public-issues/apr-2014/gmr-energy-limited_26621.html" TargetMode="External" Id="rId3350" /><Relationship Type="http://schemas.openxmlformats.org/officeDocument/2006/relationships/hyperlink" Target="https://www.business-standard.com/article/markets/gmr-energy-withdraws-ipo-plan-114042800898_1.html" TargetMode="External" Id="rId3351" /><Relationship Type="http://schemas.openxmlformats.org/officeDocument/2006/relationships/hyperlink" Target="https://www.sebi.gov.in/sebi_data/attachdocs/1392372031230.pdf" TargetMode="External" Id="rId3352" /><Relationship Type="http://schemas.openxmlformats.org/officeDocument/2006/relationships/hyperlink" Target="https://www.sebi.gov.in/filings/public-issues/feb-2014/sharda-cropchem-limited_26296.html" TargetMode="External" Id="rId3353" /><Relationship Type="http://schemas.openxmlformats.org/officeDocument/2006/relationships/hyperlink" Target="https://www.sebi.gov.in/sebi_data/attachdocs/1379395353546.pdf" TargetMode="External" Id="rId3354" /><Relationship Type="http://schemas.openxmlformats.org/officeDocument/2006/relationships/hyperlink" Target="https://www.sebi.gov.in/filings/public-issues/sep-2013/great-eastern-energy-corporation-limited_25384.html" TargetMode="External" Id="rId3355" /><Relationship Type="http://schemas.openxmlformats.org/officeDocument/2006/relationships/hyperlink" Target="https://www.business-standard.com/markets/ipo/great-eastern-energy-corporation-ltd-ipo-18693" TargetMode="External" Id="rId3356" /><Relationship Type="http://schemas.openxmlformats.org/officeDocument/2006/relationships/hyperlink" Target="https://www.sebi.gov.in/sebi_data/attachdocs/1378197720977.pdf" TargetMode="External" Id="rId3357" /><Relationship Type="http://schemas.openxmlformats.org/officeDocument/2006/relationships/hyperlink" Target="https://www.sebi.gov.in/filings/public-issues/aug-2013/snowman-logistics-ltd_25267.html" TargetMode="External" Id="rId3358" /><Relationship Type="http://schemas.openxmlformats.org/officeDocument/2006/relationships/hyperlink" Target="https://www.sebi.gov.in/sebi_data/attachdocs/1375267145200.pdf" TargetMode="External" Id="rId3359" /><Relationship Type="http://schemas.openxmlformats.org/officeDocument/2006/relationships/hyperlink" Target="https://www.sebi.gov.in/filings/public-issues/jul-2013/trimax-it-infrastructure-and-services-limited_25127.html" TargetMode="External" Id="rId3360" /><Relationship Type="http://schemas.openxmlformats.org/officeDocument/2006/relationships/hyperlink" Target="https://www.business-standard.com/amp/article/companies/trimax-it-infrastructure-plans-ipo-files-drhp-with-sebi-113073100640_1.html" TargetMode="External" Id="rId3361" /><Relationship Type="http://schemas.openxmlformats.org/officeDocument/2006/relationships/hyperlink" Target="https://www.sebi.gov.in/sebi_data/attachdocs/1373627733665.pdf" TargetMode="External" Id="rId3362" /><Relationship Type="http://schemas.openxmlformats.org/officeDocument/2006/relationships/hyperlink" Target="https://www.sebi.gov.in/filings/public-issues/jul-2013/engineers-india-limited_25041.html" TargetMode="External" Id="rId3363" /><Relationship Type="http://schemas.openxmlformats.org/officeDocument/2006/relationships/hyperlink" Target="https://www.sebi.gov.in/sebi_data/attachdocs/1373367772824.pdf" TargetMode="External" Id="rId3364" /><Relationship Type="http://schemas.openxmlformats.org/officeDocument/2006/relationships/hyperlink" Target="https://www.sebi.gov.in/filings/public-issues/jul-2013/shemaroo-entertainment-limited_25025.html" TargetMode="External" Id="rId3365" /><Relationship Type="http://schemas.openxmlformats.org/officeDocument/2006/relationships/hyperlink" Target="https://www.sebi.gov.in/sebi_data/attachdocs/1373281698531.pdf" TargetMode="External" Id="rId3366" /><Relationship Type="http://schemas.openxmlformats.org/officeDocument/2006/relationships/hyperlink" Target="https://www.sebi.gov.in/filings/public-issues/jul-2013/inox-wind-limited_25016.html" TargetMode="External" Id="rId3367" /><Relationship Type="http://schemas.openxmlformats.org/officeDocument/2006/relationships/hyperlink" Target="https://www.sebi.gov.in/sebi_data/attachdocs/1372843761083.pdf" TargetMode="External" Id="rId3368" /><Relationship Type="http://schemas.openxmlformats.org/officeDocument/2006/relationships/hyperlink" Target="https://www.sebi.gov.in/filings/public-issues/jul-2013/sundaram-clayton-limited_24999.html" TargetMode="External" Id="rId3369" /><Relationship Type="http://schemas.openxmlformats.org/officeDocument/2006/relationships/hyperlink" Target="https://www.sebi.gov.in/sebi_data/attachdocs/1371035252517.pdf" TargetMode="External" Id="rId3370" /><Relationship Type="http://schemas.openxmlformats.org/officeDocument/2006/relationships/hyperlink" Target="https://www.sebi.gov.in/sebi_data/attachdocs/1372676629625.pdf" TargetMode="External" Id="rId3371" /><Relationship Type="http://schemas.openxmlformats.org/officeDocument/2006/relationships/hyperlink" Target="https://www.sebi.gov.in/filings/public-issues/jul-2013/emcure-pharmaceuticals-limited_24977.html" TargetMode="External" Id="rId3372" /><Relationship Type="http://schemas.openxmlformats.org/officeDocument/2006/relationships/hyperlink" Target="https://www.chittorgarh.com/ipo/emcure-pharma-ipo/1766/" TargetMode="External" Id="rId3373" /><Relationship Type="http://schemas.openxmlformats.org/officeDocument/2006/relationships/hyperlink" Target="https://www.sebi.gov.in/sebi_data/attachdocs/1372055999819.pdf" TargetMode="External" Id="rId3374" /><Relationship Type="http://schemas.openxmlformats.org/officeDocument/2006/relationships/hyperlink" Target="https://www.sebi.gov.in/filings/public-issues/jun-2013/acb-india-limited_24934.html" TargetMode="External" Id="rId3375" /><Relationship Type="http://schemas.openxmlformats.org/officeDocument/2006/relationships/hyperlink" Target="https://www.business-standard.com/markets/ipo/acb-india-ltd-ipo-34883" TargetMode="External" Id="rId3376" /><Relationship Type="http://schemas.openxmlformats.org/officeDocument/2006/relationships/hyperlink" Target="https://www.sebi.gov.in/sebi_data/attachdocs/1371534868962.pdf" TargetMode="External" Id="rId3377" /><Relationship Type="http://schemas.openxmlformats.org/officeDocument/2006/relationships/hyperlink" Target="https://www.sebi.gov.in/filings/public-issues/jun-2013/intas-pharmaceuticals-limited_24908.html" TargetMode="External" Id="rId3378" /><Relationship Type="http://schemas.openxmlformats.org/officeDocument/2006/relationships/hyperlink" Target="https://www.business-standard.com/markets/ipo/intas-pharmaceuticals-ltd-ipo-19969" TargetMode="External" Id="rId3379" /><Relationship Type="http://schemas.openxmlformats.org/officeDocument/2006/relationships/hyperlink" Target="https://www.sebi.gov.in/sebi_data/attachdocs/1368786390318.pdf" TargetMode="External" Id="rId3380" /><Relationship Type="http://schemas.openxmlformats.org/officeDocument/2006/relationships/hyperlink" Target="https://www.sebi.gov.in/filings/public-issues/may-2013/state-bank-of-mysore_24781.html" TargetMode="External" Id="rId3381" /><Relationship Type="http://schemas.openxmlformats.org/officeDocument/2006/relationships/hyperlink" Target="https://www.sebi.gov.in/sebi_data/attachdocs/1370593788801.pdf" TargetMode="External" Id="rId3382" /><Relationship Type="http://schemas.openxmlformats.org/officeDocument/2006/relationships/hyperlink" Target="https://www.sebi.gov.in/sebi_data/attachdocs/1367904996093.pdf" TargetMode="External" Id="rId3383" /><Relationship Type="http://schemas.openxmlformats.org/officeDocument/2006/relationships/hyperlink" Target="https://www.sebi.gov.in/filings/public-issues/may-2013/dlf-limited_24712.html" TargetMode="External" Id="rId3384" /><Relationship Type="http://schemas.openxmlformats.org/officeDocument/2006/relationships/hyperlink" Target="https://www.chittorgarh.com/ipo/dlf_ipo/86/" TargetMode="External" Id="rId3385" /><Relationship Type="http://schemas.openxmlformats.org/officeDocument/2006/relationships/hyperlink" Target="https://www.sebi.gov.in/sebi_data/attachdocs/1367985961896.pdf" TargetMode="External" Id="rId3386" /><Relationship Type="http://schemas.openxmlformats.org/officeDocument/2006/relationships/hyperlink" Target="https://www.sebi.gov.in/filings/public-issues/may-2013/fortis-healthcare-limited_24722.html" TargetMode="External" Id="rId3387" /><Relationship Type="http://schemas.openxmlformats.org/officeDocument/2006/relationships/hyperlink" Target="https://www.chittorgarh.com/ipo/x/76/" TargetMode="External" Id="rId3388" /><Relationship Type="http://schemas.openxmlformats.org/officeDocument/2006/relationships/hyperlink" Target="https://www.sebi.gov.in/sebi_data/attachdocs/1366268567671.pdf" TargetMode="External" Id="rId3389" /><Relationship Type="http://schemas.openxmlformats.org/officeDocument/2006/relationships/hyperlink" Target="https://www.sebi.gov.in/filings/public-issues/apr-2013/wonderla-holidays-limited_24637.html" TargetMode="External" Id="rId3390" /><Relationship Type="http://schemas.openxmlformats.org/officeDocument/2006/relationships/hyperlink" Target="https://www.sebi.gov.in/sebi_data/attachdocs/1364893351986.pdf" TargetMode="External" Id="rId3391" /><Relationship Type="http://schemas.openxmlformats.org/officeDocument/2006/relationships/hyperlink" Target="https://www.sebi.gov.in/filings/public-issues/apr-2013/advanced-enzyme-technologies-limited_24561.html" TargetMode="External" Id="rId3392" /><Relationship Type="http://schemas.openxmlformats.org/officeDocument/2006/relationships/hyperlink" Target="https://www.chittorgarh.com/ipo/advanced_enzyme_ipo/560/" TargetMode="External" Id="rId3393" /><Relationship Type="http://schemas.openxmlformats.org/officeDocument/2006/relationships/hyperlink" Target="https://www.sebi.gov.in/sebi_data/attachdocs/1364794031230.pdf" TargetMode="External" Id="rId3394" /><Relationship Type="http://schemas.openxmlformats.org/officeDocument/2006/relationships/hyperlink" Target="https://www.sebi.gov.in/filings/public-issues/apr-2013/ncml-industries-limited_24542.html" TargetMode="External" Id="rId3395" /><Relationship Type="http://schemas.openxmlformats.org/officeDocument/2006/relationships/hyperlink" Target="https://www.chittorgarh.com/ipo/ncml_industries_ipo/451/" TargetMode="External" Id="rId3396" /><Relationship Type="http://schemas.openxmlformats.org/officeDocument/2006/relationships/hyperlink" Target="https://www.sebi.gov.in/sebi_data/attachdocs/1364455619593.pdf" TargetMode="External" Id="rId3397" /><Relationship Type="http://schemas.openxmlformats.org/officeDocument/2006/relationships/hyperlink" Target="https://www.sebi.gov.in/filings/public-issues/mar-2013/aastha-minmet-india-limited_24525.html" TargetMode="External" Id="rId3398" /><Relationship Type="http://schemas.openxmlformats.org/officeDocument/2006/relationships/hyperlink" Target="https://www.sebi.gov.in/sebi_data/attachdocs/1362981537666.pdf" TargetMode="External" Id="rId3399" /><Relationship Type="http://schemas.openxmlformats.org/officeDocument/2006/relationships/hyperlink" Target="https://www.sebi.gov.in/filings/public-issues/mar-2013/jyoti-cnc-automation-ltd_24427.html" TargetMode="External" Id="rId3400" /><Relationship Type="http://schemas.openxmlformats.org/officeDocument/2006/relationships/hyperlink" Target="https://www.chittorgarh.com/ipo/jyoti-cnc-automation-ipo/1611/" TargetMode="External" Id="rId3401" /><Relationship Type="http://schemas.openxmlformats.org/officeDocument/2006/relationships/hyperlink" Target="https://www.sebi.gov.in/sebi_data/attachdocs/1362648383849.pdf" TargetMode="External" Id="rId3402" /><Relationship Type="http://schemas.openxmlformats.org/officeDocument/2006/relationships/hyperlink" Target="https://www.sebi.gov.in/filings/public-issues/mar-2013/bscpl-infrastructure-limited_24411.html" TargetMode="External" Id="rId3403" /><Relationship Type="http://schemas.openxmlformats.org/officeDocument/2006/relationships/hyperlink" Target="https://www.zaubacorp.com/BSCPL-INFRASTRUCTURE-LIMITED-U45203TG1998PLC029154" TargetMode="External" Id="rId3404" /><Relationship Type="http://schemas.openxmlformats.org/officeDocument/2006/relationships/hyperlink" Target="https://www.sebi.gov.in/sebi_data/attachdocs/1360668712242.pdf" TargetMode="External" Id="rId3405" /><Relationship Type="http://schemas.openxmlformats.org/officeDocument/2006/relationships/hyperlink" Target="https://www.sebi.gov.in/filings/public-issues/jan-2013/ortel-communications-limited_24237.html" TargetMode="External" Id="rId3406" /><Relationship Type="http://schemas.openxmlformats.org/officeDocument/2006/relationships/hyperlink" Target="https://www.chittorgarh.com/ipo/ortel_communications_ipo/455/" TargetMode="External" Id="rId3407" /><Relationship Type="http://schemas.openxmlformats.org/officeDocument/2006/relationships/hyperlink" Target="https://www.sebi.gov.in/sebi_data/attachdocs/1356001396781.pdf" TargetMode="External" Id="rId3408" /><Relationship Type="http://schemas.openxmlformats.org/officeDocument/2006/relationships/hyperlink" Target="https://www.sebi.gov.in/filings/public-issues/dec-2012/loha-ispaat-limited_23996.html" TargetMode="External" Id="rId3409" /><Relationship Type="http://schemas.openxmlformats.org/officeDocument/2006/relationships/hyperlink" Target="https://www.chittorgarh.com/ipo/loha_ispaat_ipo/413/" TargetMode="External" Id="rId3410" /><Relationship Type="http://schemas.openxmlformats.org/officeDocument/2006/relationships/hyperlink" Target="https://www.sebi.gov.in/sebi_data/attachdocs/1355742612093.pdf" TargetMode="External" Id="rId3411" /><Relationship Type="http://schemas.openxmlformats.org/officeDocument/2006/relationships/hyperlink" Target="https://www.sebi.gov.in/filings/public-issues/dec-2012/bharat-business-channel-limited_23965.html" TargetMode="External" Id="rId3412" /><Relationship Type="http://schemas.openxmlformats.org/officeDocument/2006/relationships/hyperlink" Target="https://www.sebi.gov.in/sebi_data/attachdocs/1354170859938.pdf" TargetMode="External" Id="rId3413" /><Relationship Type="http://schemas.openxmlformats.org/officeDocument/2006/relationships/hyperlink" Target="https://www.sebi.gov.in/filings/public-issues/nov-2012/madhya-bharat-agro-products-ltd_23853.html" TargetMode="External" Id="rId3414" /><Relationship Type="http://schemas.openxmlformats.org/officeDocument/2006/relationships/hyperlink" Target="https://www.business-standard.com/markets/ipo/madhya-bharat-agro-products-ltd-ipo-41290" TargetMode="External" Id="rId3415" /><Relationship Type="http://schemas.openxmlformats.org/officeDocument/2006/relationships/hyperlink" Target="https://www.sebi.gov.in/sebi_data/attachdocs/1351830030783.pdf" TargetMode="External" Id="rId3416" /><Relationship Type="http://schemas.openxmlformats.org/officeDocument/2006/relationships/hyperlink" Target="https://www.sebi.gov.in/filings/public-issues/nov-2012/smc-global-securities-limited_23694.html" TargetMode="External" Id="rId3417" /><Relationship Type="http://schemas.openxmlformats.org/officeDocument/2006/relationships/hyperlink" Target="https://www.business-standard.com/markets/ipo/smc-global-securities-ltd-ipo-6691" TargetMode="External" Id="rId3418" /><Relationship Type="http://schemas.openxmlformats.org/officeDocument/2006/relationships/hyperlink" Target="https://www.sebi.gov.in/sebi_data/attachdocs/1350038027092.pdf" TargetMode="External" Id="rId3419" /><Relationship Type="http://schemas.openxmlformats.org/officeDocument/2006/relationships/hyperlink" Target="https://www.sebi.gov.in/filings/public-issues/oct-2012/madhya-bharat-agro-products-ltd_23622.html" TargetMode="External" Id="rId3420" /><Relationship Type="http://schemas.openxmlformats.org/officeDocument/2006/relationships/hyperlink" Target="https://www.business-standard.com/markets/ipo/madhya-bharat-agro-products-ltd-ipo-41290" TargetMode="External" Id="rId3421" /><Relationship Type="http://schemas.openxmlformats.org/officeDocument/2006/relationships/hyperlink" Target="https://www.sebi.gov.in/sebi_data/attachdocs/1349088699140.pdf" TargetMode="External" Id="rId3422" /><Relationship Type="http://schemas.openxmlformats.org/officeDocument/2006/relationships/hyperlink" Target="https://www.sebi.gov.in/filings/public-issues/oct-2012/calyx-chemicals-and-pharmaceuticals-limited_23530.html" TargetMode="External" Id="rId3423" /><Relationship Type="http://schemas.openxmlformats.org/officeDocument/2006/relationships/hyperlink" Target="https://www.business-standard.com/markets/ipo/calyx-chemicals-pharmaceuticals-ltd-ipo-27877" TargetMode="External" Id="rId3424" /><Relationship Type="http://schemas.openxmlformats.org/officeDocument/2006/relationships/hyperlink" Target="https://www.sebi.gov.in/sebi_data/attachdocs/1347880678654.pdf" TargetMode="External" Id="rId3425" /><Relationship Type="http://schemas.openxmlformats.org/officeDocument/2006/relationships/hyperlink" Target="https://www.sebi.gov.in/filings/public-issues/sep-2012/bharti-infratel-limited_23458.html" TargetMode="External" Id="rId3426" /><Relationship Type="http://schemas.openxmlformats.org/officeDocument/2006/relationships/hyperlink" Target="https://www.sebi.gov.in/sebi_data/attachdocs/1347359177735.pdf" TargetMode="External" Id="rId3427" /><Relationship Type="http://schemas.openxmlformats.org/officeDocument/2006/relationships/hyperlink" Target="https://www.sebi.gov.in/filings/public-issues/sep-2012/g-b-tools-and-forgings-limited_23418.html" TargetMode="External" Id="rId3428" /><Relationship Type="http://schemas.openxmlformats.org/officeDocument/2006/relationships/hyperlink" Target="https://www.business-standard.com/markets/ipo/g-b-tools-forgings-ltd-ipo-42783" TargetMode="External" Id="rId3429" /><Relationship Type="http://schemas.openxmlformats.org/officeDocument/2006/relationships/hyperlink" Target="https://www.sebi.gov.in/sebi_data/attachdocs/1345542838751.pdf" TargetMode="External" Id="rId3430" /><Relationship Type="http://schemas.openxmlformats.org/officeDocument/2006/relationships/hyperlink" Target="https://www.sebi.gov.in/filings/public-issues/aug-2012/just-dial-limited_23271.html" TargetMode="External" Id="rId3431" /><Relationship Type="http://schemas.openxmlformats.org/officeDocument/2006/relationships/hyperlink" Target="https://www.sebi.gov.in/sebi_data/attachdocs/1343212300941.pdf" TargetMode="External" Id="rId3432" /><Relationship Type="http://schemas.openxmlformats.org/officeDocument/2006/relationships/hyperlink" Target="https://www.sebi.gov.in/filings/public-issues/jul-2012/godrej-industries-limited_23149.html" TargetMode="External" Id="rId3433" /><Relationship Type="http://schemas.openxmlformats.org/officeDocument/2006/relationships/hyperlink" Target="https://www.sebi.gov.in/sebi_data/attachdocs/1343712297883.pdf" TargetMode="External" Id="rId3434" /><Relationship Type="http://schemas.openxmlformats.org/officeDocument/2006/relationships/hyperlink" Target="https://www.sebi.gov.in/sebi_data/attachdocs/1343041803906.pdf" TargetMode="External" Id="rId3435" /><Relationship Type="http://schemas.openxmlformats.org/officeDocument/2006/relationships/hyperlink" Target="https://www.sebi.gov.in/filings/public-issues/jul-2012/v-mart-retail-limited_23129.html" TargetMode="External" Id="rId3436" /><Relationship Type="http://schemas.openxmlformats.org/officeDocument/2006/relationships/hyperlink" Target="https://www.sebi.gov.in/sebi_data/attachdocs/1337338940901.pdf" TargetMode="External" Id="rId3437" /><Relationship Type="http://schemas.openxmlformats.org/officeDocument/2006/relationships/hyperlink" Target="https://www.sebi.gov.in/filings/public-issues/may-2012/rashtriya-ispat-nigam-limited_22798.html" TargetMode="External" Id="rId3438" /><Relationship Type="http://schemas.openxmlformats.org/officeDocument/2006/relationships/hyperlink" Target="https://www.business-standard.com/markets/ipo/rashtriya-ispat-nigam-ltd-ipo-12212" TargetMode="External" Id="rId3439" /><Relationship Type="http://schemas.openxmlformats.org/officeDocument/2006/relationships/hyperlink" Target="https://www.sebi.gov.in/sebi_data/attachdocs/1336535597422.pdf" TargetMode="External" Id="rId3440" /><Relationship Type="http://schemas.openxmlformats.org/officeDocument/2006/relationships/hyperlink" Target="https://www.sebi.gov.in/filings/public-issues/may-2012/goodwill-hospital-and-research-centre-limited_22710.html" TargetMode="External" Id="rId3441" /><Relationship Type="http://schemas.openxmlformats.org/officeDocument/2006/relationships/hyperlink" Target="https://www.business-standard.com/markets/ipo/goodwill-hospital-research-centre-ltd-ipo-40565" TargetMode="External" Id="rId3442" /><Relationship Type="http://schemas.openxmlformats.org/officeDocument/2006/relationships/hyperlink" Target="https://www.sebi.gov.in/sebi_data/attachdocs/1336381880333.pdf" TargetMode="External" Id="rId3443" /><Relationship Type="http://schemas.openxmlformats.org/officeDocument/2006/relationships/hyperlink" Target="https://www.sebi.gov.in/filings/public-issues/may-2012/fast-train-cargo-limited_22694.html" TargetMode="External" Id="rId3444" /><Relationship Type="http://schemas.openxmlformats.org/officeDocument/2006/relationships/hyperlink" Target="https://www.business-standard.com/markets/ipo/fast-train-cargo-ltd-ipo-42438" TargetMode="External" Id="rId3445" /><Relationship Type="http://schemas.openxmlformats.org/officeDocument/2006/relationships/hyperlink" Target="https://www.sebi.gov.in/sebi_data/attachdocs/1334297385746.pdf" TargetMode="External" Id="rId3446" /><Relationship Type="http://schemas.openxmlformats.org/officeDocument/2006/relationships/hyperlink" Target="https://www.sebi.gov.in/filings/public-issues/apr-2012/ace-tours-worldwide-limited_22551.html" TargetMode="External" Id="rId3447" /><Relationship Type="http://schemas.openxmlformats.org/officeDocument/2006/relationships/hyperlink" Target="https://www.sebi.gov.in/sebi_data/attachdocs/1333446031669.pdf" TargetMode="External" Id="rId3448" /><Relationship Type="http://schemas.openxmlformats.org/officeDocument/2006/relationships/hyperlink" Target="https://www.sebi.gov.in/filings/public-issues/apr-2012/tristar-retail-limited_22485.html" TargetMode="External" Id="rId3449" /><Relationship Type="http://schemas.openxmlformats.org/officeDocument/2006/relationships/hyperlink" Target="https://www.business-standard.com/markets/ipo/tristar-retail-ltd-ipo-42282" TargetMode="External" Id="rId3450" /><Relationship Type="http://schemas.openxmlformats.org/officeDocument/2006/relationships/hyperlink" Target="https://www.sebi.gov.in/sebi_data/attachdocs/1333364667713.pdf" TargetMode="External" Id="rId3451" /><Relationship Type="http://schemas.openxmlformats.org/officeDocument/2006/relationships/hyperlink" Target="https://www.sebi.gov.in/filings/public-issues/apr-2012/c-mahendra-infojewels-limited_22478.html" TargetMode="External" Id="rId3452" /><Relationship Type="http://schemas.openxmlformats.org/officeDocument/2006/relationships/hyperlink" Target="https://www.sebi.gov.in/sebi_data/commondocs/feb-2020/Issues%20Obs%20Issued%2031012020_p.pdf" TargetMode="External" Id="rId3453" /><Relationship Type="http://schemas.openxmlformats.org/officeDocument/2006/relationships/hyperlink" Target="https://www.sebi.gov.in/sebi_data/attachdocs/1332242504174.pdf" TargetMode="External" Id="rId3454" /><Relationship Type="http://schemas.openxmlformats.org/officeDocument/2006/relationships/hyperlink" Target="https://www.sebi.gov.in/filings/public-issues/mar-2012/godrej-properties-limited_22370.html" TargetMode="External" Id="rId3455" /><Relationship Type="http://schemas.openxmlformats.org/officeDocument/2006/relationships/hyperlink" Target="https://www.business-standard.com/markets/ipo/godrej-properties-ltd-ipo-15613" TargetMode="External" Id="rId3456" /><Relationship Type="http://schemas.openxmlformats.org/officeDocument/2006/relationships/hyperlink" Target="https://www.sebi.gov.in/sebi_data/attachdocs/1331787517047.pdf" TargetMode="External" Id="rId3457" /><Relationship Type="http://schemas.openxmlformats.org/officeDocument/2006/relationships/hyperlink" Target="https://www.sebi.gov.in/filings/public-issues/mar-2012/harisons-steel-limited_22334.html" TargetMode="External" Id="rId3458" /><Relationship Type="http://schemas.openxmlformats.org/officeDocument/2006/relationships/hyperlink" Target="https://www.business-standard.com/markets/ipo/harisons-steel-ltd-ipo-40048" TargetMode="External" Id="rId3459" /><Relationship Type="http://schemas.openxmlformats.org/officeDocument/2006/relationships/hyperlink" Target="https://www.sebi.gov.in/sebi_data/attachdocs/1331551783869.pdf" TargetMode="External" Id="rId3460" /><Relationship Type="http://schemas.openxmlformats.org/officeDocument/2006/relationships/hyperlink" Target="https://www.sebi.gov.in/filings/public-issues/mar-2012/r-k-infratel-limited_22325.html" TargetMode="External" Id="rId3461" /><Relationship Type="http://schemas.openxmlformats.org/officeDocument/2006/relationships/hyperlink" Target="https://www.business-standard.com/markets/ipo/r-k-infratel-ltd-ipo-42138" TargetMode="External" Id="rId3462" /><Relationship Type="http://schemas.openxmlformats.org/officeDocument/2006/relationships/hyperlink" Target="https://www.sebi.gov.in/sebi_data/attachdocs/1331289706300.pdf" TargetMode="External" Id="rId3463" /><Relationship Type="http://schemas.openxmlformats.org/officeDocument/2006/relationships/hyperlink" Target="https://www.sebi.gov.in/filings/public-issues/mar-2012/uic-udyog-limited_22318.html" TargetMode="External" Id="rId3464" /><Relationship Type="http://schemas.openxmlformats.org/officeDocument/2006/relationships/hyperlink" Target="https://www.business-standard.com/markets/ipo/uic-udyog-ltd-ipo-25004" TargetMode="External" Id="rId3465" /><Relationship Type="http://schemas.openxmlformats.org/officeDocument/2006/relationships/hyperlink" Target="https://www.sebi.gov.in/sebi_data/attachdocs/1329451755471.pdf" TargetMode="External" Id="rId3466" /><Relationship Type="http://schemas.openxmlformats.org/officeDocument/2006/relationships/hyperlink" Target="https://www.sebi.gov.in/filings/public-issues/feb-2012/altret-biotech-limited_22153.html" TargetMode="External" Id="rId3467" /><Relationship Type="http://schemas.openxmlformats.org/officeDocument/2006/relationships/hyperlink" Target="https://www.zaubacorp.com/ALTRET-BIO-TECH-LIMITED-U02429GJ2006PLC049007" TargetMode="External" Id="rId3468" /><Relationship Type="http://schemas.openxmlformats.org/officeDocument/2006/relationships/hyperlink" Target="https://www.sebi.gov.in/sebi_data/attachdocs/1328784165737.pdf" TargetMode="External" Id="rId3469" /><Relationship Type="http://schemas.openxmlformats.org/officeDocument/2006/relationships/hyperlink" Target="https://www.sebi.gov.in/filings/public-issues/feb-2012/national-buildings-construction-corporation-limited_22132.html" TargetMode="External" Id="rId3470" /><Relationship Type="http://schemas.openxmlformats.org/officeDocument/2006/relationships/hyperlink" Target="https://www.sebi.gov.in/sebi_data/attachdocs/1328590834735.pdf" TargetMode="External" Id="rId3471" /><Relationship Type="http://schemas.openxmlformats.org/officeDocument/2006/relationships/hyperlink" Target="https://www.sebi.gov.in/filings/public-issues/feb-2012/usher-eco-power-limited_22119.html" TargetMode="External" Id="rId3472" /><Relationship Type="http://schemas.openxmlformats.org/officeDocument/2006/relationships/hyperlink" Target="https://www.business-standard.com/markets/ipo/usher-eco-power-ltd-ipo-30366" TargetMode="External" Id="rId3473" /><Relationship Type="http://schemas.openxmlformats.org/officeDocument/2006/relationships/hyperlink" Target="https://www.sebi.gov.in/sebi_data/attachdocs/1326955696177.pdf" TargetMode="External" Id="rId3474" /><Relationship Type="http://schemas.openxmlformats.org/officeDocument/2006/relationships/hyperlink" Target="https://www.sebi.gov.in/filings/public-issues/jan-2012/hindusthaan-eco-ventures-limited_21995.html" TargetMode="External" Id="rId3475" /><Relationship Type="http://schemas.openxmlformats.org/officeDocument/2006/relationships/hyperlink" Target="https://www.zaubacorp.com/company/HINDUSTHAAN-ECO-VENTURES-LIMITED/U01211TN1990PLC019148" TargetMode="External" Id="rId3476" /><Relationship Type="http://schemas.openxmlformats.org/officeDocument/2006/relationships/hyperlink" Target="https://www.sebi.gov.in/sebi_data/attachdocs/1325674926615.pdf" TargetMode="External" Id="rId3477" /><Relationship Type="http://schemas.openxmlformats.org/officeDocument/2006/relationships/hyperlink" Target="https://www.sebi.gov.in/filings/public-issues/jan-2012/tara-jewels-limited_21911.html" TargetMode="External" Id="rId3478" /><Relationship Type="http://schemas.openxmlformats.org/officeDocument/2006/relationships/hyperlink" Target="https://www.chittorgarh.com/ipo/tara_jewels_ipo/356/" TargetMode="External" Id="rId3479" /><Relationship Type="http://schemas.openxmlformats.org/officeDocument/2006/relationships/hyperlink" Target="https://www.sebi.gov.in/sebi_data/attachdocs/1325579874563.pdf" TargetMode="External" Id="rId3480" /><Relationship Type="http://schemas.openxmlformats.org/officeDocument/2006/relationships/hyperlink" Target="https://www.sebi.gov.in/filings/public-issues/jan-2012/vishwanath-sugar-and-steel-industries-limited_21902.html" TargetMode="External" Id="rId3481" /><Relationship Type="http://schemas.openxmlformats.org/officeDocument/2006/relationships/hyperlink" Target="https://www.business-standard.com/markets/ipo/vishwanath-sugar-steel-industries-ltd-ipo-39010" TargetMode="External" Id="rId3482" /><Relationship Type="http://schemas.openxmlformats.org/officeDocument/2006/relationships/hyperlink" Target="https://www.sebi.gov.in/sebi_data/attachdocs/1325060224010.pdf" TargetMode="External" Id="rId3483" /><Relationship Type="http://schemas.openxmlformats.org/officeDocument/2006/relationships/hyperlink" Target="https://www.sebi.gov.in/filings/public-issues/dec-2011/preludesys-india-limited_21863.html" TargetMode="External" Id="rId3484" /><Relationship Type="http://schemas.openxmlformats.org/officeDocument/2006/relationships/hyperlink" Target="https://www.business-standard.com/markets/ipo/preludesys-india-ltd-ipo-41569" TargetMode="External" Id="rId3485" /><Relationship Type="http://schemas.openxmlformats.org/officeDocument/2006/relationships/hyperlink" Target="https://www.sebi.gov.in/sebi_data/attachdocs/1324545732574.pdf" TargetMode="External" Id="rId3486" /><Relationship Type="http://schemas.openxmlformats.org/officeDocument/2006/relationships/hyperlink" Target="https://www.sebi.gov.in/filings/public-issues/dec-2011/corrigendum-to-a-team-edutech-limited_21789.html" TargetMode="External" Id="rId3487" /><Relationship Type="http://schemas.openxmlformats.org/officeDocument/2006/relationships/hyperlink" Target="https://www.sebi.gov.in/sebi_data/commondocs/feb-2020/Issues%20Obs%20Issued%2031012020_p.pdf" TargetMode="External" Id="rId3488" /><Relationship Type="http://schemas.openxmlformats.org/officeDocument/2006/relationships/hyperlink" Target="https://www.sebi.gov.in/sebi_data/attachdocs/1324467081525.pdf" TargetMode="External" Id="rId3489" /><Relationship Type="http://schemas.openxmlformats.org/officeDocument/2006/relationships/hyperlink" Target="https://www.sebi.gov.in/filings/public-issues/dec-2011/bluplast-industries-limited_21782.html" TargetMode="External" Id="rId3490" /><Relationship Type="http://schemas.openxmlformats.org/officeDocument/2006/relationships/hyperlink" Target="https://www.business-standard.com/markets/ipo/bluplast-industries-ltd-ipo-27270" TargetMode="External" Id="rId3491" /><Relationship Type="http://schemas.openxmlformats.org/officeDocument/2006/relationships/hyperlink" Target="https://www.sebi.gov.in/sebi_data/attachdocs/1324462729726.pdf" TargetMode="External" Id="rId3492" /><Relationship Type="http://schemas.openxmlformats.org/officeDocument/2006/relationships/hyperlink" Target="https://www.sebi.gov.in/filings/public-issues/dec-2011/maiam-global-foods-limited_21777.html" TargetMode="External" Id="rId3493" /><Relationship Type="http://schemas.openxmlformats.org/officeDocument/2006/relationships/hyperlink" Target="https://www.tofler.in/maiam-global-foods-limited/company/U15313TN2004PLC054801" TargetMode="External" Id="rId3494" /><Relationship Type="http://schemas.openxmlformats.org/officeDocument/2006/relationships/hyperlink" Target="https://www.sebi.gov.in/sebi_data/attachdocs/1323687097296.pdf" TargetMode="External" Id="rId3495" /><Relationship Type="http://schemas.openxmlformats.org/officeDocument/2006/relationships/hyperlink" Target="https://www.sebi.gov.in/filings/public-issues/dec-2011/e-zest-solutions-limited_21697.html" TargetMode="External" Id="rId3496" /><Relationship Type="http://schemas.openxmlformats.org/officeDocument/2006/relationships/hyperlink" Target="https://www.siliconindia.com/finance/IPO/EZest-Solutions-nid-73.html" TargetMode="External" Id="rId3497" /><Relationship Type="http://schemas.openxmlformats.org/officeDocument/2006/relationships/hyperlink" Target="https://www.sebi.gov.in/sebi_data/attachdocs/1321610957169.pdf" TargetMode="External" Id="rId3498" /><Relationship Type="http://schemas.openxmlformats.org/officeDocument/2006/relationships/hyperlink" Target="https://www.sebi.gov.in/filings/public-issues/nov-2011/e-zest-solutions-limited_21123.html" TargetMode="External" Id="rId3499" /><Relationship Type="http://schemas.openxmlformats.org/officeDocument/2006/relationships/hyperlink" Target="https://www.siliconindia.com/finance/IPO/EZest-Solutions-nid-73.html" TargetMode="External" Id="rId3500" /><Relationship Type="http://schemas.openxmlformats.org/officeDocument/2006/relationships/hyperlink" Target="https://www.sebi.gov.in/sebi_data/attachdocs/1321508400243.pdf" TargetMode="External" Id="rId3501" /><Relationship Type="http://schemas.openxmlformats.org/officeDocument/2006/relationships/hyperlink" Target="https://www.sebi.gov.in/filings/public-issues/nov-2011/katha-mediatix-india-limited_21082.html" TargetMode="External" Id="rId3502" /><Relationship Type="http://schemas.openxmlformats.org/officeDocument/2006/relationships/hyperlink" Target="https://www.business-standard.com/markets/ipo/katha-mediatix-india-ltd-ipo-41474" TargetMode="External" Id="rId3503" /><Relationship Type="http://schemas.openxmlformats.org/officeDocument/2006/relationships/hyperlink" Target="https://www.sebi.gov.in/sebi_data/attachdocs/1320751866668.pdf" TargetMode="External" Id="rId3504" /><Relationship Type="http://schemas.openxmlformats.org/officeDocument/2006/relationships/hyperlink" Target="https://www.sebi.gov.in/filings/public-issues/nov-2011/a-team-edutech-limited_21010.html" TargetMode="External" Id="rId3505" /><Relationship Type="http://schemas.openxmlformats.org/officeDocument/2006/relationships/hyperlink" Target="https://www.sebi.gov.in/sebi_data/commondocs/feb-2020/Issues%20Obs%20Issued%2031012020_p.pdf" TargetMode="External" Id="rId3506" /><Relationship Type="http://schemas.openxmlformats.org/officeDocument/2006/relationships/hyperlink" Target="https://www.sebi.gov.in/sebi_data/attachdocs/1320146746368.pdf" TargetMode="External" Id="rId3507" /><Relationship Type="http://schemas.openxmlformats.org/officeDocument/2006/relationships/hyperlink" Target="https://www.sebi.gov.in/filings/public-issues/nov-2011/varahi-limited_20993.html" TargetMode="External" Id="rId3508" /><Relationship Type="http://schemas.openxmlformats.org/officeDocument/2006/relationships/hyperlink" Target="https://www.business-standard.com/markets/ipo/varahi-ltd-ipo-34603" TargetMode="External" Id="rId3509" /><Relationship Type="http://schemas.openxmlformats.org/officeDocument/2006/relationships/hyperlink" Target="https://www.sebi.gov.in/sebi_data/attachdocs/1317804515879.pdf" TargetMode="External" Id="rId3510" /><Relationship Type="http://schemas.openxmlformats.org/officeDocument/2006/relationships/hyperlink" Target="https://www.sebi.gov.in/filings/public-issues/oct-2011/credit-analysis-and-research-limited_20818.html" TargetMode="External" Id="rId3511" /><Relationship Type="http://schemas.openxmlformats.org/officeDocument/2006/relationships/hyperlink" Target="https://www.sebi.gov.in/sebi_data/attachdocs/1317710787371.pdf" TargetMode="External" Id="rId3512" /><Relationship Type="http://schemas.openxmlformats.org/officeDocument/2006/relationships/hyperlink" Target="https://www.sebi.gov.in/filings/public-issues/oct-2011/aurangabad-electricals-limited_20800.html" TargetMode="External" Id="rId3513" /><Relationship Type="http://schemas.openxmlformats.org/officeDocument/2006/relationships/hyperlink" Target="https://www.business-standard.com/markets/ipo/aurangabad-electricals-ltd-ipo-39655" TargetMode="External" Id="rId3514" /><Relationship Type="http://schemas.openxmlformats.org/officeDocument/2006/relationships/hyperlink" Target="https://www.sebi.gov.in/sebi_data/attachdocs/1317720697147.pdf" TargetMode="External" Id="rId3515" /><Relationship Type="http://schemas.openxmlformats.org/officeDocument/2006/relationships/hyperlink" Target="https://www.sebi.gov.in/filings/public-issues/oct-2011/bharat-heavy-electricals-limited_20801.html" TargetMode="External" Id="rId3516" /><Relationship Type="http://schemas.openxmlformats.org/officeDocument/2006/relationships/hyperlink" Target="https://www.business-standard.com/amp/article/pti-stories/heavy-industry-ministry-not-in-favour-of-public-offer-for-bhel-114020601008_1.html" TargetMode="External" Id="rId3517" /><Relationship Type="http://schemas.openxmlformats.org/officeDocument/2006/relationships/hyperlink" Target="https://www.sebi.gov.in/sebi_data/attachdocs/1317709033270.pdf" TargetMode="External" Id="rId3518" /><Relationship Type="http://schemas.openxmlformats.org/officeDocument/2006/relationships/hyperlink" Target="https://www.sebi.gov.in/filings/public-issues/oct-2011/repco-home-finance-limited_20798.html" TargetMode="External" Id="rId3519" /><Relationship Type="http://schemas.openxmlformats.org/officeDocument/2006/relationships/hyperlink" Target="https://www.sebi.gov.in/sebi_data/attachdocs/1317642000370.pdf" TargetMode="External" Id="rId3520" /><Relationship Type="http://schemas.openxmlformats.org/officeDocument/2006/relationships/hyperlink" Target="https://www.sebi.gov.in/filings/public-issues/oct-2011/abhitech-energycon-limited_20796.html" TargetMode="External" Id="rId3521" /><Relationship Type="http://schemas.openxmlformats.org/officeDocument/2006/relationships/hyperlink" Target="https://www.tofler.in/abhitech-energycon-limited/company/U74210HP1997PLC001112" TargetMode="External" Id="rId3522" /><Relationship Type="http://schemas.openxmlformats.org/officeDocument/2006/relationships/hyperlink" Target="https://www.sebi.gov.in/sebi_data/attachdocs/1317614827565.pdf" TargetMode="External" Id="rId3523" /><Relationship Type="http://schemas.openxmlformats.org/officeDocument/2006/relationships/hyperlink" Target="https://www.sebi.gov.in/filings/public-issues/oct-2011/ambuja-intermediates-ltd_20786.html" TargetMode="External" Id="rId3524" /><Relationship Type="http://schemas.openxmlformats.org/officeDocument/2006/relationships/hyperlink" Target="https://www.business-standard.com/markets/ipo/ambuja-intermediates-ltd-ipo-37041" TargetMode="External" Id="rId3525" /><Relationship Type="http://schemas.openxmlformats.org/officeDocument/2006/relationships/hyperlink" Target="https://www.sebi.gov.in/sebi_data/attachdocs/1317639612963.pdf" TargetMode="External" Id="rId3526" /><Relationship Type="http://schemas.openxmlformats.org/officeDocument/2006/relationships/hyperlink" Target="https://www.sebi.gov.in/filings/public-issues/oct-2011/olympic-cards-ltd_20794.html" TargetMode="External" Id="rId3527" /><Relationship Type="http://schemas.openxmlformats.org/officeDocument/2006/relationships/hyperlink" Target="https://www.sebi.gov.in/sebi_data/attachdocs/1317620434757.pdf" TargetMode="External" Id="rId3528" /><Relationship Type="http://schemas.openxmlformats.org/officeDocument/2006/relationships/hyperlink" Target="https://www.sebi.gov.in/filings/public-issues/oct-2011/pc-jeweller-limited_20788.html" TargetMode="External" Id="rId3529" /><Relationship Type="http://schemas.openxmlformats.org/officeDocument/2006/relationships/hyperlink" Target="https://www.sebi.gov.in/sebi_data/attachdocs/1317381768250.pdf" TargetMode="External" Id="rId3530" /><Relationship Type="http://schemas.openxmlformats.org/officeDocument/2006/relationships/hyperlink" Target="https://www.sebi.gov.in/filings/public-issues/sep-2011/bohra-industries-limited_20783.html" TargetMode="External" Id="rId3531" /><Relationship Type="http://schemas.openxmlformats.org/officeDocument/2006/relationships/hyperlink" Target="https://www.sebi.gov.in/sebi_data/attachdocs/1317362472728.pdf" TargetMode="External" Id="rId3532" /><Relationship Type="http://schemas.openxmlformats.org/officeDocument/2006/relationships/hyperlink" Target="https://www.sebi.gov.in/filings/public-issues/sep-2011/bothra-metals-and-alloys-limited_20771.html" TargetMode="External" Id="rId3533" /><Relationship Type="http://schemas.openxmlformats.org/officeDocument/2006/relationships/hyperlink" Target="https://www.sebi.gov.in/sebi_data/attachdocs/1317615708304.pdf" TargetMode="External" Id="rId3534" /><Relationship Type="http://schemas.openxmlformats.org/officeDocument/2006/relationships/hyperlink" Target="https://www.sebi.gov.in/filings/public-issues/sep-2011/it-source-technologies-limited_20787.html" TargetMode="External" Id="rId3535" /><Relationship Type="http://schemas.openxmlformats.org/officeDocument/2006/relationships/hyperlink" Target="https://www.business-standard.com/markets/ipo/itsource-technologies-ltd-ipo-41407" TargetMode="External" Id="rId3536" /><Relationship Type="http://schemas.openxmlformats.org/officeDocument/2006/relationships/hyperlink" Target="https://www.sebi.gov.in/sebi_data/attachdocs/1317369129960.pdf" TargetMode="External" Id="rId3537" /><Relationship Type="http://schemas.openxmlformats.org/officeDocument/2006/relationships/hyperlink" Target="https://www.sebi.gov.in/filings/public-issues/sep-2011/samwardhana-mothersons-finance-limited_20776.html" TargetMode="External" Id="rId3538" /><Relationship Type="http://schemas.openxmlformats.org/officeDocument/2006/relationships/hyperlink" Target="https://www.chittorgarh.com/ipo/samvardhana_ipo/340/" TargetMode="External" Id="rId3539" /><Relationship Type="http://schemas.openxmlformats.org/officeDocument/2006/relationships/hyperlink" Target="https://www.sebi.gov.in/sebi_data/attachdocs/1317369396649.pdf" TargetMode="External" Id="rId3540" /><Relationship Type="http://schemas.openxmlformats.org/officeDocument/2006/relationships/hyperlink" Target="https://www.sebi.gov.in/filings/public-issues/sep-2011/tv-vision-limited_20777.html" TargetMode="External" Id="rId3541" /><Relationship Type="http://schemas.openxmlformats.org/officeDocument/2006/relationships/hyperlink" Target="https://www.business-standard.com/markets/ipo/tv-vision-ltd-ipo-41403" TargetMode="External" Id="rId3542" /><Relationship Type="http://schemas.openxmlformats.org/officeDocument/2006/relationships/hyperlink" Target="https://www.sebi.gov.in/sebi_data/attachdocs/1317364620432.pdf" TargetMode="External" Id="rId3543" /><Relationship Type="http://schemas.openxmlformats.org/officeDocument/2006/relationships/hyperlink" Target="https://www.sebi.gov.in/filings/public-issues/sep-2011/universal-energies-limited_20775.html" TargetMode="External" Id="rId3544" /><Relationship Type="http://schemas.openxmlformats.org/officeDocument/2006/relationships/hyperlink" Target="https://www.business-standard.com/markets/ipo/universal-energies-ltd-ipo-41405" TargetMode="External" Id="rId3545" /><Relationship Type="http://schemas.openxmlformats.org/officeDocument/2006/relationships/hyperlink" Target="https://www.sebi.gov.in/sebi_data/attachdocs/1317285147767.pdf" TargetMode="External" Id="rId3546" /><Relationship Type="http://schemas.openxmlformats.org/officeDocument/2006/relationships/hyperlink" Target="https://www.sebi.gov.in/filings/public-issues/sep-2011/genera-agri-corp-limited_20762.html" TargetMode="External" Id="rId3547" /><Relationship Type="http://schemas.openxmlformats.org/officeDocument/2006/relationships/hyperlink" Target="https://www.sebi.gov.in/sebi_data/commondocs/feb-2020/Issues%20Obs%20Issued%2031012020_p.pdf" TargetMode="External" Id="rId3548" /><Relationship Type="http://schemas.openxmlformats.org/officeDocument/2006/relationships/hyperlink" Target="https://www.sebi.gov.in/sebi_data/attachdocs/1317285260671.pdf" TargetMode="External" Id="rId3549" /><Relationship Type="http://schemas.openxmlformats.org/officeDocument/2006/relationships/hyperlink" Target="https://www.sebi.gov.in/filings/public-issues/sep-2011/ssipl-retail-limited_20763.html" TargetMode="External" Id="rId3550" /><Relationship Type="http://schemas.openxmlformats.org/officeDocument/2006/relationships/hyperlink" Target="https://www.business-standard.com/markets/ipo/ssipl-retail-ltd-ipo-35618" TargetMode="External" Id="rId3551" /><Relationship Type="http://schemas.openxmlformats.org/officeDocument/2006/relationships/hyperlink" Target="https://www.sebi.gov.in/sebi_data/attachdocs/1317293855034.pdf" TargetMode="External" Id="rId3552" /><Relationship Type="http://schemas.openxmlformats.org/officeDocument/2006/relationships/hyperlink" Target="https://www.sebi.gov.in/filings/public-issues/sep-2011/supreme-alloys-limited_20765.html" TargetMode="External" Id="rId3553" /><Relationship Type="http://schemas.openxmlformats.org/officeDocument/2006/relationships/hyperlink" Target="https://www.business-standard.com/markets/ipo/supreme-alloys-ltd-liquidated-ipo-38665" TargetMode="External" Id="rId3554" /><Relationship Type="http://schemas.openxmlformats.org/officeDocument/2006/relationships/hyperlink" Target="https://www.sebi.gov.in/sebi_data/attachdocs/1317294035114.pdf" TargetMode="External" Id="rId3555" /><Relationship Type="http://schemas.openxmlformats.org/officeDocument/2006/relationships/hyperlink" Target="https://www.sebi.gov.in/filings/public-issues/sep-2011/times-academy-limited_20766.html" TargetMode="External" Id="rId3556" /><Relationship Type="http://schemas.openxmlformats.org/officeDocument/2006/relationships/hyperlink" Target="https://www.sharekhan.com/MediaGalary/IPODocuments/PD000VB.pdf" TargetMode="External" Id="rId3557" /><Relationship Type="http://schemas.openxmlformats.org/officeDocument/2006/relationships/hyperlink" Target="https://www.sebi.gov.in/sebi_data/attachdocs/1317183637823.pdf" TargetMode="External" Id="rId3558" /><Relationship Type="http://schemas.openxmlformats.org/officeDocument/2006/relationships/hyperlink" Target="https://www.sebi.gov.in/filings/public-issues/sep-2011/infonet-it-solutions-i-limited_20736.html" TargetMode="External" Id="rId3559" /><Relationship Type="http://schemas.openxmlformats.org/officeDocument/2006/relationships/hyperlink" Target="https://sebi.gov.in/sebi_data/attachdocs/1317183637823.pdf" TargetMode="External" Id="rId3560" /><Relationship Type="http://schemas.openxmlformats.org/officeDocument/2006/relationships/hyperlink" Target="https://www.sebi.gov.in/sebi_data/attachdocs/1316585600749.pdf" TargetMode="External" Id="rId3561" /><Relationship Type="http://schemas.openxmlformats.org/officeDocument/2006/relationships/hyperlink" Target="https://www.sebi.gov.in/filings/public-issues/sep-2011/shemaroo-entertainment-limited_20681.html" TargetMode="External" Id="rId3562" /><Relationship Type="http://schemas.openxmlformats.org/officeDocument/2006/relationships/hyperlink" Target="https://www.chittorgarh.com/ipo/shemaroo_ipo/431/" TargetMode="External" Id="rId3563" /><Relationship Type="http://schemas.openxmlformats.org/officeDocument/2006/relationships/hyperlink" Target="https://www.sebi.gov.in/sebi_data/attachdocs/1316061582366.pdf" TargetMode="External" Id="rId3564" /><Relationship Type="http://schemas.openxmlformats.org/officeDocument/2006/relationships/hyperlink" Target="https://www.sebi.gov.in/filings/public-issues/sep-2011/birla-research-and-lifesciences-limited_20640.html" TargetMode="External" Id="rId3565" /><Relationship Type="http://schemas.openxmlformats.org/officeDocument/2006/relationships/hyperlink" Target="https://www.business-standard.com/markets/ipo/birla-research-lifesciences-ltd-ipo-41396" TargetMode="External" Id="rId3566" /><Relationship Type="http://schemas.openxmlformats.org/officeDocument/2006/relationships/hyperlink" Target="https://www.sebi.gov.in/sebi_data/attachdocs/1315912465362.pdf" TargetMode="External" Id="rId3567" /><Relationship Type="http://schemas.openxmlformats.org/officeDocument/2006/relationships/hyperlink" Target="https://www.sebi.gov.in/filings/public-issues/sep-2011/jiji-industries-limited_20633.html" TargetMode="External" Id="rId3568" /><Relationship Type="http://schemas.openxmlformats.org/officeDocument/2006/relationships/hyperlink" Target="https://www.sebi.gov.in/sebi_data/attachdocs/1313648946814.pdf" TargetMode="External" Id="rId3569" /><Relationship Type="http://schemas.openxmlformats.org/officeDocument/2006/relationships/hyperlink" Target="https://www.sebi.gov.in/filings/public-issues/aug-2011/just-dial-limited_20475.html" TargetMode="External" Id="rId3570" /><Relationship Type="http://schemas.openxmlformats.org/officeDocument/2006/relationships/hyperlink" Target="https://www.sebi.gov.in/sebi_data/attachdocs/1312887618516.pdf" TargetMode="External" Id="rId3571" /><Relationship Type="http://schemas.openxmlformats.org/officeDocument/2006/relationships/hyperlink" Target="https://www.sebi.gov.in/filings/public-issues/aug-2011/vks-projects-limited_20422.html" TargetMode="External" Id="rId3572" /><Relationship Type="http://schemas.openxmlformats.org/officeDocument/2006/relationships/hyperlink" Target="https://www.chittorgarh.com/ipo/vks_projects_ipo/345/" TargetMode="External" Id="rId3573" /><Relationship Type="http://schemas.openxmlformats.org/officeDocument/2006/relationships/hyperlink" Target="https://www.sebi.gov.in/sebi_data/attachdocs/1312435705808.pdf" TargetMode="External" Id="rId3574" /><Relationship Type="http://schemas.openxmlformats.org/officeDocument/2006/relationships/hyperlink" Target="https://www.sebi.gov.in/filings/public-issues/aug-2011/duplex-industries-limited_20392.html" TargetMode="External" Id="rId3575" /><Relationship Type="http://schemas.openxmlformats.org/officeDocument/2006/relationships/hyperlink" Target="https://www.business-standard.com/markets/ipo/duplex-industries-ltd-ipo-36070" TargetMode="External" Id="rId3576" /><Relationship Type="http://schemas.openxmlformats.org/officeDocument/2006/relationships/hyperlink" Target="https://www.sebi.gov.in/sebi_data/attachdocs/1311934964788.pdf" TargetMode="External" Id="rId3577" /><Relationship Type="http://schemas.openxmlformats.org/officeDocument/2006/relationships/hyperlink" Target="https://www.sebi.gov.in/filings/public-issues/jul-2011/ifci-factors-limited_20303.html" TargetMode="External" Id="rId3578" /><Relationship Type="http://schemas.openxmlformats.org/officeDocument/2006/relationships/hyperlink" Target="https://www.business-standard.com/markets/ipo/ifci-factors-ltd-ipo-17475" TargetMode="External" Id="rId3579" /><Relationship Type="http://schemas.openxmlformats.org/officeDocument/2006/relationships/hyperlink" Target="https://www.sebi.gov.in/sebi_data/attachdocs/1311752027762.pdf" TargetMode="External" Id="rId3580" /><Relationship Type="http://schemas.openxmlformats.org/officeDocument/2006/relationships/hyperlink" Target="https://www.sebi.gov.in/filings/public-issues/jul-2011/automark-industries-india-limited_20259.html" TargetMode="External" Id="rId3581" /><Relationship Type="http://schemas.openxmlformats.org/officeDocument/2006/relationships/hyperlink" Target="https://www.business-standard.com/markets/ipo/automark-industries-india-ltd-ipo-41362" TargetMode="External" Id="rId3582" /><Relationship Type="http://schemas.openxmlformats.org/officeDocument/2006/relationships/hyperlink" Target="https://www.sebi.gov.in/sebi_data/attachdocs/1311578669887.pdf" TargetMode="External" Id="rId3583" /><Relationship Type="http://schemas.openxmlformats.org/officeDocument/2006/relationships/hyperlink" Target="https://www.sebi.gov.in/filings/public-issues/jul-2011/pme-power-solutions-india-limited_20234.html" TargetMode="External" Id="rId3584" /><Relationship Type="http://schemas.openxmlformats.org/officeDocument/2006/relationships/hyperlink" Target="https://www.business-standard.com/markets/ipo/pme-power-solutions-india-ltd-ipo-41360" TargetMode="External" Id="rId3585" /><Relationship Type="http://schemas.openxmlformats.org/officeDocument/2006/relationships/hyperlink" Target="https://www.sebi.gov.in/sebi_data/attachdocs/1311154815888.pdf" TargetMode="External" Id="rId3586" /><Relationship Type="http://schemas.openxmlformats.org/officeDocument/2006/relationships/hyperlink" Target="https://www.sebi.gov.in/filings/public-issues/jul-2011/ind-eco-ventures-limited_20196.html" TargetMode="External" Id="rId3587" /><Relationship Type="http://schemas.openxmlformats.org/officeDocument/2006/relationships/hyperlink" Target="https://www.sebi.gov.in/sebi_data/attachdocs/1310558385396.pdf" TargetMode="External" Id="rId3588" /><Relationship Type="http://schemas.openxmlformats.org/officeDocument/2006/relationships/hyperlink" Target="https://www.sebi.gov.in/filings/public-issues/jul-2011/tejora-technologies-limited_20126.html" TargetMode="External" Id="rId3589" /><Relationship Type="http://schemas.openxmlformats.org/officeDocument/2006/relationships/hyperlink" Target="https://www.nirmalbang.com/ipo/tejora-technologies/226236" TargetMode="External" Id="rId3590" /><Relationship Type="http://schemas.openxmlformats.org/officeDocument/2006/relationships/hyperlink" Target="https://www.sebi.gov.in/sebi_data/attachdocs/1310558338448.pdf" TargetMode="External" Id="rId3591" /><Relationship Type="http://schemas.openxmlformats.org/officeDocument/2006/relationships/hyperlink" Target="https://www.sebi.gov.in/filings/public-issues/jul-2011/abhijeet-power-limited_20125.html" TargetMode="External" Id="rId3592" /><Relationship Type="http://schemas.openxmlformats.org/officeDocument/2006/relationships/hyperlink" Target="https://www.sebi.gov.in/sebi_data/attachdocs/1310558288373.pdf" TargetMode="External" Id="rId3593" /><Relationship Type="http://schemas.openxmlformats.org/officeDocument/2006/relationships/hyperlink" Target="https://www.sebi.gov.in/filings/public-issues/jul-2011/trimax-it-infrastructure-and-services-limited_20124.html" TargetMode="External" Id="rId3594" /><Relationship Type="http://schemas.openxmlformats.org/officeDocument/2006/relationships/hyperlink" Target="https://www.business-standard.com/amp/article/companies/trimax-it-infrastructure-plans-ipo-files-drhp-with-sebi-113073100640_1.html" TargetMode="External" Id="rId3595" /><Relationship Type="http://schemas.openxmlformats.org/officeDocument/2006/relationships/hyperlink" Target="https://www.sebi.gov.in/sebi_data/attachdocs/1310558210457.pdf" TargetMode="External" Id="rId3596" /><Relationship Type="http://schemas.openxmlformats.org/officeDocument/2006/relationships/hyperlink" Target="https://www.sebi.gov.in/filings/public-issues/jun-2011/crp-technologies-india-limited_20123.html" TargetMode="External" Id="rId3597" /><Relationship Type="http://schemas.openxmlformats.org/officeDocument/2006/relationships/hyperlink" Target="https://www.sebi.gov.in/sebi_data/attachdocs/1310558108560.pdf" TargetMode="External" Id="rId3598" /><Relationship Type="http://schemas.openxmlformats.org/officeDocument/2006/relationships/hyperlink" Target="https://www.sebi.gov.in/filings/public-issues/jun-2011/asian-logistics-ltd_20121.html" TargetMode="External" Id="rId3599" /><Relationship Type="http://schemas.openxmlformats.org/officeDocument/2006/relationships/hyperlink" Target="https://www.sebi.gov.in/sebi_data/attachdocs/1310558165983.pdf" TargetMode="External" Id="rId3600" /><Relationship Type="http://schemas.openxmlformats.org/officeDocument/2006/relationships/hyperlink" Target="https://www.sebi.gov.in/filings/public-issues/jun-2011/pch-retail-limited_20122.html" TargetMode="External" Id="rId3601" /><Relationship Type="http://schemas.openxmlformats.org/officeDocument/2006/relationships/hyperlink" Target="https://www.business-standard.com/markets/ipo/pch-retail-ltd-ipo-36267" TargetMode="External" Id="rId3602" /><Relationship Type="http://schemas.openxmlformats.org/officeDocument/2006/relationships/hyperlink" Target="https://www.sebi.gov.in/sebi_data/attachdocs/1310558058730.pdf" TargetMode="External" Id="rId3603" /><Relationship Type="http://schemas.openxmlformats.org/officeDocument/2006/relationships/hyperlink" Target="https://www.sebi.gov.in/filings/public-issues/jun-2011/hemani-industries-limited_20120.html" TargetMode="External" Id="rId3604" /><Relationship Type="http://schemas.openxmlformats.org/officeDocument/2006/relationships/hyperlink" Target="https://www.angelone.in/ipo/hemani-industries-ipo" TargetMode="External" Id="rId3605" /><Relationship Type="http://schemas.openxmlformats.org/officeDocument/2006/relationships/hyperlink" Target="https://www.sebi.gov.in/sebi_data/attachdocs/1310558024554.pdf" TargetMode="External" Id="rId3606" /><Relationship Type="http://schemas.openxmlformats.org/officeDocument/2006/relationships/hyperlink" Target="https://www.sebi.gov.in/filings/public-issues/jun-2011/mt-educare-limited_20119.html" TargetMode="External" Id="rId3607" /><Relationship Type="http://schemas.openxmlformats.org/officeDocument/2006/relationships/hyperlink" Target="https://www.sebi.gov.in/sebi_data/attachdocs/1308559324122.pdf" TargetMode="External" Id="rId3608" /><Relationship Type="http://schemas.openxmlformats.org/officeDocument/2006/relationships/hyperlink" Target="https://www.sebi.gov.in/filings/public-issues/jun-2011/sai-silks-kalamandir-limited_19966.html" TargetMode="External" Id="rId3609" /><Relationship Type="http://schemas.openxmlformats.org/officeDocument/2006/relationships/hyperlink" Target="https://www.chittorgarh.com/ipo/sai_silks_kalamandir_ipo/364/" TargetMode="External" Id="rId3610" /><Relationship Type="http://schemas.openxmlformats.org/officeDocument/2006/relationships/hyperlink" Target="https://www.sebi.gov.in/sebi_data/attachdocs/1308559363976.pdf" TargetMode="External" Id="rId3611" /><Relationship Type="http://schemas.openxmlformats.org/officeDocument/2006/relationships/hyperlink" Target="https://www.sebi.gov.in/filings/public-issues/jun-2011/skil-infrastructure-limited_19967.html" TargetMode="External" Id="rId3612" /><Relationship Type="http://schemas.openxmlformats.org/officeDocument/2006/relationships/hyperlink" Target="https://www.business-standard.com/markets/skil-infrastructure-ltd-share-price-12715.html" TargetMode="External" Id="rId3613" /><Relationship Type="http://schemas.openxmlformats.org/officeDocument/2006/relationships/hyperlink" Target="https://www.sebi.gov.in/sebi_data/attachdocs/1308559260701.pdf" TargetMode="External" Id="rId3614" /><Relationship Type="http://schemas.openxmlformats.org/officeDocument/2006/relationships/hyperlink" Target="https://www.sebi.gov.in/filings/public-issues/jun-2011/acb-india-limited_19965.html" TargetMode="External" Id="rId3615" /><Relationship Type="http://schemas.openxmlformats.org/officeDocument/2006/relationships/hyperlink" Target="https://www.business-standard.com/markets/ipo/acb-india-ltd-ipo-34883" TargetMode="External" Id="rId3616" /><Relationship Type="http://schemas.openxmlformats.org/officeDocument/2006/relationships/hyperlink" Target="https://www.sebi.gov.in/sebi_data/attachdocs/1308559210209.pdf" TargetMode="External" Id="rId3617" /><Relationship Type="http://schemas.openxmlformats.org/officeDocument/2006/relationships/hyperlink" Target="https://www.sebi.gov.in/filings/public-issues/may-2011/madhya-bharat-agro-products-limited_19964.html" TargetMode="External" Id="rId3618" /><Relationship Type="http://schemas.openxmlformats.org/officeDocument/2006/relationships/hyperlink" Target="https://www.business-standard.com/markets/ipo/madhya-bharat-agro-products-ltd-ipo-41290" TargetMode="External" Id="rId3619" /><Relationship Type="http://schemas.openxmlformats.org/officeDocument/2006/relationships/hyperlink" Target="https://www.sebi.gov.in/sebi_data/attachdocs/1304939477362.pdf" TargetMode="External" Id="rId3620" /><Relationship Type="http://schemas.openxmlformats.org/officeDocument/2006/relationships/hyperlink" Target="https://www.sebi.gov.in/filings/public-issues/may-2011/m-s-swajas-air-charters-ltd_19690.html" TargetMode="External" Id="rId3621" /><Relationship Type="http://schemas.openxmlformats.org/officeDocument/2006/relationships/hyperlink" Target="https://www.chittorgarh.com/ipo/swajas_air_ipo/331/" TargetMode="External" Id="rId3622" /><Relationship Type="http://schemas.openxmlformats.org/officeDocument/2006/relationships/hyperlink" Target="https://www.sebi.gov.in/sebi_data/attachdocs/1304939560632.pdf" TargetMode="External" Id="rId3623" /><Relationship Type="http://schemas.openxmlformats.org/officeDocument/2006/relationships/hyperlink" Target="https://www.sebi.gov.in/filings/public-issues/apr-2011/indo-thai-securities-ltd_19691.html" TargetMode="External" Id="rId3624" /><Relationship Type="http://schemas.openxmlformats.org/officeDocument/2006/relationships/hyperlink" Target="https://www.sebi.gov.in/sebi_data/attachdocs/1304939673407.pdf" TargetMode="External" Id="rId3625" /><Relationship Type="http://schemas.openxmlformats.org/officeDocument/2006/relationships/hyperlink" Target="https://www.sebi.gov.in/filings/public-issues/apr-2011/kabirdass-motor-company-limited_19693.html" TargetMode="External" Id="rId3626" /><Relationship Type="http://schemas.openxmlformats.org/officeDocument/2006/relationships/hyperlink" Target="https://www.sebi.gov.in/sebi_data/attachdocs/1304939619289.pdf" TargetMode="External" Id="rId3627" /><Relationship Type="http://schemas.openxmlformats.org/officeDocument/2006/relationships/hyperlink" Target="https://www.sebi.gov.in/filings/public-issues/apr-2011/vishwanath-projects-limited_19692.html" TargetMode="External" Id="rId3628" /><Relationship Type="http://schemas.openxmlformats.org/officeDocument/2006/relationships/hyperlink" Target="https://www.business-standard.com/markets/ipo/vishwanath-projects-ltd-ipo-41219" TargetMode="External" Id="rId3629" /><Relationship Type="http://schemas.openxmlformats.org/officeDocument/2006/relationships/hyperlink" Target="https://www.sebi.gov.in/sebi_data/attachdocs/1304939726954.pdf" TargetMode="External" Id="rId3630" /><Relationship Type="http://schemas.openxmlformats.org/officeDocument/2006/relationships/hyperlink" Target="https://www.sebi.gov.in/filings/public-issues/apr-2011/apr-constructions-limited_19694.html" TargetMode="External" Id="rId3631" /><Relationship Type="http://schemas.openxmlformats.org/officeDocument/2006/relationships/hyperlink" Target="https://www.business-standard.com/markets/ipo/apr-constructions-ltd-ipo-36137" TargetMode="External" Id="rId3632" /><Relationship Type="http://schemas.openxmlformats.org/officeDocument/2006/relationships/hyperlink" Target="https://www.sebi.gov.in/sebi_data/attachdocs/1304939786100.pdf" TargetMode="External" Id="rId3633" /><Relationship Type="http://schemas.openxmlformats.org/officeDocument/2006/relationships/hyperlink" Target="https://www.sebi.gov.in/filings/public-issues/apr-2011/multi-commodity-exchange-of-india-limited_19695.html" TargetMode="External" Id="rId3634" /><Relationship Type="http://schemas.openxmlformats.org/officeDocument/2006/relationships/hyperlink" Target="https://www.sebi.gov.in/sebi_data/attachdocs/1304939828324.pdf" TargetMode="External" Id="rId3635" /><Relationship Type="http://schemas.openxmlformats.org/officeDocument/2006/relationships/hyperlink" Target="https://www.sebi.gov.in/filings/public-issues/apr-2011/relcon-infraprojects-limited_19696.html" TargetMode="External" Id="rId3636" /><Relationship Type="http://schemas.openxmlformats.org/officeDocument/2006/relationships/hyperlink" Target="https://www.business-standard.com/markets/ipo/relcon-infraprojects-ltd-ipo-35280" TargetMode="External" Id="rId3637" /><Relationship Type="http://schemas.openxmlformats.org/officeDocument/2006/relationships/hyperlink" Target="https://www.sebi.gov.in/sebi_data/attachdocs/1304939881811.pdf" TargetMode="External" Id="rId3638" /><Relationship Type="http://schemas.openxmlformats.org/officeDocument/2006/relationships/hyperlink" Target="https://www.sebi.gov.in/filings/public-issues/apr-2011/neesa-leisure-limited_19697.html" TargetMode="External" Id="rId3639" /><Relationship Type="http://schemas.openxmlformats.org/officeDocument/2006/relationships/hyperlink" Target="https://www.business-standard.com/markets/ipo/neesa-leisure-ltd-ipo-33435" TargetMode="External" Id="rId3640" /><Relationship Type="http://schemas.openxmlformats.org/officeDocument/2006/relationships/hyperlink" Target="https://www.sebi.gov.in/sebi_data/attachdocs/1304939920462.pdf" TargetMode="External" Id="rId3641" /><Relationship Type="http://schemas.openxmlformats.org/officeDocument/2006/relationships/hyperlink" Target="https://www.sebi.gov.in/filings/public-issues/apr-2011/prakash-constrowell-limited_19698.html" TargetMode="External" Id="rId3642" /><Relationship Type="http://schemas.openxmlformats.org/officeDocument/2006/relationships/hyperlink" Target="https://www.sebi.gov.in/sebi_data/attachdocs/1301986586522.pdf" TargetMode="External" Id="rId3643" /><Relationship Type="http://schemas.openxmlformats.org/officeDocument/2006/relationships/hyperlink" Target="https://www.sebi.gov.in/filings/public-issues/mar-2011/calyx-chemicals-and-pharmaceuticals-limited_19507.html" TargetMode="External" Id="rId3644" /><Relationship Type="http://schemas.openxmlformats.org/officeDocument/2006/relationships/hyperlink" Target="https://www.business-standard.com/markets/ipo/calyx-chemicals-pharmaceuticals-ltd-ipo-27877" TargetMode="External" Id="rId3645" /><Relationship Type="http://schemas.openxmlformats.org/officeDocument/2006/relationships/hyperlink" Target="https://www.sebi.gov.in/sebi_data/attachdocs/1301986407533.pdf" TargetMode="External" Id="rId3646" /><Relationship Type="http://schemas.openxmlformats.org/officeDocument/2006/relationships/hyperlink" Target="https://www.sebi.gov.in/filings/public-issues/mar-2011/l-and-t-finance-holdings-limited_19505.html" TargetMode="External" Id="rId3647" /><Relationship Type="http://schemas.openxmlformats.org/officeDocument/2006/relationships/hyperlink" Target="https://www.sebi.gov.in/sebi_data/attachdocs/1301986511663.pdf" TargetMode="External" Id="rId3648" /><Relationship Type="http://schemas.openxmlformats.org/officeDocument/2006/relationships/hyperlink" Target="https://www.sebi.gov.in/filings/public-issues/mar-2011/prime-retail-india-ltd_19506.html" TargetMode="External" Id="rId3649" /><Relationship Type="http://schemas.openxmlformats.org/officeDocument/2006/relationships/hyperlink" Target="https://www.zaubacorp.com/PRIME-RETAIL-INDIA-LIMITED-U63090WB1990PLC048986" TargetMode="External" Id="rId3650" /><Relationship Type="http://schemas.openxmlformats.org/officeDocument/2006/relationships/hyperlink" Target="https://www.sebi.gov.in/sebi_data/attachdocs/1301986734146.pdf" TargetMode="External" Id="rId3651" /><Relationship Type="http://schemas.openxmlformats.org/officeDocument/2006/relationships/hyperlink" Target="https://www.sebi.gov.in/filings/public-issues/mar-2011/flexituff-international-limited_19509.html" TargetMode="External" Id="rId3652" /><Relationship Type="http://schemas.openxmlformats.org/officeDocument/2006/relationships/hyperlink" Target="https://www.sebi.gov.in/sebi_data/attachdocs/1301986661089.pdf" TargetMode="External" Id="rId3653" /><Relationship Type="http://schemas.openxmlformats.org/officeDocument/2006/relationships/hyperlink" Target="https://www.sebi.gov.in/filings/public-issues/mar-2011/sheetal-refineries-limited_19508.html" TargetMode="External" Id="rId3654" /><Relationship Type="http://schemas.openxmlformats.org/officeDocument/2006/relationships/hyperlink" Target="https://www.business-standard.com/markets/ipo/sheetal-refineries-ltd-ipo-40947" TargetMode="External" Id="rId3655" /><Relationship Type="http://schemas.openxmlformats.org/officeDocument/2006/relationships/hyperlink" Target="https://www.sebi.gov.in/sebi_data/attachdocs/1301986786845.pdf" TargetMode="External" Id="rId3656" /><Relationship Type="http://schemas.openxmlformats.org/officeDocument/2006/relationships/hyperlink" Target="https://www.sebi.gov.in/filings/public-issues/mar-2011/intas-pharamaceuticals-limited_19510.html" TargetMode="External" Id="rId3657" /><Relationship Type="http://schemas.openxmlformats.org/officeDocument/2006/relationships/hyperlink" Target="https://www.business-standard.com/markets/ipo/intas-pharmaceuticals-ltd-ipo-19969" TargetMode="External" Id="rId3658" /><Relationship Type="http://schemas.openxmlformats.org/officeDocument/2006/relationships/hyperlink" Target="https://www.sebi.gov.in/sebi_data/attachdocs/1301986840858.pdf" TargetMode="External" Id="rId3659" /><Relationship Type="http://schemas.openxmlformats.org/officeDocument/2006/relationships/hyperlink" Target="https://www.sebi.gov.in/filings/public-issues/mar-2011/mukesh-udyog-limited_19511.html" TargetMode="External" Id="rId3660" /><Relationship Type="http://schemas.openxmlformats.org/officeDocument/2006/relationships/hyperlink" Target="https://www.sebi.gov.in/sebi_data/commondocs/feb-2020/Issues%20Obs%20Issued%2031012020_p.pdf" TargetMode="External" Id="rId3661" /><Relationship Type="http://schemas.openxmlformats.org/officeDocument/2006/relationships/hyperlink" Target="https://www.sebi.gov.in/sebi_data/attachdocs/1301986889174.pdf" TargetMode="External" Id="rId3662" /><Relationship Type="http://schemas.openxmlformats.org/officeDocument/2006/relationships/hyperlink" Target="https://www.sebi.gov.in/filings/public-issues/mar-2011/arch-pharmalabs-limited_19512.html" TargetMode="External" Id="rId3663" /><Relationship Type="http://schemas.openxmlformats.org/officeDocument/2006/relationships/hyperlink" Target="https://www.business-standard.com/markets/ipo/arch-pharmalabs-ltd-ipo-4361" TargetMode="External" Id="rId3664" /><Relationship Type="http://schemas.openxmlformats.org/officeDocument/2006/relationships/hyperlink" Target="https://www.sebi.gov.in/sebi_data/attachdocs/1301986944757.pdf" TargetMode="External" Id="rId3665" /><Relationship Type="http://schemas.openxmlformats.org/officeDocument/2006/relationships/hyperlink" Target="https://www.sebi.gov.in/filings/public-issues/mar-2011/m-s-jaishree-industries-limited_19513.html" TargetMode="External" Id="rId3666" /><Relationship Type="http://schemas.openxmlformats.org/officeDocument/2006/relationships/hyperlink" Target="https://www.zaubacorp.com/JAISHREE-INDUSTRIES-LIMITED-U01403DL1996PLC118279" TargetMode="External" Id="rId3667" /><Relationship Type="http://schemas.openxmlformats.org/officeDocument/2006/relationships/hyperlink" Target="https://www.sebi.gov.in/sebi_data/attachdocs/1300859296694.pdf" TargetMode="External" Id="rId3668" /><Relationship Type="http://schemas.openxmlformats.org/officeDocument/2006/relationships/hyperlink" Target="https://www.sebi.gov.in/filings/public-issues/mar-2011/power-finance-corporation-limited_17884.html" TargetMode="External" Id="rId3669" /><Relationship Type="http://schemas.openxmlformats.org/officeDocument/2006/relationships/hyperlink" Target="https://www.sebi.gov.in/sebi_data/attachdocs/1300859396874.pdf" TargetMode="External" Id="rId3670" /><Relationship Type="http://schemas.openxmlformats.org/officeDocument/2006/relationships/hyperlink" Target="https://www.sebi.gov.in/filings/public-issues/mar-2011/ortel-communications-limited_17886.html" TargetMode="External" Id="rId3671" /><Relationship Type="http://schemas.openxmlformats.org/officeDocument/2006/relationships/hyperlink" Target="https://www.business-standard.com/markets/ipo/ortel-communications-ltd-ipo-14185" TargetMode="External" Id="rId3672" /><Relationship Type="http://schemas.openxmlformats.org/officeDocument/2006/relationships/hyperlink" Target="https://www.sebi.gov.in/sebi_data/attachdocs/1300859475288.pdf" TargetMode="External" Id="rId3673" /><Relationship Type="http://schemas.openxmlformats.org/officeDocument/2006/relationships/hyperlink" Target="https://www.sebi.gov.in/filings/public-issues/mar-2011/powerica-limited_17889.html" TargetMode="External" Id="rId3674" /><Relationship Type="http://schemas.openxmlformats.org/officeDocument/2006/relationships/hyperlink" Target="https://www.business-standard.com/markets/ipo/powerica-ltd-ipo-23308" TargetMode="External" Id="rId3675" /><Relationship Type="http://schemas.openxmlformats.org/officeDocument/2006/relationships/hyperlink" Target="https://www.sebi.gov.in/sebi_data/attachdocs/1300859507409.pdf" TargetMode="External" Id="rId3676" /><Relationship Type="http://schemas.openxmlformats.org/officeDocument/2006/relationships/hyperlink" Target="https://www.sebi.gov.in/filings/public-issues/mar-2011/speciality-restaurants-limited_17890.html" TargetMode="External" Id="rId3677" /><Relationship Type="http://schemas.openxmlformats.org/officeDocument/2006/relationships/hyperlink" Target="https://www.sebi.gov.in/sebi_data/attachdocs/1300101373935.pdf" TargetMode="External" Id="rId3678" /><Relationship Type="http://schemas.openxmlformats.org/officeDocument/2006/relationships/hyperlink" Target="https://www.sebi.gov.in/filings/public-issues/mar-2011/bio-ethanol-agro-industries-limited_16262.html" TargetMode="External" Id="rId3679" /><Relationship Type="http://schemas.openxmlformats.org/officeDocument/2006/relationships/hyperlink" Target="https://www.business-standard.com/markets/ipo/bio-ethanol-agro-industries-ltd-ipo-40739" TargetMode="External" Id="rId3680" /><Relationship Type="http://schemas.openxmlformats.org/officeDocument/2006/relationships/hyperlink" Target="https://www.sebi.gov.in/sebi_data/attachdocs/1300101421964.pdf" TargetMode="External" Id="rId3681" /><Relationship Type="http://schemas.openxmlformats.org/officeDocument/2006/relationships/hyperlink" Target="https://www.sebi.gov.in/filings/public-issues/feb-2011/td-power-systems-limited_16264.html" TargetMode="External" Id="rId3682" /><Relationship Type="http://schemas.openxmlformats.org/officeDocument/2006/relationships/hyperlink" Target="https://www.sebi.gov.in/sebi_data/attachdocs/1300101469768.pdf" TargetMode="External" Id="rId3683" /><Relationship Type="http://schemas.openxmlformats.org/officeDocument/2006/relationships/hyperlink" Target="https://www.sebi.gov.in/filings/public-issues/feb-2011/tree-house-education-and-accessories-limited_16265.html" TargetMode="External" Id="rId3684" /><Relationship Type="http://schemas.openxmlformats.org/officeDocument/2006/relationships/hyperlink" Target="https://www.sebi.gov.in/sebi_data/attachdocs/1300101526449.pdf" TargetMode="External" Id="rId3685" /><Relationship Type="http://schemas.openxmlformats.org/officeDocument/2006/relationships/hyperlink" Target="https://www.sebi.gov.in/filings/public-issues/feb-2011/super-religare-laboratories-limited_16266.html" TargetMode="External" Id="rId3686" /><Relationship Type="http://schemas.openxmlformats.org/officeDocument/2006/relationships/hyperlink" Target="https://www.business-standard.com/amp/article/markets/srl-withdraws-draft-ipo-prospectus-to-resubmit-again-111052300196_1.html" TargetMode="External" Id="rId3687" /><Relationship Type="http://schemas.openxmlformats.org/officeDocument/2006/relationships/hyperlink" Target="https://www.sebi.gov.in/sebi_data/attachdocs/1300101600025.pdf" TargetMode="External" Id="rId3688" /><Relationship Type="http://schemas.openxmlformats.org/officeDocument/2006/relationships/hyperlink" Target="https://www.sebi.gov.in/filings/public-issues/feb-2011/adroit-industries-india-limited_16267.html" TargetMode="External" Id="rId3689" /><Relationship Type="http://schemas.openxmlformats.org/officeDocument/2006/relationships/hyperlink" Target="https://www.business-standard.com/markets/ipo/adroit-industries-india-ltd-ipo-40604" TargetMode="External" Id="rId3690" /><Relationship Type="http://schemas.openxmlformats.org/officeDocument/2006/relationships/hyperlink" Target="https://www.sebi.gov.in/sebi_data/attachdocs/1297488276964.pdf" TargetMode="External" Id="rId3691" /><Relationship Type="http://schemas.openxmlformats.org/officeDocument/2006/relationships/hyperlink" Target="https://www.sebi.gov.in/filings/public-issues/feb-2011/ratanchand-jewellers-limited_15215.html" TargetMode="External" Id="rId3692" /><Relationship Type="http://schemas.openxmlformats.org/officeDocument/2006/relationships/hyperlink" Target="https://www.business-standard.com/markets/ipo/ratanchand-jewellers-ltd-ipo-36223" TargetMode="External" Id="rId3693" /><Relationship Type="http://schemas.openxmlformats.org/officeDocument/2006/relationships/hyperlink" Target="https://www.sebi.gov.in/sebi_data/attachdocs/1297162439600.pdf" TargetMode="External" Id="rId3694" /><Relationship Type="http://schemas.openxmlformats.org/officeDocument/2006/relationships/hyperlink" Target="https://www.sebi.gov.in/filings/public-issues/feb-2011/gajra-differential-gears-limited_15008.html" TargetMode="External" Id="rId3695" /><Relationship Type="http://schemas.openxmlformats.org/officeDocument/2006/relationships/hyperlink" Target="https://www.business-standard.com/markets/ipo/gajra-differential-gears-ltd-ipo-37732" TargetMode="External" Id="rId3696" /><Relationship Type="http://schemas.openxmlformats.org/officeDocument/2006/relationships/hyperlink" Target="https://www.sebi.gov.in/sebi_data/attachdocs/1297162915070.pdf" TargetMode="External" Id="rId3697" /><Relationship Type="http://schemas.openxmlformats.org/officeDocument/2006/relationships/hyperlink" Target="https://www.sebi.gov.in/filings/public-issues/feb-2011/jawed-habib-hair-and-beauty-limited_15009.html" TargetMode="External" Id="rId3698" /><Relationship Type="http://schemas.openxmlformats.org/officeDocument/2006/relationships/hyperlink" Target="https://www.business-standard.com/markets/ipo/jawed-habib-hair-beauty-ltd-ipo-40568" TargetMode="External" Id="rId3699" /><Relationship Type="http://schemas.openxmlformats.org/officeDocument/2006/relationships/hyperlink" Target="https://www.sebi.gov.in/sebi_data/attachdocs/1297163363575.pdf" TargetMode="External" Id="rId3700" /><Relationship Type="http://schemas.openxmlformats.org/officeDocument/2006/relationships/hyperlink" Target="https://www.sebi.gov.in/filings/public-issues/jan-2011/joyalukkas-india-limited_15012.html" TargetMode="External" Id="rId3701" /><Relationship Type="http://schemas.openxmlformats.org/officeDocument/2006/relationships/hyperlink" Target="https://www.business-standard.com/markets/ipo/joyalukkas-india-ltd-ipo-37998" TargetMode="External" Id="rId3702" /><Relationship Type="http://schemas.openxmlformats.org/officeDocument/2006/relationships/hyperlink" Target="https://www.sebi.gov.in/sebi_data/attachdocs/1297163420641.pdf" TargetMode="External" Id="rId3703" /><Relationship Type="http://schemas.openxmlformats.org/officeDocument/2006/relationships/hyperlink" Target="https://www.sebi.gov.in/filings/public-issues/jan-2011/sanco-industries-limited_15013.html" TargetMode="External" Id="rId3704" /><Relationship Type="http://schemas.openxmlformats.org/officeDocument/2006/relationships/hyperlink" Target="https://www.business-standard.com/markets/ipo/sanco-industries-ltd-ipo-40566" TargetMode="External" Id="rId3705" /><Relationship Type="http://schemas.openxmlformats.org/officeDocument/2006/relationships/hyperlink" Target="https://www.sebi.gov.in/sebi_data/attachdocs/1297163290717.pdf" TargetMode="External" Id="rId3706" /><Relationship Type="http://schemas.openxmlformats.org/officeDocument/2006/relationships/hyperlink" Target="https://www.sebi.gov.in/filings/public-issues/jan-2011/tribhovandas-bhimji-zaveri-limited_15011.html" TargetMode="External" Id="rId3707" /><Relationship Type="http://schemas.openxmlformats.org/officeDocument/2006/relationships/hyperlink" Target="https://www.sebi.gov.in/sebi_data/attachdocs/1297163490290.pdf" TargetMode="External" Id="rId3708" /><Relationship Type="http://schemas.openxmlformats.org/officeDocument/2006/relationships/hyperlink" Target="https://www.sebi.gov.in/filings/public-issues/jan-2011/goodwill-hospital-and-research-centre-limited_15015.html" TargetMode="External" Id="rId3709" /><Relationship Type="http://schemas.openxmlformats.org/officeDocument/2006/relationships/hyperlink" Target="https://www.business-standard.com/markets/ipo/goodwill-hospital-research-centre-ltd-ipo-40565" TargetMode="External" Id="rId3710" /><Relationship Type="http://schemas.openxmlformats.org/officeDocument/2006/relationships/hyperlink" Target="https://www.sebi.gov.in/sebi_data/attachdocs/1295948840375.pdf" TargetMode="External" Id="rId3711" /><Relationship Type="http://schemas.openxmlformats.org/officeDocument/2006/relationships/hyperlink" Target="https://www.sebi.gov.in/filings/public-issues/jan-2011/m-and-b-switchgear-limited_14564.html" TargetMode="External" Id="rId3712" /><Relationship Type="http://schemas.openxmlformats.org/officeDocument/2006/relationships/hyperlink" Target="https://www.sebi.gov.in/sebi_data/attachdocs/1295948892152.pdf" TargetMode="External" Id="rId3713" /><Relationship Type="http://schemas.openxmlformats.org/officeDocument/2006/relationships/hyperlink" Target="https://www.sebi.gov.in/filings/public-issues/jan-2011/comfort-securities-limited_14565.html" TargetMode="External" Id="rId3714" /><Relationship Type="http://schemas.openxmlformats.org/officeDocument/2006/relationships/hyperlink" Target="https://www.thecompanycheck.com/company/comfort-securities-limited/U67120MH2002PLC136562" TargetMode="External" Id="rId3715" /><Relationship Type="http://schemas.openxmlformats.org/officeDocument/2006/relationships/hyperlink" Target="https://www.sebi.gov.in/sebi_data/attachdocs/1295948945719.pdf" TargetMode="External" Id="rId3716" /><Relationship Type="http://schemas.openxmlformats.org/officeDocument/2006/relationships/hyperlink" Target="https://www.sebi.gov.in/filings/public-issues/jan-2011/point-red-telecom-limited_14566.html" TargetMode="External" Id="rId3717" /><Relationship Type="http://schemas.openxmlformats.org/officeDocument/2006/relationships/hyperlink" Target="https://www.sebi.gov.in/sebi_data/commondocs/Processing1011_h.html" TargetMode="External" Id="rId3718" /><Relationship Type="http://schemas.openxmlformats.org/officeDocument/2006/relationships/hyperlink" Target="https://www.sebi.gov.in/sebi_data/attachdocs/1295949004642.pdf" TargetMode="External" Id="rId3719" /><Relationship Type="http://schemas.openxmlformats.org/officeDocument/2006/relationships/hyperlink" Target="https://www.sebi.gov.in/filings/public-issues/jan-2011/trim-plastics-limited_14567.html" TargetMode="External" Id="rId3720" /><Relationship Type="http://schemas.openxmlformats.org/officeDocument/2006/relationships/hyperlink" Target="https://www.business-standard.com/markets/ipo/trim-plastics-ltd-ipo-40542" TargetMode="External" Id="rId3721" /><Relationship Type="http://schemas.openxmlformats.org/officeDocument/2006/relationships/hyperlink" Target="https://www.sebi.gov.in/sebi_data/attachdocs/1295949079268.pdf" TargetMode="External" Id="rId3722" /><Relationship Type="http://schemas.openxmlformats.org/officeDocument/2006/relationships/hyperlink" Target="https://www.sebi.gov.in/filings/public-issues/jan-2011/tata-autocomp-systems-limited_14568.html" TargetMode="External" Id="rId3723" /><Relationship Type="http://schemas.openxmlformats.org/officeDocument/2006/relationships/hyperlink" Target="https://www.moneylife.in/article/tata-autocomp-systems-ipo-likely-over-next-two-weeks/17503.html" TargetMode="External" Id="rId3724" /><Relationship Type="http://schemas.openxmlformats.org/officeDocument/2006/relationships/hyperlink" Target="https://www.sebi.gov.in/sebi_data/attachdocs/1295949512336.pdf" TargetMode="External" Id="rId3725" /><Relationship Type="http://schemas.openxmlformats.org/officeDocument/2006/relationships/hyperlink" Target="https://www.sebi.gov.in/filings/public-issues/jan-2011/taksheel-solutions-ltd_14569.html" TargetMode="External" Id="rId3726" /><Relationship Type="http://schemas.openxmlformats.org/officeDocument/2006/relationships/hyperlink" Target="https://www.chittorgarh.com/ipo/taksheel_solutions_ipo/326/" TargetMode="External" Id="rId3727" /><Relationship Type="http://schemas.openxmlformats.org/officeDocument/2006/relationships/hyperlink" Target="https://www.sebi.gov.in/sebi_data/attachdocs/1295949634250.pdf" TargetMode="External" Id="rId3728" /><Relationship Type="http://schemas.openxmlformats.org/officeDocument/2006/relationships/hyperlink" Target="https://www.sebi.gov.in/filings/public-issues/dec-2010/lokmat-media-limited_14570.html" TargetMode="External" Id="rId3729" /><Relationship Type="http://schemas.openxmlformats.org/officeDocument/2006/relationships/hyperlink" Target="https://www.sebi.gov.in/sebi_data/attachdocs/1294031557334.pdf" TargetMode="External" Id="rId3730" /><Relationship Type="http://schemas.openxmlformats.org/officeDocument/2006/relationships/hyperlink" Target="https://www.sebi.gov.in/filings/public-issues/dec-2010/modern-tube-industries-limited_14106.html" TargetMode="External" Id="rId3731" /><Relationship Type="http://schemas.openxmlformats.org/officeDocument/2006/relationships/hyperlink" Target="https://www.sebi.gov.in/sebi_data/attachdocs/1294031662978.pdf" TargetMode="External" Id="rId3732" /><Relationship Type="http://schemas.openxmlformats.org/officeDocument/2006/relationships/hyperlink" Target="https://www.sebi.gov.in/filings/public-issues/dec-2010/net-alter-software-limited_14107.html" TargetMode="External" Id="rId3733" /><Relationship Type="http://schemas.openxmlformats.org/officeDocument/2006/relationships/hyperlink" Target="https://www.sebi.gov.in/sebi_data/attachdocs/1294031472237.pdf" TargetMode="External" Id="rId3734" /><Relationship Type="http://schemas.openxmlformats.org/officeDocument/2006/relationships/hyperlink" Target="https://www.sebi.gov.in/filings/public-issues/dec-2010/sabari-inn-limited_14105.html" TargetMode="External" Id="rId3735" /><Relationship Type="http://schemas.openxmlformats.org/officeDocument/2006/relationships/hyperlink" Target="https://www.sebi.gov.in/sebi_data/attachdocs/1294031751991.pdf" TargetMode="External" Id="rId3736" /><Relationship Type="http://schemas.openxmlformats.org/officeDocument/2006/relationships/hyperlink" Target="https://www.sebi.gov.in/filings/public-issues/dec-2010/ptc-india-financial-services-limited_14108.html" TargetMode="External" Id="rId3737" /><Relationship Type="http://schemas.openxmlformats.org/officeDocument/2006/relationships/hyperlink" Target="https://www.sebi.gov.in/sebi_data/attachdocs/1294031817219.pdf" TargetMode="External" Id="rId3738" /><Relationship Type="http://schemas.openxmlformats.org/officeDocument/2006/relationships/hyperlink" Target="https://www.sebi.gov.in/filings/public-issues/dec-2010/onelife-capital-advisors-limited_14109.html" TargetMode="External" Id="rId3739" /><Relationship Type="http://schemas.openxmlformats.org/officeDocument/2006/relationships/hyperlink" Target="https://www.sebi.gov.in/sebi_data/attachdocs/1294031891839.pdf" TargetMode="External" Id="rId3740" /><Relationship Type="http://schemas.openxmlformats.org/officeDocument/2006/relationships/hyperlink" Target="https://www.sebi.gov.in/filings/public-issues/dec-2010/sabari-inn-limited_14110.html" TargetMode="External" Id="rId3741" /><Relationship Type="http://schemas.openxmlformats.org/officeDocument/2006/relationships/hyperlink" Target="https://www.sebi.gov.in/sebi_data/attachdocs/1294032849402.pdf" TargetMode="External" Id="rId3742" /><Relationship Type="http://schemas.openxmlformats.org/officeDocument/2006/relationships/hyperlink" Target="https://www.sebi.gov.in/filings/public-issues/dec-2010/shree-hanuman-sugar-and-industries-ltd_14112.html" TargetMode="External" Id="rId3743" /><Relationship Type="http://schemas.openxmlformats.org/officeDocument/2006/relationships/hyperlink" Target="https://www.sebi.gov.in/sebi_data/attachdocs/1294032954699.pdf" TargetMode="External" Id="rId3744" /><Relationship Type="http://schemas.openxmlformats.org/officeDocument/2006/relationships/hyperlink" Target="https://www.sebi.gov.in/filings/public-issues/dec-2010/vrl-logistics-limited_14113.html" TargetMode="External" Id="rId3745" /><Relationship Type="http://schemas.openxmlformats.org/officeDocument/2006/relationships/hyperlink" Target="https://www.business-standard.com/markets/ipo/vrl-logistics-ltd-ipo-29776" TargetMode="External" Id="rId3746" /><Relationship Type="http://schemas.openxmlformats.org/officeDocument/2006/relationships/hyperlink" Target="https://www.sebi.gov.in/sebi_data/attachdocs/1294033665365.pdf" TargetMode="External" Id="rId3747" /><Relationship Type="http://schemas.openxmlformats.org/officeDocument/2006/relationships/hyperlink" Target="https://www.sebi.gov.in/filings/public-issues/dec-2010/reid-and-taylor-india-limited_14114.html" TargetMode="External" Id="rId3748" /><Relationship Type="http://schemas.openxmlformats.org/officeDocument/2006/relationships/hyperlink" Target="https://www.business-standard.com/article/markets/sknl-arm-reid-taylor-s-ipo-by-end-fy11-111012700218_1.html" TargetMode="External" Id="rId3749" /><Relationship Type="http://schemas.openxmlformats.org/officeDocument/2006/relationships/hyperlink" Target="https://www.sebi.gov.in/sebi_data/attachdocs/1294033779420.pdf" TargetMode="External" Id="rId3750" /><Relationship Type="http://schemas.openxmlformats.org/officeDocument/2006/relationships/hyperlink" Target="https://www.sebi.gov.in/filings/public-issues/dec-2010/olympic-cards-limited_14115.html" TargetMode="External" Id="rId3751" /><Relationship Type="http://schemas.openxmlformats.org/officeDocument/2006/relationships/hyperlink" Target="https://www.sebi.gov.in/sebi_data/attachdocs/1294033882488.pdf" TargetMode="External" Id="rId3752" /><Relationship Type="http://schemas.openxmlformats.org/officeDocument/2006/relationships/hyperlink" Target="https://www.sebi.gov.in/filings/public-issues/dec-2010/max-flex-and-imaging-system-limited_14116.html" TargetMode="External" Id="rId3753" /><Relationship Type="http://schemas.openxmlformats.org/officeDocument/2006/relationships/hyperlink" Target="https://www.sebi.gov.in/sebi_data/attachdocs/1294033998838.pdf" TargetMode="External" Id="rId3754" /><Relationship Type="http://schemas.openxmlformats.org/officeDocument/2006/relationships/hyperlink" Target="https://www.sebi.gov.in/filings/public-issues/nov-2010/plastene-india-ltd_14117.html" TargetMode="External" Id="rId3755" /><Relationship Type="http://schemas.openxmlformats.org/officeDocument/2006/relationships/hyperlink" Target="https://www.chittorgarh.com/ipo/plastene_ipo/341/" TargetMode="External" Id="rId3756" /><Relationship Type="http://schemas.openxmlformats.org/officeDocument/2006/relationships/hyperlink" Target="https://www.sebi.gov.in/sebi_data/attachdocs/1294034061065.pdf" TargetMode="External" Id="rId3757" /><Relationship Type="http://schemas.openxmlformats.org/officeDocument/2006/relationships/hyperlink" Target="https://www.sebi.gov.in/filings/public-issues/nov-2010/brooks-laboratories-ltd_14118.html" TargetMode="External" Id="rId3758" /><Relationship Type="http://schemas.openxmlformats.org/officeDocument/2006/relationships/hyperlink" Target="https://www.sebi.gov.in/sebi_data/attachdocs/1294034126382.pdf" TargetMode="External" Id="rId3759" /><Relationship Type="http://schemas.openxmlformats.org/officeDocument/2006/relationships/hyperlink" Target="https://www.sebi.gov.in/filings/public-issues/nov-2010/readymade-steel-india-limited_14119.html" TargetMode="External" Id="rId3760" /><Relationship Type="http://schemas.openxmlformats.org/officeDocument/2006/relationships/hyperlink" Target="https://www.sebi.gov.in/sebi_data/attachdocs/1294034223614.pdf" TargetMode="External" Id="rId3761" /><Relationship Type="http://schemas.openxmlformats.org/officeDocument/2006/relationships/hyperlink" Target="https://www.sebi.gov.in/filings/public-issues/nov-2010/semantic-space-technologies-limited_14121.html" TargetMode="External" Id="rId3762" /><Relationship Type="http://schemas.openxmlformats.org/officeDocument/2006/relationships/hyperlink" Target="https://www.sebi.gov.in/sebi_data/attachdocs/1294034286562.pdf" TargetMode="External" Id="rId3763" /><Relationship Type="http://schemas.openxmlformats.org/officeDocument/2006/relationships/hyperlink" Target="https://www.sebi.gov.in/filings/public-issues/nov-2010/lovable-lingerie-limited_14123.html" TargetMode="External" Id="rId3764" /><Relationship Type="http://schemas.openxmlformats.org/officeDocument/2006/relationships/hyperlink" Target="https://www.sebi.gov.in/sebi_data/attachdocs/1291272068658.pdf" TargetMode="External" Id="rId3765" /><Relationship Type="http://schemas.openxmlformats.org/officeDocument/2006/relationships/hyperlink" Target="https://www.sebi.gov.in/filings/public-issues/nov-2010/gemini-engi-fab-limited_7308.html" TargetMode="External" Id="rId3766" /><Relationship Type="http://schemas.openxmlformats.org/officeDocument/2006/relationships/hyperlink" Target="https://www.chittorgarh.com/ipo/gemini_engi-fab_ipo/193/" TargetMode="External" Id="rId3767" /><Relationship Type="http://schemas.openxmlformats.org/officeDocument/2006/relationships/hyperlink" Target="https://www.sebi.gov.in/sebi_data/attachdocs/1291275278720.pdf" TargetMode="External" Id="rId3768" /><Relationship Type="http://schemas.openxmlformats.org/officeDocument/2006/relationships/hyperlink" Target="https://www.sebi.gov.in/filings/public-issues/nov-2010/bharatiya-global-infomedia-limited_7357.html" TargetMode="External" Id="rId3769" /><Relationship Type="http://schemas.openxmlformats.org/officeDocument/2006/relationships/hyperlink" Target="https://www.sebi.gov.in/sebi_data/attachdocs/1291275390498.pdf" TargetMode="External" Id="rId3770" /><Relationship Type="http://schemas.openxmlformats.org/officeDocument/2006/relationships/hyperlink" Target="https://www.sebi.gov.in/filings/public-issues/nov-2010/palco-recycle-industries-limited_7360.html" TargetMode="External" Id="rId3771" /><Relationship Type="http://schemas.openxmlformats.org/officeDocument/2006/relationships/hyperlink" Target="https://www.business-standard.com/markets/ipo/palco-recycle-industries-ltd-ipo-40477" TargetMode="External" Id="rId3772" /><Relationship Type="http://schemas.openxmlformats.org/officeDocument/2006/relationships/hyperlink" Target="https://www.sebi.gov.in/sebi_data/attachdocs/1287654517123.pdf" TargetMode="External" Id="rId3773" /><Relationship Type="http://schemas.openxmlformats.org/officeDocument/2006/relationships/hyperlink" Target="https://www.sebi.gov.in/filings/public-issues/oct-2010/the-shipping-corporation-of-india-limited_313.html" TargetMode="External" Id="rId3774" /><Relationship Type="http://schemas.openxmlformats.org/officeDocument/2006/relationships/hyperlink" Target="https://www.sebi.gov.in/sebi_data/attachdocs/1294980299786.pdf" TargetMode="External" Id="rId3775" /><Relationship Type="http://schemas.openxmlformats.org/officeDocument/2006/relationships/hyperlink" Target="https://www.sebi.gov.in/filings/public-issues/oct-2010/innoventive-industries-limited_14275.html" TargetMode="External" Id="rId3776" /><Relationship Type="http://schemas.openxmlformats.org/officeDocument/2006/relationships/hyperlink" Target="https://www.chittorgarh.com/ipo/innoventive_industries_ipo/303/" TargetMode="External" Id="rId3777" /><Relationship Type="http://schemas.openxmlformats.org/officeDocument/2006/relationships/hyperlink" Target="https://www.sebi.gov.in/sebi_data/attachdocs/1287654560946.pdf" TargetMode="External" Id="rId3778" /><Relationship Type="http://schemas.openxmlformats.org/officeDocument/2006/relationships/hyperlink" Target="https://www.sebi.gov.in/filings/public-issues/oct-2010/marck-biosciences-limited_314.html" TargetMode="External" Id="rId3779" /><Relationship Type="http://schemas.openxmlformats.org/officeDocument/2006/relationships/hyperlink" Target="https://www.sebi.gov.in/sebi_data/attachdocs/1287654839515.pdf" TargetMode="External" Id="rId3780" /><Relationship Type="http://schemas.openxmlformats.org/officeDocument/2006/relationships/hyperlink" Target="https://www.sebi.gov.in/filings/public-issues/oct-2010/micromax-informatics-limited_319.html" TargetMode="External" Id="rId3781" /><Relationship Type="http://schemas.openxmlformats.org/officeDocument/2006/relationships/hyperlink" Target="https://www.business-standard.com/amp/article/markets/micromax-gets-sebi-nod-for-ipo-111011800198_1.html" TargetMode="External" Id="rId3782" /><Relationship Type="http://schemas.openxmlformats.org/officeDocument/2006/relationships/hyperlink" Target="https://www.sebi.gov.in/sebi_data/attachdocs/1287654809561.pdf" TargetMode="External" Id="rId3783" /><Relationship Type="http://schemas.openxmlformats.org/officeDocument/2006/relationships/hyperlink" Target="https://www.sebi.gov.in/filings/public-issues/oct-2010/nimbus-communications-limited_318.html" TargetMode="External" Id="rId3784" /><Relationship Type="http://schemas.openxmlformats.org/officeDocument/2006/relationships/hyperlink" Target="https://www.business-standard.com/article/companies/nimbus-comm-to-raise-rs-900-cr-via-ipo-in-jan-110111100203_1.html" TargetMode="External" Id="rId3785" /><Relationship Type="http://schemas.openxmlformats.org/officeDocument/2006/relationships/hyperlink" Target="https://www.sebi.gov.in/sebi_data/attachdocs/1287654699124.pdf" TargetMode="External" Id="rId3786" /><Relationship Type="http://schemas.openxmlformats.org/officeDocument/2006/relationships/hyperlink" Target="https://www.sebi.gov.in/filings/public-issues/oct-2010/scotts-garments-limited_316.html" TargetMode="External" Id="rId3787" /><Relationship Type="http://schemas.openxmlformats.org/officeDocument/2006/relationships/hyperlink" Target="https://www.chittorgarh.com/ipo/scotts_garments_ipo/376/" TargetMode="External" Id="rId3788" /><Relationship Type="http://schemas.openxmlformats.org/officeDocument/2006/relationships/hyperlink" Target="https://www.sebi.gov.in/sebi_data/attachdocs/1287654602793.pdf" TargetMode="External" Id="rId3789" /><Relationship Type="http://schemas.openxmlformats.org/officeDocument/2006/relationships/hyperlink" Target="https://www.sebi.gov.in/filings/public-issues/oct-2010/sonear-industries-limited_315.html" TargetMode="External" Id="rId3790" /><Relationship Type="http://schemas.openxmlformats.org/officeDocument/2006/relationships/hyperlink" Target="https://www.sebi.gov.in/sebi_data/attachdocs/1287654740400.pdf" TargetMode="External" Id="rId3791" /><Relationship Type="http://schemas.openxmlformats.org/officeDocument/2006/relationships/hyperlink" Target="https://www.sebi.gov.in/filings/public-issues/oct-2010/tara-jewels-limited_317.html" TargetMode="External" Id="rId3792" /><Relationship Type="http://schemas.openxmlformats.org/officeDocument/2006/relationships/hyperlink" Target="https://www.chittorgarh.com/ipo/tara_jewels_ipo/356/" TargetMode="External" Id="rId3793" /><Relationship Type="http://schemas.openxmlformats.org/officeDocument/2006/relationships/hyperlink" Target="https://www.sebi.gov.in/sebi_data/attachdocs/1287654998251.pdf" TargetMode="External" Id="rId3794" /><Relationship Type="http://schemas.openxmlformats.org/officeDocument/2006/relationships/hyperlink" Target="https://www.sebi.gov.in/filings/public-issues/oct-2010/emaar-mgf-land-limited_323.html" TargetMode="External" Id="rId3795" /><Relationship Type="http://schemas.openxmlformats.org/officeDocument/2006/relationships/hyperlink" Target="https://www.chittorgarh.com/ipo/mgf_ipo/152/" TargetMode="External" Id="rId3796" /><Relationship Type="http://schemas.openxmlformats.org/officeDocument/2006/relationships/hyperlink" Target="https://www.sebi.gov.in/sebi_data/attachdocs/1287654921886.pdf" TargetMode="External" Id="rId3797" /><Relationship Type="http://schemas.openxmlformats.org/officeDocument/2006/relationships/hyperlink" Target="https://www.sebi.gov.in/filings/public-issues/oct-2010/muthoot-finance-limited_321.html" TargetMode="External" Id="rId3798" /><Relationship Type="http://schemas.openxmlformats.org/officeDocument/2006/relationships/hyperlink" Target="https://www.sebi.gov.in/sebi_data/attachdocs/1287655077290.pdf" TargetMode="External" Id="rId3799" /><Relationship Type="http://schemas.openxmlformats.org/officeDocument/2006/relationships/hyperlink" Target="https://www.sebi.gov.in/filings/public-issues/oct-2010/pride-hotels-limited_325.html" TargetMode="External" Id="rId3800" /><Relationship Type="http://schemas.openxmlformats.org/officeDocument/2006/relationships/hyperlink" Target="https://www.chittorgarh.com/ipo/pride-hotels-ipo/2683/" TargetMode="External" Id="rId3801" /><Relationship Type="http://schemas.openxmlformats.org/officeDocument/2006/relationships/hyperlink" Target="https://www.sebi.gov.in/sebi_data/attachdocs/1287654953690.pdf" TargetMode="External" Id="rId3802" /><Relationship Type="http://schemas.openxmlformats.org/officeDocument/2006/relationships/hyperlink" Target="https://www.sebi.gov.in/filings/public-issues/oct-2010/tara-health-foods-limited_322.html" TargetMode="External" Id="rId3803" /><Relationship Type="http://schemas.openxmlformats.org/officeDocument/2006/relationships/hyperlink" Target="https://www.chittorgarh.com/ipo/tara_health_ipo/244/" TargetMode="External" Id="rId3804" /><Relationship Type="http://schemas.openxmlformats.org/officeDocument/2006/relationships/hyperlink" Target="https://www.sebi.gov.in/sebi_data/attachdocs/1287654874093.pdf" TargetMode="External" Id="rId3805" /><Relationship Type="http://schemas.openxmlformats.org/officeDocument/2006/relationships/hyperlink" Target="https://www.sebi.gov.in/filings/public-issues/oct-2010/tijaria-polypipes-limited_320.html" TargetMode="External" Id="rId3806" /><Relationship Type="http://schemas.openxmlformats.org/officeDocument/2006/relationships/hyperlink" Target="https://www.sebi.gov.in/sebi_data/attachdocs/1287655027066.pdf" TargetMode="External" Id="rId3807" /><Relationship Type="http://schemas.openxmlformats.org/officeDocument/2006/relationships/hyperlink" Target="https://www.sebi.gov.in/filings/public-issues/oct-2010/unijules-life-science-limited_324.html" TargetMode="External" Id="rId3808" /><Relationship Type="http://schemas.openxmlformats.org/officeDocument/2006/relationships/hyperlink" Target="https://www.sebi.gov.in/sebi_data/attachdocs/1287656094596.pdf" TargetMode="External" Id="rId3809" /><Relationship Type="http://schemas.openxmlformats.org/officeDocument/2006/relationships/hyperlink" Target="https://www.sebi.gov.in/filings/public-issues/oct-2010/endurance-technologies-limited_327.html" TargetMode="External" Id="rId3810" /><Relationship Type="http://schemas.openxmlformats.org/officeDocument/2006/relationships/hyperlink" Target="https://www.chittorgarh.com/ipo/endurance-technologies-ipo/593/" TargetMode="External" Id="rId3811" /><Relationship Type="http://schemas.openxmlformats.org/officeDocument/2006/relationships/hyperlink" Target="https://www.sebi.gov.in/sebi_data/attachdocs/1287656054703.pdf" TargetMode="External" Id="rId3812" /><Relationship Type="http://schemas.openxmlformats.org/officeDocument/2006/relationships/hyperlink" Target="https://www.sebi.gov.in/filings/public-issues/oct-2010/vaswani-industries-limited_326.html" TargetMode="External" Id="rId3813" /><Relationship Type="http://schemas.openxmlformats.org/officeDocument/2006/relationships/hyperlink" Target="https://www.sebi.gov.in/sebi_data/attachdocs/1287642829235.pdf" TargetMode="External" Id="rId3814" /><Relationship Type="http://schemas.openxmlformats.org/officeDocument/2006/relationships/hyperlink" Target="https://www.sebi.gov.in/filings/public-issues/sep-2010/hindustan-copper-limited_236.html" TargetMode="External" Id="rId3815" /><Relationship Type="http://schemas.openxmlformats.org/officeDocument/2006/relationships/hyperlink" Target="https://www.business-standard.com/article/companies/hind-copper-files-draft-prospectus-for-20-fpo-110092700185_1.html" TargetMode="External" Id="rId3816" /><Relationship Type="http://schemas.openxmlformats.org/officeDocument/2006/relationships/hyperlink" Target="https://www.sebi.gov.in/sebi_data/attachdocs/1287642764803.pdf" TargetMode="External" Id="rId3817" /><Relationship Type="http://schemas.openxmlformats.org/officeDocument/2006/relationships/hyperlink" Target="https://www.sebi.gov.in/filings/public-issues/sep-2010/sanghvi-forging-and-engineering-ltd_235.html" TargetMode="External" Id="rId3818" /><Relationship Type="http://schemas.openxmlformats.org/officeDocument/2006/relationships/hyperlink" Target="https://www.sebi.gov.in/sebi_data/attachdocs/1287642884321.pdf" TargetMode="External" Id="rId3819" /><Relationship Type="http://schemas.openxmlformats.org/officeDocument/2006/relationships/hyperlink" Target="https://www.sebi.gov.in/filings/public-issues/sep-2010/fineotex-chemical-limited_237.html" TargetMode="External" Id="rId3820" /><Relationship Type="http://schemas.openxmlformats.org/officeDocument/2006/relationships/hyperlink" Target="https://www.sebi.gov.in/sebi_data/attachdocs/1287470499930.pdf" TargetMode="External" Id="rId3821" /><Relationship Type="http://schemas.openxmlformats.org/officeDocument/2006/relationships/hyperlink" Target="https://www.sebi.gov.in/filings/public-issues/sep-2010/l-and-t-finance-holdings-limited_137.html" TargetMode="External" Id="rId3822" /><Relationship Type="http://schemas.openxmlformats.org/officeDocument/2006/relationships/hyperlink" Target="https://www.sebi.gov.in/sebi_data/attachdocs/1287470583846.pdf" TargetMode="External" Id="rId3823" /><Relationship Type="http://schemas.openxmlformats.org/officeDocument/2006/relationships/hyperlink" Target="https://www.sebi.gov.in/filings/public-issues/sep-2010/moil-limited_138.html" TargetMode="External" Id="rId3824" /><Relationship Type="http://schemas.openxmlformats.org/officeDocument/2006/relationships/hyperlink" Target="https://www.sebi.gov.in/sebi_data/attachdocs/1287470358708.pdf" TargetMode="External" Id="rId3825" /><Relationship Type="http://schemas.openxmlformats.org/officeDocument/2006/relationships/hyperlink" Target="https://www.sebi.gov.in/filings/public-issues/sep-2010/ags-transact-technologies-limited_135.html" TargetMode="External" Id="rId3826" /><Relationship Type="http://schemas.openxmlformats.org/officeDocument/2006/relationships/hyperlink" Target="https://www.chittorgarh.com/ipo/ags-transact-ipo/1209/" TargetMode="External" Id="rId3827" /><Relationship Type="http://schemas.openxmlformats.org/officeDocument/2006/relationships/hyperlink" Target="https://www.sebi.gov.in/sebi_data/attachdocs/1287470300082.pdf" TargetMode="External" Id="rId3828" /><Relationship Type="http://schemas.openxmlformats.org/officeDocument/2006/relationships/hyperlink" Target="https://www.sebi.gov.in/filings/public-issues/sep-2010/aravali-infrapower-limited_134.html" TargetMode="External" Id="rId3829" /><Relationship Type="http://schemas.openxmlformats.org/officeDocument/2006/relationships/hyperlink" Target="https://www.business-standard.com/markets/ipo/aravali-infrapower-ltd-ipo-30295" TargetMode="External" Id="rId3830" /><Relationship Type="http://schemas.openxmlformats.org/officeDocument/2006/relationships/hyperlink" Target="https://www.sebi.gov.in/sebi_data/attachdocs/1287470434294.pdf" TargetMode="External" Id="rId3831" /><Relationship Type="http://schemas.openxmlformats.org/officeDocument/2006/relationships/hyperlink" Target="https://www.sebi.gov.in/filings/public-issues/sep-2010/timbor-home-limited_136.html" TargetMode="External" Id="rId3832" /><Relationship Type="http://schemas.openxmlformats.org/officeDocument/2006/relationships/hyperlink" Target="https://www.chittorgarh.com/ipo/timbor_home_ipo/312/" TargetMode="External" Id="rId3833" /><Relationship Type="http://schemas.openxmlformats.org/officeDocument/2006/relationships/hyperlink" Target="https://www.sebi.gov.in/sebi_data/attachdocs/1287470172089.pdf" TargetMode="External" Id="rId3834" /><Relationship Type="http://schemas.openxmlformats.org/officeDocument/2006/relationships/hyperlink" Target="https://www.sebi.gov.in/filings/public-issues/sep-2010/kalpataru-limited_132.html" TargetMode="External" Id="rId3835" /><Relationship Type="http://schemas.openxmlformats.org/officeDocument/2006/relationships/hyperlink" Target="https://www.business-standard.com/markets/ipo/kalpataru-ltd-ipo-25565" TargetMode="External" Id="rId3836" /><Relationship Type="http://schemas.openxmlformats.org/officeDocument/2006/relationships/hyperlink" Target="https://www.sebi.gov.in/sebi_data/attachdocs/1287470246589.pdf" TargetMode="External" Id="rId3837" /><Relationship Type="http://schemas.openxmlformats.org/officeDocument/2006/relationships/hyperlink" Target="https://www.sebi.gov.in/filings/public-issues/sep-2010/paramount-printpackaging-limited_133.html" TargetMode="External" Id="rId3838" /><Relationship Type="http://schemas.openxmlformats.org/officeDocument/2006/relationships/hyperlink" Target="https://www.chittorgarh.com/ipo/paramount_printpackaging_ipo/302/" TargetMode="External" Id="rId3839" /><Relationship Type="http://schemas.openxmlformats.org/officeDocument/2006/relationships/hyperlink" Target="https://www.sebi.gov.in/sebi_data/attachdocs/1287470033714.pdf" TargetMode="External" Id="rId3840" /><Relationship Type="http://schemas.openxmlformats.org/officeDocument/2006/relationships/hyperlink" Target="https://www.sebi.gov.in/filings/public-issues/sep-2010/pg-electroplast-limited_130.html" TargetMode="External" Id="rId3841" /><Relationship Type="http://schemas.openxmlformats.org/officeDocument/2006/relationships/hyperlink" Target="https://www.sebi.gov.in/sebi_data/attachdocs/1287470111452.pdf" TargetMode="External" Id="rId3842" /><Relationship Type="http://schemas.openxmlformats.org/officeDocument/2006/relationships/hyperlink" Target="https://www.sebi.gov.in/filings/public-issues/sep-2010/rama-medicares-limited_131.html" TargetMode="External" Id="rId3843" /><Relationship Type="http://schemas.openxmlformats.org/officeDocument/2006/relationships/hyperlink" Target="https://www.sebi.gov.in/sebi_data/attachdocs/1287469924881.pdf" TargetMode="External" Id="rId3844" /><Relationship Type="http://schemas.openxmlformats.org/officeDocument/2006/relationships/hyperlink" Target="https://www.sebi.gov.in/filings/public-issues/sep-2010/blend-financial-services-limited_129.html" TargetMode="External" Id="rId3845" /><Relationship Type="http://schemas.openxmlformats.org/officeDocument/2006/relationships/hyperlink" Target="https://www.business-standard.com/markets/ipo/blend-financial-services-ltd-ipo-40447" TargetMode="External" Id="rId3846" /><Relationship Type="http://schemas.openxmlformats.org/officeDocument/2006/relationships/hyperlink" Target="https://www.sebi.gov.in/sebi_data/attachdocs/1287469816238.pdf" TargetMode="External" Id="rId3847" /><Relationship Type="http://schemas.openxmlformats.org/officeDocument/2006/relationships/hyperlink" Target="https://www.sebi.gov.in/filings/public-issues/sep-2010/aanjaneya-lifecare-limited_127.html" TargetMode="External" Id="rId3848" /><Relationship Type="http://schemas.openxmlformats.org/officeDocument/2006/relationships/hyperlink" Target="https://www.chittorgarh.com/ipo/aanjaneya_ipo/308/" TargetMode="External" Id="rId3849" /><Relationship Type="http://schemas.openxmlformats.org/officeDocument/2006/relationships/hyperlink" Target="https://www.sebi.gov.in/sebi_data/attachdocs/1287469863768.pdf" TargetMode="External" Id="rId3850" /><Relationship Type="http://schemas.openxmlformats.org/officeDocument/2006/relationships/hyperlink" Target="https://www.sebi.gov.in/filings/public-issues/sep-2010/lavasa-corporation-limited_128.html" TargetMode="External" Id="rId3851" /><Relationship Type="http://schemas.openxmlformats.org/officeDocument/2006/relationships/hyperlink" Target="https://www.business-standard.com/markets/ipo/lavasa-corporation-ltd-ipo-34370" TargetMode="External" Id="rId3852" /><Relationship Type="http://schemas.openxmlformats.org/officeDocument/2006/relationships/hyperlink" Target="https://www.sebi.gov.in/sebi_data/attachdocs/1287467773954.pdf" TargetMode="External" Id="rId3853" /><Relationship Type="http://schemas.openxmlformats.org/officeDocument/2006/relationships/hyperlink" Target="https://www.sebi.gov.in/filings/public-issues/sep-2010/iot-infrastructure-and-energy-services-limited_125.html" TargetMode="External" Id="rId3854" /><Relationship Type="http://schemas.openxmlformats.org/officeDocument/2006/relationships/hyperlink" Target="https://www.business-standard.com/markets/ipo/iot-infrastructure-energy-services-ltd-ipo-35530" TargetMode="External" Id="rId3855" /><Relationship Type="http://schemas.openxmlformats.org/officeDocument/2006/relationships/hyperlink" Target="https://www.sebi.gov.in/sebi_data/attachdocs/1287469544689.pdf" TargetMode="External" Id="rId3856" /><Relationship Type="http://schemas.openxmlformats.org/officeDocument/2006/relationships/hyperlink" Target="https://www.sebi.gov.in/filings/public-issues/sep-2010/servalakshmi-paper-limited_126.html" TargetMode="External" Id="rId3857" /><Relationship Type="http://schemas.openxmlformats.org/officeDocument/2006/relationships/hyperlink" Target="https://www.chittorgarh.com/ipo/servalakshmi_ipo/301/" TargetMode="External" Id="rId3858" /><Relationship Type="http://schemas.openxmlformats.org/officeDocument/2006/relationships/hyperlink" Target="https://www.sebi.gov.in/sebi_data/attachdocs/1287467636587.pdf" TargetMode="External" Id="rId3859" /><Relationship Type="http://schemas.openxmlformats.org/officeDocument/2006/relationships/hyperlink" Target="https://www.sebi.gov.in/filings/public-issues/sep-2010/svec-constructions-ltd_124.html" TargetMode="External" Id="rId3860" /><Relationship Type="http://schemas.openxmlformats.org/officeDocument/2006/relationships/hyperlink" Target="https://www.business-standard.com/markets/ipo/svec-construction-ltd-ipo-28054" TargetMode="External" Id="rId3861" /><Relationship Type="http://schemas.openxmlformats.org/officeDocument/2006/relationships/hyperlink" Target="https://www.sebi.gov.in/sebi_data/attachdocs/1287809182846.pdf" TargetMode="External" Id="rId3862" /><Relationship Type="http://schemas.openxmlformats.org/officeDocument/2006/relationships/hyperlink" Target="https://www.sebi.gov.in/filings/public-issues/sep-2010/sudar-garments-limited_624.html" TargetMode="External" Id="rId3863" /><Relationship Type="http://schemas.openxmlformats.org/officeDocument/2006/relationships/hyperlink" Target="https://www.chittorgarh.com/ipo/sudar_ipo/295/" TargetMode="External" Id="rId3864" /><Relationship Type="http://schemas.openxmlformats.org/officeDocument/2006/relationships/hyperlink" Target="https://www.sebi.gov.in/sebi_data/attachdocs/1287467570242.pdf" TargetMode="External" Id="rId3865" /><Relationship Type="http://schemas.openxmlformats.org/officeDocument/2006/relationships/hyperlink" Target="https://www.sebi.gov.in/filings/public-issues/sep-2010/future-ventures-india-limited_123.html" TargetMode="External" Id="rId3866" /><Relationship Type="http://schemas.openxmlformats.org/officeDocument/2006/relationships/hyperlink" Target="https://www.chittorgarh.com/ipo/future_ventures_ipo/304/" TargetMode="External" Id="rId3867" /><Relationship Type="http://schemas.openxmlformats.org/officeDocument/2006/relationships/hyperlink" Target="https://www.sebi.gov.in/sebi_data/attachdocs/1287467480414.pdf" TargetMode="External" Id="rId3868" /><Relationship Type="http://schemas.openxmlformats.org/officeDocument/2006/relationships/hyperlink" Target="https://www.sebi.gov.in/filings/public-issues/sep-2010/shilpi-cable-technologies-limited_122.html" TargetMode="External" Id="rId3869" /><Relationship Type="http://schemas.openxmlformats.org/officeDocument/2006/relationships/hyperlink" Target="https://www.chittorgarh.com/ipo/shilpi_cables_ipo/299/" TargetMode="External" Id="rId3870" /><Relationship Type="http://schemas.openxmlformats.org/officeDocument/2006/relationships/hyperlink" Target="https://www.sebi.gov.in/sebi_data/attachdocs/1287467393738.pdf" TargetMode="External" Id="rId3871" /><Relationship Type="http://schemas.openxmlformats.org/officeDocument/2006/relationships/hyperlink" Target="https://www.sebi.gov.in/filings/public-issues/sep-2010/midvalley-entertainment-limited_121.html" TargetMode="External" Id="rId3872" /><Relationship Type="http://schemas.openxmlformats.org/officeDocument/2006/relationships/hyperlink" Target="https://www.chittorgarh.com/ipo/midvalley_entertainment_ipo/291/" TargetMode="External" Id="rId3873" /><Relationship Type="http://schemas.openxmlformats.org/officeDocument/2006/relationships/hyperlink" Target="https://www.sebi.gov.in/sebi_data/attachdocs/1287744304554.pdf" TargetMode="External" Id="rId3874" /><Relationship Type="http://schemas.openxmlformats.org/officeDocument/2006/relationships/hyperlink" Target="https://www.sebi.gov.in/filings/public-issues/aug-2010/dev-procon-limited_599.html" TargetMode="External" Id="rId3875" /><Relationship Type="http://schemas.openxmlformats.org/officeDocument/2006/relationships/hyperlink" Target="https://www.business-standard.com/markets/ipo/dev-procon-ltd-ipo-40433" TargetMode="External" Id="rId3876" /><Relationship Type="http://schemas.openxmlformats.org/officeDocument/2006/relationships/hyperlink" Target="https://www.sebi.gov.in/sebi_data/attachdocs/1287807825099.pdf" TargetMode="External" Id="rId3877" /><Relationship Type="http://schemas.openxmlformats.org/officeDocument/2006/relationships/hyperlink" Target="https://www.sebi.gov.in/filings/public-issues/aug-2010/omkar-speciality-chemicals-limited_617.html" TargetMode="External" Id="rId3878" /><Relationship Type="http://schemas.openxmlformats.org/officeDocument/2006/relationships/hyperlink" Target="https://www.sebi.gov.in/sebi_data/attachdocs/1287807944938.pdf" TargetMode="External" Id="rId3879" /><Relationship Type="http://schemas.openxmlformats.org/officeDocument/2006/relationships/hyperlink" Target="https://www.sebi.gov.in/filings/public-issues/aug-2010/punjab-and-sind-bank_618.html" TargetMode="External" Id="rId3880" /><Relationship Type="http://schemas.openxmlformats.org/officeDocument/2006/relationships/hyperlink" Target="https://www.sebi.gov.in/sebi_data/attachdocs/1287744117450.pdf" TargetMode="External" Id="rId3881" /><Relationship Type="http://schemas.openxmlformats.org/officeDocument/2006/relationships/hyperlink" Target="https://www.sebi.gov.in/filings/public-issues/aug-2010/galaxy-surfactants-limited_598.html" TargetMode="External" Id="rId3882" /><Relationship Type="http://schemas.openxmlformats.org/officeDocument/2006/relationships/hyperlink" Target="https://www.chittorgarh.com/ipo/galaxy_ipo/309/" TargetMode="External" Id="rId3883" /><Relationship Type="http://schemas.openxmlformats.org/officeDocument/2006/relationships/hyperlink" Target="https://www.sebi.gov.in/sebi_data/attachdocs/1287744029412.pdf" TargetMode="External" Id="rId3884" /><Relationship Type="http://schemas.openxmlformats.org/officeDocument/2006/relationships/hyperlink" Target="https://www.sebi.gov.in/filings/public-issues/aug-2010/coal-india-limited_597.html" TargetMode="External" Id="rId3885" /><Relationship Type="http://schemas.openxmlformats.org/officeDocument/2006/relationships/hyperlink" Target="https://www.sebi.gov.in/sebi_data/attachdocs/1287743890901.pdf" TargetMode="External" Id="rId3886" /><Relationship Type="http://schemas.openxmlformats.org/officeDocument/2006/relationships/hyperlink" Target="https://www.sebi.gov.in/filings/public-issues/aug-2010/betul-oil-limited_596.html" TargetMode="External" Id="rId3887" /><Relationship Type="http://schemas.openxmlformats.org/officeDocument/2006/relationships/hyperlink" Target="https://www.business-standard.com/markets/ipo/betul-oil-ltd-ipo-33494" TargetMode="External" Id="rId3888" /><Relationship Type="http://schemas.openxmlformats.org/officeDocument/2006/relationships/hyperlink" Target="https://www.sebi.gov.in/sebi_data/attachdocs/1287743819429.pdf" TargetMode="External" Id="rId3889" /><Relationship Type="http://schemas.openxmlformats.org/officeDocument/2006/relationships/hyperlink" Target="https://www.sebi.gov.in/filings/public-issues/aug-2010/birla-pacific-medspa-limited_595.html" TargetMode="External" Id="rId3890" /><Relationship Type="http://schemas.openxmlformats.org/officeDocument/2006/relationships/hyperlink" Target="https://www.chittorgarh.com/ipo/birla_pacific_medspa_ipo/314/" TargetMode="External" Id="rId3891" /><Relationship Type="http://schemas.openxmlformats.org/officeDocument/2006/relationships/hyperlink" Target="https://www.sebi.gov.in/sebi_data/attachdocs/1287824053650.pdf" TargetMode="External" Id="rId3892" /><Relationship Type="http://schemas.openxmlformats.org/officeDocument/2006/relationships/hyperlink" Target="https://www.sebi.gov.in/filings/public-issues/jul-2010/a2z-maintenance-and-engineering-services-limited_708.html" TargetMode="External" Id="rId3893" /><Relationship Type="http://schemas.openxmlformats.org/officeDocument/2006/relationships/hyperlink" Target="https://www.sebi.gov.in/sebi_data/attachdocs/1287823802940.pdf" TargetMode="External" Id="rId3894" /><Relationship Type="http://schemas.openxmlformats.org/officeDocument/2006/relationships/hyperlink" Target="https://www.sebi.gov.in/filings/public-issues/jul-2010/entertainment-world-developers-limited_706.html" TargetMode="External" Id="rId3895" /><Relationship Type="http://schemas.openxmlformats.org/officeDocument/2006/relationships/hyperlink" Target="https://www.zaubacorp.com/ENTERTAINMENT-WORLD-DEVELOPERS-LIMITED-U45202MH1999PLC164003" TargetMode="External" Id="rId3896" /><Relationship Type="http://schemas.openxmlformats.org/officeDocument/2006/relationships/hyperlink" Target="https://www.sebi.gov.in/sebi_data/attachdocs/1287823961210.pdf" TargetMode="External" Id="rId3897" /><Relationship Type="http://schemas.openxmlformats.org/officeDocument/2006/relationships/hyperlink" Target="https://www.sebi.gov.in/filings/public-issues/jul-2010/srs-limited_707.html" TargetMode="External" Id="rId3898" /><Relationship Type="http://schemas.openxmlformats.org/officeDocument/2006/relationships/hyperlink" Target="https://www.chittorgarh.com/ipo/srs_ipo/320/" TargetMode="External" Id="rId3899" /><Relationship Type="http://schemas.openxmlformats.org/officeDocument/2006/relationships/hyperlink" Target="https://www.sebi.gov.in/sebi_data/attachdocs/1287823377071.pdf" TargetMode="External" Id="rId3900" /><Relationship Type="http://schemas.openxmlformats.org/officeDocument/2006/relationships/hyperlink" Target="https://www.sebi.gov.in/filings/public-issues/jul-2010/embassy-property-developments-limited_703.html" TargetMode="External" Id="rId3901" /><Relationship Type="http://schemas.openxmlformats.org/officeDocument/2006/relationships/hyperlink" Target="https://www.business-standard.com/markets/ipo/embassy-property-developments-pvt-ltd-ipo-40407" TargetMode="External" Id="rId3902" /><Relationship Type="http://schemas.openxmlformats.org/officeDocument/2006/relationships/hyperlink" Target="https://www.sebi.gov.in/sebi_data/attachdocs/1287823603820.pdf" TargetMode="External" Id="rId3903" /><Relationship Type="http://schemas.openxmlformats.org/officeDocument/2006/relationships/hyperlink" Target="https://www.sebi.gov.in/filings/public-issues/jul-2010/tunip-agro-limited_705.html" TargetMode="External" Id="rId3904" /><Relationship Type="http://schemas.openxmlformats.org/officeDocument/2006/relationships/hyperlink" Target="http://www.moneylife.in/article/times-group-backed-tunip-agro-hijacks-lsquoonjusrsquo-brand-plans-ipo/12867.html" TargetMode="External" Id="rId3905" /><Relationship Type="http://schemas.openxmlformats.org/officeDocument/2006/relationships/hyperlink" Target="https://www.sebi.gov.in/sebi_data/attachdocs/1287823531839.pdf" TargetMode="External" Id="rId3906" /><Relationship Type="http://schemas.openxmlformats.org/officeDocument/2006/relationships/hyperlink" Target="https://www.sebi.gov.in/filings/public-issues/jul-2010/virgo-engineers-limited_704.html" TargetMode="External" Id="rId3907" /><Relationship Type="http://schemas.openxmlformats.org/officeDocument/2006/relationships/hyperlink" Target="https://www.business-standard.com/markets/ipo/virgo-engineers-ltd-ipo-23978" TargetMode="External" Id="rId3908" /><Relationship Type="http://schemas.openxmlformats.org/officeDocument/2006/relationships/hyperlink" Target="https://www.sebi.gov.in/sebi_data/attachdocs/1287823187828.pdf" TargetMode="External" Id="rId3909" /><Relationship Type="http://schemas.openxmlformats.org/officeDocument/2006/relationships/hyperlink" Target="https://www.sebi.gov.in/filings/public-issues/jul-2010/shekhawati-poly-yarn-limited_702.html" TargetMode="External" Id="rId3910" /><Relationship Type="http://schemas.openxmlformats.org/officeDocument/2006/relationships/hyperlink" Target="https://www.sebi.gov.in/sebi_data/attachdocs/1287823105028.pdf" TargetMode="External" Id="rId3911" /><Relationship Type="http://schemas.openxmlformats.org/officeDocument/2006/relationships/hyperlink" Target="https://www.sebi.gov.in/filings/public-issues/jul-2010/vms-industries-limited_701.html" TargetMode="External" Id="rId3912" /><Relationship Type="http://schemas.openxmlformats.org/officeDocument/2006/relationships/hyperlink" Target="https://www.sebi.gov.in/sebi_data/attachdocs/1287822811336.pdf" TargetMode="External" Id="rId3913" /><Relationship Type="http://schemas.openxmlformats.org/officeDocument/2006/relationships/hyperlink" Target="https://www.sebi.gov.in/filings/public-issues/jul-2010/jain-infraprojects-limited_699.html" TargetMode="External" Id="rId3914" /><Relationship Type="http://schemas.openxmlformats.org/officeDocument/2006/relationships/hyperlink" Target="https://www.tofler.in/jain-infraprojects-limited/company/U45203WB2006PLC111712" TargetMode="External" Id="rId3915" /><Relationship Type="http://schemas.openxmlformats.org/officeDocument/2006/relationships/hyperlink" Target="https://www.sebi.gov.in/sebi_data/attachdocs/1287822925470.pdf" TargetMode="External" Id="rId3916" /><Relationship Type="http://schemas.openxmlformats.org/officeDocument/2006/relationships/hyperlink" Target="https://www.sebi.gov.in/filings/public-issues/jul-2010/rajputana-stainless-limited_700.html" TargetMode="External" Id="rId3917" /><Relationship Type="http://schemas.openxmlformats.org/officeDocument/2006/relationships/hyperlink" Target="https://www.business-standard.com/markets/ipo/rajputana-stainless-ltd-ipo-40296" TargetMode="External" Id="rId3918" /><Relationship Type="http://schemas.openxmlformats.org/officeDocument/2006/relationships/hyperlink" Target="https://www.sebi.gov.in/sebi_data/attachdocs/1290231310320.pdf" TargetMode="External" Id="rId3919" /><Relationship Type="http://schemas.openxmlformats.org/officeDocument/2006/relationships/hyperlink" Target="https://www.sebi.gov.in/filings/public-issues/jun-2010/milestone-capital-advisors-limited_5551.html" TargetMode="External" Id="rId3920" /><Relationship Type="http://schemas.openxmlformats.org/officeDocument/2006/relationships/hyperlink" Target="https://www.sebi.gov.in/sebi_data/commondocs/Processing1011_h.html" TargetMode="External" Id="rId3921" /><Relationship Type="http://schemas.openxmlformats.org/officeDocument/2006/relationships/hyperlink" Target="https://www.sebi.gov.in/sebi_data/attachdocs/1288085273713.pdf" TargetMode="External" Id="rId3922" /><Relationship Type="http://schemas.openxmlformats.org/officeDocument/2006/relationships/hyperlink" Target="https://www.sebi.gov.in/filings/public-issues/jun-2010/planet-41-mobi-venture-limited_1310.html" TargetMode="External" Id="rId3923" /><Relationship Type="http://schemas.openxmlformats.org/officeDocument/2006/relationships/hyperlink" Target="https://www.business-standard.com/markets/ipo/planet-41-mobi-venture-ltd-ipo-40295" TargetMode="External" Id="rId3924" /><Relationship Type="http://schemas.openxmlformats.org/officeDocument/2006/relationships/hyperlink" Target="https://www.sebi.gov.in/sebi_data/attachdocs/1288085204054.pdf" TargetMode="External" Id="rId3925" /><Relationship Type="http://schemas.openxmlformats.org/officeDocument/2006/relationships/hyperlink" Target="https://www.sebi.gov.in/filings/public-issues/jun-2010/nkg-infrastructure-limited_1309.html" TargetMode="External" Id="rId3926" /><Relationship Type="http://schemas.openxmlformats.org/officeDocument/2006/relationships/hyperlink" Target="https://www.sebi.gov.in/sebi_data/attachdocs/1288085387201.pdf" TargetMode="External" Id="rId3927" /><Relationship Type="http://schemas.openxmlformats.org/officeDocument/2006/relationships/hyperlink" Target="https://www.sebi.gov.in/filings/public-issues/jun-2010/ind-barath-power-infra-limited_1311.html" TargetMode="External" Id="rId3928" /><Relationship Type="http://schemas.openxmlformats.org/officeDocument/2006/relationships/hyperlink" Target="https://www.business-standard.com/markets/ipo/ind-barath-power-infra-ltd-ipo-40285" TargetMode="External" Id="rId3929" /><Relationship Type="http://schemas.openxmlformats.org/officeDocument/2006/relationships/hyperlink" Target="https://www.sebi.gov.in/sebi_data/attachdocs/1288084482675.pdf" TargetMode="External" Id="rId3930" /><Relationship Type="http://schemas.openxmlformats.org/officeDocument/2006/relationships/hyperlink" Target="https://www.sebi.gov.in/filings/public-issues/jun-2010/engineers-india-limited_1306.html" TargetMode="External" Id="rId3931" /><Relationship Type="http://schemas.openxmlformats.org/officeDocument/2006/relationships/hyperlink" Target="https://www.sebi.gov.in/sebi_data/attachdocs/1288084292988.pdf" TargetMode="External" Id="rId3932" /><Relationship Type="http://schemas.openxmlformats.org/officeDocument/2006/relationships/hyperlink" Target="https://www.sebi.gov.in/filings/public-issues/jun-2010/m-s-r-p-p-infra-projects-limited_1305.html" TargetMode="External" Id="rId3933" /><Relationship Type="http://schemas.openxmlformats.org/officeDocument/2006/relationships/hyperlink" Target="https://www.sebi.gov.in/sebi_data/attachdocs/1288167592852.pdf" TargetMode="External" Id="rId3934" /><Relationship Type="http://schemas.openxmlformats.org/officeDocument/2006/relationships/hyperlink" Target="https://www.sebi.gov.in/filings/public-issues/may-2010/one97-communications-limited_1640.html" TargetMode="External" Id="rId3935" /><Relationship Type="http://schemas.openxmlformats.org/officeDocument/2006/relationships/hyperlink" Target="https://www.business-standard.com/markets/ipo/one-97-communications-ltd-ipo-40147" TargetMode="External" Id="rId3936" /><Relationship Type="http://schemas.openxmlformats.org/officeDocument/2006/relationships/hyperlink" Target="https://www.sebi.gov.in/sebi_data/attachdocs/1290231121199.pdf" TargetMode="External" Id="rId3937" /><Relationship Type="http://schemas.openxmlformats.org/officeDocument/2006/relationships/hyperlink" Target="https://www.sebi.gov.in/filings/public-issues/may-2010/greatship-india-limited_5550.html" TargetMode="External" Id="rId3938" /><Relationship Type="http://schemas.openxmlformats.org/officeDocument/2006/relationships/hyperlink" Target="https://www.business-standard.com/markets/ipo/greatship-india-ltd-ipo-25482" TargetMode="External" Id="rId3939" /><Relationship Type="http://schemas.openxmlformats.org/officeDocument/2006/relationships/hyperlink" Target="https://www.sebi.gov.in/sebi_data/attachdocs/1288254064334.pdf" TargetMode="External" Id="rId3940" /><Relationship Type="http://schemas.openxmlformats.org/officeDocument/2006/relationships/hyperlink" Target="https://www.sebi.gov.in/filings/public-issues/apr-2010/tecpro-systems-limited_1919.html" TargetMode="External" Id="rId3941" /><Relationship Type="http://schemas.openxmlformats.org/officeDocument/2006/relationships/hyperlink" Target="https://www.chittorgarh.com/ipo/tecpro_ipo/269/" TargetMode="External" Id="rId3942" /><Relationship Type="http://schemas.openxmlformats.org/officeDocument/2006/relationships/hyperlink" Target="https://www.sebi.gov.in/sebi_data/attachdocs/1288254015597.pdf" TargetMode="External" Id="rId3943" /><Relationship Type="http://schemas.openxmlformats.org/officeDocument/2006/relationships/hyperlink" Target="https://www.sebi.gov.in/filings/public-issues/apr-2010/shirdi-industries-limited_1918.html" TargetMode="External" Id="rId3944" /><Relationship Type="http://schemas.openxmlformats.org/officeDocument/2006/relationships/hyperlink" Target="https://www.sebi.gov.in/sebi_data/commondocs/feb-2020/Issues%20Obs%20Issued%2031012020_p.pdf" TargetMode="External" Id="rId3945" /><Relationship Type="http://schemas.openxmlformats.org/officeDocument/2006/relationships/hyperlink" Target="https://www.sebi.gov.in/sebi_data/attachdocs/1288253978369.pdf" TargetMode="External" Id="rId3946" /><Relationship Type="http://schemas.openxmlformats.org/officeDocument/2006/relationships/hyperlink" Target="https://www.sebi.gov.in/filings/public-issues/apr-2010/orient-green-power-company-limited_1917.html" TargetMode="External" Id="rId3947" /><Relationship Type="http://schemas.openxmlformats.org/officeDocument/2006/relationships/hyperlink" Target="https://www.sebi.gov.in/sebi_data/attachdocs/1288253917813.pdf" TargetMode="External" Id="rId3948" /><Relationship Type="http://schemas.openxmlformats.org/officeDocument/2006/relationships/hyperlink" Target="https://www.sebi.gov.in/filings/public-issues/apr-2010/claris-lifesciences-limited_1916.html" TargetMode="External" Id="rId3949" /><Relationship Type="http://schemas.openxmlformats.org/officeDocument/2006/relationships/hyperlink" Target="https://www.chittorgarh.com/ipo/claris_ipo/284/" TargetMode="External" Id="rId3950" /><Relationship Type="http://schemas.openxmlformats.org/officeDocument/2006/relationships/hyperlink" Target="https://www.sebi.gov.in/sebi_data/attachdocs/1288253852959.pdf" TargetMode="External" Id="rId3951" /><Relationship Type="http://schemas.openxmlformats.org/officeDocument/2006/relationships/hyperlink" Target="https://www.sebi.gov.in/filings/public-issues/apr-2010/c-mahendra-exports-limited_1915.html" TargetMode="External" Id="rId3952" /><Relationship Type="http://schemas.openxmlformats.org/officeDocument/2006/relationships/hyperlink" Target="https://www.chittorgarh.com/ipo/c_mahendra_ipo/290/" TargetMode="External" Id="rId3953" /><Relationship Type="http://schemas.openxmlformats.org/officeDocument/2006/relationships/hyperlink" Target="https://www.sebi.gov.in/sebi_data/attachdocs/1288253579172.pdf" TargetMode="External" Id="rId3954" /><Relationship Type="http://schemas.openxmlformats.org/officeDocument/2006/relationships/hyperlink" Target="https://www.sebi.gov.in/filings/public-issues/apr-2010/icomm-tele-limited_1913.html" TargetMode="External" Id="rId3955" /><Relationship Type="http://schemas.openxmlformats.org/officeDocument/2006/relationships/hyperlink" Target="https://www.business-standard.com/markets/ipo/icomm-tele-ltd-ipo-25048" TargetMode="External" Id="rId3956" /><Relationship Type="http://schemas.openxmlformats.org/officeDocument/2006/relationships/hyperlink" Target="https://www.sebi.gov.in/sebi_data/attachdocs/1288253539799.pdf" TargetMode="External" Id="rId3957" /><Relationship Type="http://schemas.openxmlformats.org/officeDocument/2006/relationships/hyperlink" Target="https://www.sebi.gov.in/filings/public-issues/apr-2010/jp-infrastructure-limited_1912.html" TargetMode="External" Id="rId3958" /><Relationship Type="http://schemas.openxmlformats.org/officeDocument/2006/relationships/hyperlink" Target="https://www.business-standard.com/markets/ipo/jsw-infrastructure-ltd-ipo-42944" TargetMode="External" Id="rId3959" /><Relationship Type="http://schemas.openxmlformats.org/officeDocument/2006/relationships/hyperlink" Target="https://www.sebi.gov.in/sebi_data/attachdocs/1288253486954.pdf" TargetMode="External" Id="rId3960" /><Relationship Type="http://schemas.openxmlformats.org/officeDocument/2006/relationships/hyperlink" Target="https://www.sebi.gov.in/filings/public-issues/apr-2010/ravi-kumar-distilleries-limited_1910.html" TargetMode="External" Id="rId3961" /><Relationship Type="http://schemas.openxmlformats.org/officeDocument/2006/relationships/hyperlink" Target="https://www.sebi.gov.in/sebi_data/attachdocs/1288253408913.pdf" TargetMode="External" Id="rId3962" /><Relationship Type="http://schemas.openxmlformats.org/officeDocument/2006/relationships/hyperlink" Target="https://www.sebi.gov.in/filings/public-issues/apr-2010/you-broadband-and-cable-india-limited_1908.html" TargetMode="External" Id="rId3963" /><Relationship Type="http://schemas.openxmlformats.org/officeDocument/2006/relationships/hyperlink" Target="https://pitchbook.com/profiles/company/97601-77" TargetMode="External" Id="rId3964" /><Relationship Type="http://schemas.openxmlformats.org/officeDocument/2006/relationships/hyperlink" Target="https://www.sebi.gov.in/sebi_data/attachdocs/1288253270455.pdf" TargetMode="External" Id="rId3965" /><Relationship Type="http://schemas.openxmlformats.org/officeDocument/2006/relationships/hyperlink" Target="https://www.sebi.gov.in/filings/public-issues/apr-2010/genus-paper-products-limited_1906.html" TargetMode="External" Id="rId3966" /><Relationship Type="http://schemas.openxmlformats.org/officeDocument/2006/relationships/hyperlink" Target="https://www.bseindia.com/downloads/ipo/2015212143919Genus%20paper-IM.pdf" TargetMode="External" Id="rId3967" /><Relationship Type="http://schemas.openxmlformats.org/officeDocument/2006/relationships/hyperlink" Target="https://www.sebi.gov.in/sebi_data/attachdocs/1288253358352.pdf" TargetMode="External" Id="rId3968" /><Relationship Type="http://schemas.openxmlformats.org/officeDocument/2006/relationships/hyperlink" Target="https://www.sebi.gov.in/filings/public-issues/apr-2010/raheja-universal-limited_1907.html" TargetMode="External" Id="rId3969" /><Relationship Type="http://schemas.openxmlformats.org/officeDocument/2006/relationships/hyperlink" Target="https://www.business-standard.com/markets/ipo/raheja-universal-pvt-ltd-ipo-29494" TargetMode="External" Id="rId3970" /><Relationship Type="http://schemas.openxmlformats.org/officeDocument/2006/relationships/hyperlink" Target="https://www.sebi.gov.in/sebi_data/attachdocs/1288346684034.pdf" TargetMode="External" Id="rId3971" /><Relationship Type="http://schemas.openxmlformats.org/officeDocument/2006/relationships/hyperlink" Target="https://www.sebi.gov.in/filings/public-issues/mar-2010/avantha-power-and-infrastructure-limited_2393.html" TargetMode="External" Id="rId3972" /><Relationship Type="http://schemas.openxmlformats.org/officeDocument/2006/relationships/hyperlink" Target="https://www.business-standard.com/markets/ipo/avantha-power-infrastructure-ltd-ipo-38212" TargetMode="External" Id="rId3973" /><Relationship Type="http://schemas.openxmlformats.org/officeDocument/2006/relationships/hyperlink" Target="https://www.sebi.gov.in/sebi_data/attachdocs/1288346790544.pdf" TargetMode="External" Id="rId3974" /><Relationship Type="http://schemas.openxmlformats.org/officeDocument/2006/relationships/hyperlink" Target="https://www.sebi.gov.in/filings/public-issues/mar-2010/commercial-engineers-and-body-builders-co-limited_2394.html" TargetMode="External" Id="rId3975" /><Relationship Type="http://schemas.openxmlformats.org/officeDocument/2006/relationships/hyperlink" Target="https://www.sebi.gov.in/sebi_data/attachdocs/1288346613150.pdf" TargetMode="External" Id="rId3976" /><Relationship Type="http://schemas.openxmlformats.org/officeDocument/2006/relationships/hyperlink" Target="https://www.sebi.gov.in/filings/public-issues/mar-2010/electrosteel-integrated-limited_2392.html" TargetMode="External" Id="rId3977" /><Relationship Type="http://schemas.openxmlformats.org/officeDocument/2006/relationships/hyperlink" Target="https://www.sebi.gov.in/sebi_data/attachdocs/1288346567322.pdf" TargetMode="External" Id="rId3978" /><Relationship Type="http://schemas.openxmlformats.org/officeDocument/2006/relationships/hyperlink" Target="https://www.sebi.gov.in/filings/public-issues/mar-2010/ramky-infrastructure-limited_2391.html" TargetMode="External" Id="rId3979" /><Relationship Type="http://schemas.openxmlformats.org/officeDocument/2006/relationships/hyperlink" Target="https://www.sebi.gov.in/sebi_data/attachdocs/1288346484809.pdf" TargetMode="External" Id="rId3980" /><Relationship Type="http://schemas.openxmlformats.org/officeDocument/2006/relationships/hyperlink" Target="https://www.sebi.gov.in/filings/public-issues/mar-2010/sks-microfinance-limited_2390.html" TargetMode="External" Id="rId3981" /><Relationship Type="http://schemas.openxmlformats.org/officeDocument/2006/relationships/hyperlink" Target="https://www.chittorgarh.com/ipo/sks_microfinance_ipo/253/" TargetMode="External" Id="rId3982" /><Relationship Type="http://schemas.openxmlformats.org/officeDocument/2006/relationships/hyperlink" Target="https://www.sebi.gov.in/sebi_data/attachdocs/1288346387617.pdf" TargetMode="External" Id="rId3983" /><Relationship Type="http://schemas.openxmlformats.org/officeDocument/2006/relationships/hyperlink" Target="https://www.sebi.gov.in/filings/public-issues/mar-2010/gujarat-state-petroleum-corporation-limited_2388.html" TargetMode="External" Id="rId3984" /><Relationship Type="http://schemas.openxmlformats.org/officeDocument/2006/relationships/hyperlink" Target="https://www.business-standard.com/markets/ipo/gujarat-state-petroleum-corporation-ltd-ipo-15853" TargetMode="External" Id="rId3985" /><Relationship Type="http://schemas.openxmlformats.org/officeDocument/2006/relationships/hyperlink" Target="https://www.sebi.gov.in/sebi_data/attachdocs/1288346425359.pdf" TargetMode="External" Id="rId3986" /><Relationship Type="http://schemas.openxmlformats.org/officeDocument/2006/relationships/hyperlink" Target="https://www.sebi.gov.in/filings/public-issues/mar-2010/rdb-rasayans-limited_2389.html" TargetMode="External" Id="rId3987" /><Relationship Type="http://schemas.openxmlformats.org/officeDocument/2006/relationships/hyperlink" Target="https://www.sebi.gov.in/sebi_data/attachdocs/1288346194625.pdf" TargetMode="External" Id="rId3988" /><Relationship Type="http://schemas.openxmlformats.org/officeDocument/2006/relationships/hyperlink" Target="https://www.sebi.gov.in/filings/public-issues/mar-2010/microsec-financial-services-limited_2386.html" TargetMode="External" Id="rId3989" /><Relationship Type="http://schemas.openxmlformats.org/officeDocument/2006/relationships/hyperlink" Target="https://www.sebi.gov.in/sebi_data/attachdocs/1288346296484.pdf" TargetMode="External" Id="rId3990" /><Relationship Type="http://schemas.openxmlformats.org/officeDocument/2006/relationships/hyperlink" Target="https://www.sebi.gov.in/filings/public-issues/mar-2010/prakash-steelage-limited_2387.html" TargetMode="External" Id="rId3991" /><Relationship Type="http://schemas.openxmlformats.org/officeDocument/2006/relationships/hyperlink" Target="https://www.sebi.gov.in/sebi_data/attachdocs/1288346120190.pdf" TargetMode="External" Id="rId3992" /><Relationship Type="http://schemas.openxmlformats.org/officeDocument/2006/relationships/hyperlink" Target="https://www.sebi.gov.in/filings/public-issues/mar-2010/rushil-decor-limited_2385.html" TargetMode="External" Id="rId3993" /><Relationship Type="http://schemas.openxmlformats.org/officeDocument/2006/relationships/hyperlink" Target="https://www.sebi.gov.in/sebi_data/attachdocs/1288346073513.pdf" TargetMode="External" Id="rId3994" /><Relationship Type="http://schemas.openxmlformats.org/officeDocument/2006/relationships/hyperlink" Target="https://www.sebi.gov.in/filings/public-issues/mar-2010/bedmutha-industries-limited_2384.html" TargetMode="External" Id="rId3995" /><Relationship Type="http://schemas.openxmlformats.org/officeDocument/2006/relationships/hyperlink" Target="https://www.sebi.gov.in/sebi_data/attachdocs/1288346003788.pdf" TargetMode="External" Id="rId3996" /><Relationship Type="http://schemas.openxmlformats.org/officeDocument/2006/relationships/hyperlink" Target="https://www.sebi.gov.in/filings/public-issues/mar-2010/acropetal-technologies-limited_2383.html" TargetMode="External" Id="rId3997" /><Relationship Type="http://schemas.openxmlformats.org/officeDocument/2006/relationships/hyperlink" Target="https://www.chittorgarh.com/ipo/acropetal_ipo/296/" TargetMode="External" Id="rId3998" /><Relationship Type="http://schemas.openxmlformats.org/officeDocument/2006/relationships/hyperlink" Target="https://www.sebi.gov.in/sebi_data/attachdocs/1288345969928.pdf" TargetMode="External" Id="rId3999" /><Relationship Type="http://schemas.openxmlformats.org/officeDocument/2006/relationships/hyperlink" Target="https://www.sebi.gov.in/filings/public-issues/mar-2010/genus-paper-products-limited_2382.html" TargetMode="External" Id="rId4000" /><Relationship Type="http://schemas.openxmlformats.org/officeDocument/2006/relationships/hyperlink" Target="https://www.bseindia.com/downloads/ipo/2015212143919Genus%20paper-IM.pdf" TargetMode="External" Id="rId4001" /><Relationship Type="http://schemas.openxmlformats.org/officeDocument/2006/relationships/hyperlink" Target="https://www.sebi.gov.in/sebi_data/attachdocs/1288345905307.pdf" TargetMode="External" Id="rId4002" /><Relationship Type="http://schemas.openxmlformats.org/officeDocument/2006/relationships/hyperlink" Target="https://www.sebi.gov.in/filings/public-issues/mar-2010/va-tech-wabag-limited_2381.html" TargetMode="External" Id="rId4003" /><Relationship Type="http://schemas.openxmlformats.org/officeDocument/2006/relationships/hyperlink" Target="https://www.sebi.gov.in/sebi_data/attachdocs/1288345842395.pdf" TargetMode="External" Id="rId4004" /><Relationship Type="http://schemas.openxmlformats.org/officeDocument/2006/relationships/hyperlink" Target="https://www.sebi.gov.in/filings/public-issues/mar-2010/hindustan-media-ventures-limited_2380.html" TargetMode="External" Id="rId4005" /><Relationship Type="http://schemas.openxmlformats.org/officeDocument/2006/relationships/hyperlink" Target="https://www.sebi.gov.in/sebi_data/attachdocs/1288345787608.pdf" TargetMode="External" Id="rId4006" /><Relationship Type="http://schemas.openxmlformats.org/officeDocument/2006/relationships/hyperlink" Target="https://www.sebi.gov.in/filings/public-issues/mar-2010/bajaj-corp-limited_2379.html" TargetMode="External" Id="rId4007" /><Relationship Type="http://schemas.openxmlformats.org/officeDocument/2006/relationships/hyperlink" Target="https://www.sebi.gov.in/sebi_data/attachdocs/1288345656561.pdf" TargetMode="External" Id="rId4008" /><Relationship Type="http://schemas.openxmlformats.org/officeDocument/2006/relationships/hyperlink" Target="https://www.sebi.gov.in/filings/public-issues/mar-2010/sel-textiles-limited_2378.html" TargetMode="External" Id="rId4009" /><Relationship Type="http://schemas.openxmlformats.org/officeDocument/2006/relationships/hyperlink" Target="https://www.business-standard.com/markets/ipo/sel-textiles-ltd-ipo-38681" TargetMode="External" Id="rId4010" /><Relationship Type="http://schemas.openxmlformats.org/officeDocument/2006/relationships/hyperlink" Target="https://www.sebi.gov.in/sebi_data/attachdocs/1288345499694.pdf" TargetMode="External" Id="rId4011" /><Relationship Type="http://schemas.openxmlformats.org/officeDocument/2006/relationships/hyperlink" Target="https://www.sebi.gov.in/filings/public-issues/mar-2010/sjvn-limited_2377.html" TargetMode="External" Id="rId4012" /><Relationship Type="http://schemas.openxmlformats.org/officeDocument/2006/relationships/hyperlink" Target="https://www.sebi.gov.in/sebi_data/attachdocs/1288604212010.pdf" TargetMode="External" Id="rId4013" /><Relationship Type="http://schemas.openxmlformats.org/officeDocument/2006/relationships/hyperlink" Target="https://www.sebi.gov.in/filings/public-issues/feb-2010/career-point-infosystems-limited_2663.html" TargetMode="External" Id="rId4014" /><Relationship Type="http://schemas.openxmlformats.org/officeDocument/2006/relationships/hyperlink" Target="https://www.sebi.gov.in/sebi_data/attachdocs/1288604098398.pdf" TargetMode="External" Id="rId4015" /><Relationship Type="http://schemas.openxmlformats.org/officeDocument/2006/relationships/hyperlink" Target="https://www.sebi.gov.in/filings/public-issues/feb-2010/gyscoal-alloys-limited_2660.html" TargetMode="External" Id="rId4016" /><Relationship Type="http://schemas.openxmlformats.org/officeDocument/2006/relationships/hyperlink" Target="https://www.sebi.gov.in/sebi_data/attachdocs/1290230867741.pdf" TargetMode="External" Id="rId4017" /><Relationship Type="http://schemas.openxmlformats.org/officeDocument/2006/relationships/hyperlink" Target="https://www.sebi.gov.in/filings/public-issues/feb-2010/mittal-corp-limited_5549.html" TargetMode="External" Id="rId4018" /><Relationship Type="http://schemas.openxmlformats.org/officeDocument/2006/relationships/hyperlink" Target="http://www.cmlinks.com/pub/dp/dp34659.pdf" TargetMode="External" Id="rId4019" /><Relationship Type="http://schemas.openxmlformats.org/officeDocument/2006/relationships/hyperlink" Target="https://www.sebi.gov.in/sebi_data/attachdocs/1288603964929.pdf" TargetMode="External" Id="rId4020" /><Relationship Type="http://schemas.openxmlformats.org/officeDocument/2006/relationships/hyperlink" Target="https://www.sebi.gov.in/filings/public-issues/feb-2010/inventuregrowth-and-securities-limited_2659.html" TargetMode="External" Id="rId4021" /><Relationship Type="http://schemas.openxmlformats.org/officeDocument/2006/relationships/hyperlink" Target="https://www.sebi.gov.in/sebi_data/attachdocs/1288603890030.pdf" TargetMode="External" Id="rId4022" /><Relationship Type="http://schemas.openxmlformats.org/officeDocument/2006/relationships/hyperlink" Target="https://www.sebi.gov.in/filings/public-issues/feb-2010/asian-business-exhibition-and-conferences-limited_2658.html" TargetMode="External" Id="rId4023" /><Relationship Type="http://schemas.openxmlformats.org/officeDocument/2006/relationships/hyperlink" Target="https://www.business-standard.com/markets/ipo/asian-business-exhibition-conferences-ltd-ipo-38261" TargetMode="External" Id="rId4024" /><Relationship Type="http://schemas.openxmlformats.org/officeDocument/2006/relationships/hyperlink" Target="https://www.sebi.gov.in/sebi_data/attachdocs/1288609044051.pdf" TargetMode="External" Id="rId4025" /><Relationship Type="http://schemas.openxmlformats.org/officeDocument/2006/relationships/hyperlink" Target="https://www.sebi.gov.in/filings/public-issues/jan-2010/parabolic-drugs-limited_2750.html" TargetMode="External" Id="rId4026" /><Relationship Type="http://schemas.openxmlformats.org/officeDocument/2006/relationships/hyperlink" Target="https://www.sebi.gov.in/sebi_data/attachdocs/1290229032264.pdf" TargetMode="External" Id="rId4027" /><Relationship Type="http://schemas.openxmlformats.org/officeDocument/2006/relationships/hyperlink" Target="https://www.sebi.gov.in/filings/public-issues/jan-2010/nmdc-limited_5548.html" TargetMode="External" Id="rId4028" /><Relationship Type="http://schemas.openxmlformats.org/officeDocument/2006/relationships/hyperlink" Target="https://www.sebi.gov.in/sebi_data/attachdocs/1290228857257.pdf" TargetMode="External" Id="rId4029" /><Relationship Type="http://schemas.openxmlformats.org/officeDocument/2006/relationships/hyperlink" Target="https://www.sebi.gov.in/filings/public-issues/jan-2010/technofab-engineering-limited_5547.html" TargetMode="External" Id="rId4030" /><Relationship Type="http://schemas.openxmlformats.org/officeDocument/2006/relationships/hyperlink" Target="https://www.chittorgarh.com/ipo/technofab_ipo/248/" TargetMode="External" Id="rId4031" /><Relationship Type="http://schemas.openxmlformats.org/officeDocument/2006/relationships/hyperlink" Target="https://www.sebi.gov.in/sebi_data/attachdocs/1294984013064.pdf" TargetMode="External" Id="rId4032" /><Relationship Type="http://schemas.openxmlformats.org/officeDocument/2006/relationships/hyperlink" Target="https://www.sebi.gov.in/filings/public-issues/jan-2010/oberoi-realty-limited_14276.html" TargetMode="External" Id="rId4033" /><Relationship Type="http://schemas.openxmlformats.org/officeDocument/2006/relationships/hyperlink" Target="https://www.sebi.gov.in/sebi_data/attachdocs/1288608994533.pdf" TargetMode="External" Id="rId4034" /><Relationship Type="http://schemas.openxmlformats.org/officeDocument/2006/relationships/hyperlink" Target="https://www.sebi.gov.in/filings/public-issues/jan-2010/indosolar-limited_2749.html" TargetMode="External" Id="rId4035" /><Relationship Type="http://schemas.openxmlformats.org/officeDocument/2006/relationships/hyperlink" Target="https://www.sebi.gov.in/sebi_data/attachdocs/1288608956250.pdf" TargetMode="External" Id="rId4036" /><Relationship Type="http://schemas.openxmlformats.org/officeDocument/2006/relationships/hyperlink" Target="https://www.sebi.gov.in/filings/public-issues/jan-2010/aster-silicates-limited_2747.html" TargetMode="External" Id="rId4037" /><Relationship Type="http://schemas.openxmlformats.org/officeDocument/2006/relationships/hyperlink" Target="https://www.chittorgarh.com/ipo/aster_silicates_ipo/249/" TargetMode="External" Id="rId4038" /><Relationship Type="http://schemas.openxmlformats.org/officeDocument/2006/relationships/hyperlink" Target="https://www.sebi.gov.in/sebi_data/attachdocs/1288608915631.pdf" TargetMode="External" Id="rId4039" /><Relationship Type="http://schemas.openxmlformats.org/officeDocument/2006/relationships/hyperlink" Target="https://www.sebi.gov.in/filings/public-issues/jan-2010/eros-international-media-limited_2745.html" TargetMode="External" Id="rId4040" /><Relationship Type="http://schemas.openxmlformats.org/officeDocument/2006/relationships/hyperlink" Target="https://www.sebi.gov.in/sebi_data/attachdocs/1290227671230.pdf" TargetMode="External" Id="rId4041" /><Relationship Type="http://schemas.openxmlformats.org/officeDocument/2006/relationships/hyperlink" Target="https://www.sebi.gov.in/filings/public-issues/jan-2010/jindal-power-limited_5545.html" TargetMode="External" Id="rId4042" /><Relationship Type="http://schemas.openxmlformats.org/officeDocument/2006/relationships/hyperlink" Target="https://www.business-standard.com/markets/ipo/jindal-power-ltd-ipo-13360" TargetMode="External" Id="rId4043" /><Relationship Type="http://schemas.openxmlformats.org/officeDocument/2006/relationships/hyperlink" Target="https://www.sebi.gov.in/sebi_data/attachdocs/1290227505713.pdf" TargetMode="External" Id="rId4044" /><Relationship Type="http://schemas.openxmlformats.org/officeDocument/2006/relationships/hyperlink" Target="https://www.sebi.gov.in/filings/public-issues/jan-2010/neptune-developers-limited_5544.html" TargetMode="External" Id="rId4045" /><Relationship Type="http://schemas.openxmlformats.org/officeDocument/2006/relationships/hyperlink" Target="https://www.business-standard.com/markets/ipo/neptune-developers-ltd-ipo-37727" TargetMode="External" Id="rId4046" /><Relationship Type="http://schemas.openxmlformats.org/officeDocument/2006/relationships/hyperlink" Target="https://www.sebi.gov.in/sebi_data/attachdocs/1290227890597.pdf" TargetMode="External" Id="rId4047" /><Relationship Type="http://schemas.openxmlformats.org/officeDocument/2006/relationships/hyperlink" Target="https://www.sebi.gov.in/filings/public-issues/jan-2010/united-bank-of-india_5546.html" TargetMode="External" Id="rId4048" /><Relationship Type="http://schemas.openxmlformats.org/officeDocument/2006/relationships/hyperlink" Target="https://www.sebi.gov.in/sebi_data/attachdocs/1288608837188.pdf" TargetMode="External" Id="rId4049" /><Relationship Type="http://schemas.openxmlformats.org/officeDocument/2006/relationships/hyperlink" Target="https://www.sebi.gov.in/filings/public-issues/jan-2010/persistent-systems-limited_2744.html" TargetMode="External" Id="rId4050" /><Relationship Type="http://schemas.openxmlformats.org/officeDocument/2006/relationships/hyperlink" Target="https://www.sebi.gov.in/sebi_data/attachdocs/1289381470132.pdf" TargetMode="External" Id="rId4051" /><Relationship Type="http://schemas.openxmlformats.org/officeDocument/2006/relationships/hyperlink" Target="https://www.sebi.gov.in/filings/public-issues/dec-2009/gujarat-pipavav-port-limited_3143.html" TargetMode="External" Id="rId4052" /><Relationship Type="http://schemas.openxmlformats.org/officeDocument/2006/relationships/hyperlink" Target="https://www.sebi.gov.in/sebi_data/attachdocs/1289381416555.pdf" TargetMode="External" Id="rId4053" /><Relationship Type="http://schemas.openxmlformats.org/officeDocument/2006/relationships/hyperlink" Target="https://www.sebi.gov.in/filings/public-issues/dec-2009/bptp-limited_3141.html" TargetMode="External" Id="rId4054" /><Relationship Type="http://schemas.openxmlformats.org/officeDocument/2006/relationships/hyperlink" Target="https://www.business-standard.com/amp/article/markets/bptp-s-ipo-uncertain-over-market-condition-110121600229_1.html" TargetMode="External" Id="rId4055" /><Relationship Type="http://schemas.openxmlformats.org/officeDocument/2006/relationships/hyperlink" Target="https://www.sebi.gov.in/sebi_data/attachdocs/1289381376623.pdf" TargetMode="External" Id="rId4056" /><Relationship Type="http://schemas.openxmlformats.org/officeDocument/2006/relationships/hyperlink" Target="https://www.sebi.gov.in/filings/public-issues/dec-2009/tirupati-inks-limited_3140.html" TargetMode="External" Id="rId4057" /><Relationship Type="http://schemas.openxmlformats.org/officeDocument/2006/relationships/hyperlink" Target="https://www.sebi.gov.in/sebi_data/attachdocs/1289381335002.pdf" TargetMode="External" Id="rId4058" /><Relationship Type="http://schemas.openxmlformats.org/officeDocument/2006/relationships/hyperlink" Target="https://www.sebi.gov.in/filings/public-issues/dec-2009/gallantt-ispat-limited_3139.html" TargetMode="External" Id="rId4059" /><Relationship Type="http://schemas.openxmlformats.org/officeDocument/2006/relationships/hyperlink" Target="https://www.sebi.gov.in/sebi_data/attachdocs/1289381287373.pdf" TargetMode="External" Id="rId4060" /><Relationship Type="http://schemas.openxmlformats.org/officeDocument/2006/relationships/hyperlink" Target="https://www.sebi.gov.in/filings/public-issues/dec-2009/fatpipe-networks-india-ltd_3137.html" TargetMode="External" Id="rId4061" /><Relationship Type="http://schemas.openxmlformats.org/officeDocument/2006/relationships/hyperlink" Target="https://www.chittorgarh.com/ipo/fatpipe_networks_ipo/246/" TargetMode="External" Id="rId4062" /><Relationship Type="http://schemas.openxmlformats.org/officeDocument/2006/relationships/hyperlink" Target="https://www.sebi.gov.in/sebi_data/attachdocs/1289381249441.pdf" TargetMode="External" Id="rId4063" /><Relationship Type="http://schemas.openxmlformats.org/officeDocument/2006/relationships/hyperlink" Target="https://www.sebi.gov.in/filings/public-issues/dec-2009/gallantt-ispat-limited_3136.html" TargetMode="External" Id="rId4064" /><Relationship Type="http://schemas.openxmlformats.org/officeDocument/2006/relationships/hyperlink" Target="https://www.sebi.gov.in/sebi_data/attachdocs/1289381212287.pdf" TargetMode="External" Id="rId4065" /><Relationship Type="http://schemas.openxmlformats.org/officeDocument/2006/relationships/hyperlink" Target="https://www.sebi.gov.in/filings/public-issues/dec-2009/sumatex-limited_3135.html" TargetMode="External" Id="rId4066" /><Relationship Type="http://schemas.openxmlformats.org/officeDocument/2006/relationships/hyperlink" Target="https://www.sebi.gov.in/sebi_data/attachdocs/1289381160431.pdf" TargetMode="External" Id="rId4067" /><Relationship Type="http://schemas.openxmlformats.org/officeDocument/2006/relationships/hyperlink" Target="https://www.sebi.gov.in/filings/public-issues/dec-2009/talwalkars-better-value-fitness-limited_3134.html" TargetMode="External" Id="rId4068" /><Relationship Type="http://schemas.openxmlformats.org/officeDocument/2006/relationships/hyperlink" Target="https://www.sebi.gov.in/sebi_data/attachdocs/1289381104594.pdf" TargetMode="External" Id="rId4069" /><Relationship Type="http://schemas.openxmlformats.org/officeDocument/2006/relationships/hyperlink" Target="https://www.sebi.gov.in/filings/public-issues/dec-2009/fineotex-chemical-limited_3133.html" TargetMode="External" Id="rId4070" /><Relationship Type="http://schemas.openxmlformats.org/officeDocument/2006/relationships/hyperlink" Target="https://www.sebi.gov.in/sebi_data/attachdocs/1289381062978.pdf" TargetMode="External" Id="rId4071" /><Relationship Type="http://schemas.openxmlformats.org/officeDocument/2006/relationships/hyperlink" Target="https://www.sebi.gov.in/filings/public-issues/dec-2009/tarapur-transformers-limited_3132.html" TargetMode="External" Id="rId4072" /><Relationship Type="http://schemas.openxmlformats.org/officeDocument/2006/relationships/hyperlink" Target="https://www.sebi.gov.in/sebi_data/attachdocs/1289381024799.pdf" TargetMode="External" Id="rId4073" /><Relationship Type="http://schemas.openxmlformats.org/officeDocument/2006/relationships/hyperlink" Target="https://www.sebi.gov.in/filings/public-issues/dec-2009/rural-electrification-corporation-limited_3131.html" TargetMode="External" Id="rId4074" /><Relationship Type="http://schemas.openxmlformats.org/officeDocument/2006/relationships/hyperlink" Target="https://www.chittorgarh.com/ipo/rec_fpo/223/" TargetMode="External" Id="rId4075" /><Relationship Type="http://schemas.openxmlformats.org/officeDocument/2006/relationships/hyperlink" Target="https://www.sebi.gov.in/sebi_data/attachdocs/1289380979179.pdf" TargetMode="External" Id="rId4076" /><Relationship Type="http://schemas.openxmlformats.org/officeDocument/2006/relationships/hyperlink" Target="https://www.sebi.gov.in/filings/public-issues/dec-2009/nitesh-estates-limited_3129.html" TargetMode="External" Id="rId4077" /><Relationship Type="http://schemas.openxmlformats.org/officeDocument/2006/relationships/hyperlink" Target="https://www.chittorgarh.com/ipo/nitesh_estates_ipo/240/" TargetMode="External" Id="rId4078" /><Relationship Type="http://schemas.openxmlformats.org/officeDocument/2006/relationships/hyperlink" Target="https://www.sebi.gov.in/sebi_data/attachdocs/1289380942915.pdf" TargetMode="External" Id="rId4079" /><Relationship Type="http://schemas.openxmlformats.org/officeDocument/2006/relationships/hyperlink" Target="https://www.sebi.gov.in/filings/public-issues/dec-2009/jaypee-infratech-limited_3128.html" TargetMode="External" Id="rId4080" /><Relationship Type="http://schemas.openxmlformats.org/officeDocument/2006/relationships/hyperlink" Target="https://www.sebi.gov.in/sebi_data/attachdocs/1289459315500.pdf" TargetMode="External" Id="rId4081" /><Relationship Type="http://schemas.openxmlformats.org/officeDocument/2006/relationships/hyperlink" Target="https://www.sebi.gov.in/filings/public-issues/nov-2009/prestige-estates-projects-limited_3439.html" TargetMode="External" Id="rId4082" /><Relationship Type="http://schemas.openxmlformats.org/officeDocument/2006/relationships/hyperlink" Target="https://www.sebi.gov.in/sebi_data/attachdocs/1289459276974.pdf" TargetMode="External" Id="rId4083" /><Relationship Type="http://schemas.openxmlformats.org/officeDocument/2006/relationships/hyperlink" Target="https://www.sebi.gov.in/filings/public-issues/nov-2009/pnc-infratech-limited_3438.html" TargetMode="External" Id="rId4084" /><Relationship Type="http://schemas.openxmlformats.org/officeDocument/2006/relationships/hyperlink" Target="https://www.business-standard.com/markets/ipo/pnc-infratech-ltd-ipo-28695" TargetMode="External" Id="rId4085" /><Relationship Type="http://schemas.openxmlformats.org/officeDocument/2006/relationships/hyperlink" Target="https://www.sebi.gov.in/sebi_data/attachdocs/1289459229842.pdf" TargetMode="External" Id="rId4086" /><Relationship Type="http://schemas.openxmlformats.org/officeDocument/2006/relationships/hyperlink" Target="https://www.sebi.gov.in/filings/public-issues/nov-2009/aqua-logistics-limited_3437.html" TargetMode="External" Id="rId4087" /><Relationship Type="http://schemas.openxmlformats.org/officeDocument/2006/relationships/hyperlink" Target="https://www.chittorgarh.com/ipo/aqua_logistics_ipo/216/" TargetMode="External" Id="rId4088" /><Relationship Type="http://schemas.openxmlformats.org/officeDocument/2006/relationships/hyperlink" Target="https://www.sebi.gov.in/sebi_data/attachdocs/1289459183936.pdf" TargetMode="External" Id="rId4089" /><Relationship Type="http://schemas.openxmlformats.org/officeDocument/2006/relationships/hyperlink" Target="https://www.sebi.gov.in/filings/public-issues/nov-2009/everest-infra-energy-limited_3436.html" TargetMode="External" Id="rId4090" /><Relationship Type="http://schemas.openxmlformats.org/officeDocument/2006/relationships/hyperlink" Target="https://www.sebi.gov.in/sebi_data/attachdocs/1289459145337.pdf" TargetMode="External" Id="rId4091" /><Relationship Type="http://schemas.openxmlformats.org/officeDocument/2006/relationships/hyperlink" Target="https://www.sebi.gov.in/filings/public-issues/nov-2009/intrasoft-technologies-limited_3435.html" TargetMode="External" Id="rId4092" /><Relationship Type="http://schemas.openxmlformats.org/officeDocument/2006/relationships/hyperlink" Target="https://www.sebi.gov.in/sebi_data/attachdocs/1289459100669.pdf" TargetMode="External" Id="rId4093" /><Relationship Type="http://schemas.openxmlformats.org/officeDocument/2006/relationships/hyperlink" Target="https://www.sebi.gov.in/filings/public-issues/nov-2009/sterlite-energy-limited_3434.html" TargetMode="External" Id="rId4094" /><Relationship Type="http://schemas.openxmlformats.org/officeDocument/2006/relationships/hyperlink" Target="https://www.sebi.gov.in/sebi_data/attachdocs/1289541165530.pdf" TargetMode="External" Id="rId4095" /><Relationship Type="http://schemas.openxmlformats.org/officeDocument/2006/relationships/hyperlink" Target="https://www.sebi.gov.in/filings/public-issues/oct-2009/godrej-properties-limited_3718.html" TargetMode="External" Id="rId4096" /><Relationship Type="http://schemas.openxmlformats.org/officeDocument/2006/relationships/hyperlink" Target="https://www.sebi.gov.in/sebi_data/attachdocs/1289541121672.pdf" TargetMode="External" Id="rId4097" /><Relationship Type="http://schemas.openxmlformats.org/officeDocument/2006/relationships/hyperlink" Target="https://www.sebi.gov.in/filings/public-issues/oct-2009/tara-health-foods-limited_3717.html" TargetMode="External" Id="rId4098" /><Relationship Type="http://schemas.openxmlformats.org/officeDocument/2006/relationships/hyperlink" Target="https://www.chittorgarh.com/ipo/tara_health_ipo/244/" TargetMode="External" Id="rId4099" /><Relationship Type="http://schemas.openxmlformats.org/officeDocument/2006/relationships/hyperlink" Target="https://www.sebi.gov.in/sebi_data/attachdocs/1289541082935.pdf" TargetMode="External" Id="rId4100" /><Relationship Type="http://schemas.openxmlformats.org/officeDocument/2006/relationships/hyperlink" Target="https://www.sebi.gov.in/filings/public-issues/oct-2009/jubilant-foodworks-limited_3715.html" TargetMode="External" Id="rId4101" /><Relationship Type="http://schemas.openxmlformats.org/officeDocument/2006/relationships/hyperlink" Target="https://www.sebi.gov.in/sebi_data/attachdocs/1289541024342.pdf" TargetMode="External" Id="rId4102" /><Relationship Type="http://schemas.openxmlformats.org/officeDocument/2006/relationships/hyperlink" Target="https://www.sebi.gov.in/filings/public-issues/oct-2009/man-infra-construction-limited_3714.html" TargetMode="External" Id="rId4103" /><Relationship Type="http://schemas.openxmlformats.org/officeDocument/2006/relationships/hyperlink" Target="https://www.sebi.gov.in/sebi_data/attachdocs/1289540963606.pdf" TargetMode="External" Id="rId4104" /><Relationship Type="http://schemas.openxmlformats.org/officeDocument/2006/relationships/hyperlink" Target="https://www.sebi.gov.in/filings/public-issues/oct-2009/goenka-diamonds-and-jewels-limited_3713.html" TargetMode="External" Id="rId4105" /><Relationship Type="http://schemas.openxmlformats.org/officeDocument/2006/relationships/hyperlink" Target="https://www.sebi.gov.in/sebi_data/attachdocs/1289540901670.pdf" TargetMode="External" Id="rId4106" /><Relationship Type="http://schemas.openxmlformats.org/officeDocument/2006/relationships/hyperlink" Target="https://www.sebi.gov.in/filings/public-issues/oct-2009/ankita-knit-wear-limited_3711.html" TargetMode="External" Id="rId4107" /><Relationship Type="http://schemas.openxmlformats.org/officeDocument/2006/relationships/hyperlink" Target="https://www.sebi.gov.in/sebi_data/attachdocs/1289540721608.pdf" TargetMode="External" Id="rId4108" /><Relationship Type="http://schemas.openxmlformats.org/officeDocument/2006/relationships/hyperlink" Target="https://www.sebi.gov.in/filings/public-issues/oct-2009/cantabil-retail-india-limited_3706.html" TargetMode="External" Id="rId4109" /><Relationship Type="http://schemas.openxmlformats.org/officeDocument/2006/relationships/hyperlink" Target="https://www.sebi.gov.in/sebi_data/attachdocs/1289540668614.pdf" TargetMode="External" Id="rId4110" /><Relationship Type="http://schemas.openxmlformats.org/officeDocument/2006/relationships/hyperlink" Target="https://www.sebi.gov.in/filings/public-issues/oct-2009/db-realty-limited_3704.html" TargetMode="External" Id="rId4111" /><Relationship Type="http://schemas.openxmlformats.org/officeDocument/2006/relationships/hyperlink" Target="https://www.sebi.gov.in/sebi_data/attachdocs/1289540786130.pdf" TargetMode="External" Id="rId4112" /><Relationship Type="http://schemas.openxmlformats.org/officeDocument/2006/relationships/hyperlink" Target="https://www.sebi.gov.in/filings/public-issues/oct-2009/kumar-urban-development-limited_3707.html" TargetMode="External" Id="rId4113" /><Relationship Type="http://schemas.openxmlformats.org/officeDocument/2006/relationships/hyperlink" Target="https://www.business-standard.com/markets/ipo/kumar-urban-development-ltd-ipo-35716" TargetMode="External" Id="rId4114" /><Relationship Type="http://schemas.openxmlformats.org/officeDocument/2006/relationships/hyperlink" Target="https://www.sebi.gov.in/sebi_data/attachdocs/1289540846276.pdf" TargetMode="External" Id="rId4115" /><Relationship Type="http://schemas.openxmlformats.org/officeDocument/2006/relationships/hyperlink" Target="https://www.sebi.gov.in/filings/public-issues/oct-2009/pipvav-shipyard-limited-addendum-to-rhp_3709.html" TargetMode="External" Id="rId4116" /><Relationship Type="http://schemas.openxmlformats.org/officeDocument/2006/relationships/hyperlink" Target="https://www.chittorgarh.com/ipo/pipavav_shipyard_ipo/203/" TargetMode="External" Id="rId4117" /><Relationship Type="http://schemas.openxmlformats.org/officeDocument/2006/relationships/hyperlink" Target="https://www.sebi.gov.in/sebi_data/attachdocs/1289540251023.pdf" TargetMode="External" Id="rId4118" /><Relationship Type="http://schemas.openxmlformats.org/officeDocument/2006/relationships/hyperlink" Target="https://www.sebi.gov.in/filings/public-issues/oct-2009/dq-entertainment-international-limited_3692.html" TargetMode="External" Id="rId4119" /><Relationship Type="http://schemas.openxmlformats.org/officeDocument/2006/relationships/hyperlink" Target="https://www.sebi.gov.in/sebi_data/attachdocs/1289540483079.pdf" TargetMode="External" Id="rId4120" /><Relationship Type="http://schemas.openxmlformats.org/officeDocument/2006/relationships/hyperlink" Target="https://www.sebi.gov.in/filings/public-issues/oct-2009/emaar-mgf-land-limited_3699.html" TargetMode="External" Id="rId4121" /><Relationship Type="http://schemas.openxmlformats.org/officeDocument/2006/relationships/hyperlink" Target="https://www.chittorgarh.com/ipo/mgf_ipo/152/" TargetMode="External" Id="rId4122" /><Relationship Type="http://schemas.openxmlformats.org/officeDocument/2006/relationships/hyperlink" Target="https://www.sebi.gov.in/sebi_data/attachdocs/1289540326423.pdf" TargetMode="External" Id="rId4123" /><Relationship Type="http://schemas.openxmlformats.org/officeDocument/2006/relationships/hyperlink" Target="https://www.sebi.gov.in/filings/public-issues/oct-2009/glenmark-generics-limited_3694.html" TargetMode="External" Id="rId4124" /><Relationship Type="http://schemas.openxmlformats.org/officeDocument/2006/relationships/hyperlink" Target="https://www.business-standard.com/markets/ipo/glenmark-generics-ltd-merged-ipo-34280" TargetMode="External" Id="rId4125" /><Relationship Type="http://schemas.openxmlformats.org/officeDocument/2006/relationships/hyperlink" Target="https://www.sebi.gov.in/sebi_data/attachdocs/1289540631419.pdf" TargetMode="External" Id="rId4126" /><Relationship Type="http://schemas.openxmlformats.org/officeDocument/2006/relationships/hyperlink" Target="https://www.sebi.gov.in/filings/public-issues/oct-2009/il-and-fs-transportation-networks-limited_3703.html" TargetMode="External" Id="rId4127" /><Relationship Type="http://schemas.openxmlformats.org/officeDocument/2006/relationships/hyperlink" Target="https://www.sebi.gov.in/sebi_data/attachdocs/1289540534946.pdf" TargetMode="External" Id="rId4128" /><Relationship Type="http://schemas.openxmlformats.org/officeDocument/2006/relationships/hyperlink" Target="https://www.sebi.gov.in/filings/public-issues/oct-2009/mandhana-industries-limited_3701.html" TargetMode="External" Id="rId4129" /><Relationship Type="http://schemas.openxmlformats.org/officeDocument/2006/relationships/hyperlink" Target="https://www.chittorgarh.com/ipo/mandhana_industries_ipo/242/" TargetMode="External" Id="rId4130" /><Relationship Type="http://schemas.openxmlformats.org/officeDocument/2006/relationships/hyperlink" Target="https://www.sebi.gov.in/sebi_data/attachdocs/1289540584967.pdf" TargetMode="External" Id="rId4131" /><Relationship Type="http://schemas.openxmlformats.org/officeDocument/2006/relationships/hyperlink" Target="https://www.sebi.gov.in/filings/public-issues/oct-2009/midfield-industries-limited_3702.html" TargetMode="External" Id="rId4132" /><Relationship Type="http://schemas.openxmlformats.org/officeDocument/2006/relationships/hyperlink" Target="https://www.chittorgarh.com/ipo/midfield_industries_ipo/251/" TargetMode="External" Id="rId4133" /><Relationship Type="http://schemas.openxmlformats.org/officeDocument/2006/relationships/hyperlink" Target="https://www.sebi.gov.in/sebi_data/attachdocs/1289540287771.pdf" TargetMode="External" Id="rId4134" /><Relationship Type="http://schemas.openxmlformats.org/officeDocument/2006/relationships/hyperlink" Target="https://www.sebi.gov.in/filings/public-issues/oct-2009/rosmerta-technologies-limited_3693.html" TargetMode="External" Id="rId4135" /><Relationship Type="http://schemas.openxmlformats.org/officeDocument/2006/relationships/hyperlink" Target="https://www.sebi.gov.in/sebi_data/attachdocs/1289540376958.pdf" TargetMode="External" Id="rId4136" /><Relationship Type="http://schemas.openxmlformats.org/officeDocument/2006/relationships/hyperlink" Target="https://www.sebi.gov.in/filings/public-issues/oct-2009/sahara-prime-city-limited_3696.html" TargetMode="External" Id="rId4137" /><Relationship Type="http://schemas.openxmlformats.org/officeDocument/2006/relationships/hyperlink" Target="https://www.sebi.gov.in/sebi_data/attachdocs/1289622975612.pdf" TargetMode="External" Id="rId4138" /><Relationship Type="http://schemas.openxmlformats.org/officeDocument/2006/relationships/hyperlink" Target="https://www.sebi.gov.in/filings/public-issues/sep-2009/ambience-limited_4063.html" TargetMode="External" Id="rId4139" /><Relationship Type="http://schemas.openxmlformats.org/officeDocument/2006/relationships/hyperlink" Target="https://www.business-standard.com/amp/article/markets/ambience-gets-sebi-s-nod-for-rs-1-300-cr-ipo-110032300189_1.html" TargetMode="External" Id="rId4140" /><Relationship Type="http://schemas.openxmlformats.org/officeDocument/2006/relationships/hyperlink" Target="https://www.sebi.gov.in/sebi_data/attachdocs/1289623241784.pdf" TargetMode="External" Id="rId4141" /><Relationship Type="http://schemas.openxmlformats.org/officeDocument/2006/relationships/hyperlink" Target="https://www.sebi.gov.in/filings/public-issues/sep-2009/gravita-india-limited_4065.html" TargetMode="External" Id="rId4142" /><Relationship Type="http://schemas.openxmlformats.org/officeDocument/2006/relationships/hyperlink" Target="https://www.sebi.gov.in/sebi_data/attachdocs/1289622295286.pdf" TargetMode="External" Id="rId4143" /><Relationship Type="http://schemas.openxmlformats.org/officeDocument/2006/relationships/hyperlink" Target="https://www.sebi.gov.in/filings/public-issues/sep-2009/hathway-cable-and-datacom-limited_4056.html" TargetMode="External" Id="rId4144" /><Relationship Type="http://schemas.openxmlformats.org/officeDocument/2006/relationships/hyperlink" Target="https://www.sebi.gov.in/sebi_data/attachdocs/1289622453911.pdf" TargetMode="External" Id="rId4145" /><Relationship Type="http://schemas.openxmlformats.org/officeDocument/2006/relationships/hyperlink" Target="https://www.sebi.gov.in/filings/public-issues/sep-2009/lodha-developers-limited_4057.html" TargetMode="External" Id="rId4146" /><Relationship Type="http://schemas.openxmlformats.org/officeDocument/2006/relationships/hyperlink" Target="https://www.chittorgarh.com/ipo_faqs/lodha-developers-ipo/1107/" TargetMode="External" Id="rId4147" /><Relationship Type="http://schemas.openxmlformats.org/officeDocument/2006/relationships/hyperlink" Target="https://www.sebi.gov.in/sebi_data/attachdocs/1289622210807.pdf" TargetMode="External" Id="rId4148" /><Relationship Type="http://schemas.openxmlformats.org/officeDocument/2006/relationships/hyperlink" Target="https://www.sebi.gov.in/filings/public-issues/sep-2009/pci-limited_4055.html" TargetMode="External" Id="rId4149" /><Relationship Type="http://schemas.openxmlformats.org/officeDocument/2006/relationships/hyperlink" Target="https://www.sebi.gov.in/sebi_data/commondocs/Processing0910_h.html" TargetMode="External" Id="rId4150" /><Relationship Type="http://schemas.openxmlformats.org/officeDocument/2006/relationships/hyperlink" Target="https://www.sebi.gov.in/sebi_data/attachdocs/1289623561452.pdf" TargetMode="External" Id="rId4151" /><Relationship Type="http://schemas.openxmlformats.org/officeDocument/2006/relationships/hyperlink" Target="https://www.sebi.gov.in/filings/public-issues/sep-2009/reliance-infra-tel-limited_4067.html" TargetMode="External" Id="rId4152" /><Relationship Type="http://schemas.openxmlformats.org/officeDocument/2006/relationships/hyperlink" Target="https://www.sebi.gov.in/sebi_data/attachdocs/1289622645155.pdf" TargetMode="External" Id="rId4153" /><Relationship Type="http://schemas.openxmlformats.org/officeDocument/2006/relationships/hyperlink" Target="https://www.sebi.gov.in/filings/public-issues/sep-2009/shree-ganesh-jewellery-house-limited_4059.html" TargetMode="External" Id="rId4154" /><Relationship Type="http://schemas.openxmlformats.org/officeDocument/2006/relationships/hyperlink" Target="https://www.chittorgarh.com/ipo/shree_ganesh_ipo/235/" TargetMode="External" Id="rId4155" /><Relationship Type="http://schemas.openxmlformats.org/officeDocument/2006/relationships/hyperlink" Target="https://www.sebi.gov.in/sebi_data/attachdocs/1289623059376.pdf" TargetMode="External" Id="rId4156" /><Relationship Type="http://schemas.openxmlformats.org/officeDocument/2006/relationships/hyperlink" Target="https://www.sebi.gov.in/filings/public-issues/sep-2009/vascon-engineers-limited_4064.html" TargetMode="External" Id="rId4157" /><Relationship Type="http://schemas.openxmlformats.org/officeDocument/2006/relationships/hyperlink" Target="https://www.sebi.gov.in/sebi_data/attachdocs/1289622112835.pdf" TargetMode="External" Id="rId4158" /><Relationship Type="http://schemas.openxmlformats.org/officeDocument/2006/relationships/hyperlink" Target="https://www.sebi.gov.in/filings/public-issues/sep-2009/aqua-logistics-limited_4053.html" TargetMode="External" Id="rId4159" /><Relationship Type="http://schemas.openxmlformats.org/officeDocument/2006/relationships/hyperlink" Target="https://www.chittorgarh.com/ipo/aqua_logistics_ipo/216/" TargetMode="External" Id="rId4160" /><Relationship Type="http://schemas.openxmlformats.org/officeDocument/2006/relationships/hyperlink" Target="https://www.sebi.gov.in/sebi_data/attachdocs/1289622030000.pdf" TargetMode="External" Id="rId4161" /><Relationship Type="http://schemas.openxmlformats.org/officeDocument/2006/relationships/hyperlink" Target="https://www.sebi.gov.in/filings/public-issues/sep-2009/ashoka-buildcon-limited_4052.html" TargetMode="External" Id="rId4162" /><Relationship Type="http://schemas.openxmlformats.org/officeDocument/2006/relationships/hyperlink" Target="https://www.sebi.gov.in/sebi_data/attachdocs/1289621941910.pdf" TargetMode="External" Id="rId4163" /><Relationship Type="http://schemas.openxmlformats.org/officeDocument/2006/relationships/hyperlink" Target="https://www.sebi.gov.in/filings/public-issues/sep-2009/emmbi-polyarns-limited_4051.html" TargetMode="External" Id="rId4164" /><Relationship Type="http://schemas.openxmlformats.org/officeDocument/2006/relationships/hyperlink" Target="https://www.sebi.gov.in/sebi_data/attachdocs/1289621869521.pdf" TargetMode="External" Id="rId4165" /><Relationship Type="http://schemas.openxmlformats.org/officeDocument/2006/relationships/hyperlink" Target="https://www.sebi.gov.in/filings/public-issues/sep-2009/birla-shloka-edutech-limited_4050.html" TargetMode="External" Id="rId4166" /><Relationship Type="http://schemas.openxmlformats.org/officeDocument/2006/relationships/hyperlink" Target="https://www.sebi.gov.in/sebi_data/attachdocs/1289805752257.pdf" TargetMode="External" Id="rId4167" /><Relationship Type="http://schemas.openxmlformats.org/officeDocument/2006/relationships/hyperlink" Target="https://www.sebi.gov.in/filings/public-issues/aug-2009/arss-infrastructure-projects-limited_4347.html" TargetMode="External" Id="rId4168" /><Relationship Type="http://schemas.openxmlformats.org/officeDocument/2006/relationships/hyperlink" Target="https://www.sebi.gov.in/sebi_data/attachdocs/1289805718699.pdf" TargetMode="External" Id="rId4169" /><Relationship Type="http://schemas.openxmlformats.org/officeDocument/2006/relationships/hyperlink" Target="https://www.sebi.gov.in/filings/public-issues/aug-2009/cox-and-kings-india-limited_4346.html" TargetMode="External" Id="rId4170" /><Relationship Type="http://schemas.openxmlformats.org/officeDocument/2006/relationships/hyperlink" Target="https://www.sebi.gov.in/sebi_data/attachdocs/1289805641103.pdf" TargetMode="External" Id="rId4171" /><Relationship Type="http://schemas.openxmlformats.org/officeDocument/2006/relationships/hyperlink" Target="https://www.sebi.gov.in/filings/public-issues/aug-2009/d-b-corp-limited_4344.html" TargetMode="External" Id="rId4172" /><Relationship Type="http://schemas.openxmlformats.org/officeDocument/2006/relationships/hyperlink" Target="https://www.sebi.gov.in/sebi_data/attachdocs/1289805680292.pdf" TargetMode="External" Id="rId4173" /><Relationship Type="http://schemas.openxmlformats.org/officeDocument/2006/relationships/hyperlink" Target="https://www.sebi.gov.in/filings/public-issues/aug-2009/jsw-energy-limited_4345.html" TargetMode="External" Id="rId4174" /><Relationship Type="http://schemas.openxmlformats.org/officeDocument/2006/relationships/hyperlink" Target="https://www.sebi.gov.in/sebi_data/attachdocs/1289805597509.pdf" TargetMode="External" Id="rId4175" /><Relationship Type="http://schemas.openxmlformats.org/officeDocument/2006/relationships/hyperlink" Target="https://www.sebi.gov.in/filings/public-issues/aug-2009/den-networks-limited_4343.html" TargetMode="External" Id="rId4176" /><Relationship Type="http://schemas.openxmlformats.org/officeDocument/2006/relationships/hyperlink" Target="https://www.sebi.gov.in/sebi_data/attachdocs/1289805558549.pdf" TargetMode="External" Id="rId4177" /><Relationship Type="http://schemas.openxmlformats.org/officeDocument/2006/relationships/hyperlink" Target="https://www.sebi.gov.in/filings/public-issues/aug-2009/m-s-thangamayil-jewellery-ltd_4342.html" TargetMode="External" Id="rId4178" /><Relationship Type="http://schemas.openxmlformats.org/officeDocument/2006/relationships/hyperlink" Target="https://www.sebi.gov.in/sebi_data/attachdocs/1289882533682.pdf" TargetMode="External" Id="rId4179" /><Relationship Type="http://schemas.openxmlformats.org/officeDocument/2006/relationships/hyperlink" Target="https://www.sebi.gov.in/filings/public-issues/jul-2009/vipul-impex-and-infrabuild-limited_4583.html" TargetMode="External" Id="rId4180" /><Relationship Type="http://schemas.openxmlformats.org/officeDocument/2006/relationships/hyperlink" Target="https://www.sebi.gov.in/sebi_data/attachdocs/1289882496044.pdf" TargetMode="External" Id="rId4181" /><Relationship Type="http://schemas.openxmlformats.org/officeDocument/2006/relationships/hyperlink" Target="https://www.sebi.gov.in/filings/public-issues/jul-2009/indiabulls-power-limited_4582.html" TargetMode="External" Id="rId4182" /><Relationship Type="http://schemas.openxmlformats.org/officeDocument/2006/relationships/hyperlink" Target="https://www.sebi.gov.in/sebi_data/attachdocs/1289882457215.pdf" TargetMode="External" Id="rId4183" /><Relationship Type="http://schemas.openxmlformats.org/officeDocument/2006/relationships/hyperlink" Target="https://www.sebi.gov.in/filings/public-issues/jul-2009/sai-silks-kalamandir-limited_4581.html" TargetMode="External" Id="rId4184" /><Relationship Type="http://schemas.openxmlformats.org/officeDocument/2006/relationships/hyperlink" Target="https://www.chittorgarh.com/ipo/sai_silks_kalamandir_ipo/364/" TargetMode="External" Id="rId4185" /><Relationship Type="http://schemas.openxmlformats.org/officeDocument/2006/relationships/hyperlink" Target="https://www.sebi.gov.in/sebi_data/attachdocs/1290067970608.pdf" TargetMode="External" Id="rId4186" /><Relationship Type="http://schemas.openxmlformats.org/officeDocument/2006/relationships/hyperlink" Target="https://www.sebi.gov.in/filings/public-issues/apr-2009/kabirdass-motor-company-limited_5209.html" TargetMode="External" Id="rId4187" /><Relationship Type="http://schemas.openxmlformats.org/officeDocument/2006/relationships/hyperlink" Target="https://www.sebi.gov.in/sebi_data/attachdocs/1290067921102.pdf" TargetMode="External" Id="rId4188" /><Relationship Type="http://schemas.openxmlformats.org/officeDocument/2006/relationships/hyperlink" Target="https://www.sebi.gov.in/filings/public-issues/apr-2009/adani-power-limited_5208.html" TargetMode="External" Id="rId4189" /><Relationship Type="http://schemas.openxmlformats.org/officeDocument/2006/relationships/hyperlink" Target="https://www.sebi.gov.in/sebi_data/attachdocs/1290076463687.pdf" TargetMode="External" Id="rId4190" /><Relationship Type="http://schemas.openxmlformats.org/officeDocument/2006/relationships/hyperlink" Target="https://www.sebi.gov.in/filings/public-issues/mar-2009/thinksoft-global-services-limited_5363.html" TargetMode="External" Id="rId4191" /><Relationship Type="http://schemas.openxmlformats.org/officeDocument/2006/relationships/hyperlink" Target="https://www.sebi.gov.in/sebi_data/attachdocs/1290402640010.pdf" TargetMode="External" Id="rId4192" /><Relationship Type="http://schemas.openxmlformats.org/officeDocument/2006/relationships/hyperlink" Target="https://www.sebi.gov.in/filings/public-issues/jan-2009/mayajaal-entertainment-limited_5598.html" TargetMode="External" Id="rId4193" /><Relationship Type="http://schemas.openxmlformats.org/officeDocument/2006/relationships/hyperlink" Target="https://en.wikipedia.org/wiki/Mayajaal" TargetMode="External" Id="rId4194" /><Relationship Type="http://schemas.openxmlformats.org/officeDocument/2006/relationships/hyperlink" Target="https://www.sebi.gov.in/sebi_data/attachdocs/1290402488170.pdf" TargetMode="External" Id="rId4195" /><Relationship Type="http://schemas.openxmlformats.org/officeDocument/2006/relationships/hyperlink" Target="https://www.sebi.gov.in/filings/public-issues/jan-2009/pradip-overseas-limited_5594.html" TargetMode="External" Id="rId4196" /><Relationship Type="http://schemas.openxmlformats.org/officeDocument/2006/relationships/hyperlink" Target="https://www.sebi.gov.in/sebi_data/attachdocs/1290402550046.pdf" TargetMode="External" Id="rId4197" /><Relationship Type="http://schemas.openxmlformats.org/officeDocument/2006/relationships/hyperlink" Target="https://www.sebi.gov.in/filings/public-issues/jan-2009/sea-tv-network-limited_5595.html" TargetMode="External" Id="rId4198" /><Relationship Type="http://schemas.openxmlformats.org/officeDocument/2006/relationships/hyperlink" Target="https://www.sebi.gov.in/sebi_data/attachdocs/1291436901973.pdf" TargetMode="External" Id="rId4199" /><Relationship Type="http://schemas.openxmlformats.org/officeDocument/2006/relationships/hyperlink" Target="https://www.sebi.gov.in/filings/public-issues/dec-2008/great-eastern-energy-corporation-limited_7982.html" TargetMode="External" Id="rId4200" /><Relationship Type="http://schemas.openxmlformats.org/officeDocument/2006/relationships/hyperlink" Target="https://www.business-standard.com/markets/ipo/great-eastern-energy-corporation-ltd-ipo-18693" TargetMode="External" Id="rId4201" /><Relationship Type="http://schemas.openxmlformats.org/officeDocument/2006/relationships/hyperlink" Target="https://www.sebi.gov.in/sebi_data/attachdocs/1291436800484.pdf" TargetMode="External" Id="rId4202" /><Relationship Type="http://schemas.openxmlformats.org/officeDocument/2006/relationships/hyperlink" Target="https://www.sebi.gov.in/filings/public-issues/dec-2008/texmo-pipes-and-products-ltd_7981.html" TargetMode="External" Id="rId4203" /><Relationship Type="http://schemas.openxmlformats.org/officeDocument/2006/relationships/hyperlink" Target="https://www.sebi.gov.in/sebi_data/attachdocs/1294992576807.pdf" TargetMode="External" Id="rId4204" /><Relationship Type="http://schemas.openxmlformats.org/officeDocument/2006/relationships/hyperlink" Target="https://www.sebi.gov.in/filings/public-issues/nov-2008/usher-eco-power-limited_14278.html" TargetMode="External" Id="rId4205" /><Relationship Type="http://schemas.openxmlformats.org/officeDocument/2006/relationships/hyperlink" Target="https://www.business-standard.com/markets/ipo/usher-eco-power-ltd-ipo-30366" TargetMode="External" Id="rId4206" /><Relationship Type="http://schemas.openxmlformats.org/officeDocument/2006/relationships/hyperlink" Target="https://www.sebi.gov.in/sebi_data/attachdocs/1291289443561.pdf" TargetMode="External" Id="rId4207" /><Relationship Type="http://schemas.openxmlformats.org/officeDocument/2006/relationships/hyperlink" Target="https://www.sebi.gov.in/filings/public-issues/oct-2008/midvalley-entertainment-limited_7577.html" TargetMode="External" Id="rId4208" /><Relationship Type="http://schemas.openxmlformats.org/officeDocument/2006/relationships/hyperlink" Target="https://www.chittorgarh.com/ipo/midvalley_entertainment_ipo/291/" TargetMode="External" Id="rId4209" /><Relationship Type="http://schemas.openxmlformats.org/officeDocument/2006/relationships/hyperlink" Target="https://www.sebi.gov.in/sebi_data/attachdocs/1291289200377.pdf" TargetMode="External" Id="rId4210" /><Relationship Type="http://schemas.openxmlformats.org/officeDocument/2006/relationships/hyperlink" Target="https://www.sebi.gov.in/filings/public-issues/oct-2008/thomas-cook-india-limited_7576.html" TargetMode="External" Id="rId4211" /><Relationship Type="http://schemas.openxmlformats.org/officeDocument/2006/relationships/hyperlink" Target="https://www.ambit.co/public/regulatory/IB/Thomas%20Cook%20(India)%20Limited%20-%20Letter%20of%20Offer.pdf" TargetMode="External" Id="rId4212" /><Relationship Type="http://schemas.openxmlformats.org/officeDocument/2006/relationships/hyperlink" Target="https://www.sebi.gov.in/sebi_data/attachdocs/1291289080198.pdf" TargetMode="External" Id="rId4213" /><Relationship Type="http://schemas.openxmlformats.org/officeDocument/2006/relationships/hyperlink" Target="https://www.sebi.gov.in/filings/public-issues/oct-2008/amr-constructions-limited_7575.html" TargetMode="External" Id="rId4214" /><Relationship Type="http://schemas.openxmlformats.org/officeDocument/2006/relationships/hyperlink" Target="https://www.business-standard.com/markets/ipo/amr-constructions-ltd-ipo-30324" TargetMode="External" Id="rId4215" /><Relationship Type="http://schemas.openxmlformats.org/officeDocument/2006/relationships/hyperlink" Target="https://www.sebi.gov.in/sebi_data/attachdocs/1291288906060.pdf" TargetMode="External" Id="rId4216" /><Relationship Type="http://schemas.openxmlformats.org/officeDocument/2006/relationships/hyperlink" Target="https://www.sebi.gov.in/filings/public-issues/oct-2008/gujarat-pipavav-port-limited_7574.html" TargetMode="External" Id="rId4217" /><Relationship Type="http://schemas.openxmlformats.org/officeDocument/2006/relationships/hyperlink" Target="https://www.sebi.gov.in/sebi_data/attachdocs/1291288634228.pdf" TargetMode="External" Id="rId4218" /><Relationship Type="http://schemas.openxmlformats.org/officeDocument/2006/relationships/hyperlink" Target="https://www.sebi.gov.in/filings/public-issues/oct-2008/mahindra-holidays-and-resorts-india-limited_7571.html" TargetMode="External" Id="rId4219" /><Relationship Type="http://schemas.openxmlformats.org/officeDocument/2006/relationships/hyperlink" Target="https://www.sebi.gov.in/sebi_data/attachdocs/1291288429268.pdf" TargetMode="External" Id="rId4220" /><Relationship Type="http://schemas.openxmlformats.org/officeDocument/2006/relationships/hyperlink" Target="https://www.sebi.gov.in/filings/public-issues/oct-2008/bs-transcomm-limited_7569.html" TargetMode="External" Id="rId4221" /><Relationship Type="http://schemas.openxmlformats.org/officeDocument/2006/relationships/hyperlink" Target="https://www.chittorgarh.com/ipo/bs_transcomm_ipo/276/" TargetMode="External" Id="rId4222" /><Relationship Type="http://schemas.openxmlformats.org/officeDocument/2006/relationships/hyperlink" Target="https://www.sebi.gov.in/sebi_data/attachdocs/1291288225612.pdf" TargetMode="External" Id="rId4223" /><Relationship Type="http://schemas.openxmlformats.org/officeDocument/2006/relationships/hyperlink" Target="https://www.sebi.gov.in/filings/public-issues/oct-2008/mbl-infrastructures-limited_7568.html" TargetMode="External" Id="rId4224" /><Relationship Type="http://schemas.openxmlformats.org/officeDocument/2006/relationships/hyperlink" Target="https://www.sebi.gov.in/sebi_data/attachdocs/1291278202382.pdf" TargetMode="External" Id="rId4225" /><Relationship Type="http://schemas.openxmlformats.org/officeDocument/2006/relationships/hyperlink" Target="https://www.sebi.gov.in/filings/public-issues/sep-2008/shri-nataraj-ceramic-and-chemical-industries-limited_7420.html" TargetMode="External" Id="rId4226" /><Relationship Type="http://schemas.openxmlformats.org/officeDocument/2006/relationships/hyperlink" Target="https://www.sebi.gov.in/sebi_data/attachdocs/1289883069389.pdf" TargetMode="External" Id="rId4227" /><Relationship Type="http://schemas.openxmlformats.org/officeDocument/2006/relationships/hyperlink" Target="https://www.sebi.gov.in/sebi_data/attachdocs/1291278095340.pdf" TargetMode="External" Id="rId4228" /><Relationship Type="http://schemas.openxmlformats.org/officeDocument/2006/relationships/hyperlink" Target="https://www.sebi.gov.in/filings/public-issues/sep-2008/aravali-infrapower-limited_7413.html" TargetMode="External" Id="rId4229" /><Relationship Type="http://schemas.openxmlformats.org/officeDocument/2006/relationships/hyperlink" Target="https://www.business-standard.com/markets/ipo/aravali-infrapower-ltd-ipo-30295" TargetMode="External" Id="rId4230" /><Relationship Type="http://schemas.openxmlformats.org/officeDocument/2006/relationships/hyperlink" Target="https://www.sebi.gov.in/sebi_data/attachdocs/1291277933513.pdf" TargetMode="External" Id="rId4231" /><Relationship Type="http://schemas.openxmlformats.org/officeDocument/2006/relationships/hyperlink" Target="https://www.sebi.gov.in/filings/public-issues/sep-2008/globus-spirits-limited_7407.html" TargetMode="External" Id="rId4232" /><Relationship Type="http://schemas.openxmlformats.org/officeDocument/2006/relationships/hyperlink" Target="https://www.sebi.gov.in/sebi_data/attachdocs/1291277744120.pdf" TargetMode="External" Id="rId4233" /><Relationship Type="http://schemas.openxmlformats.org/officeDocument/2006/relationships/hyperlink" Target="https://www.sebi.gov.in/filings/public-issues/sep-2008/syncom-healthcare-limited_7405.html" TargetMode="External" Id="rId4234" /><Relationship Type="http://schemas.openxmlformats.org/officeDocument/2006/relationships/hyperlink" Target="https://www.sebi.gov.in/sebi_data/attachdocs/1291192086656.pdf" TargetMode="External" Id="rId4235" /><Relationship Type="http://schemas.openxmlformats.org/officeDocument/2006/relationships/hyperlink" Target="https://www.sebi.gov.in/filings/public-issues/aug-2008/jindal-cotex-limited_6909.html" TargetMode="External" Id="rId4236" /><Relationship Type="http://schemas.openxmlformats.org/officeDocument/2006/relationships/hyperlink" Target="https://www.sebi.gov.in/sebi_data/attachdocs/1291191889723.pdf" TargetMode="External" Id="rId4237" /><Relationship Type="http://schemas.openxmlformats.org/officeDocument/2006/relationships/hyperlink" Target="https://www.sebi.gov.in/filings/public-issues/aug-2008/astec-lifesciences-limited_6904.html" TargetMode="External" Id="rId4238" /><Relationship Type="http://schemas.openxmlformats.org/officeDocument/2006/relationships/hyperlink" Target="https://www.sebi.gov.in/sebi_data/attachdocs/1291191591621.pdf" TargetMode="External" Id="rId4239" /><Relationship Type="http://schemas.openxmlformats.org/officeDocument/2006/relationships/hyperlink" Target="https://www.sebi.gov.in/filings/public-issues/aug-2008/trinity-india-limited_6900.html" TargetMode="External" Id="rId4240" /><Relationship Type="http://schemas.openxmlformats.org/officeDocument/2006/relationships/hyperlink" Target="https://www.business-standard.com/markets/ipo/trinity-india-ltd-ipo-23941" TargetMode="External" Id="rId4241" /><Relationship Type="http://schemas.openxmlformats.org/officeDocument/2006/relationships/hyperlink" Target="https://www.sebi.gov.in/sebi_data/attachdocs/1294993396876.pdf" TargetMode="External" Id="rId4242" /><Relationship Type="http://schemas.openxmlformats.org/officeDocument/2006/relationships/hyperlink" Target="https://www.sebi.gov.in/filings/public-issues/aug-2008/rishabdev-technocable-limited_14279.html" TargetMode="External" Id="rId4243" /><Relationship Type="http://schemas.openxmlformats.org/officeDocument/2006/relationships/hyperlink" Target="https://www.business-standard.com/markets/ipo/rishabhdev-technocable-ltd-ipo-7968" TargetMode="External" Id="rId4244" /><Relationship Type="http://schemas.openxmlformats.org/officeDocument/2006/relationships/hyperlink" Target="https://www.sebi.gov.in/sebi_data/attachdocs/1294993768981.pdf" TargetMode="External" Id="rId4245" /><Relationship Type="http://schemas.openxmlformats.org/officeDocument/2006/relationships/hyperlink" Target="https://www.sebi.gov.in/filings/public-issues/aug-2008/nhpc-limited_14280.html" TargetMode="External" Id="rId4246" /><Relationship Type="http://schemas.openxmlformats.org/officeDocument/2006/relationships/hyperlink" Target="https://www.sebi.gov.in/sebi_data/attachdocs/1291191378145.pdf" TargetMode="External" Id="rId4247" /><Relationship Type="http://schemas.openxmlformats.org/officeDocument/2006/relationships/hyperlink" Target="https://www.sebi.gov.in/filings/public-issues/aug-2008/excel-infoways-limited_6898.html" TargetMode="External" Id="rId4248" /><Relationship Type="http://schemas.openxmlformats.org/officeDocument/2006/relationships/hyperlink" Target="https://www.sebi.gov.in/sebi_data/attachdocs/1291190781534.pdf" TargetMode="External" Id="rId4249" /><Relationship Type="http://schemas.openxmlformats.org/officeDocument/2006/relationships/hyperlink" Target="https://www.sebi.gov.in/filings/public-issues/aug-2008/radiant-info-systems-limited_6886.html" TargetMode="External" Id="rId4250" /><Relationship Type="http://schemas.openxmlformats.org/officeDocument/2006/relationships/hyperlink" Target="https://www.business-standard.com/markets/ipo/radiant-info-systems-ltd-ipo-30138" TargetMode="External" Id="rId4251" /><Relationship Type="http://schemas.openxmlformats.org/officeDocument/2006/relationships/hyperlink" Target="https://www.sebi.gov.in/sebi_data/attachdocs/1291261788010.pdf" TargetMode="External" Id="rId4252" /><Relationship Type="http://schemas.openxmlformats.org/officeDocument/2006/relationships/hyperlink" Target="https://www.sebi.gov.in/filings/public-issues/jul-2008/persistent-systems-limited_7098.html" TargetMode="External" Id="rId4253" /><Relationship Type="http://schemas.openxmlformats.org/officeDocument/2006/relationships/hyperlink" Target="https://www.sebi.gov.in/sebi_data/attachdocs/1291261696994.pdf" TargetMode="External" Id="rId4254" /><Relationship Type="http://schemas.openxmlformats.org/officeDocument/2006/relationships/hyperlink" Target="https://www.sebi.gov.in/filings/public-issues/jul-2008/gemini-engi-fab-limited_7096.html" TargetMode="External" Id="rId4255" /><Relationship Type="http://schemas.openxmlformats.org/officeDocument/2006/relationships/hyperlink" Target="https://www.chittorgarh.com/ipo/gemini_engi-fab_ipo/193/" TargetMode="External" Id="rId4256" /><Relationship Type="http://schemas.openxmlformats.org/officeDocument/2006/relationships/hyperlink" Target="https://www.sebi.gov.in/sebi_data/attachdocs/1291261629163.pdf" TargetMode="External" Id="rId4257" /><Relationship Type="http://schemas.openxmlformats.org/officeDocument/2006/relationships/hyperlink" Target="https://www.sebi.gov.in/filings/public-issues/jul-2008/c-mahendra-exports-limited_7094.html" TargetMode="External" Id="rId4258" /><Relationship Type="http://schemas.openxmlformats.org/officeDocument/2006/relationships/hyperlink" Target="https://www.chittorgarh.com/ipo/c_mahendra_ipo/290/" TargetMode="External" Id="rId4259" /><Relationship Type="http://schemas.openxmlformats.org/officeDocument/2006/relationships/hyperlink" Target="https://www.sebi.gov.in/sebi_data/attachdocs/1291181165286.pdf" TargetMode="External" Id="rId4260" /><Relationship Type="http://schemas.openxmlformats.org/officeDocument/2006/relationships/hyperlink" Target="https://www.sebi.gov.in/filings/public-issues/jun-2008/cellebrum-technologies-limited_6788.html" TargetMode="External" Id="rId4261" /><Relationship Type="http://schemas.openxmlformats.org/officeDocument/2006/relationships/hyperlink" Target="https://www.medianama.com/2009/07/223-cellebrum-is-now-spice-digital-technology-arm-spun-off-as-spice-elabs/" TargetMode="External" Id="rId4262" /><Relationship Type="http://schemas.openxmlformats.org/officeDocument/2006/relationships/hyperlink" Target="https://www.sebi.gov.in/sebi_data/attachdocs/1291180459889.pdf" TargetMode="External" Id="rId4263" /><Relationship Type="http://schemas.openxmlformats.org/officeDocument/2006/relationships/hyperlink" Target="https://www.sebi.gov.in/filings/public-issues/jun-2008/raj-oil-mills-limited_6782.html" TargetMode="External" Id="rId4264" /><Relationship Type="http://schemas.openxmlformats.org/officeDocument/2006/relationships/hyperlink" Target="https://www.sebi.gov.in/sebi_data/attachdocs/1291180264947.pdf" TargetMode="External" Id="rId4265" /><Relationship Type="http://schemas.openxmlformats.org/officeDocument/2006/relationships/hyperlink" Target="https://www.sebi.gov.in/filings/public-issues/jun-2008/edserv-softsystems-limited_6781.html" TargetMode="External" Id="rId4266" /><Relationship Type="http://schemas.openxmlformats.org/officeDocument/2006/relationships/hyperlink" Target="https://www.chittorgarh.com/ipo/edserv_softsystems_ipo/194/" TargetMode="External" Id="rId4267" /><Relationship Type="http://schemas.openxmlformats.org/officeDocument/2006/relationships/hyperlink" Target="https://www.sebi.gov.in/sebi_data/attachdocs/1291180148713.pdf" TargetMode="External" Id="rId4268" /><Relationship Type="http://schemas.openxmlformats.org/officeDocument/2006/relationships/hyperlink" Target="https://www.sebi.gov.in/filings/public-issues/jun-2008/alkali-metals-ltd-draft-rhp_6779.html" TargetMode="External" Id="rId4269" /><Relationship Type="http://schemas.openxmlformats.org/officeDocument/2006/relationships/hyperlink" Target="https://www.sebi.gov.in/sebi_data/attachdocs/1291179466579.pdf" TargetMode="External" Id="rId4270" /><Relationship Type="http://schemas.openxmlformats.org/officeDocument/2006/relationships/hyperlink" Target="https://www.sebi.gov.in/filings/public-issues/jun-2008/godrej-properties-limited_6776.html" TargetMode="External" Id="rId4271" /><Relationship Type="http://schemas.openxmlformats.org/officeDocument/2006/relationships/hyperlink" Target="https://www.sebi.gov.in/sebi_data/attachdocs/1294994328308.pdf" TargetMode="External" Id="rId4272" /><Relationship Type="http://schemas.openxmlformats.org/officeDocument/2006/relationships/hyperlink" Target="https://www.sebi.gov.in/filings/public-issues/may-2008/triveni-infrastructure-development-company-limited_14282.html" TargetMode="External" Id="rId4273" /><Relationship Type="http://schemas.openxmlformats.org/officeDocument/2006/relationships/hyperlink" Target="https://www.business-standard.com/markets/ipo/triveni-infrastructure-development-company-ltd-ipo-29976" TargetMode="External" Id="rId4274" /><Relationship Type="http://schemas.openxmlformats.org/officeDocument/2006/relationships/hyperlink" Target="https://www.sebi.gov.in/sebi_data/attachdocs/1291110089186.pdf" TargetMode="External" Id="rId4275" /><Relationship Type="http://schemas.openxmlformats.org/officeDocument/2006/relationships/hyperlink" Target="https://www.sebi.gov.in/filings/public-issues/may-2008/infinite-computer-solutions-india-limited_6585.html" TargetMode="External" Id="rId4276" /><Relationship Type="http://schemas.openxmlformats.org/officeDocument/2006/relationships/hyperlink" Target="https://www.business-standard.com/markets/ipo/infinite-computer-solutions-india-ltd-ipo-29955" TargetMode="External" Id="rId4277" /><Relationship Type="http://schemas.openxmlformats.org/officeDocument/2006/relationships/hyperlink" Target="https://www.sebi.gov.in/sebi_data/attachdocs/1291109983927.pdf" TargetMode="External" Id="rId4278" /><Relationship Type="http://schemas.openxmlformats.org/officeDocument/2006/relationships/hyperlink" Target="https://www.sebi.gov.in/filings/public-issues/may-2008/gini-and-jony-limited_6583.html" TargetMode="External" Id="rId4279" /><Relationship Type="http://schemas.openxmlformats.org/officeDocument/2006/relationships/hyperlink" Target="https://www.business-standard.com/markets/ipo/gini-jony-ltd-ipo-17811" TargetMode="External" Id="rId4280" /><Relationship Type="http://schemas.openxmlformats.org/officeDocument/2006/relationships/hyperlink" Target="https://www.sebi.gov.in/sebi_data/attachdocs/1291109873170.pdf" TargetMode="External" Id="rId4281" /><Relationship Type="http://schemas.openxmlformats.org/officeDocument/2006/relationships/hyperlink" Target="https://www.sebi.gov.in/filings/public-issues/may-2008/adani-power-limited_6582.html" TargetMode="External" Id="rId4282" /><Relationship Type="http://schemas.openxmlformats.org/officeDocument/2006/relationships/hyperlink" Target="https://www.sebi.gov.in/sebi_data/attachdocs/1291110628141.pdf" TargetMode="External" Id="rId4283" /><Relationship Type="http://schemas.openxmlformats.org/officeDocument/2006/relationships/hyperlink" Target="https://www.sebi.gov.in/filings/public-issues/apr-2008/neoteric-infomatique-limited_6588.html" TargetMode="External" Id="rId4284" /><Relationship Type="http://schemas.openxmlformats.org/officeDocument/2006/relationships/hyperlink" Target="https://www.dqchannels.com/neoteric-applies-for-ipo/" TargetMode="External" Id="rId4285" /><Relationship Type="http://schemas.openxmlformats.org/officeDocument/2006/relationships/hyperlink" Target="https://www.sebi.gov.in/sebi_data/attachdocs/1291111052163.pdf" TargetMode="External" Id="rId4286" /><Relationship Type="http://schemas.openxmlformats.org/officeDocument/2006/relationships/hyperlink" Target="https://www.sebi.gov.in/filings/public-issues/apr-2008/vijai-infrstructure-limited_6592.html" TargetMode="External" Id="rId4287" /><Relationship Type="http://schemas.openxmlformats.org/officeDocument/2006/relationships/hyperlink" Target="https://insolvencyandbankruptcy.in/wp-content/uploads/2019/09/VIL-brief.pdf" TargetMode="External" Id="rId4288" /><Relationship Type="http://schemas.openxmlformats.org/officeDocument/2006/relationships/hyperlink" Target="https://www.sebi.gov.in/sebi_data/attachdocs/1291109768704.pdf" TargetMode="External" Id="rId4289" /><Relationship Type="http://schemas.openxmlformats.org/officeDocument/2006/relationships/hyperlink" Target="https://www.sebi.gov.in/filings/public-issues/apr-2008/ajanta-manufacturing-limited_6581.html" TargetMode="External" Id="rId4290" /><Relationship Type="http://schemas.openxmlformats.org/officeDocument/2006/relationships/hyperlink" Target="https://www.sebi.gov.in/sebi_data/commondocs/Processing0809_h.html" TargetMode="External" Id="rId4291" /><Relationship Type="http://schemas.openxmlformats.org/officeDocument/2006/relationships/hyperlink" Target="https://www.sebi.gov.in/sebi_data/attachdocs/1294995330166.pdf" TargetMode="External" Id="rId4292" /><Relationship Type="http://schemas.openxmlformats.org/officeDocument/2006/relationships/hyperlink" Target="https://www.sebi.gov.in/filings/public-issues/apr-2008/rites-limited_14283.html" TargetMode="External" Id="rId4293" /><Relationship Type="http://schemas.openxmlformats.org/officeDocument/2006/relationships/hyperlink" Target="https://www.business-standard.com/markets/ipo/rites-ltd-ipo-24268" TargetMode="External" Id="rId4294" /><Relationship Type="http://schemas.openxmlformats.org/officeDocument/2006/relationships/hyperlink" Target="https://www.sebi.gov.in/sebi_data/attachdocs/1291108929369.pdf" TargetMode="External" Id="rId4295" /><Relationship Type="http://schemas.openxmlformats.org/officeDocument/2006/relationships/hyperlink" Target="https://www.sebi.gov.in/filings/public-issues/apr-2008/vrl-logistics-limited_6576.html" TargetMode="External" Id="rId4296" /><Relationship Type="http://schemas.openxmlformats.org/officeDocument/2006/relationships/hyperlink" Target="https://www.business-standard.com/markets/ipo/vrl-logistics-ltd-ipo-29776" TargetMode="External" Id="rId4297" /><Relationship Type="http://schemas.openxmlformats.org/officeDocument/2006/relationships/hyperlink" Target="https://www.sebi.gov.in/sebi_data/attachdocs/1291108795623.pdf" TargetMode="External" Id="rId4298" /><Relationship Type="http://schemas.openxmlformats.org/officeDocument/2006/relationships/hyperlink" Target="https://www.sebi.gov.in/filings/public-issues/apr-2008/bharat-oman-refineries-limited_6575.html" TargetMode="External" Id="rId4299" /><Relationship Type="http://schemas.openxmlformats.org/officeDocument/2006/relationships/hyperlink" Target="https://www.business-standard.com/amp/article/companies/slump-in-market-forces-bharat-oman-to-defer-ipo-109030400048_1.html" TargetMode="External" Id="rId4300" /><Relationship Type="http://schemas.openxmlformats.org/officeDocument/2006/relationships/hyperlink" Target="https://www.sebi.gov.in/sebi_data/attachdocs/1291088258619.pdf" TargetMode="External" Id="rId4301" /><Relationship Type="http://schemas.openxmlformats.org/officeDocument/2006/relationships/hyperlink" Target="https://www.sebi.gov.in/filings/public-issues/mar-2008/20-microns-limited_6442.html" TargetMode="External" Id="rId4302" /><Relationship Type="http://schemas.openxmlformats.org/officeDocument/2006/relationships/hyperlink" Target="https://www.sebi.gov.in/sebi_data/attachdocs/1291087845956.pdf" TargetMode="External" Id="rId4303" /><Relationship Type="http://schemas.openxmlformats.org/officeDocument/2006/relationships/hyperlink" Target="https://www.sebi.gov.in/filings/public-issues/mar-2008/chiripal-industries-limited_6441.html" TargetMode="External" Id="rId4304" /><Relationship Type="http://schemas.openxmlformats.org/officeDocument/2006/relationships/hyperlink" Target="https://www.business-standard.com/markets/ipo/chiripal-industries-ltd-ipo-29674" TargetMode="External" Id="rId4305" /><Relationship Type="http://schemas.openxmlformats.org/officeDocument/2006/relationships/hyperlink" Target="https://www.sebi.gov.in/sebi_data/attachdocs/1291029100115.pdf" TargetMode="External" Id="rId4306" /><Relationship Type="http://schemas.openxmlformats.org/officeDocument/2006/relationships/hyperlink" Target="https://www.sebi.gov.in/filings/public-issues/mar-2008/apollo-health-street-limited_6438.html" TargetMode="External" Id="rId4307" /><Relationship Type="http://schemas.openxmlformats.org/officeDocument/2006/relationships/hyperlink" Target="https://www.business-standard.com/article/companies/apollo-health-street-plans-to-raise-momey-through-ipo-108081100048_1.html" TargetMode="External" Id="rId4308" /><Relationship Type="http://schemas.openxmlformats.org/officeDocument/2006/relationships/hyperlink" Target="https://www.sebi.gov.in/sebi_data/attachdocs/1291027060110.pdf" TargetMode="External" Id="rId4309" /><Relationship Type="http://schemas.openxmlformats.org/officeDocument/2006/relationships/hyperlink" Target="https://www.sebi.gov.in/filings/public-issues/mar-2008/vishal-information-technologies-limited_6424.html" TargetMode="External" Id="rId4310" /><Relationship Type="http://schemas.openxmlformats.org/officeDocument/2006/relationships/hyperlink" Target="https://www.chittorgarh.com/ipo/vishal_information_ipo/186/" TargetMode="External" Id="rId4311" /><Relationship Type="http://schemas.openxmlformats.org/officeDocument/2006/relationships/hyperlink" Target="https://www.sebi.gov.in/sebi_data/attachdocs/1291026933616.pdf" TargetMode="External" Id="rId4312" /><Relationship Type="http://schemas.openxmlformats.org/officeDocument/2006/relationships/hyperlink" Target="https://www.sebi.gov.in/filings/public-issues/mar-2008/fineotex-chemical-limited_6422.html" TargetMode="External" Id="rId4313" /><Relationship Type="http://schemas.openxmlformats.org/officeDocument/2006/relationships/hyperlink" Target="https://www.chittorgarh.com/ipo/fineotex_ipo/294/" TargetMode="External" Id="rId4314" /><Relationship Type="http://schemas.openxmlformats.org/officeDocument/2006/relationships/hyperlink" Target="https://www.sebi.gov.in/sebi_data/attachdocs/1290848411542.pdf" TargetMode="External" Id="rId4315" /><Relationship Type="http://schemas.openxmlformats.org/officeDocument/2006/relationships/hyperlink" Target="https://www.sebi.gov.in/filings/public-issues/feb-2008/arss-infrastructure-projects-limited_6240.html" TargetMode="External" Id="rId4316" /><Relationship Type="http://schemas.openxmlformats.org/officeDocument/2006/relationships/hyperlink" Target="https://www.sebi.gov.in/sebi_data/attachdocs/1290848247121.pdf" TargetMode="External" Id="rId4317" /><Relationship Type="http://schemas.openxmlformats.org/officeDocument/2006/relationships/hyperlink" Target="https://www.sebi.gov.in/filings/public-issues/feb-2008/future-ventures-india-limited_6239.html" TargetMode="External" Id="rId4318" /><Relationship Type="http://schemas.openxmlformats.org/officeDocument/2006/relationships/hyperlink" Target="https://www.chittorgarh.com/ipo/future_ventures_ipo/304/" TargetMode="External" Id="rId4319" /><Relationship Type="http://schemas.openxmlformats.org/officeDocument/2006/relationships/hyperlink" Target="https://www.sebi.gov.in/sebi_data/attachdocs/1290847965110.pdf" TargetMode="External" Id="rId4320" /><Relationship Type="http://schemas.openxmlformats.org/officeDocument/2006/relationships/hyperlink" Target="https://www.sebi.gov.in/filings/public-issues/feb-2008/multi-commodity-exchange-of-india-limited_6238.html" TargetMode="External" Id="rId4321" /><Relationship Type="http://schemas.openxmlformats.org/officeDocument/2006/relationships/hyperlink" Target="https://www.business-standard.com/markets/ipo/multi-commodity-exchange-of-india-ipo-25746" TargetMode="External" Id="rId4322" /><Relationship Type="http://schemas.openxmlformats.org/officeDocument/2006/relationships/hyperlink" Target="https://www.sebi.gov.in/sebi_data/attachdocs/1290847864974.pdf" TargetMode="External" Id="rId4323" /><Relationship Type="http://schemas.openxmlformats.org/officeDocument/2006/relationships/hyperlink" Target="https://www.sebi.gov.in/filings/public-issues/feb-2008/ksk-energy-ventures-limited_6237.html" TargetMode="External" Id="rId4324" /><Relationship Type="http://schemas.openxmlformats.org/officeDocument/2006/relationships/hyperlink" Target="https://www.sebi.gov.in/sebi_data/attachdocs/1290847747772.pdf" TargetMode="External" Id="rId4325" /><Relationship Type="http://schemas.openxmlformats.org/officeDocument/2006/relationships/hyperlink" Target="https://www.sebi.gov.in/filings/public-issues/feb-2008/emaar-mgf-land-limited-public-issue-revised-issue-ad_6236.html" TargetMode="External" Id="rId4326" /><Relationship Type="http://schemas.openxmlformats.org/officeDocument/2006/relationships/hyperlink" Target="https://www.chittorgarh.com/ipo/mgf_ipo/152/" TargetMode="External" Id="rId4327" /><Relationship Type="http://schemas.openxmlformats.org/officeDocument/2006/relationships/hyperlink" Target="https://www.sebi.gov.in/sebi_data/attachdocs/1290847602931.pdf" TargetMode="External" Id="rId4328" /><Relationship Type="http://schemas.openxmlformats.org/officeDocument/2006/relationships/hyperlink" Target="https://www.sebi.gov.in/filings/public-issues/feb-2008/century-extrusions-limited_6235.html" TargetMode="External" Id="rId4329" /><Relationship Type="http://schemas.openxmlformats.org/officeDocument/2006/relationships/hyperlink" Target="https://www.goodreturns.in/company/century-extrusions/rights.html" TargetMode="External" Id="rId4330" /><Relationship Type="http://schemas.openxmlformats.org/officeDocument/2006/relationships/hyperlink" Target="https://www.sebi.gov.in/sebi_data/attachdocs/1290847486518.pdf" TargetMode="External" Id="rId4331" /><Relationship Type="http://schemas.openxmlformats.org/officeDocument/2006/relationships/hyperlink" Target="https://www.sebi.gov.in/filings/public-issues/feb-2008/microsec-financial-services-limited_6234.html" TargetMode="External" Id="rId4332" /><Relationship Type="http://schemas.openxmlformats.org/officeDocument/2006/relationships/hyperlink" Target="https://www.sebi.gov.in/sebi_data/attachdocs/1290847398924.pdf" TargetMode="External" Id="rId4333" /><Relationship Type="http://schemas.openxmlformats.org/officeDocument/2006/relationships/hyperlink" Target="https://www.sebi.gov.in/filings/public-issues/feb-2008/reliance-infratel-limited_6233.html" TargetMode="External" Id="rId4334" /><Relationship Type="http://schemas.openxmlformats.org/officeDocument/2006/relationships/hyperlink" Target="https://www.business-standard.com/markets/ipo/reliance-infratel-ltd-merged-ipo-27791" TargetMode="External" Id="rId4335" /><Relationship Type="http://schemas.openxmlformats.org/officeDocument/2006/relationships/hyperlink" Target="https://www.sebi.gov.in/sebi_data/attachdocs/1290847269918.pdf" TargetMode="External" Id="rId4336" /><Relationship Type="http://schemas.openxmlformats.org/officeDocument/2006/relationships/hyperlink" Target="https://www.sebi.gov.in/filings/public-issues/feb-2008/lotus-eye-care-hospital-limited_6232.html" TargetMode="External" Id="rId4337" /><Relationship Type="http://schemas.openxmlformats.org/officeDocument/2006/relationships/hyperlink" Target="https://www.sebi.gov.in/sebi_data/attachdocs/1290755188584.pdf" TargetMode="External" Id="rId4338" /><Relationship Type="http://schemas.openxmlformats.org/officeDocument/2006/relationships/hyperlink" Target="https://www.sebi.gov.in/filings/public-issues/jan-2008/cox-and-kings-india-limited_6080.html" TargetMode="External" Id="rId4339" /><Relationship Type="http://schemas.openxmlformats.org/officeDocument/2006/relationships/hyperlink" Target="https://www.sebi.gov.in/sebi_data/attachdocs/1290755080044.pdf" TargetMode="External" Id="rId4340" /><Relationship Type="http://schemas.openxmlformats.org/officeDocument/2006/relationships/hyperlink" Target="https://www.sebi.gov.in/filings/public-issues/jan-2008/jsw-energy-limited_6079.html" TargetMode="External" Id="rId4341" /><Relationship Type="http://schemas.openxmlformats.org/officeDocument/2006/relationships/hyperlink" Target="https://www.sebi.gov.in/sebi_data/attachdocs/1290753528919.pdf" TargetMode="External" Id="rId4342" /><Relationship Type="http://schemas.openxmlformats.org/officeDocument/2006/relationships/hyperlink" Target="https://www.sebi.gov.in/filings/public-issues/jan-2008/ashoka-buildcon-limited_6068.html" TargetMode="External" Id="rId4343" /><Relationship Type="http://schemas.openxmlformats.org/officeDocument/2006/relationships/hyperlink" Target="https://www.sebi.gov.in/sebi_data/attachdocs/1290753262468.pdf" TargetMode="External" Id="rId4344" /><Relationship Type="http://schemas.openxmlformats.org/officeDocument/2006/relationships/hyperlink" Target="https://www.sebi.gov.in/filings/public-issues/jan-2008/pipavav-shipyard-limited_6066.html" TargetMode="External" Id="rId4345" /><Relationship Type="http://schemas.openxmlformats.org/officeDocument/2006/relationships/hyperlink" Target="https://www.chittorgarh.com/ipo/pipavav_shipyard_ipo/203/" TargetMode="External" Id="rId4346" /><Relationship Type="http://schemas.openxmlformats.org/officeDocument/2006/relationships/hyperlink" Target="https://www.sebi.gov.in/sebi_data/attachdocs/1290752135876.pdf" TargetMode="External" Id="rId4347" /><Relationship Type="http://schemas.openxmlformats.org/officeDocument/2006/relationships/hyperlink" Target="https://www.sebi.gov.in/filings/public-issues/jan-2008/sea-tv-network-limited_6054.html" TargetMode="External" Id="rId4348" /><Relationship Type="http://schemas.openxmlformats.org/officeDocument/2006/relationships/hyperlink" Target="https://www.chittorgarh.com/ipo/sea_tv_network_ipo/272/" TargetMode="External" Id="rId4349" /><Relationship Type="http://schemas.openxmlformats.org/officeDocument/2006/relationships/hyperlink" Target="https://www.sebi.gov.in/sebi_data/attachdocs/1290753674880.pdf" TargetMode="External" Id="rId4350" /><Relationship Type="http://schemas.openxmlformats.org/officeDocument/2006/relationships/hyperlink" Target="https://www.sebi.gov.in/filings/public-issues/jan-2008/virgo-engineers-limited_6069.html" TargetMode="External" Id="rId4351" /><Relationship Type="http://schemas.openxmlformats.org/officeDocument/2006/relationships/hyperlink" Target="https://www.business-standard.com/markets/ipo/virgo-engineers-ltd-ipo-23978" TargetMode="External" Id="rId4352" /><Relationship Type="http://schemas.openxmlformats.org/officeDocument/2006/relationships/hyperlink" Target="https://www.sebi.gov.in/sebi_data/attachdocs/1290752001912.pdf" TargetMode="External" Id="rId4353" /><Relationship Type="http://schemas.openxmlformats.org/officeDocument/2006/relationships/hyperlink" Target="https://www.sebi.gov.in/filings/public-issues/jan-2008/bang-overseas-limited_6051.html" TargetMode="External" Id="rId4354" /><Relationship Type="http://schemas.openxmlformats.org/officeDocument/2006/relationships/hyperlink" Target="https://www.sebi.gov.in/sebi_data/attachdocs/1290751867716.pdf" TargetMode="External" Id="rId4355" /><Relationship Type="http://schemas.openxmlformats.org/officeDocument/2006/relationships/hyperlink" Target="https://www.sebi.gov.in/filings/public-issues/jan-2008/pnc-infratech-limited_6049.html" TargetMode="External" Id="rId4356" /><Relationship Type="http://schemas.openxmlformats.org/officeDocument/2006/relationships/hyperlink" Target="https://www.business-standard.com/markets/ipo/pnc-infratech-ltd-ipo-28695" TargetMode="External" Id="rId4357" /><Relationship Type="http://schemas.openxmlformats.org/officeDocument/2006/relationships/hyperlink" Target="https://www.sebi.gov.in/sebi_data/attachdocs/1290751680739.pdf" TargetMode="External" Id="rId4358" /><Relationship Type="http://schemas.openxmlformats.org/officeDocument/2006/relationships/hyperlink" Target="https://www.sebi.gov.in/filings/public-issues/jan-2008/nu-tek-india-limited_6048.html" TargetMode="External" Id="rId4359" /><Relationship Type="http://schemas.openxmlformats.org/officeDocument/2006/relationships/hyperlink" Target="https://www.chittorgarh.com/ipo/nu_tek_india_ipo/187/" TargetMode="External" Id="rId4360" /><Relationship Type="http://schemas.openxmlformats.org/officeDocument/2006/relationships/hyperlink" Target="https://www.sebi.gov.in/sebi_data/attachdocs/1290750457729.pdf" TargetMode="External" Id="rId4361" /><Relationship Type="http://schemas.openxmlformats.org/officeDocument/2006/relationships/hyperlink" Target="https://www.sebi.gov.in/filings/public-issues/jan-2008/uti-asset-management-company-limited_6039.html" TargetMode="External" Id="rId4362" /><Relationship Type="http://schemas.openxmlformats.org/officeDocument/2006/relationships/hyperlink" Target="https://www.business-standard.com/markets/ipo/uti-asset-management-company-ltd-ipo-23412" TargetMode="External" Id="rId4363" /><Relationship Type="http://schemas.openxmlformats.org/officeDocument/2006/relationships/hyperlink" Target="https://www.sebi.gov.in/sebi_data/attachdocs/1290750181882.pdf" TargetMode="External" Id="rId4364" /><Relationship Type="http://schemas.openxmlformats.org/officeDocument/2006/relationships/hyperlink" Target="https://www.sebi.gov.in/filings/public-issues/jan-2008/euro-multivision-limited_6037.html" TargetMode="External" Id="rId4365" /><Relationship Type="http://schemas.openxmlformats.org/officeDocument/2006/relationships/hyperlink" Target="https://www.sebi.gov.in/sebi_data/attachdocs/1290749920595.pdf" TargetMode="External" Id="rId4366" /><Relationship Type="http://schemas.openxmlformats.org/officeDocument/2006/relationships/hyperlink" Target="https://www.sebi.gov.in/filings/public-issues/jan-2008/jaiprakash-power-ventures-limited_6033.html" TargetMode="External" Id="rId4367" /><Relationship Type="http://schemas.openxmlformats.org/officeDocument/2006/relationships/hyperlink" Target="https://www.business-standard.com/markets/ipo/jaiprakash-power-ventures-ltd-ipo-14266" TargetMode="External" Id="rId4368" /><Relationship Type="http://schemas.openxmlformats.org/officeDocument/2006/relationships/hyperlink" Target="https://www.sebi.gov.in/sebi_data/attachdocs/1290749703261.pdf" TargetMode="External" Id="rId4369" /><Relationship Type="http://schemas.openxmlformats.org/officeDocument/2006/relationships/hyperlink" Target="https://www.sebi.gov.in/filings/public-issues/jan-2008/chemcel-biotech-limited_6029.html" TargetMode="External" Id="rId4370" /><Relationship Type="http://schemas.openxmlformats.org/officeDocument/2006/relationships/hyperlink" Target="https://www.chittorgarh.com/ipo/chemcel_biotech_ipo/191/" TargetMode="External" Id="rId4371" /><Relationship Type="http://schemas.openxmlformats.org/officeDocument/2006/relationships/hyperlink" Target="https://www.sebi.gov.in/sebi_data/attachdocs/1291961203082.pdf" TargetMode="External" Id="rId4372" /><Relationship Type="http://schemas.openxmlformats.org/officeDocument/2006/relationships/hyperlink" Target="https://www.sebi.gov.in/filings/public-issues/dec-2007/bafna-pharmaceuticals-limited_9633.html" TargetMode="External" Id="rId4373" /><Relationship Type="http://schemas.openxmlformats.org/officeDocument/2006/relationships/hyperlink" Target="https://www.sebi.gov.in/sebi_data/attachdocs/1291960892189.pdf" TargetMode="External" Id="rId4374" /><Relationship Type="http://schemas.openxmlformats.org/officeDocument/2006/relationships/hyperlink" Target="https://www.sebi.gov.in/filings/public-issues/dec-2007/birla-cotsyn-india-limited_9621.html" TargetMode="External" Id="rId4375" /><Relationship Type="http://schemas.openxmlformats.org/officeDocument/2006/relationships/hyperlink" Target="https://www.sebi.gov.in/sebi_data/attachdocs/1291960302483.pdf" TargetMode="External" Id="rId4376" /><Relationship Type="http://schemas.openxmlformats.org/officeDocument/2006/relationships/hyperlink" Target="https://www.sebi.gov.in/filings/public-issues/dec-2007/infinity-infotechparks-ltd_9604.html" TargetMode="External" Id="rId4377" /><Relationship Type="http://schemas.openxmlformats.org/officeDocument/2006/relationships/hyperlink" Target="https://www.business-standard.com/markets/ipo/infinity-infotech-parks-ltd-ipo-28607" TargetMode="External" Id="rId4378" /><Relationship Type="http://schemas.openxmlformats.org/officeDocument/2006/relationships/hyperlink" Target="https://www.sebi.gov.in/sebi_data/attachdocs/1291960542676.pdf" TargetMode="External" Id="rId4379" /><Relationship Type="http://schemas.openxmlformats.org/officeDocument/2006/relationships/hyperlink" Target="https://www.sebi.gov.in/filings/public-issues/dec-2007/manjushree-extrusions-ltd_9610.html" TargetMode="External" Id="rId4380" /><Relationship Type="http://schemas.openxmlformats.org/officeDocument/2006/relationships/hyperlink" Target="https://www.chittorgarh.com/ipo/x/150/" TargetMode="External" Id="rId4381" /><Relationship Type="http://schemas.openxmlformats.org/officeDocument/2006/relationships/hyperlink" Target="https://www.sebi.gov.in/sebi_data/attachdocs/1291959790690.pdf" TargetMode="External" Id="rId4382" /><Relationship Type="http://schemas.openxmlformats.org/officeDocument/2006/relationships/hyperlink" Target="https://www.sebi.gov.in/filings/public-issues/dec-2007/db-corp-limited_9589.html" TargetMode="External" Id="rId4383" /><Relationship Type="http://schemas.openxmlformats.org/officeDocument/2006/relationships/hyperlink" Target="https://www.sebi.gov.in/sebi_data/attachdocs/1291960022709.pdf" TargetMode="External" Id="rId4384" /><Relationship Type="http://schemas.openxmlformats.org/officeDocument/2006/relationships/hyperlink" Target="https://www.sebi.gov.in/filings/public-issues/dec-2007/ramky-infrastructure-limited_9594.html" TargetMode="External" Id="rId4385" /><Relationship Type="http://schemas.openxmlformats.org/officeDocument/2006/relationships/hyperlink" Target="https://www.chittorgarh.com/ipo/ramky_infra_ipo/265/" TargetMode="External" Id="rId4386" /><Relationship Type="http://schemas.openxmlformats.org/officeDocument/2006/relationships/hyperlink" Target="https://www.sebi.gov.in/sebi_data/attachdocs/1291960107471.pdf" TargetMode="External" Id="rId4387" /><Relationship Type="http://schemas.openxmlformats.org/officeDocument/2006/relationships/hyperlink" Target="https://www.sebi.gov.in/filings/public-issues/dec-2007/shankara-pipes-india-limited_9596.html" TargetMode="External" Id="rId4388" /><Relationship Type="http://schemas.openxmlformats.org/officeDocument/2006/relationships/hyperlink" Target="https://www.chittorgarh.com/ipo/shankara-buildpro-ipo/635/" TargetMode="External" Id="rId4389" /><Relationship Type="http://schemas.openxmlformats.org/officeDocument/2006/relationships/hyperlink" Target="https://www.sebi.gov.in/sebi_data/attachdocs/1291959344466.pdf" TargetMode="External" Id="rId4390" /><Relationship Type="http://schemas.openxmlformats.org/officeDocument/2006/relationships/hyperlink" Target="https://www.sebi.gov.in/filings/public-issues/dec-2007/mahindra-holidays-and-resorts-india-limited_9583.html" TargetMode="External" Id="rId4391" /><Relationship Type="http://schemas.openxmlformats.org/officeDocument/2006/relationships/hyperlink" Target="https://www.sebi.gov.in/sebi_data/attachdocs/1291959699938.pdf" TargetMode="External" Id="rId4392" /><Relationship Type="http://schemas.openxmlformats.org/officeDocument/2006/relationships/hyperlink" Target="https://www.sebi.gov.in/filings/public-issues/dec-2007/mandhana-industries-limited_9588.html" TargetMode="External" Id="rId4393" /><Relationship Type="http://schemas.openxmlformats.org/officeDocument/2006/relationships/hyperlink" Target="https://www.chittorgarh.com/ipo/mandhana_industries_ipo/242/" TargetMode="External" Id="rId4394" /><Relationship Type="http://schemas.openxmlformats.org/officeDocument/2006/relationships/hyperlink" Target="https://www.sebi.gov.in/sebi_data/attachdocs/1291958787693.pdf" TargetMode="External" Id="rId4395" /><Relationship Type="http://schemas.openxmlformats.org/officeDocument/2006/relationships/hyperlink" Target="https://www.sebi.gov.in/filings/public-issues/dec-2007/resurgere-mines-and-minerals-india-limited_9569.html" TargetMode="External" Id="rId4396" /><Relationship Type="http://schemas.openxmlformats.org/officeDocument/2006/relationships/hyperlink" Target="https://www.business-standard.com/markets/ipo/resurgere-mines-minerals-india-ltd-ipo-28573" TargetMode="External" Id="rId4397" /><Relationship Type="http://schemas.openxmlformats.org/officeDocument/2006/relationships/hyperlink" Target="https://www.sebi.gov.in/sebi_data/attachdocs/1291958638629.pdf" TargetMode="External" Id="rId4398" /><Relationship Type="http://schemas.openxmlformats.org/officeDocument/2006/relationships/hyperlink" Target="https://www.sebi.gov.in/filings/public-issues/dec-2007/oil-india-limited_9566.html" TargetMode="External" Id="rId4399" /><Relationship Type="http://schemas.openxmlformats.org/officeDocument/2006/relationships/hyperlink" Target="https://www.sebi.gov.in/sebi_data/attachdocs/1291958366534.pdf" TargetMode="External" Id="rId4400" /><Relationship Type="http://schemas.openxmlformats.org/officeDocument/2006/relationships/hyperlink" Target="https://www.sebi.gov.in/filings/public-issues/dec-2007/acme-tele-power-limited_9559.html" TargetMode="External" Id="rId4401" /><Relationship Type="http://schemas.openxmlformats.org/officeDocument/2006/relationships/hyperlink" Target="https://www.business-standard.com/amp/article/technology/pe-firms-exit-acme-tele-108123001031_1.html" TargetMode="External" Id="rId4402" /><Relationship Type="http://schemas.openxmlformats.org/officeDocument/2006/relationships/hyperlink" Target="https://www.sebi.gov.in/sebi_data/attachdocs/1291958145476.pdf" TargetMode="External" Id="rId4403" /><Relationship Type="http://schemas.openxmlformats.org/officeDocument/2006/relationships/hyperlink" Target="https://www.sebi.gov.in/filings/public-issues/dec-2007/sejal-architectural-glass-limited_9553.html" TargetMode="External" Id="rId4404" /><Relationship Type="http://schemas.openxmlformats.org/officeDocument/2006/relationships/hyperlink" Target="https://www.sebi.gov.in/sebi_data/attachdocs/1291957514388.pdf" TargetMode="External" Id="rId4405" /><Relationship Type="http://schemas.openxmlformats.org/officeDocument/2006/relationships/hyperlink" Target="https://www.sebi.gov.in/filings/public-issues/dec-2007/xenitis-infotech-limited_9541.html" TargetMode="External" Id="rId4406" /><Relationship Type="http://schemas.openxmlformats.org/officeDocument/2006/relationships/hyperlink" Target="https://www.business-standard.com/markets/ipo/xenitis-infotech-ltd-ipo-28476" TargetMode="External" Id="rId4407" /><Relationship Type="http://schemas.openxmlformats.org/officeDocument/2006/relationships/hyperlink" Target="https://www.sebi.gov.in/sebi_data/attachdocs/1291952536236.pdf" TargetMode="External" Id="rId4408" /><Relationship Type="http://schemas.openxmlformats.org/officeDocument/2006/relationships/hyperlink" Target="https://www.sebi.gov.in/filings/public-issues/nov-2007/kolte-patil-developers-limited-public-notice-dated-november-25-2007_9508.html" TargetMode="External" Id="rId4409" /><Relationship Type="http://schemas.openxmlformats.org/officeDocument/2006/relationships/hyperlink" Target="https://www.chittorgarh.com/ipo/kolte_patil_developers_ipo/137/" TargetMode="External" Id="rId4410" /><Relationship Type="http://schemas.openxmlformats.org/officeDocument/2006/relationships/hyperlink" Target="https://www.sebi.gov.in/sebi_data/attachdocs/1291952345264.pdf" TargetMode="External" Id="rId4411" /><Relationship Type="http://schemas.openxmlformats.org/officeDocument/2006/relationships/hyperlink" Target="https://www.sebi.gov.in/filings/public-issues/nov-2007/v-guard-industries-limited_9507.html" TargetMode="External" Id="rId4412" /><Relationship Type="http://schemas.openxmlformats.org/officeDocument/2006/relationships/hyperlink" Target="https://www.sebi.gov.in/sebi_data/attachdocs/1291952214293.pdf" TargetMode="External" Id="rId4413" /><Relationship Type="http://schemas.openxmlformats.org/officeDocument/2006/relationships/hyperlink" Target="https://www.sebi.gov.in/filings/public-issues/nov-2007/somi-conveyor-beltings-limited_9505.html" TargetMode="External" Id="rId4414" /><Relationship Type="http://schemas.openxmlformats.org/officeDocument/2006/relationships/hyperlink" Target="https://www.sebi.gov.in/sebi_data/attachdocs/1291951804273.pdf" TargetMode="External" Id="rId4415" /><Relationship Type="http://schemas.openxmlformats.org/officeDocument/2006/relationships/hyperlink" Target="https://www.sebi.gov.in/filings/public-issues/nov-2007/vascon-engineers-limited_9503.html" TargetMode="External" Id="rId4416" /><Relationship Type="http://schemas.openxmlformats.org/officeDocument/2006/relationships/hyperlink" Target="https://www.chittorgarh.com/ipo/vascon_engineers_ipo/221/" TargetMode="External" Id="rId4417" /><Relationship Type="http://schemas.openxmlformats.org/officeDocument/2006/relationships/hyperlink" Target="https://www.sebi.gov.in/sebi_data/attachdocs/1291951460453.pdf" TargetMode="External" Id="rId4418" /><Relationship Type="http://schemas.openxmlformats.org/officeDocument/2006/relationships/hyperlink" Target="https://www.sebi.gov.in/filings/public-issues/nov-2007/austral-coke-and-projects-limited_9502.html" TargetMode="External" Id="rId4419" /><Relationship Type="http://schemas.openxmlformats.org/officeDocument/2006/relationships/hyperlink" Target="https://www.chittorgarh.com/ipo/austral_ipo/188/" TargetMode="External" Id="rId4420" /><Relationship Type="http://schemas.openxmlformats.org/officeDocument/2006/relationships/hyperlink" Target="https://www.sebi.gov.in/sebi_data/attachdocs/1291951320543.pdf" TargetMode="External" Id="rId4421" /><Relationship Type="http://schemas.openxmlformats.org/officeDocument/2006/relationships/hyperlink" Target="https://www.sebi.gov.in/filings/public-issues/nov-2007/gokul-refoils-and-solvent-limited_9501.html" TargetMode="External" Id="rId4422" /><Relationship Type="http://schemas.openxmlformats.org/officeDocument/2006/relationships/hyperlink" Target="https://www.sebi.gov.in/sebi_data/attachdocs/1291951179374.pdf" TargetMode="External" Id="rId4423" /><Relationship Type="http://schemas.openxmlformats.org/officeDocument/2006/relationships/hyperlink" Target="https://www.sebi.gov.in/filings/public-issues/nov-2007/prospectus-archidply-industries-limited_9500.html" TargetMode="External" Id="rId4424" /><Relationship Type="http://schemas.openxmlformats.org/officeDocument/2006/relationships/hyperlink" Target="https://www.sebi.gov.in/sebi_data/attachdocs/1291950818713.pdf" TargetMode="External" Id="rId4425" /><Relationship Type="http://schemas.openxmlformats.org/officeDocument/2006/relationships/hyperlink" Target="https://www.sebi.gov.in/filings/public-issues/nov-2007/jhaveri-flexo-india-limited_9499.html" TargetMode="External" Id="rId4426" /><Relationship Type="http://schemas.openxmlformats.org/officeDocument/2006/relationships/hyperlink" Target="https://www.sebi.gov.in/sebi_data/attachdocs/1291887733434.pdf" TargetMode="External" Id="rId4427" /><Relationship Type="http://schemas.openxmlformats.org/officeDocument/2006/relationships/hyperlink" Target="https://www.sebi.gov.in/filings/public-issues/oct-2007/prospectus-surya-food-and-agro-limited_9383.html" TargetMode="External" Id="rId4428" /><Relationship Type="http://schemas.openxmlformats.org/officeDocument/2006/relationships/hyperlink" Target="https://www.sebi.gov.in/sebi_data/attachdocs/1291887589459.pdf" TargetMode="External" Id="rId4429" /><Relationship Type="http://schemas.openxmlformats.org/officeDocument/2006/relationships/hyperlink" Target="https://www.sebi.gov.in/filings/public-issues/oct-2007/neel-metal-products-limited_9379.html" TargetMode="External" Id="rId4430" /><Relationship Type="http://schemas.openxmlformats.org/officeDocument/2006/relationships/hyperlink" Target="https://www.sebi.gov.in/sebi_data/attachdocs/1291887491691.pdf" TargetMode="External" Id="rId4431" /><Relationship Type="http://schemas.openxmlformats.org/officeDocument/2006/relationships/hyperlink" Target="https://www.sebi.gov.in/filings/public-issues/oct-2007/prospectus-first-winner-industries-limited_9376.html" TargetMode="External" Id="rId4432" /><Relationship Type="http://schemas.openxmlformats.org/officeDocument/2006/relationships/hyperlink" Target="https://www.chittorgarh.com/ipo/first_winner_ipo/180/" TargetMode="External" Id="rId4433" /><Relationship Type="http://schemas.openxmlformats.org/officeDocument/2006/relationships/hyperlink" Target="https://www.sebi.gov.in/sebi_data/attachdocs/1291887416112.pdf" TargetMode="External" Id="rId4434" /><Relationship Type="http://schemas.openxmlformats.org/officeDocument/2006/relationships/hyperlink" Target="https://www.sebi.gov.in/filings/public-issues/oct-2007/titagarh-wagons-limited_9374.html" TargetMode="External" Id="rId4435" /><Relationship Type="http://schemas.openxmlformats.org/officeDocument/2006/relationships/hyperlink" Target="https://www.sebi.gov.in/sebi_data/attachdocs/1291887248282.pdf" TargetMode="External" Id="rId4436" /><Relationship Type="http://schemas.openxmlformats.org/officeDocument/2006/relationships/hyperlink" Target="https://www.sebi.gov.in/filings/public-issues/oct-2007/persistent-systems-limited_9371.html" TargetMode="External" Id="rId4437" /><Relationship Type="http://schemas.openxmlformats.org/officeDocument/2006/relationships/hyperlink" Target="https://www.chittorgarh.com/ipo/persistent_systems_ipo/234/" TargetMode="External" Id="rId4438" /><Relationship Type="http://schemas.openxmlformats.org/officeDocument/2006/relationships/hyperlink" Target="https://www.sebi.gov.in/sebi_data/attachdocs/1291887012746.pdf" TargetMode="External" Id="rId4439" /><Relationship Type="http://schemas.openxmlformats.org/officeDocument/2006/relationships/hyperlink" Target="https://www.sebi.gov.in/filings/public-issues/oct-2007/draft-lof-exide-industries-limited_9366.html" TargetMode="External" Id="rId4440" /><Relationship Type="http://schemas.openxmlformats.org/officeDocument/2006/relationships/hyperlink" Target="https://www.sebi.gov.in/sebi_data/attachdocs/1291969780021.pdf" TargetMode="External" Id="rId4441" /><Relationship Type="http://schemas.openxmlformats.org/officeDocument/2006/relationships/hyperlink" Target="https://www.sebi.gov.in/sebi_data/attachdocs/1291886632781.pdf" TargetMode="External" Id="rId4442" /><Relationship Type="http://schemas.openxmlformats.org/officeDocument/2006/relationships/hyperlink" Target="https://www.sebi.gov.in/filings/public-issues/oct-2007/draft-prospectus-shriram-epc-limited_9360.html" TargetMode="External" Id="rId4443" /><Relationship Type="http://schemas.openxmlformats.org/officeDocument/2006/relationships/hyperlink" Target="https://www.sebi.gov.in/sebi_data/attachdocs/1291886736922.pdf" TargetMode="External" Id="rId4444" /><Relationship Type="http://schemas.openxmlformats.org/officeDocument/2006/relationships/hyperlink" Target="https://www.sebi.gov.in/filings/public-issues/oct-2007/reliance-power-limited_9362.html" TargetMode="External" Id="rId4445" /><Relationship Type="http://schemas.openxmlformats.org/officeDocument/2006/relationships/hyperlink" Target="https://www.sebi.gov.in/sebi_data/attachdocs/1291883443984.pdf" TargetMode="External" Id="rId4446" /><Relationship Type="http://schemas.openxmlformats.org/officeDocument/2006/relationships/hyperlink" Target="https://www.sebi.gov.in/filings/public-issues/oct-2007/draft-prospectus-gammon-infrastructure-projects-limited_9336.html" TargetMode="External" Id="rId4447" /><Relationship Type="http://schemas.openxmlformats.org/officeDocument/2006/relationships/hyperlink" Target="https://www.sebi.gov.in/sebi_data/attachdocs/1291886498400.pdf" TargetMode="External" Id="rId4448" /><Relationship Type="http://schemas.openxmlformats.org/officeDocument/2006/relationships/hyperlink" Target="https://www.sebi.gov.in/filings/public-issues/oct-2007/irb-infrastructure-developers-limited_9358.html" TargetMode="External" Id="rId4449" /><Relationship Type="http://schemas.openxmlformats.org/officeDocument/2006/relationships/hyperlink" Target="https://www.sebi.gov.in/sebi_data/attachdocs/1291884015026.pdf" TargetMode="External" Id="rId4450" /><Relationship Type="http://schemas.openxmlformats.org/officeDocument/2006/relationships/hyperlink" Target="https://www.sebi.gov.in/filings/public-issues/oct-2007/prince-foundations-limited_9347.html" TargetMode="External" Id="rId4451" /><Relationship Type="http://schemas.openxmlformats.org/officeDocument/2006/relationships/hyperlink" Target="https://www.sebi.gov.in/sebi_data/attachdocs/1291883516165.pdf" TargetMode="External" Id="rId4452" /><Relationship Type="http://schemas.openxmlformats.org/officeDocument/2006/relationships/hyperlink" Target="https://www.sebi.gov.in/filings/public-issues/oct-2007/prospectus-austral-coke-and-projects-limited_9339.html" TargetMode="External" Id="rId4453" /><Relationship Type="http://schemas.openxmlformats.org/officeDocument/2006/relationships/hyperlink" Target="https://www.chittorgarh.com/ipo/austral_ipo/188/" TargetMode="External" Id="rId4454" /><Relationship Type="http://schemas.openxmlformats.org/officeDocument/2006/relationships/hyperlink" Target="https://www.sebi.gov.in/sebi_data/attachdocs/1291883595498.pdf" TargetMode="External" Id="rId4455" /><Relationship Type="http://schemas.openxmlformats.org/officeDocument/2006/relationships/hyperlink" Target="https://www.sebi.gov.in/filings/public-issues/oct-2007/prospectus-future-capital-holdings-limited_9341.html" TargetMode="External" Id="rId4456" /><Relationship Type="http://schemas.openxmlformats.org/officeDocument/2006/relationships/hyperlink" Target="https://www.chittorgarh.com/ipo/future_capital_ipo/151/" TargetMode="External" Id="rId4457" /><Relationship Type="http://schemas.openxmlformats.org/officeDocument/2006/relationships/hyperlink" Target="https://www.sebi.gov.in/sebi_data/attachdocs/1291883818437.pdf" TargetMode="External" Id="rId4458" /><Relationship Type="http://schemas.openxmlformats.org/officeDocument/2006/relationships/hyperlink" Target="https://www.sebi.gov.in/filings/public-issues/oct-2007/ybrant-technologies-limited_9344.html" TargetMode="External" Id="rId4459" /><Relationship Type="http://schemas.openxmlformats.org/officeDocument/2006/relationships/hyperlink" Target="https://www.sebi.gov.in/sebi_data/attachdocs/1291882922535.pdf" TargetMode="External" Id="rId4460" /><Relationship Type="http://schemas.openxmlformats.org/officeDocument/2006/relationships/hyperlink" Target="https://www.sebi.gov.in/filings/public-issues/oct-2007/prospectus-vijay-infrastructure-limited_9329.html" TargetMode="External" Id="rId4461" /><Relationship Type="http://schemas.openxmlformats.org/officeDocument/2006/relationships/hyperlink" Target="https://www.sebi.gov.in/sebi_data/attachdocs/1291882830480.pdf" TargetMode="External" Id="rId4462" /><Relationship Type="http://schemas.openxmlformats.org/officeDocument/2006/relationships/hyperlink" Target="https://www.sebi.gov.in/filings/public-issues/oct-2007/prospectus-anu-s-laboratories-limited_9327.html" TargetMode="External" Id="rId4463" /><Relationship Type="http://schemas.openxmlformats.org/officeDocument/2006/relationships/hyperlink" Target="https://www.chittorgarh.com/ipo/anu_laboratories_ipo/174/" TargetMode="External" Id="rId4464" /><Relationship Type="http://schemas.openxmlformats.org/officeDocument/2006/relationships/hyperlink" Target="https://www.sebi.gov.in/sebi_data/attachdocs/1291883203470.pdf" TargetMode="External" Id="rId4465" /><Relationship Type="http://schemas.openxmlformats.org/officeDocument/2006/relationships/hyperlink" Target="https://www.sebi.gov.in/filings/public-issues/oct-2007/tcg-lifesciences-limited_9333.html" TargetMode="External" Id="rId4466" /><Relationship Type="http://schemas.openxmlformats.org/officeDocument/2006/relationships/hyperlink" Target="https://www.sebi.gov.in/sebi_data/attachdocs/1291872327056.pdf" TargetMode="External" Id="rId4467" /><Relationship Type="http://schemas.openxmlformats.org/officeDocument/2006/relationships/hyperlink" Target="https://www.sebi.gov.in/filings/public-issues/sep-2007/transformers-and-rectifiers-india-limited_9096.html" TargetMode="External" Id="rId4468" /><Relationship Type="http://schemas.openxmlformats.org/officeDocument/2006/relationships/hyperlink" Target="https://www.sebi.gov.in/sebi_data/attachdocs/1291871821695.pdf" TargetMode="External" Id="rId4469" /><Relationship Type="http://schemas.openxmlformats.org/officeDocument/2006/relationships/hyperlink" Target="https://www.sebi.gov.in/filings/public-issues/sep-2007/draft-prospectus-emaar-mgf-land-limited_9090.html" TargetMode="External" Id="rId4470" /><Relationship Type="http://schemas.openxmlformats.org/officeDocument/2006/relationships/hyperlink" Target="https://www.chittorgarh.com/ipo/mgf_ipo/152/" TargetMode="External" Id="rId4471" /><Relationship Type="http://schemas.openxmlformats.org/officeDocument/2006/relationships/hyperlink" Target="https://www.sebi.gov.in/sebi_data/attachdocs/1291872182562.pdf" TargetMode="External" Id="rId4472" /><Relationship Type="http://schemas.openxmlformats.org/officeDocument/2006/relationships/hyperlink" Target="https://www.sebi.gov.in/filings/public-issues/sep-2007/draft-prospectus-knr-constructions-limited_9092.html" TargetMode="External" Id="rId4473" /><Relationship Type="http://schemas.openxmlformats.org/officeDocument/2006/relationships/hyperlink" Target="https://www.sebi.gov.in/sebi_data/attachdocs/1291870037067.pdf" TargetMode="External" Id="rId4474" /><Relationship Type="http://schemas.openxmlformats.org/officeDocument/2006/relationships/hyperlink" Target="https://www.sebi.gov.in/filings/public-issues/sep-2007/ipo-nkg-infrastructure-limited_9072.html" TargetMode="External" Id="rId4475" /><Relationship Type="http://schemas.openxmlformats.org/officeDocument/2006/relationships/hyperlink" Target="https://www.sebi.gov.in/sebi_data/attachdocs/1291869748492.pdf" TargetMode="External" Id="rId4476" /><Relationship Type="http://schemas.openxmlformats.org/officeDocument/2006/relationships/hyperlink" Target="https://www.sebi.gov.in/filings/public-issues/sep-2007/ipo-elysium-pharmaceuticals-limited_9068.html" TargetMode="External" Id="rId4477" /><Relationship Type="http://schemas.openxmlformats.org/officeDocument/2006/relationships/hyperlink" Target="https://www.sebi.gov.in/sebi_data/attachdocs/1291869557649.pdf" TargetMode="External" Id="rId4478" /><Relationship Type="http://schemas.openxmlformats.org/officeDocument/2006/relationships/hyperlink" Target="https://www.sebi.gov.in/filings/public-issues/sep-2007/ipo-neel-metal-products-limited_9066.html" TargetMode="External" Id="rId4479" /><Relationship Type="http://schemas.openxmlformats.org/officeDocument/2006/relationships/hyperlink" Target="https://www.sebi.gov.in/sebi_data/attachdocs/1291869454360.pdf" TargetMode="External" Id="rId4480" /><Relationship Type="http://schemas.openxmlformats.org/officeDocument/2006/relationships/hyperlink" Target="https://www.sebi.gov.in/filings/public-issues/sep-2007/prospectus-avon-weighing-systems-limited_9064.html" TargetMode="External" Id="rId4481" /><Relationship Type="http://schemas.openxmlformats.org/officeDocument/2006/relationships/hyperlink" Target="https://www.chittorgarh.com/ipo/avon_weighing_ipo/178/" TargetMode="External" Id="rId4482" /><Relationship Type="http://schemas.openxmlformats.org/officeDocument/2006/relationships/hyperlink" Target="https://www.sebi.gov.in/sebi_data/attachdocs/1291869371258.pdf" TargetMode="External" Id="rId4483" /><Relationship Type="http://schemas.openxmlformats.org/officeDocument/2006/relationships/hyperlink" Target="https://www.sebi.gov.in/filings/public-issues/sep-2007/rithwik-projects-limited_9063.html" TargetMode="External" Id="rId4484" /><Relationship Type="http://schemas.openxmlformats.org/officeDocument/2006/relationships/hyperlink" Target="https://www.sebi.gov.in/sebi_data/attachdocs/1291869291853.pdf" TargetMode="External" Id="rId4485" /><Relationship Type="http://schemas.openxmlformats.org/officeDocument/2006/relationships/hyperlink" Target="https://www.sebi.gov.in/filings/public-issues/sep-2007/ipo-ramsarup-lohh-udyog-limited_9062.html" TargetMode="External" Id="rId4486" /><Relationship Type="http://schemas.openxmlformats.org/officeDocument/2006/relationships/hyperlink" Target="https://www.business-standard.com/markets/ipo/ramsarup-lohh-udyog-ltd-merged-ipo-28156" TargetMode="External" Id="rId4487" /><Relationship Type="http://schemas.openxmlformats.org/officeDocument/2006/relationships/hyperlink" Target="https://www.sebi.gov.in/sebi_data/attachdocs/1291869073742.pdf" TargetMode="External" Id="rId4488" /><Relationship Type="http://schemas.openxmlformats.org/officeDocument/2006/relationships/hyperlink" Target="https://www.sebi.gov.in/filings/public-issues/sep-2007/ipo-onmobile-global-limited_9059.html" TargetMode="External" Id="rId4489" /><Relationship Type="http://schemas.openxmlformats.org/officeDocument/2006/relationships/hyperlink" Target="https://www.sebi.gov.in/sebi_data/attachdocs/1291869165826.pdf" TargetMode="External" Id="rId4490" /><Relationship Type="http://schemas.openxmlformats.org/officeDocument/2006/relationships/hyperlink" Target="https://www.sebi.gov.in/filings/public-issues/sep-2007/j-kumar-infraprojects-limited_9061.html" TargetMode="External" Id="rId4491" /><Relationship Type="http://schemas.openxmlformats.org/officeDocument/2006/relationships/hyperlink" Target="https://www.sebi.gov.in/sebi_data/attachdocs/1291868995441.pdf" TargetMode="External" Id="rId4492" /><Relationship Type="http://schemas.openxmlformats.org/officeDocument/2006/relationships/hyperlink" Target="https://www.sebi.gov.in/filings/public-issues/sep-2007/ipo-brigade-enterprises-limited_9058.html" TargetMode="External" Id="rId4493" /><Relationship Type="http://schemas.openxmlformats.org/officeDocument/2006/relationships/hyperlink" Target="https://www.sebi.gov.in/sebi_data/attachdocs/1291868817748.pdf" TargetMode="External" Id="rId4494" /><Relationship Type="http://schemas.openxmlformats.org/officeDocument/2006/relationships/hyperlink" Target="https://www.sebi.gov.in/filings/public-issues/sep-2007/ipo-eclerx-services-limited_9057.html" TargetMode="External" Id="rId4495" /><Relationship Type="http://schemas.openxmlformats.org/officeDocument/2006/relationships/hyperlink" Target="https://www.sebi.gov.in/sebi_data/attachdocs/1291867938276.pdf" TargetMode="External" Id="rId4496" /><Relationship Type="http://schemas.openxmlformats.org/officeDocument/2006/relationships/hyperlink" Target="https://www.sebi.gov.in/filings/public-issues/sep-2007/ipo-cords-cable-industries-limited_9051.html" TargetMode="External" Id="rId4497" /><Relationship Type="http://schemas.openxmlformats.org/officeDocument/2006/relationships/hyperlink" Target="https://www.sebi.gov.in/sebi_data/attachdocs/1291868046751.pdf" TargetMode="External" Id="rId4498" /><Relationship Type="http://schemas.openxmlformats.org/officeDocument/2006/relationships/hyperlink" Target="https://www.sebi.gov.in/filings/public-issues/sep-2007/ipo-khadim-india-limited_9052.html" TargetMode="External" Id="rId4499" /><Relationship Type="http://schemas.openxmlformats.org/officeDocument/2006/relationships/hyperlink" Target="https://www.chittorgarh.com/ipo/khadim-india-ipo/755/" TargetMode="External" Id="rId4500" /><Relationship Type="http://schemas.openxmlformats.org/officeDocument/2006/relationships/hyperlink" Target="https://www.sebi.gov.in/sebi_data/attachdocs/1291867245171.pdf" TargetMode="External" Id="rId4501" /><Relationship Type="http://schemas.openxmlformats.org/officeDocument/2006/relationships/hyperlink" Target="https://www.sebi.gov.in/filings/public-issues/sep-2007/alkali-metals-limited_9037.html" TargetMode="External" Id="rId4502" /><Relationship Type="http://schemas.openxmlformats.org/officeDocument/2006/relationships/hyperlink" Target="https://www.sebi.gov.in/sebi_data/attachdocs/1291866828911.pdf" TargetMode="External" Id="rId4503" /><Relationship Type="http://schemas.openxmlformats.org/officeDocument/2006/relationships/hyperlink" Target="https://www.sebi.gov.in/filings/public-issues/sep-2007/kiri-dyes-and-chemicals-limited_9032.html" TargetMode="External" Id="rId4504" /><Relationship Type="http://schemas.openxmlformats.org/officeDocument/2006/relationships/hyperlink" Target="https://www.sebi.gov.in/sebi_data/attachdocs/1291867052833.pdf" TargetMode="External" Id="rId4505" /><Relationship Type="http://schemas.openxmlformats.org/officeDocument/2006/relationships/hyperlink" Target="https://www.sebi.gov.in/filings/public-issues/sep-2007/tulsi-extrusions-limited_9036.html" TargetMode="External" Id="rId4506" /><Relationship Type="http://schemas.openxmlformats.org/officeDocument/2006/relationships/hyperlink" Target="https://www.chittorgarh.com/ipo/tulsi_ipo/163/" TargetMode="External" Id="rId4507" /><Relationship Type="http://schemas.openxmlformats.org/officeDocument/2006/relationships/hyperlink" Target="https://www.sebi.gov.in/sebi_data/attachdocs/1291721331119.pdf" TargetMode="External" Id="rId4508" /><Relationship Type="http://schemas.openxmlformats.org/officeDocument/2006/relationships/hyperlink" Target="https://www.sebi.gov.in/filings/public-issues/aug-2007/tecpro-systems-limited_8553.html" TargetMode="External" Id="rId4509" /><Relationship Type="http://schemas.openxmlformats.org/officeDocument/2006/relationships/hyperlink" Target="https://www.chittorgarh.com/ipo/x/269/" TargetMode="External" Id="rId4510" /><Relationship Type="http://schemas.openxmlformats.org/officeDocument/2006/relationships/hyperlink" Target="https://www.sebi.gov.in/sebi_data/attachdocs/1291721019109.pdf" TargetMode="External" Id="rId4511" /><Relationship Type="http://schemas.openxmlformats.org/officeDocument/2006/relationships/hyperlink" Target="https://www.sebi.gov.in/filings/public-issues/aug-2007/rural-electrification-corporation-limited_8549.html" TargetMode="External" Id="rId4512" /><Relationship Type="http://schemas.openxmlformats.org/officeDocument/2006/relationships/hyperlink" Target="https://www.sebi.gov.in/sebi_data/attachdocs/1291720841269.pdf" TargetMode="External" Id="rId4513" /><Relationship Type="http://schemas.openxmlformats.org/officeDocument/2006/relationships/hyperlink" Target="https://www.sebi.gov.in/filings/public-issues/aug-2007/sita-shree-food-products-limited_8547.html" TargetMode="External" Id="rId4514" /><Relationship Type="http://schemas.openxmlformats.org/officeDocument/2006/relationships/hyperlink" Target="https://www.sebi.gov.in/sebi_data/attachdocs/1291720498432.pdf" TargetMode="External" Id="rId4515" /><Relationship Type="http://schemas.openxmlformats.org/officeDocument/2006/relationships/hyperlink" Target="https://www.sebi.gov.in/filings/public-issues/aug-2007/wockhardt-hospitals-limited_8544.html" TargetMode="External" Id="rId4516" /><Relationship Type="http://schemas.openxmlformats.org/officeDocument/2006/relationships/hyperlink" Target="https://www.chittorgarh.com/ipo/wockhardt_hospitals_ipo/160/" TargetMode="External" Id="rId4517" /><Relationship Type="http://schemas.openxmlformats.org/officeDocument/2006/relationships/hyperlink" Target="https://www.sebi.gov.in/sebi_data/attachdocs/1291720350022.pdf" TargetMode="External" Id="rId4518" /><Relationship Type="http://schemas.openxmlformats.org/officeDocument/2006/relationships/hyperlink" Target="https://www.sebi.gov.in/filings/public-issues/aug-2007/edelweiss-capital-limited_8542.html" TargetMode="External" Id="rId4519" /><Relationship Type="http://schemas.openxmlformats.org/officeDocument/2006/relationships/hyperlink" Target="https://www.sebi.gov.in/sebi_data/attachdocs/1291720144361.pdf" TargetMode="External" Id="rId4520" /><Relationship Type="http://schemas.openxmlformats.org/officeDocument/2006/relationships/hyperlink" Target="https://www.sebi.gov.in/filings/public-issues/aug-2007/somi-conveyor-beltings-limited_8540.html" TargetMode="External" Id="rId4521" /><Relationship Type="http://schemas.openxmlformats.org/officeDocument/2006/relationships/hyperlink" Target="https://www.sebi.gov.in/sebi_data/attachdocs/1291720060822.pdf" TargetMode="External" Id="rId4522" /><Relationship Type="http://schemas.openxmlformats.org/officeDocument/2006/relationships/hyperlink" Target="https://www.sebi.gov.in/filings/public-issues/aug-2007/mundra-port-and-special-economic-zone-limited_8538.html" TargetMode="External" Id="rId4523" /><Relationship Type="http://schemas.openxmlformats.org/officeDocument/2006/relationships/hyperlink" Target="https://www.sebi.gov.in/sebi_data/attachdocs/1291719928262.pdf" TargetMode="External" Id="rId4524" /><Relationship Type="http://schemas.openxmlformats.org/officeDocument/2006/relationships/hyperlink" Target="https://www.sebi.gov.in/filings/public-issues/aug-2007/manjushree-extrusions-limited_8536.html" TargetMode="External" Id="rId4525" /><Relationship Type="http://schemas.openxmlformats.org/officeDocument/2006/relationships/hyperlink" Target="https://www.chittorgarh.com/ipo/x/150/" TargetMode="External" Id="rId4526" /><Relationship Type="http://schemas.openxmlformats.org/officeDocument/2006/relationships/hyperlink" Target="https://www.sebi.gov.in/sebi_data/attachdocs/1291719840219.pdf" TargetMode="External" Id="rId4527" /><Relationship Type="http://schemas.openxmlformats.org/officeDocument/2006/relationships/hyperlink" Target="https://www.sebi.gov.in/filings/public-issues/aug-2007/porwal-auto-components-limited_8534.html" TargetMode="External" Id="rId4528" /><Relationship Type="http://schemas.openxmlformats.org/officeDocument/2006/relationships/hyperlink" Target="https://www.sebi.gov.in/sebi_data/attachdocs/1291719688120.pdf" TargetMode="External" Id="rId4529" /><Relationship Type="http://schemas.openxmlformats.org/officeDocument/2006/relationships/hyperlink" Target="https://www.sebi.gov.in/filings/public-issues/aug-2007/bgr-energy-systems-limited_8531.html" TargetMode="External" Id="rId4530" /><Relationship Type="http://schemas.openxmlformats.org/officeDocument/2006/relationships/hyperlink" Target="https://www.sebi.gov.in/sebi_data/attachdocs/1291719372937.pdf" TargetMode="External" Id="rId4531" /><Relationship Type="http://schemas.openxmlformats.org/officeDocument/2006/relationships/hyperlink" Target="https://www.sebi.gov.in/filings/public-issues/aug-2007/niraj-cement-structurals-limited_8528.html" TargetMode="External" Id="rId4532" /><Relationship Type="http://schemas.openxmlformats.org/officeDocument/2006/relationships/hyperlink" Target="https://www.sebi.gov.in/sebi_data/attachdocs/1293521332705.pdf" TargetMode="External" Id="rId4533" /><Relationship Type="http://schemas.openxmlformats.org/officeDocument/2006/relationships/hyperlink" Target="https://www.sebi.gov.in/filings/public-issues/jul-2007/omnitech-infosolutions-limited-corrigendum_13605.html" TargetMode="External" Id="rId4534" /><Relationship Type="http://schemas.openxmlformats.org/officeDocument/2006/relationships/hyperlink" Target="https://www.chittorgarh.com/ipo/x/103/" TargetMode="External" Id="rId4535" /><Relationship Type="http://schemas.openxmlformats.org/officeDocument/2006/relationships/hyperlink" Target="https://www.sebi.gov.in/sebi_data/attachdocs/1294646364467.pdf" TargetMode="External" Id="rId4536" /><Relationship Type="http://schemas.openxmlformats.org/officeDocument/2006/relationships/hyperlink" Target="https://www.sebi.gov.in/filings/public-issues/jul-2007/bang-overseas-limited_14211.html" TargetMode="External" Id="rId4537" /><Relationship Type="http://schemas.openxmlformats.org/officeDocument/2006/relationships/hyperlink" Target="https://www.sebi.gov.in/sebi_data/attachdocs/1294647591211.pdf" TargetMode="External" Id="rId4538" /><Relationship Type="http://schemas.openxmlformats.org/officeDocument/2006/relationships/hyperlink" Target="https://www.sebi.gov.in/filings/public-issues/jul-2007/globus-spirits-limited_14212.html" TargetMode="External" Id="rId4539" /><Relationship Type="http://schemas.openxmlformats.org/officeDocument/2006/relationships/hyperlink" Target="https://www.chittorgarh.com/ipo/globus_spirits_ipo/161/" TargetMode="External" Id="rId4540" /><Relationship Type="http://schemas.openxmlformats.org/officeDocument/2006/relationships/hyperlink" Target="https://www.sebi.gov.in/sebi_data/attachdocs/1294647959859.pdf" TargetMode="External" Id="rId4541" /><Relationship Type="http://schemas.openxmlformats.org/officeDocument/2006/relationships/hyperlink" Target="https://www.sebi.gov.in/filings/public-issues/jul-2007/aishwarya-telecom-limited_14213.html" TargetMode="External" Id="rId4542" /><Relationship Type="http://schemas.openxmlformats.org/officeDocument/2006/relationships/hyperlink" Target="https://www.sebi.gov.in/sebi_data/attachdocs/1294648189430.pdf" TargetMode="External" Id="rId4543" /><Relationship Type="http://schemas.openxmlformats.org/officeDocument/2006/relationships/hyperlink" Target="https://www.sebi.gov.in/filings/public-issues/jul-2007/omnitech-infosolutions-limited-corrigendum_14214.html" TargetMode="External" Id="rId4544" /><Relationship Type="http://schemas.openxmlformats.org/officeDocument/2006/relationships/hyperlink" Target="https://www.chittorgarh.com/ipo/omnitech_ipo/103/" TargetMode="External" Id="rId4545" /><Relationship Type="http://schemas.openxmlformats.org/officeDocument/2006/relationships/hyperlink" Target="https://www.sebi.gov.in/sebi_data/attachdocs/1294648791027.pdf" TargetMode="External" Id="rId4546" /><Relationship Type="http://schemas.openxmlformats.org/officeDocument/2006/relationships/hyperlink" Target="https://www.sebi.gov.in/filings/public-issues/jul-2007/rns-infrastructure-limited_14216.html" TargetMode="External" Id="rId4547" /><Relationship Type="http://schemas.openxmlformats.org/officeDocument/2006/relationships/hyperlink" Target="https://www.tofler.in/rns-infrastructure-limited/company/U74210KA2003PLC032362" TargetMode="External" Id="rId4548" /><Relationship Type="http://schemas.openxmlformats.org/officeDocument/2006/relationships/hyperlink" Target="https://www.sebi.gov.in/sebi_data/attachdocs/1294649683749.pdf" TargetMode="External" Id="rId4549" /><Relationship Type="http://schemas.openxmlformats.org/officeDocument/2006/relationships/hyperlink" Target="https://www.sebi.gov.in/filings/public-issues/jul-2007/precision-pipes-and-profiles-company-limited_14218.html" TargetMode="External" Id="rId4550" /><Relationship Type="http://schemas.openxmlformats.org/officeDocument/2006/relationships/hyperlink" Target="https://www.sebi.gov.in/sebi_data/attachdocs/1294650118212.pdf" TargetMode="External" Id="rId4551" /><Relationship Type="http://schemas.openxmlformats.org/officeDocument/2006/relationships/hyperlink" Target="https://www.sebi.gov.in/filings/public-issues/jul-2007/midvalley-entertainment-limited_14219.html" TargetMode="External" Id="rId4552" /><Relationship Type="http://schemas.openxmlformats.org/officeDocument/2006/relationships/hyperlink" Target="https://www.chittorgarh.com/ipo/x/291/" TargetMode="External" Id="rId4553" /><Relationship Type="http://schemas.openxmlformats.org/officeDocument/2006/relationships/hyperlink" Target="https://www.sebi.gov.in/sebi_data/attachdocs/1294650467382.pdf" TargetMode="External" Id="rId4554" /><Relationship Type="http://schemas.openxmlformats.org/officeDocument/2006/relationships/hyperlink" Target="https://www.sebi.gov.in/filings/public-issues/jul-2007/renaissance-jewellery-limited_14220.html" TargetMode="External" Id="rId4555" /><Relationship Type="http://schemas.openxmlformats.org/officeDocument/2006/relationships/hyperlink" Target="https://www.sebi.gov.in/sebi_data/attachdocs/1291796125918.pdf" TargetMode="External" Id="rId4556" /><Relationship Type="http://schemas.openxmlformats.org/officeDocument/2006/relationships/hyperlink" Target="https://www.sebi.gov.in/filings/public-issues/jul-2007/everon-systems-india-limited-addendum_8797.html" TargetMode="External" Id="rId4557" /><Relationship Type="http://schemas.openxmlformats.org/officeDocument/2006/relationships/hyperlink" Target="https://www.chittorgarh.com/ipo/x/98/" TargetMode="External" Id="rId4558" /><Relationship Type="http://schemas.openxmlformats.org/officeDocument/2006/relationships/hyperlink" Target="https://www.sebi.gov.in/sebi_data/attachdocs/1291796238625.pdf" TargetMode="External" Id="rId4559" /><Relationship Type="http://schemas.openxmlformats.org/officeDocument/2006/relationships/hyperlink" Target="https://www.sebi.gov.in/filings/public-issues/jul-2007/everon-systems-india-ltd-notice-to-investors_8798.html" TargetMode="External" Id="rId4560" /><Relationship Type="http://schemas.openxmlformats.org/officeDocument/2006/relationships/hyperlink" Target="https://www.chittorgarh.com/ipo/x/98/" TargetMode="External" Id="rId4561" /><Relationship Type="http://schemas.openxmlformats.org/officeDocument/2006/relationships/hyperlink" Target="https://www.sebi.gov.in/sebi_data/attachdocs/1291795999928.pdf" TargetMode="External" Id="rId4562" /><Relationship Type="http://schemas.openxmlformats.org/officeDocument/2006/relationships/hyperlink" Target="https://www.sebi.gov.in/filings/public-issues/jul-2007/ramsarup-lohh-udyog-limited_8796.html" TargetMode="External" Id="rId4563" /><Relationship Type="http://schemas.openxmlformats.org/officeDocument/2006/relationships/hyperlink" Target="https://www.business-standard.com/markets/ipo/ramsarup-lohh-udyog-ltd-merged-ipo-28156" TargetMode="External" Id="rId4564" /><Relationship Type="http://schemas.openxmlformats.org/officeDocument/2006/relationships/hyperlink" Target="https://www.sebi.gov.in/sebi_data/attachdocs/1291795558847.pdf" TargetMode="External" Id="rId4565" /><Relationship Type="http://schemas.openxmlformats.org/officeDocument/2006/relationships/hyperlink" Target="https://www.sebi.gov.in/filings/public-issues/jul-2007/religare-enterprises-limited_8794.html" TargetMode="External" Id="rId4566" /><Relationship Type="http://schemas.openxmlformats.org/officeDocument/2006/relationships/hyperlink" Target="https://www.sebi.gov.in/sebi_data/attachdocs/1291795213506.pdf" TargetMode="External" Id="rId4567" /><Relationship Type="http://schemas.openxmlformats.org/officeDocument/2006/relationships/hyperlink" Target="https://www.sebi.gov.in/filings/public-issues/jul-2007/varun-industries-limited_8792.html" TargetMode="External" Id="rId4568" /><Relationship Type="http://schemas.openxmlformats.org/officeDocument/2006/relationships/hyperlink" Target="https://www.chittorgarh.com/ipo/varun_industries_ipo/133/" TargetMode="External" Id="rId4569" /><Relationship Type="http://schemas.openxmlformats.org/officeDocument/2006/relationships/hyperlink" Target="https://www.sebi.gov.in/sebi_data/attachdocs/1293525045169.pdf" TargetMode="External" Id="rId4570" /><Relationship Type="http://schemas.openxmlformats.org/officeDocument/2006/relationships/hyperlink" Target="https://www.sebi.gov.in/filings/public-issues/jun-2007/jyothy-laboratories-limited_13610.html" TargetMode="External" Id="rId4571" /><Relationship Type="http://schemas.openxmlformats.org/officeDocument/2006/relationships/hyperlink" Target="https://www.sebi.gov.in/sebi_data/attachdocs/1291868375915.pdf" TargetMode="External" Id="rId4572" /><Relationship Type="http://schemas.openxmlformats.org/officeDocument/2006/relationships/hyperlink" Target="https://www.sebi.gov.in/filings/public-issues/jun-2007/kamayani-patientscare-india-limited_9055.html" TargetMode="External" Id="rId4573" /><Relationship Type="http://schemas.openxmlformats.org/officeDocument/2006/relationships/hyperlink" Target="https://pitchbook.com/profiles/company/152699-32" TargetMode="External" Id="rId4574" /><Relationship Type="http://schemas.openxmlformats.org/officeDocument/2006/relationships/hyperlink" Target="https://www.sebi.gov.in/sebi_data/attachdocs/1291868082798.pdf" TargetMode="External" Id="rId4575" /><Relationship Type="http://schemas.openxmlformats.org/officeDocument/2006/relationships/hyperlink" Target="https://www.sebi.gov.in/filings/public-issues/jun-2007/spice-communications-limited-public-notice_9053.html" TargetMode="External" Id="rId4576" /><Relationship Type="http://schemas.openxmlformats.org/officeDocument/2006/relationships/hyperlink" Target="https://www.chittorgarh.com/ipo/x/96/" TargetMode="External" Id="rId4577" /><Relationship Type="http://schemas.openxmlformats.org/officeDocument/2006/relationships/hyperlink" Target="https://www.sebi.gov.in/sebi_data/attachdocs/1291867886736.pdf" TargetMode="External" Id="rId4578" /><Relationship Type="http://schemas.openxmlformats.org/officeDocument/2006/relationships/hyperlink" Target="https://www.sebi.gov.in/filings/public-issues/jun-2007/consolidated-construction-consortium-limited_9049.html" TargetMode="External" Id="rId4579" /><Relationship Type="http://schemas.openxmlformats.org/officeDocument/2006/relationships/hyperlink" Target="https://www.sebi.gov.in/sebi_data/attachdocs/1291882729083.pdf" TargetMode="External" Id="rId4580" /><Relationship Type="http://schemas.openxmlformats.org/officeDocument/2006/relationships/hyperlink" Target="https://www.sebi.gov.in/filings/public-issues/may-2007/central-bank-of-india_9326.html" TargetMode="External" Id="rId4581" /><Relationship Type="http://schemas.openxmlformats.org/officeDocument/2006/relationships/hyperlink" Target="https://www.sebi.gov.in/sebi_data/attachdocs/1291882513832.pdf" TargetMode="External" Id="rId4582" /><Relationship Type="http://schemas.openxmlformats.org/officeDocument/2006/relationships/hyperlink" Target="https://www.sebi.gov.in/filings/public-issues/may-2007/kiri-dyes-and-chemcials-limited_9324.html" TargetMode="External" Id="rId4583" /><Relationship Type="http://schemas.openxmlformats.org/officeDocument/2006/relationships/hyperlink" Target="https://www.sebi.gov.in/sebi_data/attachdocs/1291881856923.pdf" TargetMode="External" Id="rId4584" /><Relationship Type="http://schemas.openxmlformats.org/officeDocument/2006/relationships/hyperlink" Target="https://www.sebi.gov.in/filings/public-issues/may-2007/icici-bank-limited_9318.html" TargetMode="External" Id="rId4585" /><Relationship Type="http://schemas.openxmlformats.org/officeDocument/2006/relationships/hyperlink" Target="https://www.business-standard.com/markets/ipo/icici-bank-ltd-ipo-5418" TargetMode="External" Id="rId4586" /><Relationship Type="http://schemas.openxmlformats.org/officeDocument/2006/relationships/hyperlink" Target="https://www.sebi.gov.in/sebi_data/attachdocs/1291881395305.pdf" TargetMode="External" Id="rId4587" /><Relationship Type="http://schemas.openxmlformats.org/officeDocument/2006/relationships/hyperlink" Target="https://www.sebi.gov.in/filings/public-issues/may-2007/brahamputra-consortium-limited_9313.html" TargetMode="External" Id="rId4588" /><Relationship Type="http://schemas.openxmlformats.org/officeDocument/2006/relationships/hyperlink" Target="https://www.goodreturns.in/company/brahmaputra-infrastructure/history.html" TargetMode="External" Id="rId4589" /><Relationship Type="http://schemas.openxmlformats.org/officeDocument/2006/relationships/hyperlink" Target="https://www.sebi.gov.in/sebi_data/attachdocs/1291881109493.pdf" TargetMode="External" Id="rId4590" /><Relationship Type="http://schemas.openxmlformats.org/officeDocument/2006/relationships/hyperlink" Target="https://www.sebi.gov.in/filings/public-issues/may-2007/maytas-infra-limited_9310.html" TargetMode="External" Id="rId4591" /><Relationship Type="http://schemas.openxmlformats.org/officeDocument/2006/relationships/hyperlink" Target="https://www.sebi.gov.in/sebi_data/attachdocs/1291881005317.pdf" TargetMode="External" Id="rId4592" /><Relationship Type="http://schemas.openxmlformats.org/officeDocument/2006/relationships/hyperlink" Target="https://www.sebi.gov.in/filings/public-issues/may-2007/svec-constructions-limited_9307.html" TargetMode="External" Id="rId4593" /><Relationship Type="http://schemas.openxmlformats.org/officeDocument/2006/relationships/hyperlink" Target="https://www.chittorgarh.com/ipo/svec_constructions_ipo/164/" TargetMode="External" Id="rId4594" /><Relationship Type="http://schemas.openxmlformats.org/officeDocument/2006/relationships/hyperlink" Target="https://www.sebi.gov.in/sebi_data/attachdocs/1291880905375.pdf" TargetMode="External" Id="rId4595" /><Relationship Type="http://schemas.openxmlformats.org/officeDocument/2006/relationships/hyperlink" Target="https://www.sebi.gov.in/filings/public-issues/may-2007/svpcl-limited_9304.html" TargetMode="External" Id="rId4596" /><Relationship Type="http://schemas.openxmlformats.org/officeDocument/2006/relationships/hyperlink" Target="https://www.chittorgarh.com/ipo/svpcl_ipo/130/" TargetMode="External" Id="rId4597" /><Relationship Type="http://schemas.openxmlformats.org/officeDocument/2006/relationships/hyperlink" Target="https://www.sebi.gov.in/sebi_data/attachdocs/1291883153398.pdf" TargetMode="External" Id="rId4598" /><Relationship Type="http://schemas.openxmlformats.org/officeDocument/2006/relationships/hyperlink" Target="https://www.sebi.gov.in/filings/public-issues/apr-2007/fortis-healthcare-limited-corrigendum-notice-19-04-2007_9332.html" TargetMode="External" Id="rId4599" /><Relationship Type="http://schemas.openxmlformats.org/officeDocument/2006/relationships/hyperlink" Target="https://www.chittorgarh.com/ipo/x/76/" TargetMode="External" Id="rId4600" /><Relationship Type="http://schemas.openxmlformats.org/officeDocument/2006/relationships/hyperlink" Target="https://www.sebi.gov.in/sebi_data/attachdocs/1291882977820.pdf" TargetMode="External" Id="rId4601" /><Relationship Type="http://schemas.openxmlformats.org/officeDocument/2006/relationships/hyperlink" Target="https://www.sebi.gov.in/filings/public-issues/apr-2007/burnpur-cement-limited_9330.html" TargetMode="External" Id="rId4602" /><Relationship Type="http://schemas.openxmlformats.org/officeDocument/2006/relationships/hyperlink" Target="https://www.sebi.gov.in/sebi_data/attachdocs/1291882491312.pdf" TargetMode="External" Id="rId4603" /><Relationship Type="http://schemas.openxmlformats.org/officeDocument/2006/relationships/hyperlink" Target="https://www.sebi.gov.in/filings/public-issues/apr-2007/fortis-healthcare-limited-corrigendum-notice-dated-17-04-2007_9323.html" TargetMode="External" Id="rId4604" /><Relationship Type="http://schemas.openxmlformats.org/officeDocument/2006/relationships/hyperlink" Target="https://www.chittorgarh.com/ipo/x/76/" TargetMode="External" Id="rId4605" /><Relationship Type="http://schemas.openxmlformats.org/officeDocument/2006/relationships/hyperlink" Target="https://www.sebi.gov.in/sebi_data/attachdocs/1291882878955.pdf" TargetMode="External" Id="rId4606" /><Relationship Type="http://schemas.openxmlformats.org/officeDocument/2006/relationships/hyperlink" Target="https://www.sebi.gov.in/filings/public-issues/apr-2007/uma-precision-limited_9328.html" TargetMode="External" Id="rId4607" /><Relationship Type="http://schemas.openxmlformats.org/officeDocument/2006/relationships/hyperlink" Target="https://www.business-standard.com/markets/ipo/uma-precision-ltd-ipo-28043" TargetMode="External" Id="rId4608" /><Relationship Type="http://schemas.openxmlformats.org/officeDocument/2006/relationships/hyperlink" Target="https://www.sebi.gov.in/sebi_data/attachdocs/1291882049009.pdf" TargetMode="External" Id="rId4609" /><Relationship Type="http://schemas.openxmlformats.org/officeDocument/2006/relationships/hyperlink" Target="https://www.sebi.gov.in/filings/public-issues/apr-2007/koutons-retail-india-limited_9320.html" TargetMode="External" Id="rId4610" /><Relationship Type="http://schemas.openxmlformats.org/officeDocument/2006/relationships/hyperlink" Target="https://www.chittorgarh.com/ipo/koutons_ipo/122/" TargetMode="External" Id="rId4611" /><Relationship Type="http://schemas.openxmlformats.org/officeDocument/2006/relationships/hyperlink" Target="https://www.sebi.gov.in/sebi_data/attachdocs/1291882197681.pdf" TargetMode="External" Id="rId4612" /><Relationship Type="http://schemas.openxmlformats.org/officeDocument/2006/relationships/hyperlink" Target="https://www.sebi.gov.in/filings/public-issues/apr-2007/power-grid-corporation-of-india-limited_9321.html" TargetMode="External" Id="rId4613" /><Relationship Type="http://schemas.openxmlformats.org/officeDocument/2006/relationships/hyperlink" Target="https://www.sebi.gov.in/sebi_data/attachdocs/1291881740000.pdf" TargetMode="External" Id="rId4614" /><Relationship Type="http://schemas.openxmlformats.org/officeDocument/2006/relationships/hyperlink" Target="https://www.sebi.gov.in/filings/public-issues/apr-2007/saamya-biotech-india-limited_9316.html" TargetMode="External" Id="rId4615" /><Relationship Type="http://schemas.openxmlformats.org/officeDocument/2006/relationships/hyperlink" Target="https://www.chittorgarh.com/ipo/saamya_biotech_ipo/126/" TargetMode="External" Id="rId4616" /><Relationship Type="http://schemas.openxmlformats.org/officeDocument/2006/relationships/hyperlink" Target="https://www.sebi.gov.in/sebi_data/attachdocs/1291881646018.pdf" TargetMode="External" Id="rId4617" /><Relationship Type="http://schemas.openxmlformats.org/officeDocument/2006/relationships/hyperlink" Target="https://www.sebi.gov.in/filings/public-issues/apr-2007/bharat-earth-movers-limited_9315.html" TargetMode="External" Id="rId4618" /><Relationship Type="http://schemas.openxmlformats.org/officeDocument/2006/relationships/hyperlink" Target="https://www.chittorgarh.com/ipo/x/94/" TargetMode="External" Id="rId4619" /><Relationship Type="http://schemas.openxmlformats.org/officeDocument/2006/relationships/hyperlink" Target="https://www.sebi.gov.in/sebi_data/attachdocs/1291881554389.pdf" TargetMode="External" Id="rId4620" /><Relationship Type="http://schemas.openxmlformats.org/officeDocument/2006/relationships/hyperlink" Target="https://www.sebi.gov.in/filings/public-issues/apr-2007/veena-industries-limited_9314.html" TargetMode="External" Id="rId4621" /><Relationship Type="http://schemas.openxmlformats.org/officeDocument/2006/relationships/hyperlink" Target="https://www.business-standard.com/markets/ipo/veena-industries-ltd-ipo-28026" TargetMode="External" Id="rId4622" /><Relationship Type="http://schemas.openxmlformats.org/officeDocument/2006/relationships/hyperlink" Target="https://www.sebi.gov.in/sebi_data/attachdocs/1291880817401.pdf" TargetMode="External" Id="rId4623" /><Relationship Type="http://schemas.openxmlformats.org/officeDocument/2006/relationships/hyperlink" Target="https://www.sebi.gov.in/filings/public-issues/apr-2007/aries-agro-limited_9301.html" TargetMode="External" Id="rId4624" /><Relationship Type="http://schemas.openxmlformats.org/officeDocument/2006/relationships/hyperlink" Target="https://www.sebi.gov.in/sebi_data/attachdocs/1291881285618.pdf" TargetMode="External" Id="rId4625" /><Relationship Type="http://schemas.openxmlformats.org/officeDocument/2006/relationships/hyperlink" Target="https://www.sebi.gov.in/filings/public-issues/apr-2007/national-hydroelectric-power-corporation-limited_9312.html" TargetMode="External" Id="rId4626" /><Relationship Type="http://schemas.openxmlformats.org/officeDocument/2006/relationships/hyperlink" Target="https://www.chittorgarh.com/ipo/x/200/" TargetMode="External" Id="rId4627" /><Relationship Type="http://schemas.openxmlformats.org/officeDocument/2006/relationships/hyperlink" Target="https://www.sebi.gov.in/sebi_data/attachdocs/1291880691361.pdf" TargetMode="External" Id="rId4628" /><Relationship Type="http://schemas.openxmlformats.org/officeDocument/2006/relationships/hyperlink" Target="https://www.sebi.gov.in/filings/public-issues/apr-2007/niraj-cement-structurals-limited_9297.html" TargetMode="External" Id="rId4629" /><Relationship Type="http://schemas.openxmlformats.org/officeDocument/2006/relationships/hyperlink" Target="https://www.sebi.gov.in/sebi_data/attachdocs/1291880596632.pdf" TargetMode="External" Id="rId4630" /><Relationship Type="http://schemas.openxmlformats.org/officeDocument/2006/relationships/hyperlink" Target="https://www.sebi.gov.in/filings/public-issues/apr-2007/motilal-oswal-financial-services-limited_9292.html" TargetMode="External" Id="rId4631" /><Relationship Type="http://schemas.openxmlformats.org/officeDocument/2006/relationships/hyperlink" Target="https://www.sebi.gov.in/sebi_data/attachdocs/1291880473356.pdf" TargetMode="External" Id="rId4632" /><Relationship Type="http://schemas.openxmlformats.org/officeDocument/2006/relationships/hyperlink" Target="https://www.sebi.gov.in/filings/public-issues/apr-2007/m-s-khurana-engineering-limited-drhp_9288.html" TargetMode="External" Id="rId4633" /><Relationship Type="http://schemas.openxmlformats.org/officeDocument/2006/relationships/hyperlink" Target="https://www.sebi.gov.in/sebi_data/commondocs/ProcessingStatus20062007_h.html" TargetMode="External" Id="rId4634" /><Relationship Type="http://schemas.openxmlformats.org/officeDocument/2006/relationships/hyperlink" Target="https://www.sebi.gov.in/sebi_data/attachdocs/1294658125705.pdf" TargetMode="External" Id="rId4635" /><Relationship Type="http://schemas.openxmlformats.org/officeDocument/2006/relationships/hyperlink" Target="https://www.sebi.gov.in/filings/public-issues/mar-2007/kaveri-seed-company-limited_14225.html" TargetMode="External" Id="rId4636" /><Relationship Type="http://schemas.openxmlformats.org/officeDocument/2006/relationships/hyperlink" Target="https://www.sebi.gov.in/sebi_data/attachdocs/1291873715619.pdf" TargetMode="External" Id="rId4637" /><Relationship Type="http://schemas.openxmlformats.org/officeDocument/2006/relationships/hyperlink" Target="https://www.sebi.gov.in/filings/public-issues/mar-2007/order-against-m-s-shantanu-s-dhamankar_9135.html" TargetMode="External" Id="rId4638" /><Relationship Type="http://schemas.openxmlformats.org/officeDocument/2006/relationships/hyperlink" Target="https://www.sebi.gov.in/sebi_data/attachdocs/1291873587175.pdf" TargetMode="External" Id="rId4639" /><Relationship Type="http://schemas.openxmlformats.org/officeDocument/2006/relationships/hyperlink" Target="https://www.sebi.gov.in/filings/public-issues/mar-2007/dhanus-technologies-limited_9128.html" TargetMode="External" Id="rId4640" /><Relationship Type="http://schemas.openxmlformats.org/officeDocument/2006/relationships/hyperlink" Target="https://www.chittorgarh.com/ipo/dhanus_technologies_ipo/121/" TargetMode="External" Id="rId4641" /><Relationship Type="http://schemas.openxmlformats.org/officeDocument/2006/relationships/hyperlink" Target="https://www.sebi.gov.in/sebi_data/attachdocs/1291873248756.pdf" TargetMode="External" Id="rId4642" /><Relationship Type="http://schemas.openxmlformats.org/officeDocument/2006/relationships/hyperlink" Target="https://www.sebi.gov.in/filings/public-issues/mar-2007/man-infra-construction-limited_9122.html" TargetMode="External" Id="rId4643" /><Relationship Type="http://schemas.openxmlformats.org/officeDocument/2006/relationships/hyperlink" Target="https://www.chittorgarh.com/ipo/man_infraconstruction_ipo/228/" TargetMode="External" Id="rId4644" /><Relationship Type="http://schemas.openxmlformats.org/officeDocument/2006/relationships/hyperlink" Target="https://www.sebi.gov.in/sebi_data/attachdocs/1291872643363.pdf" TargetMode="External" Id="rId4645" /><Relationship Type="http://schemas.openxmlformats.org/officeDocument/2006/relationships/hyperlink" Target="https://www.sebi.gov.in/filings/public-issues/mar-2007/dagger-forst-tools-limited-public-cum-rights_9104.html" TargetMode="External" Id="rId4646" /><Relationship Type="http://schemas.openxmlformats.org/officeDocument/2006/relationships/hyperlink" Target="https://www.chittorgarh.com/ipo/x/113/" TargetMode="External" Id="rId4647" /><Relationship Type="http://schemas.openxmlformats.org/officeDocument/2006/relationships/hyperlink" Target="https://www.sebi.gov.in/sebi_data/attachdocs/1291872958987.pdf" TargetMode="External" Id="rId4648" /><Relationship Type="http://schemas.openxmlformats.org/officeDocument/2006/relationships/hyperlink" Target="https://www.sebi.gov.in/filings/public-issues/mar-2007/gss-america-infotech-limited_9114.html" TargetMode="External" Id="rId4649" /><Relationship Type="http://schemas.openxmlformats.org/officeDocument/2006/relationships/hyperlink" Target="https://www.sebi.gov.in/sebi_data/attachdocs/1291872241798.pdf" TargetMode="External" Id="rId4650" /><Relationship Type="http://schemas.openxmlformats.org/officeDocument/2006/relationships/hyperlink" Target="https://www.sebi.gov.in/filings/public-issues/mar-2007/rathi-bars-limited_9094.html" TargetMode="External" Id="rId4651" /><Relationship Type="http://schemas.openxmlformats.org/officeDocument/2006/relationships/hyperlink" Target="https://www.sebi.gov.in/sebi_data/attachdocs/1291870536465.pdf" TargetMode="External" Id="rId4652" /><Relationship Type="http://schemas.openxmlformats.org/officeDocument/2006/relationships/hyperlink" Target="https://www.sebi.gov.in/filings/public-issues/mar-2007/zylog-systems-limited_9078.html" TargetMode="External" Id="rId4653" /><Relationship Type="http://schemas.openxmlformats.org/officeDocument/2006/relationships/hyperlink" Target="https://www.chittorgarh.com/ipo/zylog_ipo/106/" TargetMode="External" Id="rId4654" /><Relationship Type="http://schemas.openxmlformats.org/officeDocument/2006/relationships/hyperlink" Target="https://www.sebi.gov.in/sebi_data/attachdocs/1291782896400.pdf" TargetMode="External" Id="rId4655" /><Relationship Type="http://schemas.openxmlformats.org/officeDocument/2006/relationships/hyperlink" Target="https://www.sebi.gov.in/filings/public-issues/feb-2007/khaitan-weaving-mills-limited_8605.html" TargetMode="External" Id="rId4656" /><Relationship Type="http://schemas.openxmlformats.org/officeDocument/2006/relationships/hyperlink" Target="https://www.sebi.gov.in/sebi_data/attachdocs/1291969850706.pdf" TargetMode="External" Id="rId4657" /><Relationship Type="http://schemas.openxmlformats.org/officeDocument/2006/relationships/hyperlink" Target="https://www.sebi.gov.in/sebi_data/attachdocs/1291782711938.pdf" TargetMode="External" Id="rId4658" /><Relationship Type="http://schemas.openxmlformats.org/officeDocument/2006/relationships/hyperlink" Target="https://www.sebi.gov.in/filings/public-issues/feb-2007/magnum-ventures-limited_8604.html" TargetMode="External" Id="rId4659" /><Relationship Type="http://schemas.openxmlformats.org/officeDocument/2006/relationships/hyperlink" Target="https://www.sebi.gov.in/sebi_data/attachdocs/1291782087130.pdf" TargetMode="External" Id="rId4660" /><Relationship Type="http://schemas.openxmlformats.org/officeDocument/2006/relationships/hyperlink" Target="https://www.sebi.gov.in/filings/public-issues/feb-2007/indowind-energy-limited_8602.html" TargetMode="External" Id="rId4661" /><Relationship Type="http://schemas.openxmlformats.org/officeDocument/2006/relationships/hyperlink" Target="https://www.sebi.gov.in/sebi_data/attachdocs/1291780399460.pdf" TargetMode="External" Id="rId4662" /><Relationship Type="http://schemas.openxmlformats.org/officeDocument/2006/relationships/hyperlink" Target="https://www.sebi.gov.in/filings/public-issues/feb-2007/spice-communications-limited_8599.html" TargetMode="External" Id="rId4663" /><Relationship Type="http://schemas.openxmlformats.org/officeDocument/2006/relationships/hyperlink" Target="https://www.chittorgarh.com/ipo/spice_telecom_ipo/96/" TargetMode="External" Id="rId4664" /><Relationship Type="http://schemas.openxmlformats.org/officeDocument/2006/relationships/hyperlink" Target="https://www.sebi.gov.in/sebi_data/attachdocs/1291777822076.pdf" TargetMode="External" Id="rId4665" /><Relationship Type="http://schemas.openxmlformats.org/officeDocument/2006/relationships/hyperlink" Target="https://www.sebi.gov.in/filings/public-issues/feb-2007/it-people-india-limited_8595.html" TargetMode="External" Id="rId4666" /><Relationship Type="http://schemas.openxmlformats.org/officeDocument/2006/relationships/hyperlink" Target="https://www.chittorgarh.com/ipo/x/117/" TargetMode="External" Id="rId4667" /><Relationship Type="http://schemas.openxmlformats.org/officeDocument/2006/relationships/hyperlink" Target="https://www.sebi.gov.in/sebi_data/attachdocs/1291725191285.pdf" TargetMode="External" Id="rId4668" /><Relationship Type="http://schemas.openxmlformats.org/officeDocument/2006/relationships/hyperlink" Target="https://www.sebi.gov.in/filings/public-issues/feb-2007/housing-development-and-infrastructure-limited_8592.html" TargetMode="External" Id="rId4669" /><Relationship Type="http://schemas.openxmlformats.org/officeDocument/2006/relationships/hyperlink" Target="https://www.business-standard.com/markets/ipo/housing-development-infrastructure-ltd-ipo-27828" TargetMode="External" Id="rId4670" /><Relationship Type="http://schemas.openxmlformats.org/officeDocument/2006/relationships/hyperlink" Target="https://www.sebi.gov.in/sebi_data/attachdocs/1294660457620.pdf" TargetMode="External" Id="rId4671" /><Relationship Type="http://schemas.openxmlformats.org/officeDocument/2006/relationships/hyperlink" Target="https://www.sebi.gov.in/filings/public-issues/feb-2007/titagarh-wagons-limited_14226.html" TargetMode="External" Id="rId4672" /><Relationship Type="http://schemas.openxmlformats.org/officeDocument/2006/relationships/hyperlink" Target="https://www.sebi.gov.in/sebi_data/attachdocs/1291725069875.pdf" TargetMode="External" Id="rId4673" /><Relationship Type="http://schemas.openxmlformats.org/officeDocument/2006/relationships/hyperlink" Target="https://www.sebi.gov.in/filings/public-issues/feb-2007/kolte-patil-developers-ltd_8591.html" TargetMode="External" Id="rId4674" /><Relationship Type="http://schemas.openxmlformats.org/officeDocument/2006/relationships/hyperlink" Target="https://www.sebi.gov.in/sebi_data/attachdocs/1291724964782.pdf" TargetMode="External" Id="rId4675" /><Relationship Type="http://schemas.openxmlformats.org/officeDocument/2006/relationships/hyperlink" Target="https://www.sebi.gov.in/filings/public-issues/feb-2007/supreme-infrastructure-india-limited_8590.html" TargetMode="External" Id="rId4676" /><Relationship Type="http://schemas.openxmlformats.org/officeDocument/2006/relationships/hyperlink" Target="https://www.sebi.gov.in/sebi_data/attachdocs/1291724756955.pdf" TargetMode="External" Id="rId4677" /><Relationship Type="http://schemas.openxmlformats.org/officeDocument/2006/relationships/hyperlink" Target="https://www.sebi.gov.in/filings/public-issues/feb-2007/asian-granito-india-limited_8589.html" TargetMode="External" Id="rId4678" /><Relationship Type="http://schemas.openxmlformats.org/officeDocument/2006/relationships/hyperlink" Target="https://www.sebi.gov.in/sebi_data/attachdocs/1291713036740.pdf" TargetMode="External" Id="rId4679" /><Relationship Type="http://schemas.openxmlformats.org/officeDocument/2006/relationships/hyperlink" Target="https://www.sebi.gov.in/filings/public-issues/jan-2007/manaksia-limited_8446.html" TargetMode="External" Id="rId4680" /><Relationship Type="http://schemas.openxmlformats.org/officeDocument/2006/relationships/hyperlink" Target="https://www.business-standard.com/markets/ipo/manaksia-ltd-ipo-13819" TargetMode="External" Id="rId4681" /><Relationship Type="http://schemas.openxmlformats.org/officeDocument/2006/relationships/hyperlink" Target="https://www.sebi.gov.in/sebi_data/attachdocs/1291712889580.pdf" TargetMode="External" Id="rId4682" /><Relationship Type="http://schemas.openxmlformats.org/officeDocument/2006/relationships/hyperlink" Target="https://www.sebi.gov.in/filings/public-issues/jan-2007/refex-refrigerants-limited_8442.html" TargetMode="External" Id="rId4683" /><Relationship Type="http://schemas.openxmlformats.org/officeDocument/2006/relationships/hyperlink" Target="https://www.chittorgarh.com/ipo/refex_ipo/105/" TargetMode="External" Id="rId4684" /><Relationship Type="http://schemas.openxmlformats.org/officeDocument/2006/relationships/hyperlink" Target="https://www.sebi.gov.in/sebi_data/attachdocs/1291712644556.pdf" TargetMode="External" Id="rId4685" /><Relationship Type="http://schemas.openxmlformats.org/officeDocument/2006/relationships/hyperlink" Target="https://www.sebi.gov.in/filings/public-issues/jan-2007/ivr-prime-urban-developers-limited_8438.html" TargetMode="External" Id="rId4686" /><Relationship Type="http://schemas.openxmlformats.org/officeDocument/2006/relationships/hyperlink" Target="https://www.chittorgarh.com/ipo/ivr_prime_ipo/107/" TargetMode="External" Id="rId4687" /><Relationship Type="http://schemas.openxmlformats.org/officeDocument/2006/relationships/hyperlink" Target="https://www.sebi.gov.in/sebi_data/attachdocs/1291712342421.pdf" TargetMode="External" Id="rId4688" /><Relationship Type="http://schemas.openxmlformats.org/officeDocument/2006/relationships/hyperlink" Target="https://www.sebi.gov.in/filings/public-issues/jan-2007/allied-digital-services-limited_8432.html" TargetMode="External" Id="rId4689" /><Relationship Type="http://schemas.openxmlformats.org/officeDocument/2006/relationships/hyperlink" Target="https://www.sebi.gov.in/sebi_data/attachdocs/1291711972380.pdf" TargetMode="External" Id="rId4690" /><Relationship Type="http://schemas.openxmlformats.org/officeDocument/2006/relationships/hyperlink" Target="https://www.sebi.gov.in/filings/public-issues/jan-2007/decolight-ceramics-limited_8424.html" TargetMode="External" Id="rId4691" /><Relationship Type="http://schemas.openxmlformats.org/officeDocument/2006/relationships/hyperlink" Target="https://www.chittorgarh.com/ipo/decolight_ipo/85/" TargetMode="External" Id="rId4692" /><Relationship Type="http://schemas.openxmlformats.org/officeDocument/2006/relationships/hyperlink" Target="https://www.sebi.gov.in/sebi_data/attachdocs/1291712209852.pdf" TargetMode="External" Id="rId4693" /><Relationship Type="http://schemas.openxmlformats.org/officeDocument/2006/relationships/hyperlink" Target="https://www.sebi.gov.in/filings/public-issues/jan-2007/hal-offshore-limited_8428.html" TargetMode="External" Id="rId4694" /><Relationship Type="http://schemas.openxmlformats.org/officeDocument/2006/relationships/hyperlink" Target="https://www.tofler.in/hal-offshore-limited/company/U24298MH1996PLC393083" TargetMode="External" Id="rId4695" /><Relationship Type="http://schemas.openxmlformats.org/officeDocument/2006/relationships/hyperlink" Target="https://www.sebi.gov.in/sebi_data/attachdocs/1291711747084.pdf" TargetMode="External" Id="rId4696" /><Relationship Type="http://schemas.openxmlformats.org/officeDocument/2006/relationships/hyperlink" Target="https://www.sebi.gov.in/filings/public-issues/jan-2007/corrigendum-in-the-matter-of-proposed-public-issue-of-technocraft-industries-india-limited_8421.html" TargetMode="External" Id="rId4697" /><Relationship Type="http://schemas.openxmlformats.org/officeDocument/2006/relationships/hyperlink" Target="https://www.chittorgarh.com/ipo/x/44/" TargetMode="External" Id="rId4698" /><Relationship Type="http://schemas.openxmlformats.org/officeDocument/2006/relationships/hyperlink" Target="https://www.sebi.gov.in/sebi_data/attachdocs/1291711573104.pdf" TargetMode="External" Id="rId4699" /><Relationship Type="http://schemas.openxmlformats.org/officeDocument/2006/relationships/hyperlink" Target="https://www.sebi.gov.in/filings/public-issues/jan-2007/puravankara-projects-limited_8418.html" TargetMode="External" Id="rId4700" /><Relationship Type="http://schemas.openxmlformats.org/officeDocument/2006/relationships/hyperlink" Target="https://www.sebi.gov.in/sebi_data/attachdocs/1291711182894.pdf" TargetMode="External" Id="rId4701" /><Relationship Type="http://schemas.openxmlformats.org/officeDocument/2006/relationships/hyperlink" Target="https://www.sebi.gov.in/filings/public-issues/jan-2007/cairn-india-ltd-public-notice_8414.html" TargetMode="External" Id="rId4702" /><Relationship Type="http://schemas.openxmlformats.org/officeDocument/2006/relationships/hyperlink" Target="https://www.chittorgarh.com/ipo/x/29/" TargetMode="External" Id="rId4703" /><Relationship Type="http://schemas.openxmlformats.org/officeDocument/2006/relationships/hyperlink" Target="https://www.sebi.gov.in/sebi_data/attachdocs/1291710711569.pdf" TargetMode="External" Id="rId4704" /><Relationship Type="http://schemas.openxmlformats.org/officeDocument/2006/relationships/hyperlink" Target="https://www.sebi.gov.in/filings/public-issues/jan-2007/circuit-systems-india-ltd_8404.html" TargetMode="External" Id="rId4705" /><Relationship Type="http://schemas.openxmlformats.org/officeDocument/2006/relationships/hyperlink" Target="https://www.chittorgarh.com/ipo/circuit_systems_ipo/124/" TargetMode="External" Id="rId4706" /><Relationship Type="http://schemas.openxmlformats.org/officeDocument/2006/relationships/hyperlink" Target="https://www.sebi.gov.in/sebi_data/attachdocs/1291710870084.pdf" TargetMode="External" Id="rId4707" /><Relationship Type="http://schemas.openxmlformats.org/officeDocument/2006/relationships/hyperlink" Target="https://www.sebi.gov.in/filings/public-issues/jan-2007/dlf-limited_8408.html" TargetMode="External" Id="rId4708" /><Relationship Type="http://schemas.openxmlformats.org/officeDocument/2006/relationships/hyperlink" Target="https://www.chittorgarh.com/ipo/dlf_ipo/86/" TargetMode="External" Id="rId4709" /><Relationship Type="http://schemas.openxmlformats.org/officeDocument/2006/relationships/hyperlink" Target="https://www.sebi.gov.in/sebi_data/attachdocs/1291711068292.pdf" TargetMode="External" Id="rId4710" /><Relationship Type="http://schemas.openxmlformats.org/officeDocument/2006/relationships/hyperlink" Target="https://www.sebi.gov.in/filings/public-issues/jan-2007/page-industries-limited_8412.html" TargetMode="External" Id="rId4711" /><Relationship Type="http://schemas.openxmlformats.org/officeDocument/2006/relationships/hyperlink" Target="https://www.sebi.gov.in/sebi_data/attachdocs/1293516192130.pdf" TargetMode="External" Id="rId4712" /><Relationship Type="http://schemas.openxmlformats.org/officeDocument/2006/relationships/hyperlink" Target="https://www.sebi.gov.in/filings/public-issues/jan-2007/nitin-fire-protection-industries-limited_13593.html" TargetMode="External" Id="rId4713" /><Relationship Type="http://schemas.openxmlformats.org/officeDocument/2006/relationships/hyperlink" Target="https://www.sebi.gov.in/sebi_data/attachdocs/1292413404836.pdf" TargetMode="External" Id="rId4714" /><Relationship Type="http://schemas.openxmlformats.org/officeDocument/2006/relationships/hyperlink" Target="https://www.sebi.gov.in/filings/public-issues/dec-2006/autoline-industries-limited_11106.html" TargetMode="External" Id="rId4715" /><Relationship Type="http://schemas.openxmlformats.org/officeDocument/2006/relationships/hyperlink" Target="https://www.sebi.gov.in/sebi_data/attachdocs/1292412905967.pdf" TargetMode="External" Id="rId4716" /><Relationship Type="http://schemas.openxmlformats.org/officeDocument/2006/relationships/hyperlink" Target="https://www.sebi.gov.in/filings/public-issues/dec-2006/insecticides-india-limited-draft-red-herring-prospectus_11104.html" TargetMode="External" Id="rId4717" /><Relationship Type="http://schemas.openxmlformats.org/officeDocument/2006/relationships/hyperlink" Target="https://www.sebi.gov.in/sebi_data/attachdocs/1292413276140.pdf" TargetMode="External" Id="rId4718" /><Relationship Type="http://schemas.openxmlformats.org/officeDocument/2006/relationships/hyperlink" Target="https://www.sebi.gov.in/filings/public-issues/dec-2006/oswal-woollen-mills-ltd-draft-red-herring-prospectus_11105.html" TargetMode="External" Id="rId4719" /><Relationship Type="http://schemas.openxmlformats.org/officeDocument/2006/relationships/hyperlink" Target="https://www.business-standard.com/markets/ipo/oswal-woollen-mills-ltd-ipo-13018" TargetMode="External" Id="rId4720" /><Relationship Type="http://schemas.openxmlformats.org/officeDocument/2006/relationships/hyperlink" Target="https://www.sebi.gov.in/sebi_data/attachdocs/1292412568332.pdf" TargetMode="External" Id="rId4721" /><Relationship Type="http://schemas.openxmlformats.org/officeDocument/2006/relationships/hyperlink" Target="https://www.sebi.gov.in/filings/public-issues/dec-2006/time-technoplast-limittedtime-technoplast-limitted_11102.html" TargetMode="External" Id="rId4722" /><Relationship Type="http://schemas.openxmlformats.org/officeDocument/2006/relationships/hyperlink" Target="https://www.sebi.gov.in/sebi_data/attachdocs/1292411680546.pdf" TargetMode="External" Id="rId4723" /><Relationship Type="http://schemas.openxmlformats.org/officeDocument/2006/relationships/hyperlink" Target="https://www.sebi.gov.in/filings/public-issues/dec-2006/asahi-songwon-colors-limited_11099.html" TargetMode="External" Id="rId4724" /><Relationship Type="http://schemas.openxmlformats.org/officeDocument/2006/relationships/hyperlink" Target="https://www.sebi.gov.in/sebi_data/attachdocs/1292411596558.pdf" TargetMode="External" Id="rId4725" /><Relationship Type="http://schemas.openxmlformats.org/officeDocument/2006/relationships/hyperlink" Target="https://www.sebi.gov.in/filings/public-issues/dec-2006/barak-valley-cements-limited_11097.html" TargetMode="External" Id="rId4726" /><Relationship Type="http://schemas.openxmlformats.org/officeDocument/2006/relationships/hyperlink" Target="https://www.chittorgarh.com/ipo/barak_valley_cements_ipo/134/" TargetMode="External" Id="rId4727" /><Relationship Type="http://schemas.openxmlformats.org/officeDocument/2006/relationships/hyperlink" Target="https://www.sebi.gov.in/sebi_data/attachdocs/1292411967634.pdf" TargetMode="External" Id="rId4728" /><Relationship Type="http://schemas.openxmlformats.org/officeDocument/2006/relationships/hyperlink" Target="https://www.sebi.gov.in/filings/public-issues/dec-2006/omaxe-limited_11100.html" TargetMode="External" Id="rId4729" /><Relationship Type="http://schemas.openxmlformats.org/officeDocument/2006/relationships/hyperlink" Target="https://www.sebi.gov.in/sebi_data/attachdocs/1292411495468.pdf" TargetMode="External" Id="rId4730" /><Relationship Type="http://schemas.openxmlformats.org/officeDocument/2006/relationships/hyperlink" Target="https://www.sebi.gov.in/filings/public-issues/dec-2006/shaily-engineering-plastics-limited_11095.html" TargetMode="External" Id="rId4731" /><Relationship Type="http://schemas.openxmlformats.org/officeDocument/2006/relationships/hyperlink" Target="https://www.sebi.gov.in/sebi_data/commondocs/ProcessingStatus20062007_h.html" TargetMode="External" Id="rId4732" /><Relationship Type="http://schemas.openxmlformats.org/officeDocument/2006/relationships/hyperlink" Target="https://www.sebi.gov.in/sebi_data/attachdocs/1292411322660.pdf" TargetMode="External" Id="rId4733" /><Relationship Type="http://schemas.openxmlformats.org/officeDocument/2006/relationships/hyperlink" Target="https://www.sebi.gov.in/filings/public-issues/dec-2006/power-finance-corporation-limited_11091.html" TargetMode="External" Id="rId4734" /><Relationship Type="http://schemas.openxmlformats.org/officeDocument/2006/relationships/hyperlink" Target="https://www.sebi.gov.in/sebi_data/attachdocs/1292411010363.pdf" TargetMode="External" Id="rId4735" /><Relationship Type="http://schemas.openxmlformats.org/officeDocument/2006/relationships/hyperlink" Target="https://www.sebi.gov.in/filings/public-issues/dec-2006/take-solution-limited_11088.html" TargetMode="External" Id="rId4736" /><Relationship Type="http://schemas.openxmlformats.org/officeDocument/2006/relationships/hyperlink" Target="https://www.sebi.gov.in/sebi_data/attachdocs/1292410583850.pdf" TargetMode="External" Id="rId4737" /><Relationship Type="http://schemas.openxmlformats.org/officeDocument/2006/relationships/hyperlink" Target="https://www.sebi.gov.in/filings/public-issues/dec-2006/alpa-laboratories-limited_11086.html" TargetMode="External" Id="rId4738" /><Relationship Type="http://schemas.openxmlformats.org/officeDocument/2006/relationships/hyperlink" Target="https://www.chittorgarh.com/ipo/alpa_ipo/101/" TargetMode="External" Id="rId4739" /><Relationship Type="http://schemas.openxmlformats.org/officeDocument/2006/relationships/hyperlink" Target="https://www.sebi.gov.in/sebi_data/attachdocs/1292409535167.pdf" TargetMode="External" Id="rId4740" /><Relationship Type="http://schemas.openxmlformats.org/officeDocument/2006/relationships/hyperlink" Target="https://www.sebi.gov.in/filings/public-issues/dec-2006/nelcast-limited_11083.html" TargetMode="External" Id="rId4741" /><Relationship Type="http://schemas.openxmlformats.org/officeDocument/2006/relationships/hyperlink" Target="https://www.sebi.gov.in/sebi_data/attachdocs/1292409363668.pdf" TargetMode="External" Id="rId4742" /><Relationship Type="http://schemas.openxmlformats.org/officeDocument/2006/relationships/hyperlink" Target="https://www.sebi.gov.in/filings/public-issues/dec-2006/mind-tree-consulting-limited_11082.html" TargetMode="External" Id="rId4743" /><Relationship Type="http://schemas.openxmlformats.org/officeDocument/2006/relationships/hyperlink" Target="https://www.sebi.gov.in/sebi_data/attachdocs/1292409223983.pdf" TargetMode="External" Id="rId4744" /><Relationship Type="http://schemas.openxmlformats.org/officeDocument/2006/relationships/hyperlink" Target="https://www.sebi.gov.in/filings/public-issues/dec-2006/cairn-india-ltd-public-notice_11081.html" TargetMode="External" Id="rId4745" /><Relationship Type="http://schemas.openxmlformats.org/officeDocument/2006/relationships/hyperlink" Target="https://www.chittorgarh.com/ipo/x/29/" TargetMode="External" Id="rId4746" /><Relationship Type="http://schemas.openxmlformats.org/officeDocument/2006/relationships/hyperlink" Target="https://www.sebi.gov.in/sebi_data/attachdocs/1292409159705.pdf" TargetMode="External" Id="rId4747" /><Relationship Type="http://schemas.openxmlformats.org/officeDocument/2006/relationships/hyperlink" Target="https://www.sebi.gov.in/filings/public-issues/dec-2006/decolight-ceramics-limited_11079.html" TargetMode="External" Id="rId4748" /><Relationship Type="http://schemas.openxmlformats.org/officeDocument/2006/relationships/hyperlink" Target="https://www.chittorgarh.com/ipo/decolight_ipo/85/" TargetMode="External" Id="rId4749" /><Relationship Type="http://schemas.openxmlformats.org/officeDocument/2006/relationships/hyperlink" Target="https://www.sebi.gov.in/sebi_data/attachdocs/1292409007858.pdf" TargetMode="External" Id="rId4750" /><Relationship Type="http://schemas.openxmlformats.org/officeDocument/2006/relationships/hyperlink" Target="https://www.sebi.gov.in/filings/public-issues/dec-2006/indian-bank_11077.html" TargetMode="External" Id="rId4751" /><Relationship Type="http://schemas.openxmlformats.org/officeDocument/2006/relationships/hyperlink" Target="https://www.sebi.gov.in/sebi_data/attachdocs/1292411419425.pdf" TargetMode="External" Id="rId4752" /><Relationship Type="http://schemas.openxmlformats.org/officeDocument/2006/relationships/hyperlink" Target="https://www.sebi.gov.in/filings/public-issues/dec-2006/indus-fila-limited_11093.html" TargetMode="External" Id="rId4753" /><Relationship Type="http://schemas.openxmlformats.org/officeDocument/2006/relationships/hyperlink" Target="https://www.chittorgarh.com/ipo/indus_fila_ipo/63/" TargetMode="External" Id="rId4754" /><Relationship Type="http://schemas.openxmlformats.org/officeDocument/2006/relationships/hyperlink" Target="https://www.sebi.gov.in/sebi_data/attachdocs/1292408670151.pdf" TargetMode="External" Id="rId4755" /><Relationship Type="http://schemas.openxmlformats.org/officeDocument/2006/relationships/hyperlink" Target="https://www.sebi.gov.in/filings/public-issues/dec-2006/kaushalya-infrastructure-development-corporation-limited_11074.html" TargetMode="External" Id="rId4756" /><Relationship Type="http://schemas.openxmlformats.org/officeDocument/2006/relationships/hyperlink" Target="https://www.sebi.gov.in/sebi_data/attachdocs/1292408542319.pdf" TargetMode="External" Id="rId4757" /><Relationship Type="http://schemas.openxmlformats.org/officeDocument/2006/relationships/hyperlink" Target="https://www.sebi.gov.in/filings/public-issues/dec-2006/idea-cellular-limited_11072.html" TargetMode="External" Id="rId4758" /><Relationship Type="http://schemas.openxmlformats.org/officeDocument/2006/relationships/hyperlink" Target="https://www.sebi.gov.in/sebi_data/attachdocs/1292408435184.pdf" TargetMode="External" Id="rId4759" /><Relationship Type="http://schemas.openxmlformats.org/officeDocument/2006/relationships/hyperlink" Target="https://www.sebi.gov.in/filings/public-issues/dec-2006/roman-tarmat-limited_11070.html" TargetMode="External" Id="rId4760" /><Relationship Type="http://schemas.openxmlformats.org/officeDocument/2006/relationships/hyperlink" Target="https://www.chittorgarh.com/ipo/roman_tarmat_ipo/89/" TargetMode="External" Id="rId4761" /><Relationship Type="http://schemas.openxmlformats.org/officeDocument/2006/relationships/hyperlink" Target="https://www.sebi.gov.in/sebi_data/attachdocs/1292408179450.pdf" TargetMode="External" Id="rId4762" /><Relationship Type="http://schemas.openxmlformats.org/officeDocument/2006/relationships/hyperlink" Target="https://www.sebi.gov.in/filings/public-issues/dec-2006/vishal-retail-limited_11065.html" TargetMode="External" Id="rId4763" /><Relationship Type="http://schemas.openxmlformats.org/officeDocument/2006/relationships/hyperlink" Target="https://www.chittorgarh.com/ipo/vishal_retail_ipo/90/" TargetMode="External" Id="rId4764" /><Relationship Type="http://schemas.openxmlformats.org/officeDocument/2006/relationships/hyperlink" Target="https://www.sebi.gov.in/sebi_data/attachdocs/1292407864122.pdf" TargetMode="External" Id="rId4765" /><Relationship Type="http://schemas.openxmlformats.org/officeDocument/2006/relationships/hyperlink" Target="https://www.sebi.gov.in/filings/public-issues/dec-2006/allied-computers-international-asia-limited_11057.html" TargetMode="External" Id="rId4766" /><Relationship Type="http://schemas.openxmlformats.org/officeDocument/2006/relationships/hyperlink" Target="https://www.business-standard.com/markets/ipo/allied-computers-international-asia-ltd-ipo-27665" TargetMode="External" Id="rId4767" /><Relationship Type="http://schemas.openxmlformats.org/officeDocument/2006/relationships/hyperlink" Target="https://www.sebi.gov.in/sebi_data/attachdocs/1292383906305.pdf" TargetMode="External" Id="rId4768" /><Relationship Type="http://schemas.openxmlformats.org/officeDocument/2006/relationships/hyperlink" Target="https://www.sebi.gov.in/filings/public-issues/nov-2006/sel-manufacturing-company-limited_10851.html" TargetMode="External" Id="rId4769" /><Relationship Type="http://schemas.openxmlformats.org/officeDocument/2006/relationships/hyperlink" Target="https://www.chittorgarh.com/ipo/sel_ipo/109/" TargetMode="External" Id="rId4770" /><Relationship Type="http://schemas.openxmlformats.org/officeDocument/2006/relationships/hyperlink" Target="https://www.sebi.gov.in/sebi_data/attachdocs/1292383545390.pdf" TargetMode="External" Id="rId4771" /><Relationship Type="http://schemas.openxmlformats.org/officeDocument/2006/relationships/hyperlink" Target="https://www.sebi.gov.in/filings/public-issues/nov-2006/astral-poly-technik-limited_10850.html" TargetMode="External" Id="rId4772" /><Relationship Type="http://schemas.openxmlformats.org/officeDocument/2006/relationships/hyperlink" Target="https://www.sebi.gov.in/sebi_data/attachdocs/1292383465793.pdf" TargetMode="External" Id="rId4773" /><Relationship Type="http://schemas.openxmlformats.org/officeDocument/2006/relationships/hyperlink" Target="https://www.sebi.gov.in/filings/public-issues/nov-2006/mic-electronics-limited_10849.html" TargetMode="External" Id="rId4774" /><Relationship Type="http://schemas.openxmlformats.org/officeDocument/2006/relationships/hyperlink" Target="https://www.sebi.gov.in/sebi_data/attachdocs/1292382734730.pdf" TargetMode="External" Id="rId4775" /><Relationship Type="http://schemas.openxmlformats.org/officeDocument/2006/relationships/hyperlink" Target="https://www.sebi.gov.in/filings/public-issues/nov-2006/first-source-solutions-limited_10845.html" TargetMode="External" Id="rId4776" /><Relationship Type="http://schemas.openxmlformats.org/officeDocument/2006/relationships/hyperlink" Target="https://www.sebi.gov.in/sebi_data/attachdocs/1292382626268.pdf" TargetMode="External" Id="rId4777" /><Relationship Type="http://schemas.openxmlformats.org/officeDocument/2006/relationships/hyperlink" Target="https://www.sebi.gov.in/filings/public-issues/nov-2006/technocraft-industries-india-limited_10844.html" TargetMode="External" Id="rId4778" /><Relationship Type="http://schemas.openxmlformats.org/officeDocument/2006/relationships/hyperlink" Target="https://www.sebi.gov.in/sebi_data/attachdocs/1292382534562.pdf" TargetMode="External" Id="rId4779" /><Relationship Type="http://schemas.openxmlformats.org/officeDocument/2006/relationships/hyperlink" Target="https://www.sebi.gov.in/filings/public-issues/nov-2006/shri-balkishan-agarwal-glass-industries-limited_10843.html" TargetMode="External" Id="rId4780" /><Relationship Type="http://schemas.openxmlformats.org/officeDocument/2006/relationships/hyperlink" Target="https://www.business-standard.com/markets/ipo/shri-balkishan-agarwal-glass-industries-ipo-27633" TargetMode="External" Id="rId4781" /><Relationship Type="http://schemas.openxmlformats.org/officeDocument/2006/relationships/hyperlink" Target="https://www.sebi.gov.in/sebi_data/attachdocs/1292329761512.pdf" TargetMode="External" Id="rId4782" /><Relationship Type="http://schemas.openxmlformats.org/officeDocument/2006/relationships/hyperlink" Target="https://www.sebi.gov.in/filings/public-issues/nov-2006/binani-cements-limited_10842.html" TargetMode="External" Id="rId4783" /><Relationship Type="http://schemas.openxmlformats.org/officeDocument/2006/relationships/hyperlink" Target="https://www.chittorgarh.com/ipo/binani_cement_ipo/79/" TargetMode="External" Id="rId4784" /><Relationship Type="http://schemas.openxmlformats.org/officeDocument/2006/relationships/hyperlink" Target="https://www.sebi.gov.in/sebi_data/attachdocs/1292329672652.pdf" TargetMode="External" Id="rId4785" /><Relationship Type="http://schemas.openxmlformats.org/officeDocument/2006/relationships/hyperlink" Target="https://www.sebi.gov.in/filings/public-issues/nov-2006/emmbros-autocomp-limited_10841.html" TargetMode="External" Id="rId4786" /><Relationship Type="http://schemas.openxmlformats.org/officeDocument/2006/relationships/hyperlink" Target="https://www.tofler.in/emmbros-autocomp-limited/company/U34300HP1991PLC011005" TargetMode="External" Id="rId4787" /><Relationship Type="http://schemas.openxmlformats.org/officeDocument/2006/relationships/hyperlink" Target="https://www.sebi.gov.in/sebi_data/attachdocs/1292329305053.pdf" TargetMode="External" Id="rId4788" /><Relationship Type="http://schemas.openxmlformats.org/officeDocument/2006/relationships/hyperlink" Target="https://www.sebi.gov.in/filings/public-issues/nov-2006/megmani-organics-limited_10840.html" TargetMode="External" Id="rId4789" /><Relationship Type="http://schemas.openxmlformats.org/officeDocument/2006/relationships/hyperlink" Target="https://www.sebi.gov.in/sebi_data/attachdocs/1292329003133.pdf" TargetMode="External" Id="rId4790" /><Relationship Type="http://schemas.openxmlformats.org/officeDocument/2006/relationships/hyperlink" Target="https://www.sebi.gov.in/filings/public-issues/nov-2006/house-of-pearl-fashions-limited_10839.html" TargetMode="External" Id="rId4791" /><Relationship Type="http://schemas.openxmlformats.org/officeDocument/2006/relationships/hyperlink" Target="https://www.sebi.gov.in/sebi_data/attachdocs/1292324489696.pdf" TargetMode="External" Id="rId4792" /><Relationship Type="http://schemas.openxmlformats.org/officeDocument/2006/relationships/hyperlink" Target="https://www.sebi.gov.in/filings/public-issues/oct-2006/mudra-lifetyle-limited_10797.html" TargetMode="External" Id="rId4793" /><Relationship Type="http://schemas.openxmlformats.org/officeDocument/2006/relationships/hyperlink" Target="https://www.sebi.gov.in/sebi_data/attachdocs/1292324684257.pdf" TargetMode="External" Id="rId4794" /><Relationship Type="http://schemas.openxmlformats.org/officeDocument/2006/relationships/hyperlink" Target="https://www.sebi.gov.in/filings/public-issues/oct-2006/raj-television-network-limited_10798.html" TargetMode="External" Id="rId4795" /><Relationship Type="http://schemas.openxmlformats.org/officeDocument/2006/relationships/hyperlink" Target="https://www.sebi.gov.in/sebi_data/attachdocs/1292324160473.pdf" TargetMode="External" Id="rId4796" /><Relationship Type="http://schemas.openxmlformats.org/officeDocument/2006/relationships/hyperlink" Target="https://www.sebi.gov.in/filings/public-issues/oct-2006/vijayeswari-textiles-limited_10796.html" TargetMode="External" Id="rId4797" /><Relationship Type="http://schemas.openxmlformats.org/officeDocument/2006/relationships/hyperlink" Target="https://www.chittorgarh.com/ipo/x/56/" TargetMode="External" Id="rId4798" /><Relationship Type="http://schemas.openxmlformats.org/officeDocument/2006/relationships/hyperlink" Target="https://www.sebi.gov.in/sebi_data/attachdocs/1292323115043.pdf" TargetMode="External" Id="rId4799" /><Relationship Type="http://schemas.openxmlformats.org/officeDocument/2006/relationships/hyperlink" Target="https://www.sebi.gov.in/filings/public-issues/oct-2006/cairn-india-limited_10788.html" TargetMode="External" Id="rId4800" /><Relationship Type="http://schemas.openxmlformats.org/officeDocument/2006/relationships/hyperlink" Target="https://www.chittorgarh.com/ipo/cairn-india-ipo/29/" TargetMode="External" Id="rId4801" /><Relationship Type="http://schemas.openxmlformats.org/officeDocument/2006/relationships/hyperlink" Target="https://www.sebi.gov.in/sebi_data/attachdocs/1292322784428.pdf" TargetMode="External" Id="rId4802" /><Relationship Type="http://schemas.openxmlformats.org/officeDocument/2006/relationships/hyperlink" Target="https://www.sebi.gov.in/filings/public-issues/oct-2006/c-and-c-constructions-limited_10782.html" TargetMode="External" Id="rId4803" /><Relationship Type="http://schemas.openxmlformats.org/officeDocument/2006/relationships/hyperlink" Target="https://www.sebi.gov.in/sebi_data/attachdocs/1292322439150.pdf" TargetMode="External" Id="rId4804" /><Relationship Type="http://schemas.openxmlformats.org/officeDocument/2006/relationships/hyperlink" Target="https://www.sebi.gov.in/filings/public-issues/oct-2006/advanta-india-limited_10778.html" TargetMode="External" Id="rId4805" /><Relationship Type="http://schemas.openxmlformats.org/officeDocument/2006/relationships/hyperlink" Target="https://www.chittorgarh.com/ipo/advanta_ipo/73/" TargetMode="External" Id="rId4806" /><Relationship Type="http://schemas.openxmlformats.org/officeDocument/2006/relationships/hyperlink" Target="https://www.sebi.gov.in/sebi_data/attachdocs/1294221653389.pdf" TargetMode="External" Id="rId4807" /><Relationship Type="http://schemas.openxmlformats.org/officeDocument/2006/relationships/hyperlink" Target="https://www.sebi.gov.in/filings/public-issues/oct-2006/akruti-nirman-limited_14184.html" TargetMode="External" Id="rId4808" /><Relationship Type="http://schemas.openxmlformats.org/officeDocument/2006/relationships/hyperlink" Target="https://www.sebi.gov.in/sebi_data/attachdocs/1292322296658.pdf" TargetMode="External" Id="rId4809" /><Relationship Type="http://schemas.openxmlformats.org/officeDocument/2006/relationships/hyperlink" Target="https://www.sebi.gov.in/filings/public-issues/oct-2006/asiatic-colour-chem-industries-limited_10777.html" TargetMode="External" Id="rId4810" /><Relationship Type="http://schemas.openxmlformats.org/officeDocument/2006/relationships/hyperlink" Target="https://www.zaubacorp.com/ASIATIC-COLOUR-CHEM-INDUSTRIES-PRIVATE-LIMITED-U24117GJ1995PTC024128" TargetMode="External" Id="rId4811" /><Relationship Type="http://schemas.openxmlformats.org/officeDocument/2006/relationships/hyperlink" Target="https://www.sebi.gov.in/sebi_data/attachdocs/1292321782762.pdf" TargetMode="External" Id="rId4812" /><Relationship Type="http://schemas.openxmlformats.org/officeDocument/2006/relationships/hyperlink" Target="https://www.sebi.gov.in/filings/public-issues/oct-2006/fortis-healthcare-limited_10769.html" TargetMode="External" Id="rId4813" /><Relationship Type="http://schemas.openxmlformats.org/officeDocument/2006/relationships/hyperlink" Target="https://www.sebi.gov.in/sebi_data/attachdocs/1292322201130.pdf" TargetMode="External" Id="rId4814" /><Relationship Type="http://schemas.openxmlformats.org/officeDocument/2006/relationships/hyperlink" Target="https://www.sebi.gov.in/filings/public-issues/oct-2006/mbl-infrastructure-limited_10776.html" TargetMode="External" Id="rId4815" /><Relationship Type="http://schemas.openxmlformats.org/officeDocument/2006/relationships/hyperlink" Target="https://www.chittorgarh.com/ipo/x/210/" TargetMode="External" Id="rId4816" /><Relationship Type="http://schemas.openxmlformats.org/officeDocument/2006/relationships/hyperlink" Target="https://www.sebi.gov.in/sebi_data/attachdocs/1292321538540.pdf" TargetMode="External" Id="rId4817" /><Relationship Type="http://schemas.openxmlformats.org/officeDocument/2006/relationships/hyperlink" Target="https://www.sebi.gov.in/filings/public-issues/oct-2006/essel-shyam-communication-limited_10761.html" TargetMode="External" Id="rId4818" /><Relationship Type="http://schemas.openxmlformats.org/officeDocument/2006/relationships/hyperlink" Target="https://www.sebi.gov.in/sebi_data/commondocs/ProcessingStatus20062007_h.html" TargetMode="External" Id="rId4819" /><Relationship Type="http://schemas.openxmlformats.org/officeDocument/2006/relationships/hyperlink" Target="https://www.sebi.gov.in/sebi_data/attachdocs/1292320898582.pdf" TargetMode="External" Id="rId4820" /><Relationship Type="http://schemas.openxmlformats.org/officeDocument/2006/relationships/hyperlink" Target="https://www.sebi.gov.in/filings/public-issues/oct-2006/glory-polyfilms-limited_10745.html" TargetMode="External" Id="rId4821" /><Relationship Type="http://schemas.openxmlformats.org/officeDocument/2006/relationships/hyperlink" Target="https://www.chittorgarh.com/ipo/glory_polyfilms_ipo/82/" TargetMode="External" Id="rId4822" /><Relationship Type="http://schemas.openxmlformats.org/officeDocument/2006/relationships/hyperlink" Target="https://www.sebi.gov.in/sebi_data/attachdocs/1292320760467.pdf" TargetMode="External" Id="rId4823" /><Relationship Type="http://schemas.openxmlformats.org/officeDocument/2006/relationships/hyperlink" Target="https://www.sebi.gov.in/filings/public-issues/oct-2006/ind-synergy-limited_10740.html" TargetMode="External" Id="rId4824" /><Relationship Type="http://schemas.openxmlformats.org/officeDocument/2006/relationships/hyperlink" Target="https://www.business-standard.com/markets/ipo/ind-synergy-ltd-ipo-25109" TargetMode="External" Id="rId4825" /><Relationship Type="http://schemas.openxmlformats.org/officeDocument/2006/relationships/hyperlink" Target="https://www.sebi.gov.in/sebi_data/attachdocs/1292321402880.pdf" TargetMode="External" Id="rId4826" /><Relationship Type="http://schemas.openxmlformats.org/officeDocument/2006/relationships/hyperlink" Target="https://www.sebi.gov.in/filings/public-issues/oct-2006/kirloskar-ferrous-industries-limited_10758.html" TargetMode="External" Id="rId4827" /><Relationship Type="http://schemas.openxmlformats.org/officeDocument/2006/relationships/hyperlink" Target="https://www.sebi.gov.in/filings/rights-issues/jan-2007/kirloskar-ferrous-industries-limited_8550.html" TargetMode="External" Id="rId4828" /><Relationship Type="http://schemas.openxmlformats.org/officeDocument/2006/relationships/hyperlink" Target="https://www.sebi.gov.in/sebi_data/attachdocs/1292321175133.pdf" TargetMode="External" Id="rId4829" /><Relationship Type="http://schemas.openxmlformats.org/officeDocument/2006/relationships/hyperlink" Target="https://www.sebi.gov.in/filings/public-issues/oct-2006/omnitech-infosolutions-limited_10752.html" TargetMode="External" Id="rId4830" /><Relationship Type="http://schemas.openxmlformats.org/officeDocument/2006/relationships/hyperlink" Target="https://www.chittorgarh.com/ipo/omnitech_ipo/103/" TargetMode="External" Id="rId4831" /><Relationship Type="http://schemas.openxmlformats.org/officeDocument/2006/relationships/hyperlink" Target="https://www.sebi.gov.in/sebi_data/attachdocs/1292319980323.pdf" TargetMode="External" Id="rId4832" /><Relationship Type="http://schemas.openxmlformats.org/officeDocument/2006/relationships/hyperlink" Target="https://www.sebi.gov.in/filings/public-issues/oct-2006/accel-frontline-limited-notice_10719.html" TargetMode="External" Id="rId4833" /><Relationship Type="http://schemas.openxmlformats.org/officeDocument/2006/relationships/hyperlink" Target="https://www.chittorgarh.com/ipo/x/15/" TargetMode="External" Id="rId4834" /><Relationship Type="http://schemas.openxmlformats.org/officeDocument/2006/relationships/hyperlink" Target="https://www.sebi.gov.in/sebi_data/attachdocs/1292320525438.pdf" TargetMode="External" Id="rId4835" /><Relationship Type="http://schemas.openxmlformats.org/officeDocument/2006/relationships/hyperlink" Target="https://www.sebi.gov.in/filings/public-issues/oct-2006/ankit-metal-and-power-limited_10734.html" TargetMode="External" Id="rId4836" /><Relationship Type="http://schemas.openxmlformats.org/officeDocument/2006/relationships/hyperlink" Target="https://www.business-standard.com/markets/ipo/ankit-metal-power-ltd-ipo-27538" TargetMode="External" Id="rId4837" /><Relationship Type="http://schemas.openxmlformats.org/officeDocument/2006/relationships/hyperlink" Target="https://www.sebi.gov.in/sebi_data/attachdocs/1292320126284.pdf" TargetMode="External" Id="rId4838" /><Relationship Type="http://schemas.openxmlformats.org/officeDocument/2006/relationships/hyperlink" Target="https://www.sebi.gov.in/filings/public-issues/oct-2006/cinemax-india-limited_10722.html" TargetMode="External" Id="rId4839" /><Relationship Type="http://schemas.openxmlformats.org/officeDocument/2006/relationships/hyperlink" Target="https://www.sebi.gov.in/sebi_data/attachdocs/1292320242804.pdf" TargetMode="External" Id="rId4840" /><Relationship Type="http://schemas.openxmlformats.org/officeDocument/2006/relationships/hyperlink" Target="https://www.sebi.gov.in/filings/public-issues/oct-2006/next-gen-publishing-limited_10724.html" TargetMode="External" Id="rId4841" /><Relationship Type="http://schemas.openxmlformats.org/officeDocument/2006/relationships/hyperlink" Target="https://www.business-standard.com/markets/ipo/next-gen-publishing-ltd-ipo-27540" TargetMode="External" Id="rId4842" /><Relationship Type="http://schemas.openxmlformats.org/officeDocument/2006/relationships/hyperlink" Target="https://www.sebi.gov.in/sebi_data/attachdocs/1292472717424.pdf" TargetMode="External" Id="rId4843" /><Relationship Type="http://schemas.openxmlformats.org/officeDocument/2006/relationships/hyperlink" Target="https://www.sebi.gov.in/filings/public-issues/sep-2006/amd-metplast-limited_11130.html" TargetMode="External" Id="rId4844" /><Relationship Type="http://schemas.openxmlformats.org/officeDocument/2006/relationships/hyperlink" Target="https://www.sebi.gov.in/sebi_data/attachdocs/1294288535136.pdf" TargetMode="External" Id="rId4845" /><Relationship Type="http://schemas.openxmlformats.org/officeDocument/2006/relationships/hyperlink" Target="https://www.sebi.gov.in/filings/public-issues/sep-2006/euro-ceramics-limited_11133.html" TargetMode="External" Id="rId4846" /><Relationship Type="http://schemas.openxmlformats.org/officeDocument/2006/relationships/hyperlink" Target="https://www.chittorgarh.com/ipo/euro_ceramics_ipo/54/" TargetMode="External" Id="rId4847" /><Relationship Type="http://schemas.openxmlformats.org/officeDocument/2006/relationships/hyperlink" Target="https://www.sebi.gov.in/sebi_data/attachdocs/1292471071769.pdf" TargetMode="External" Id="rId4848" /><Relationship Type="http://schemas.openxmlformats.org/officeDocument/2006/relationships/hyperlink" Target="https://www.sebi.gov.in/filings/public-issues/sep-2006/vimal-oil-and-foods-limited_11129.html" TargetMode="External" Id="rId4849" /><Relationship Type="http://schemas.openxmlformats.org/officeDocument/2006/relationships/hyperlink" Target="https://www.chittorgarh.com/ipo/x/68/" TargetMode="External" Id="rId4850" /><Relationship Type="http://schemas.openxmlformats.org/officeDocument/2006/relationships/hyperlink" Target="https://www.sebi.gov.in/sebi_data/attachdocs/1292416094108.pdf" TargetMode="External" Id="rId4851" /><Relationship Type="http://schemas.openxmlformats.org/officeDocument/2006/relationships/hyperlink" Target="https://www.sebi.gov.in/filings/public-issues/sep-2006/autoline-industries-limited_11128.html" TargetMode="External" Id="rId4852" /><Relationship Type="http://schemas.openxmlformats.org/officeDocument/2006/relationships/hyperlink" Target="https://www.sebi.gov.in/sebi_data/attachdocs/1292415983389.pdf" TargetMode="External" Id="rId4853" /><Relationship Type="http://schemas.openxmlformats.org/officeDocument/2006/relationships/hyperlink" Target="https://www.sebi.gov.in/filings/public-issues/sep-2006/sms-pharmaceuticals-limited_11127.html" TargetMode="External" Id="rId4854" /><Relationship Type="http://schemas.openxmlformats.org/officeDocument/2006/relationships/hyperlink" Target="https://www.sebi.gov.in/sebi_data/attachdocs/1292415825649.pdf" TargetMode="External" Id="rId4855" /><Relationship Type="http://schemas.openxmlformats.org/officeDocument/2006/relationships/hyperlink" Target="https://www.sebi.gov.in/filings/public-issues/sep-2006/hilton-metal-forging-limited_11125.html" TargetMode="External" Id="rId4856" /><Relationship Type="http://schemas.openxmlformats.org/officeDocument/2006/relationships/hyperlink" Target="https://www.sebi.gov.in/sebi_data/attachdocs/1292415901316.pdf" TargetMode="External" Id="rId4857" /><Relationship Type="http://schemas.openxmlformats.org/officeDocument/2006/relationships/hyperlink" Target="https://www.sebi.gov.in/filings/public-issues/sep-2006/jagjanani-textile-limited_11126.html" TargetMode="External" Id="rId4858" /><Relationship Type="http://schemas.openxmlformats.org/officeDocument/2006/relationships/hyperlink" Target="https://www.sebi.gov.in/sebi_data/attachdocs/1292415711849.pdf" TargetMode="External" Id="rId4859" /><Relationship Type="http://schemas.openxmlformats.org/officeDocument/2006/relationships/hyperlink" Target="https://www.sebi.gov.in/filings/public-issues/sep-2006/nissan-copper-limited_11124.html" TargetMode="External" Id="rId4860" /><Relationship Type="http://schemas.openxmlformats.org/officeDocument/2006/relationships/hyperlink" Target="https://www.chittorgarh.com/ipo/nissan-copper-ipo/32/" TargetMode="External" Id="rId4861" /><Relationship Type="http://schemas.openxmlformats.org/officeDocument/2006/relationships/hyperlink" Target="https://www.sebi.gov.in/sebi_data/attachdocs/1292415604619.pdf" TargetMode="External" Id="rId4862" /><Relationship Type="http://schemas.openxmlformats.org/officeDocument/2006/relationships/hyperlink" Target="https://www.sebi.gov.in/filings/public-issues/sep-2006/parsvnath-developers-limited_11123.html" TargetMode="External" Id="rId4863" /><Relationship Type="http://schemas.openxmlformats.org/officeDocument/2006/relationships/hyperlink" Target="https://www.sebi.gov.in/sebi_data/attachdocs/1292307509958.pdf" TargetMode="External" Id="rId4864" /><Relationship Type="http://schemas.openxmlformats.org/officeDocument/2006/relationships/hyperlink" Target="https://www.sebi.gov.in/filings/public-issues/aug-2006/ess-dee-aluminium-limited_10545.html" TargetMode="External" Id="rId4865" /><Relationship Type="http://schemas.openxmlformats.org/officeDocument/2006/relationships/hyperlink" Target="https://www.chittorgarh.com/ipo/ess-dee-aluminium-ipo/30/" TargetMode="External" Id="rId4866" /><Relationship Type="http://schemas.openxmlformats.org/officeDocument/2006/relationships/hyperlink" Target="https://www.sebi.gov.in/sebi_data/attachdocs/1292306485446.pdf" TargetMode="External" Id="rId4867" /><Relationship Type="http://schemas.openxmlformats.org/officeDocument/2006/relationships/hyperlink" Target="https://www.sebi.gov.in/filings/public-issues/aug-2006/everonn-systems-india-limited_10523.html" TargetMode="External" Id="rId4868" /><Relationship Type="http://schemas.openxmlformats.org/officeDocument/2006/relationships/hyperlink" Target="https://www.chittorgarh.com/ipo/everonn_ipo/98/" TargetMode="External" Id="rId4869" /><Relationship Type="http://schemas.openxmlformats.org/officeDocument/2006/relationships/hyperlink" Target="https://www.sebi.gov.in/sebi_data/attachdocs/1292307240659.pdf" TargetMode="External" Id="rId4870" /><Relationship Type="http://schemas.openxmlformats.org/officeDocument/2006/relationships/hyperlink" Target="https://www.sebi.gov.in/filings/public-issues/aug-2006/global-broadcast-news-limited_10537.html" TargetMode="External" Id="rId4871" /><Relationship Type="http://schemas.openxmlformats.org/officeDocument/2006/relationships/hyperlink" Target="https://www.sebi.gov.in/sebi_data/attachdocs/1292307092350.pdf" TargetMode="External" Id="rId4872" /><Relationship Type="http://schemas.openxmlformats.org/officeDocument/2006/relationships/hyperlink" Target="https://www.sebi.gov.in/filings/public-issues/aug-2006/sarju-international-limited_10534.html" TargetMode="External" Id="rId4873" /><Relationship Type="http://schemas.openxmlformats.org/officeDocument/2006/relationships/hyperlink" Target="https://www.sebi.gov.in/sebi_data/attachdocs/1292306318004.pdf" TargetMode="External" Id="rId4874" /><Relationship Type="http://schemas.openxmlformats.org/officeDocument/2006/relationships/hyperlink" Target="https://www.sebi.gov.in/filings/public-issues/aug-2006/orbit-corporation-limited_10520.html" TargetMode="External" Id="rId4875" /><Relationship Type="http://schemas.openxmlformats.org/officeDocument/2006/relationships/hyperlink" Target="https://www.chittorgarh.com/ipo/orbit_ipo/72/" TargetMode="External" Id="rId4876" /><Relationship Type="http://schemas.openxmlformats.org/officeDocument/2006/relationships/hyperlink" Target="https://www.sebi.gov.in/sebi_data/attachdocs/1292305618293.pdf" TargetMode="External" Id="rId4877" /><Relationship Type="http://schemas.openxmlformats.org/officeDocument/2006/relationships/hyperlink" Target="https://www.sebi.gov.in/filings/public-issues/aug-2006/lumax-auto-technologies-limited_10511.html" TargetMode="External" Id="rId4878" /><Relationship Type="http://schemas.openxmlformats.org/officeDocument/2006/relationships/hyperlink" Target="https://www.sebi.gov.in/sebi_data/attachdocs/1292305454138.pdf" TargetMode="External" Id="rId4879" /><Relationship Type="http://schemas.openxmlformats.org/officeDocument/2006/relationships/hyperlink" Target="https://www.sebi.gov.in/filings/public-issues/aug-2006/development-credit-bank-limited_10509.html" TargetMode="External" Id="rId4880" /><Relationship Type="http://schemas.openxmlformats.org/officeDocument/2006/relationships/hyperlink" Target="https://www.sebi.gov.in/sebi_data/attachdocs/1292305203329.pdf" TargetMode="External" Id="rId4881" /><Relationship Type="http://schemas.openxmlformats.org/officeDocument/2006/relationships/hyperlink" Target="https://www.sebi.gov.in/filings/public-issues/aug-2006/icra-limited_10503.html" TargetMode="External" Id="rId4882" /><Relationship Type="http://schemas.openxmlformats.org/officeDocument/2006/relationships/hyperlink" Target="https://www.sebi.gov.in/sebi_data/attachdocs/1292304430321.pdf" TargetMode="External" Id="rId4883" /><Relationship Type="http://schemas.openxmlformats.org/officeDocument/2006/relationships/hyperlink" Target="https://www.sebi.gov.in/filings/public-issues/aug-2006/lanco-infratech-limited_10484.html" TargetMode="External" Id="rId4884" /><Relationship Type="http://schemas.openxmlformats.org/officeDocument/2006/relationships/hyperlink" Target="https://www.chittorgarh.com/ipo/lanco-infratech-ipo/21/" TargetMode="External" Id="rId4885" /><Relationship Type="http://schemas.openxmlformats.org/officeDocument/2006/relationships/hyperlink" Target="https://www.sebi.gov.in/sebi_data/attachdocs/1292303873443.pdf" TargetMode="External" Id="rId4886" /><Relationship Type="http://schemas.openxmlformats.org/officeDocument/2006/relationships/hyperlink" Target="https://www.sebi.gov.in/filings/public-issues/aug-2006/sobha-developers-limited_10472.html" TargetMode="External" Id="rId4887" /><Relationship Type="http://schemas.openxmlformats.org/officeDocument/2006/relationships/hyperlink" Target="https://www.sebi.gov.in/sebi_data/attachdocs/1292303392771.pdf" TargetMode="External" Id="rId4888" /><Relationship Type="http://schemas.openxmlformats.org/officeDocument/2006/relationships/hyperlink" Target="https://www.sebi.gov.in/filings/public-issues/aug-2006/oriental-trimex-limited_10467.html" TargetMode="External" Id="rId4889" /><Relationship Type="http://schemas.openxmlformats.org/officeDocument/2006/relationships/hyperlink" Target="https://www.sebi.gov.in/sebi_data/attachdocs/1292302973053.pdf" TargetMode="External" Id="rId4890" /><Relationship Type="http://schemas.openxmlformats.org/officeDocument/2006/relationships/hyperlink" Target="https://www.sebi.gov.in/filings/public-issues/aug-2006/pyramid-saimira-theatre-limited_10462.html" TargetMode="External" Id="rId4891" /><Relationship Type="http://schemas.openxmlformats.org/officeDocument/2006/relationships/hyperlink" Target="https://www.chittorgarh.com/ipo/pyramid-saimira-theatre-ipo/34/" TargetMode="External" Id="rId4892" /><Relationship Type="http://schemas.openxmlformats.org/officeDocument/2006/relationships/hyperlink" Target="https://www.sebi.gov.in/sebi_data/attachdocs/1292299536769.pdf" TargetMode="External" Id="rId4893" /><Relationship Type="http://schemas.openxmlformats.org/officeDocument/2006/relationships/hyperlink" Target="https://www.sebi.gov.in/filings/public-issues/jul-2006/icici-bank-limited_10410.html" TargetMode="External" Id="rId4894" /><Relationship Type="http://schemas.openxmlformats.org/officeDocument/2006/relationships/hyperlink" Target="https://www.business-standard.com/markets/ipo/icici-bank-ltd-ipo-5418" TargetMode="External" Id="rId4895" /><Relationship Type="http://schemas.openxmlformats.org/officeDocument/2006/relationships/hyperlink" Target="https://www.sebi.gov.in/sebi_data/attachdocs/1292299428893.pdf" TargetMode="External" Id="rId4896" /><Relationship Type="http://schemas.openxmlformats.org/officeDocument/2006/relationships/hyperlink" Target="https://www.sebi.gov.in/filings/public-issues/jul-2006/bhagwati-banquets-and-hotels-limited_10409.html" TargetMode="External" Id="rId4897" /><Relationship Type="http://schemas.openxmlformats.org/officeDocument/2006/relationships/hyperlink" Target="https://www.sebi.gov.in/sebi_data/attachdocs/1292298906787.pdf" TargetMode="External" Id="rId4898" /><Relationship Type="http://schemas.openxmlformats.org/officeDocument/2006/relationships/hyperlink" Target="https://www.sebi.gov.in/filings/public-issues/jul-2006/synergies-castings-limited_10408.html" TargetMode="External" Id="rId4899" /><Relationship Type="http://schemas.openxmlformats.org/officeDocument/2006/relationships/hyperlink" Target="http://www.cmlinks.com/pub/dp/dp27430.pdf" TargetMode="External" Id="rId4900" /><Relationship Type="http://schemas.openxmlformats.org/officeDocument/2006/relationships/hyperlink" Target="https://www.sebi.gov.in/sebi_data/attachdocs/1292298808582.pdf" TargetMode="External" Id="rId4901" /><Relationship Type="http://schemas.openxmlformats.org/officeDocument/2006/relationships/hyperlink" Target="https://www.sebi.gov.in/filings/public-issues/jul-2006/saag-rr-infra-limited_10407.html" TargetMode="External" Id="rId4902" /><Relationship Type="http://schemas.openxmlformats.org/officeDocument/2006/relationships/hyperlink" Target="https://www.business-standard.com/markets/ipo/saag-rr-infra-ltd-ipo-6499" TargetMode="External" Id="rId4903" /><Relationship Type="http://schemas.openxmlformats.org/officeDocument/2006/relationships/hyperlink" Target="https://www.sebi.gov.in/sebi_data/attachdocs/1292298622523.pdf" TargetMode="External" Id="rId4904" /><Relationship Type="http://schemas.openxmlformats.org/officeDocument/2006/relationships/hyperlink" Target="https://www.sebi.gov.in/filings/public-issues/jul-2006/ruchira-papers-limited_10405.html" TargetMode="External" Id="rId4905" /><Relationship Type="http://schemas.openxmlformats.org/officeDocument/2006/relationships/hyperlink" Target="https://www.sebi.gov.in/sebi_data/attachdocs/1292298750434.pdf" TargetMode="External" Id="rId4906" /><Relationship Type="http://schemas.openxmlformats.org/officeDocument/2006/relationships/hyperlink" Target="https://www.sebi.gov.in/filings/public-issues/jul-2006/yogindera-worsted-limited_10406.html" TargetMode="External" Id="rId4907" /><Relationship Type="http://schemas.openxmlformats.org/officeDocument/2006/relationships/hyperlink" Target="https://www.chittorgarh.com/ipo/x/41/" TargetMode="External" Id="rId4908" /><Relationship Type="http://schemas.openxmlformats.org/officeDocument/2006/relationships/hyperlink" Target="https://www.sebi.gov.in/sebi_data/attachdocs/1292298440608.pdf" TargetMode="External" Id="rId4909" /><Relationship Type="http://schemas.openxmlformats.org/officeDocument/2006/relationships/hyperlink" Target="https://www.sebi.gov.in/filings/public-issues/jul-2006/fiem-industries-limited_10404.html" TargetMode="External" Id="rId4910" /><Relationship Type="http://schemas.openxmlformats.org/officeDocument/2006/relationships/hyperlink" Target="https://www.sebi.gov.in/sebi_data/attachdocs/1292298181745.pdf" TargetMode="External" Id="rId4911" /><Relationship Type="http://schemas.openxmlformats.org/officeDocument/2006/relationships/hyperlink" Target="https://www.sebi.gov.in/filings/public-issues/jul-2006/lt-overseas-limited_10403.html" TargetMode="External" Id="rId4912" /><Relationship Type="http://schemas.openxmlformats.org/officeDocument/2006/relationships/hyperlink" Target="https://www.sebi.gov.in/sebi_data/attachdocs/1292237987678.pdf" TargetMode="External" Id="rId4913" /><Relationship Type="http://schemas.openxmlformats.org/officeDocument/2006/relationships/hyperlink" Target="https://www.sebi.gov.in/filings/public-issues/jun-2006/blue-bird-india-limited_10344.html" TargetMode="External" Id="rId4914" /><Relationship Type="http://schemas.openxmlformats.org/officeDocument/2006/relationships/hyperlink" Target="https://www.chittorgarh.com/ipo/blue-bird-ipo/23/" TargetMode="External" Id="rId4915" /><Relationship Type="http://schemas.openxmlformats.org/officeDocument/2006/relationships/hyperlink" Target="https://www.sebi.gov.in/sebi_data/attachdocs/1292237779970.pdf" TargetMode="External" Id="rId4916" /><Relationship Type="http://schemas.openxmlformats.org/officeDocument/2006/relationships/hyperlink" Target="https://www.sebi.gov.in/filings/public-issues/jun-2006/celestial-labs-limited_10341.html" TargetMode="External" Id="rId4917" /><Relationship Type="http://schemas.openxmlformats.org/officeDocument/2006/relationships/hyperlink" Target="https://www.chittorgarh.com/ipo/celestial_labs_ipo/91/" TargetMode="External" Id="rId4918" /><Relationship Type="http://schemas.openxmlformats.org/officeDocument/2006/relationships/hyperlink" Target="https://www.sebi.gov.in/sebi_data/attachdocs/1292227363464.pdf" TargetMode="External" Id="rId4919" /><Relationship Type="http://schemas.openxmlformats.org/officeDocument/2006/relationships/hyperlink" Target="https://www.sebi.gov.in/filings/public-issues/jun-2006/pochiraju-industries-limited_10174.html" TargetMode="External" Id="rId4920" /><Relationship Type="http://schemas.openxmlformats.org/officeDocument/2006/relationships/hyperlink" Target="https://www.chittorgarh.com/ipo/pochiraju_ipo/40/" TargetMode="External" Id="rId4921" /><Relationship Type="http://schemas.openxmlformats.org/officeDocument/2006/relationships/hyperlink" Target="https://www.sebi.gov.in/sebi_data/attachdocs/1292226592418.pdf" TargetMode="External" Id="rId4922" /><Relationship Type="http://schemas.openxmlformats.org/officeDocument/2006/relationships/hyperlink" Target="https://www.sebi.gov.in/filings/public-issues/jun-2006/tech-mahindra-limited_10173.html" TargetMode="External" Id="rId4923" /><Relationship Type="http://schemas.openxmlformats.org/officeDocument/2006/relationships/hyperlink" Target="https://www.chittorgarh.com/ipo/tech-mahindra-ipo/2929/" TargetMode="External" Id="rId4924" /><Relationship Type="http://schemas.openxmlformats.org/officeDocument/2006/relationships/hyperlink" Target="https://www.sebi.gov.in/sebi_data/attachdocs/1292222618234.pdf" TargetMode="External" Id="rId4925" /><Relationship Type="http://schemas.openxmlformats.org/officeDocument/2006/relationships/hyperlink" Target="https://www.sebi.gov.in/filings/public-issues/jun-2006/jas-toll-company-limited_10129.html" TargetMode="External" Id="rId4926" /><Relationship Type="http://schemas.openxmlformats.org/officeDocument/2006/relationships/hyperlink" Target="https://www.tofler.in/jas-toll-road-company-limited/company/U45201MH2001PLC132249" TargetMode="External" Id="rId4927" /><Relationship Type="http://schemas.openxmlformats.org/officeDocument/2006/relationships/hyperlink" Target="https://www.sebi.gov.in/sebi_data/attachdocs/1292222209587.pdf" TargetMode="External" Id="rId4928" /><Relationship Type="http://schemas.openxmlformats.org/officeDocument/2006/relationships/hyperlink" Target="https://www.sebi.gov.in/filings/public-issues/jun-2006/gayatri-projects-limited_10122.html" TargetMode="External" Id="rId4929" /><Relationship Type="http://schemas.openxmlformats.org/officeDocument/2006/relationships/hyperlink" Target="https://www.sebi.gov.in/sebi_data/attachdocs/1292221604182.pdf" TargetMode="External" Id="rId4930" /><Relationship Type="http://schemas.openxmlformats.org/officeDocument/2006/relationships/hyperlink" Target="https://www.sebi.gov.in/filings/public-issues/jun-2006/gulshan-sugars-and-chemicals-limited_10106.html" TargetMode="External" Id="rId4931" /><Relationship Type="http://schemas.openxmlformats.org/officeDocument/2006/relationships/hyperlink" Target="https://www.sebi.gov.in/sebi_data/attachdocs/1292221788841.pdf" TargetMode="External" Id="rId4932" /><Relationship Type="http://schemas.openxmlformats.org/officeDocument/2006/relationships/hyperlink" Target="https://www.sebi.gov.in/filings/public-issues/jun-2006/transwarranty-finance-limited_10111.html" TargetMode="External" Id="rId4933" /><Relationship Type="http://schemas.openxmlformats.org/officeDocument/2006/relationships/hyperlink" Target="https://www.sebi.gov.in/sebi_data/attachdocs/1292221468907.pdf" TargetMode="External" Id="rId4934" /><Relationship Type="http://schemas.openxmlformats.org/officeDocument/2006/relationships/hyperlink" Target="https://www.sebi.gov.in/filings/public-issues/jun-2006/mspl-limited_10103.html" TargetMode="External" Id="rId4935" /><Relationship Type="http://schemas.openxmlformats.org/officeDocument/2006/relationships/hyperlink" Target="https://disclosures.ifc.org/project-detail/SPI/25115/mspl-limited" TargetMode="External" Id="rId4936" /><Relationship Type="http://schemas.openxmlformats.org/officeDocument/2006/relationships/hyperlink" Target="https://www.sebi.gov.in/sebi_data/attachdocs/1292221214648.pdf" TargetMode="External" Id="rId4937" /><Relationship Type="http://schemas.openxmlformats.org/officeDocument/2006/relationships/hyperlink" Target="https://www.sebi.gov.in/filings/public-issues/jun-2006/power-finance-corporation-limited_10099.html" TargetMode="External" Id="rId4938" /><Relationship Type="http://schemas.openxmlformats.org/officeDocument/2006/relationships/hyperlink" Target="https://www.sebi.gov.in/sebi_data/attachdocs/1292220805123.pdf" TargetMode="External" Id="rId4939" /><Relationship Type="http://schemas.openxmlformats.org/officeDocument/2006/relationships/hyperlink" Target="https://www.sebi.gov.in/filings/public-issues/jun-2006/suryachakra-power-corporation-limited_10094.html" TargetMode="External" Id="rId4940" /><Relationship Type="http://schemas.openxmlformats.org/officeDocument/2006/relationships/hyperlink" Target="https://www.chittorgarh.com/ipo/suryachakra_ipo/95/" TargetMode="External" Id="rId4941" /><Relationship Type="http://schemas.openxmlformats.org/officeDocument/2006/relationships/hyperlink" Target="https://www.sebi.gov.in/sebi_data/attachdocs/1292218549422.pdf" TargetMode="External" Id="rId4942" /><Relationship Type="http://schemas.openxmlformats.org/officeDocument/2006/relationships/hyperlink" Target="https://www.sebi.gov.in/filings/public-issues/jun-2006/abhishek-mills-limited_10057.html" TargetMode="External" Id="rId4943" /><Relationship Type="http://schemas.openxmlformats.org/officeDocument/2006/relationships/hyperlink" Target="https://www.chittorgarh.com/ipo/abhishek_mills_ipo/66/" TargetMode="External" Id="rId4944" /><Relationship Type="http://schemas.openxmlformats.org/officeDocument/2006/relationships/hyperlink" Target="https://www.sebi.gov.in/sebi_data/attachdocs/1292219185915.pdf" TargetMode="External" Id="rId4945" /><Relationship Type="http://schemas.openxmlformats.org/officeDocument/2006/relationships/hyperlink" Target="https://www.sebi.gov.in/filings/public-issues/jun-2006/cambridge-technology-enterprises-limited_10069.html" TargetMode="External" Id="rId4946" /><Relationship Type="http://schemas.openxmlformats.org/officeDocument/2006/relationships/hyperlink" Target="https://www.sebi.gov.in/sebi_data/attachdocs/1292218213210.pdf" TargetMode="External" Id="rId4947" /><Relationship Type="http://schemas.openxmlformats.org/officeDocument/2006/relationships/hyperlink" Target="https://www.sebi.gov.in/filings/public-issues/jun-2006/evinix-accessories-limited-pdf_10054.html" TargetMode="External" Id="rId4948" /><Relationship Type="http://schemas.openxmlformats.org/officeDocument/2006/relationships/hyperlink" Target="https://www.chittorgarh.com/ipo/evinix_ipo/58/" TargetMode="External" Id="rId4949" /><Relationship Type="http://schemas.openxmlformats.org/officeDocument/2006/relationships/hyperlink" Target="https://www.sebi.gov.in/sebi_data/attachdocs/1292218037337.pdf" TargetMode="External" Id="rId4950" /><Relationship Type="http://schemas.openxmlformats.org/officeDocument/2006/relationships/hyperlink" Target="https://www.sebi.gov.in/filings/public-issues/jun-2006/ammana-bio-pharma-limited_10051.html" TargetMode="External" Id="rId4951" /><Relationship Type="http://schemas.openxmlformats.org/officeDocument/2006/relationships/hyperlink" Target="https://www.chittorgarh.com/ipo/ammana_bio_ipo/74/" TargetMode="External" Id="rId4952" /><Relationship Type="http://schemas.openxmlformats.org/officeDocument/2006/relationships/hyperlink" Target="https://www.sebi.gov.in/sebi_data/attachdocs/1292211165378.pdf" TargetMode="External" Id="rId4953" /><Relationship Type="http://schemas.openxmlformats.org/officeDocument/2006/relationships/hyperlink" Target="https://www.sebi.gov.in/filings/public-issues/may-2006/info-edge-india-limited_10000.html" TargetMode="External" Id="rId4954" /><Relationship Type="http://schemas.openxmlformats.org/officeDocument/2006/relationships/hyperlink" Target="https://www.sebi.gov.in/sebi_data/attachdocs/1292211061471.pdf" TargetMode="External" Id="rId4955" /><Relationship Type="http://schemas.openxmlformats.org/officeDocument/2006/relationships/hyperlink" Target="https://www.sebi.gov.in/filings/public-issues/may-2006/broadcast-initiatives-limited_9999.html" TargetMode="External" Id="rId4956" /><Relationship Type="http://schemas.openxmlformats.org/officeDocument/2006/relationships/hyperlink" Target="https://www.chittorgarh.com/ipo/broadcast_initiatives_ipo/61/" TargetMode="External" Id="rId4957" /><Relationship Type="http://schemas.openxmlformats.org/officeDocument/2006/relationships/hyperlink" Target="https://www.sebi.gov.in/sebi_data/attachdocs/1292210825039.pdf" TargetMode="External" Id="rId4958" /><Relationship Type="http://schemas.openxmlformats.org/officeDocument/2006/relationships/hyperlink" Target="https://www.sebi.gov.in/filings/public-issues/may-2006/ahluwalia-contracts-india-limited_9998.html" TargetMode="External" Id="rId4959" /><Relationship Type="http://schemas.openxmlformats.org/officeDocument/2006/relationships/hyperlink" Target="https://www.business-standard.com/markets/ipo/ahluwalia-contracts-india-ltd-ipo-7310" TargetMode="External" Id="rId4960" /><Relationship Type="http://schemas.openxmlformats.org/officeDocument/2006/relationships/hyperlink" Target="https://www.sebi.gov.in/sebi_data/attachdocs/1292210631649.pdf" TargetMode="External" Id="rId4961" /><Relationship Type="http://schemas.openxmlformats.org/officeDocument/2006/relationships/hyperlink" Target="https://www.sebi.gov.in/filings/public-issues/may-2006/global-vectra-helicorp-limited_9997.html" TargetMode="External" Id="rId4962" /><Relationship Type="http://schemas.openxmlformats.org/officeDocument/2006/relationships/hyperlink" Target="https://www.sebi.gov.in/sebi_data/attachdocs/1292210558656.pdf" TargetMode="External" Id="rId4963" /><Relationship Type="http://schemas.openxmlformats.org/officeDocument/2006/relationships/hyperlink" Target="https://www.sebi.gov.in/filings/public-issues/may-2006/tubeknit-fashions-limited_9996.html" TargetMode="External" Id="rId4964" /><Relationship Type="http://schemas.openxmlformats.org/officeDocument/2006/relationships/hyperlink" Target="https://www.chittorgarh.com/ipo/x/67/" TargetMode="External" Id="rId4965" /><Relationship Type="http://schemas.openxmlformats.org/officeDocument/2006/relationships/hyperlink" Target="https://www.sebi.gov.in/sebi_data/attachdocs/1292210488890.pdf" TargetMode="External" Id="rId4966" /><Relationship Type="http://schemas.openxmlformats.org/officeDocument/2006/relationships/hyperlink" Target="https://www.sebi.gov.in/filings/public-issues/may-2006/indo-asia-leisure-services-limited_9995.html" TargetMode="External" Id="rId4967" /><Relationship Type="http://schemas.openxmlformats.org/officeDocument/2006/relationships/hyperlink" Target="https://www.zaubacorp.com/INDO-ASIA-LEISURE-SERVICES-PRIVATE-LIMITED-U63040DL1988PTC031449" TargetMode="External" Id="rId4968" /><Relationship Type="http://schemas.openxmlformats.org/officeDocument/2006/relationships/hyperlink" Target="https://www.sebi.gov.in/sebi_data/attachdocs/1292210291709.pdf" TargetMode="External" Id="rId4969" /><Relationship Type="http://schemas.openxmlformats.org/officeDocument/2006/relationships/hyperlink" Target="https://www.sebi.gov.in/filings/public-issues/may-2006/miniar-international-limited_9994.html" TargetMode="External" Id="rId4970" /><Relationship Type="http://schemas.openxmlformats.org/officeDocument/2006/relationships/hyperlink" Target="https://www.chittorgarh.com/ipo/minar_ipo/12/" TargetMode="External" Id="rId4971" /><Relationship Type="http://schemas.openxmlformats.org/officeDocument/2006/relationships/hyperlink" Target="https://www.sebi.gov.in/sebi_data/attachdocs/1292067710662.pdf" TargetMode="External" Id="rId4972" /><Relationship Type="http://schemas.openxmlformats.org/officeDocument/2006/relationships/hyperlink" Target="https://www.sebi.gov.in/filings/public-issues/may-2006/dlf-universal-limited_9993.html" TargetMode="External" Id="rId4973" /><Relationship Type="http://schemas.openxmlformats.org/officeDocument/2006/relationships/hyperlink" Target="https://www.chittorgarh.com/ipo/dlf_ipo/86/" TargetMode="External" Id="rId4974" /><Relationship Type="http://schemas.openxmlformats.org/officeDocument/2006/relationships/hyperlink" Target="https://www.sebi.gov.in/sebi_data/attachdocs/1292067193511.pdf" TargetMode="External" Id="rId4975" /><Relationship Type="http://schemas.openxmlformats.org/officeDocument/2006/relationships/hyperlink" Target="https://www.sebi.gov.in/filings/public-issues/may-2006/aviva-industries-limited_9990.html" TargetMode="External" Id="rId4976" /><Relationship Type="http://schemas.openxmlformats.org/officeDocument/2006/relationships/hyperlink" Target="https://www.chittorgarh.com/stockpricequote/aviva_industries_ltd/895/" TargetMode="External" Id="rId4977" /><Relationship Type="http://schemas.openxmlformats.org/officeDocument/2006/relationships/hyperlink" Target="https://www.sebi.gov.in/sebi_data/attachdocs/1292067272510.pdf" TargetMode="External" Id="rId4978" /><Relationship Type="http://schemas.openxmlformats.org/officeDocument/2006/relationships/hyperlink" Target="https://www.sebi.gov.in/filings/public-issues/may-2006/xl-telecom-limited_9991.html" TargetMode="External" Id="rId4979" /><Relationship Type="http://schemas.openxmlformats.org/officeDocument/2006/relationships/hyperlink" Target="https://www.sebi.gov.in/sebi_data/attachdocs/1292067560603.pdf" TargetMode="External" Id="rId4980" /><Relationship Type="http://schemas.openxmlformats.org/officeDocument/2006/relationships/hyperlink" Target="https://www.sebi.gov.in/filings/public-issues/may-2006/zenith-birla-india-limited_9992.html" TargetMode="External" Id="rId4981" /><Relationship Type="http://schemas.openxmlformats.org/officeDocument/2006/relationships/hyperlink" Target="https://www.sebi.gov.in/sebi_data/attachdocs/1292066877621.pdf" TargetMode="External" Id="rId4982" /><Relationship Type="http://schemas.openxmlformats.org/officeDocument/2006/relationships/hyperlink" Target="https://www.sebi.gov.in/filings/public-issues/may-2006/malwa-industries-limited_9989.html" TargetMode="External" Id="rId4983" /><Relationship Type="http://schemas.openxmlformats.org/officeDocument/2006/relationships/hyperlink" Target="https://www.business-standard.com/markets/ipo/malwa-industries-ltd-ipo-22922" TargetMode="External" Id="rId4984" /><Relationship Type="http://schemas.openxmlformats.org/officeDocument/2006/relationships/hyperlink" Target="https://www.sebi.gov.in/sebi_data/attachdocs/1292066709122.pdf" TargetMode="External" Id="rId4985" /><Relationship Type="http://schemas.openxmlformats.org/officeDocument/2006/relationships/hyperlink" Target="https://www.sebi.gov.in/filings/public-issues/may-2006/shree-ashtavinayak-cine-vision-limited_9988.html" TargetMode="External" Id="rId4986" /><Relationship Type="http://schemas.openxmlformats.org/officeDocument/2006/relationships/hyperlink" Target="https://www.business-standard.com/markets/ipo/shree-ashtavinayak-cine-vision-ltd-ipo-27347" TargetMode="External" Id="rId4987" /><Relationship Type="http://schemas.openxmlformats.org/officeDocument/2006/relationships/hyperlink" Target="https://www.sebi.gov.in/sebi_data/attachdocs/1292063676433.pdf" TargetMode="External" Id="rId4988" /><Relationship Type="http://schemas.openxmlformats.org/officeDocument/2006/relationships/hyperlink" Target="https://www.sebi.gov.in/filings/public-issues/may-2006/accel-frontline-limited_9986.html" TargetMode="External" Id="rId4989" /><Relationship Type="http://schemas.openxmlformats.org/officeDocument/2006/relationships/hyperlink" Target="https://www.sebi.gov.in/sebi_data/attachdocs/1292065827354.pdf" TargetMode="External" Id="rId4990" /><Relationship Type="http://schemas.openxmlformats.org/officeDocument/2006/relationships/hyperlink" Target="https://www.sebi.gov.in/filings/public-issues/may-2006/gmr-infrastructure-limited-pdf_9987.html" TargetMode="External" Id="rId4991" /><Relationship Type="http://schemas.openxmlformats.org/officeDocument/2006/relationships/hyperlink" Target="https://www.chittorgarh.com/ipo/gmr-infrastructure-ipo/2928/" TargetMode="External" Id="rId4992" /><Relationship Type="http://schemas.openxmlformats.org/officeDocument/2006/relationships/hyperlink" Target="https://www.sebi.gov.in/sebi_data/attachdocs/1292063457439.pdf" TargetMode="External" Id="rId4993" /><Relationship Type="http://schemas.openxmlformats.org/officeDocument/2006/relationships/hyperlink" Target="https://www.sebi.gov.in/filings/public-issues/may-2006/reliance-petroleum-limited-notice-to-investors_9984.html" TargetMode="External" Id="rId4994" /><Relationship Type="http://schemas.openxmlformats.org/officeDocument/2006/relationships/hyperlink" Target="https://www.business-standard.com/markets/ipo/reliance-petroleum-ltd-merged-ipo-27314" TargetMode="External" Id="rId4995" /><Relationship Type="http://schemas.openxmlformats.org/officeDocument/2006/relationships/hyperlink" Target="https://www.sebi.gov.in/sebi_data/attachdocs/1292063574833.pdf" TargetMode="External" Id="rId4996" /><Relationship Type="http://schemas.openxmlformats.org/officeDocument/2006/relationships/hyperlink" Target="https://www.sebi.gov.in/filings/public-issues/may-2006/renaissance-jewellery-limited-pdf_9985.html" TargetMode="External" Id="rId4997" /><Relationship Type="http://schemas.openxmlformats.org/officeDocument/2006/relationships/hyperlink" Target="https://www.sebi.gov.in/sebi_data/attachdocs/1292302495320.pdf" TargetMode="External" Id="rId4998" /><Relationship Type="http://schemas.openxmlformats.org/officeDocument/2006/relationships/hyperlink" Target="https://www.sebi.gov.in/filings/public-issues/apr-2006/svp-industries-limited_10448.html" TargetMode="External" Id="rId4999" /><Relationship Type="http://schemas.openxmlformats.org/officeDocument/2006/relationships/hyperlink" Target="https://www.business-standard.com/markets/ipo/svp-industries-ltd-ipo-27344" TargetMode="External" Id="rId5000" /><Relationship Type="http://schemas.openxmlformats.org/officeDocument/2006/relationships/hyperlink" Target="https://www.sebi.gov.in/sebi_data/attachdocs/1292302139398.pdf" TargetMode="External" Id="rId5001" /><Relationship Type="http://schemas.openxmlformats.org/officeDocument/2006/relationships/hyperlink" Target="https://www.sebi.gov.in/filings/public-issues/apr-2006/reliance-petroleum-limited-notice-to-investors_10442.html" TargetMode="External" Id="rId5002" /><Relationship Type="http://schemas.openxmlformats.org/officeDocument/2006/relationships/hyperlink" Target="https://www.business-standard.com/markets/ipo/reliance-petroleum-ltd-merged-ipo-27314" TargetMode="External" Id="rId5003" /><Relationship Type="http://schemas.openxmlformats.org/officeDocument/2006/relationships/hyperlink" Target="https://www.sebi.gov.in/sebi_data/attachdocs/1292317442412.pdf" TargetMode="External" Id="rId5004" /><Relationship Type="http://schemas.openxmlformats.org/officeDocument/2006/relationships/hyperlink" Target="https://www.sebi.gov.in/filings/public-issues/apr-2006/parsvnath-development-limited_10671.html" TargetMode="External" Id="rId5005" /><Relationship Type="http://schemas.openxmlformats.org/officeDocument/2006/relationships/hyperlink" Target="https://www.chittorgarh.com/ipo/parsvanath_ipo/20/" TargetMode="External" Id="rId5006" /><Relationship Type="http://schemas.openxmlformats.org/officeDocument/2006/relationships/hyperlink" Target="https://www.sebi.gov.in/sebi_data/attachdocs/1292302025873.pdf" TargetMode="External" Id="rId5007" /><Relationship Type="http://schemas.openxmlformats.org/officeDocument/2006/relationships/hyperlink" Target="https://www.sebi.gov.in/filings/public-issues/apr-2006/voltamp-transformers-limited-pdf_10440.html" TargetMode="External" Id="rId5008" /><Relationship Type="http://schemas.openxmlformats.org/officeDocument/2006/relationships/hyperlink" Target="https://www.sebi.gov.in/sebi_data/attachdocs/1292301191922.pdf" TargetMode="External" Id="rId5009" /><Relationship Type="http://schemas.openxmlformats.org/officeDocument/2006/relationships/hyperlink" Target="https://www.sebi.gov.in/filings/public-issues/apr-2006/chemcel-bio-tech-limited_10430.html" TargetMode="External" Id="rId5010" /><Relationship Type="http://schemas.openxmlformats.org/officeDocument/2006/relationships/hyperlink" Target="https://www.chittorgarh.com/ipo/chemcel_biotech_ipo/191/" TargetMode="External" Id="rId5011" /><Relationship Type="http://schemas.openxmlformats.org/officeDocument/2006/relationships/hyperlink" Target="https://www.sebi.gov.in/sebi_data/attachdocs/1292300756949.pdf" TargetMode="External" Id="rId5012" /><Relationship Type="http://schemas.openxmlformats.org/officeDocument/2006/relationships/hyperlink" Target="https://www.sebi.gov.in/filings/public-issues/apr-2006/hov-services-limited-pdf_10423.html" TargetMode="External" Id="rId5013" /><Relationship Type="http://schemas.openxmlformats.org/officeDocument/2006/relationships/hyperlink" Target="https://www.sebi.gov.in/sebi_data/attachdocs/1292300352764.pdf" TargetMode="External" Id="rId5014" /><Relationship Type="http://schemas.openxmlformats.org/officeDocument/2006/relationships/hyperlink" Target="https://www.sebi.gov.in/filings/public-issues/apr-2006/odyssey-india-limited_10419.html" TargetMode="External" Id="rId5015" /><Relationship Type="http://schemas.openxmlformats.org/officeDocument/2006/relationships/hyperlink" Target="https://en.wikipedia.org/wiki/Odyssey_(bookstore)" TargetMode="External" Id="rId5016" /><Relationship Type="http://schemas.openxmlformats.org/officeDocument/2006/relationships/hyperlink" Target="https://www.sebi.gov.in/sebi_data/attachdocs/1292300175424.pdf" TargetMode="External" Id="rId5017" /><Relationship Type="http://schemas.openxmlformats.org/officeDocument/2006/relationships/hyperlink" Target="https://www.sebi.gov.in/filings/public-issues/apr-2006/chemcel-bio-tech-ltd_10418.html" TargetMode="External" Id="rId5018" /><Relationship Type="http://schemas.openxmlformats.org/officeDocument/2006/relationships/hyperlink" Target="https://www.chittorgarh.com/ipo/chemcel_biotech_ipo/191/" TargetMode="External" Id="rId5019" /><Relationship Type="http://schemas.openxmlformats.org/officeDocument/2006/relationships/hyperlink" Target="https://www.sebi.gov.in/sebi_data/attachdocs/1292300053647.pdf" TargetMode="External" Id="rId5020" /><Relationship Type="http://schemas.openxmlformats.org/officeDocument/2006/relationships/hyperlink" Target="https://www.sebi.gov.in/filings/public-issues/apr-2006/aml-steel-limited_10417.html" TargetMode="External" Id="rId5021" /><Relationship Type="http://schemas.openxmlformats.org/officeDocument/2006/relationships/hyperlink" Target="https://www.business-standard.com/markets/ipo/aml-steel-ltd-ipo-6575" TargetMode="External" Id="rId5022" /><Relationship Type="http://schemas.openxmlformats.org/officeDocument/2006/relationships/hyperlink" Target="https://www.sebi.gov.in/sebi_data/attachdocs/1292299686896.pdf" TargetMode="External" Id="rId5023" /><Relationship Type="http://schemas.openxmlformats.org/officeDocument/2006/relationships/hyperlink" Target="https://www.sebi.gov.in/filings/public-issues/apr-2006/gayatri-projects-limited-pdf_10413.html" TargetMode="External" Id="rId5024" /><Relationship Type="http://schemas.openxmlformats.org/officeDocument/2006/relationships/hyperlink" Target="https://www.sebi.gov.in/sebi_data/attachdocs/1292299578790.pdf" TargetMode="External" Id="rId5025" /><Relationship Type="http://schemas.openxmlformats.org/officeDocument/2006/relationships/hyperlink" Target="https://www.sebi.gov.in/filings/public-issues/apr-2006/action-construction-equipments-limited_10411.html" TargetMode="External" Id="rId5026" /><Relationship Type="http://schemas.openxmlformats.org/officeDocument/2006/relationships/hyperlink" Target="https://www.sebi.gov.in/sebi_data/attachdocs/1292319939683.pdf" TargetMode="External" Id="rId5027" /><Relationship Type="http://schemas.openxmlformats.org/officeDocument/2006/relationships/hyperlink" Target="https://www.sebi.gov.in/filings/public-issues/mar-2006/gammon-infrastructure-projects-limited_10717.html" TargetMode="External" Id="rId5028" /><Relationship Type="http://schemas.openxmlformats.org/officeDocument/2006/relationships/hyperlink" Target="https://www.sebi.gov.in/sebi_data/attachdocs/1292319845532.pdf" TargetMode="External" Id="rId5029" /><Relationship Type="http://schemas.openxmlformats.org/officeDocument/2006/relationships/hyperlink" Target="https://www.sebi.gov.in/filings/public-issues/mar-2006/unity-infraprojects-ltd_10714.html" TargetMode="External" Id="rId5030" /><Relationship Type="http://schemas.openxmlformats.org/officeDocument/2006/relationships/hyperlink" Target="https://www.chittorgarh.com/ipo/unity-infraprojects-ipo/2925/" TargetMode="External" Id="rId5031" /><Relationship Type="http://schemas.openxmlformats.org/officeDocument/2006/relationships/hyperlink" Target="https://www.sebi.gov.in/sebi_data/attachdocs/1292319720675.pdf" TargetMode="External" Id="rId5032" /><Relationship Type="http://schemas.openxmlformats.org/officeDocument/2006/relationships/hyperlink" Target="https://www.sebi.gov.in/filings/public-issues/mar-2006/allcargo-global-logistics-limited_10713.html" TargetMode="External" Id="rId5033" /><Relationship Type="http://schemas.openxmlformats.org/officeDocument/2006/relationships/hyperlink" Target="https://www.chittorgarh.com/ipo/allcargo-global-logistics-ipo/2927/" TargetMode="External" Id="rId5034" /><Relationship Type="http://schemas.openxmlformats.org/officeDocument/2006/relationships/hyperlink" Target="https://www.sebi.gov.in/sebi_data/attachdocs/1292319629451.pdf" TargetMode="External" Id="rId5035" /><Relationship Type="http://schemas.openxmlformats.org/officeDocument/2006/relationships/hyperlink" Target="https://www.sebi.gov.in/filings/public-issues/mar-2006/bharat-hotels-limited-pdf_10712.html" TargetMode="External" Id="rId5036" /><Relationship Type="http://schemas.openxmlformats.org/officeDocument/2006/relationships/hyperlink" Target="https://www.business-standard.com/markets/ipo/bharat-hotels-ltd-ipo-1400" TargetMode="External" Id="rId5037" /><Relationship Type="http://schemas.openxmlformats.org/officeDocument/2006/relationships/hyperlink" Target="https://www.sebi.gov.in/sebi_data/attachdocs/1292319322885.pdf" TargetMode="External" Id="rId5038" /><Relationship Type="http://schemas.openxmlformats.org/officeDocument/2006/relationships/hyperlink" Target="https://www.sebi.gov.in/filings/public-issues/mar-2006/industrial-organics-limited-pdf_10706.html" TargetMode="External" Id="rId5039" /><Relationship Type="http://schemas.openxmlformats.org/officeDocument/2006/relationships/hyperlink" Target="https://www.goodreturns.in/company/iol-chemicals-and-pharmaceuticals/history.html" TargetMode="External" Id="rId5040" /><Relationship Type="http://schemas.openxmlformats.org/officeDocument/2006/relationships/hyperlink" Target="https://www.sebi.gov.in/sebi_data/attachdocs/1292319020478.pdf" TargetMode="External" Id="rId5041" /><Relationship Type="http://schemas.openxmlformats.org/officeDocument/2006/relationships/hyperlink" Target="https://www.sebi.gov.in/filings/public-issues/mar-2006/jhs-svendgaard-laboratories-limited-pdf_10701.html" TargetMode="External" Id="rId5042" /><Relationship Type="http://schemas.openxmlformats.org/officeDocument/2006/relationships/hyperlink" Target="https://www.sebi.gov.in/sebi_data/attachdocs/1292318913217.pdf" TargetMode="External" Id="rId5043" /><Relationship Type="http://schemas.openxmlformats.org/officeDocument/2006/relationships/hyperlink" Target="https://www.sebi.gov.in/filings/public-issues/mar-2006/parabolic-drugs-ltd_10697.html" TargetMode="External" Id="rId5044" /><Relationship Type="http://schemas.openxmlformats.org/officeDocument/2006/relationships/hyperlink" Target="https://www.business-standard.com/markets/ipo/parabolic-drugs-ltd-ipo-27313" TargetMode="External" Id="rId5045" /><Relationship Type="http://schemas.openxmlformats.org/officeDocument/2006/relationships/hyperlink" Target="https://www.sebi.gov.in/sebi_data/attachdocs/1292319518948.pdf" TargetMode="External" Id="rId5046" /><Relationship Type="http://schemas.openxmlformats.org/officeDocument/2006/relationships/hyperlink" Target="https://www.sebi.gov.in/filings/public-issues/mar-2006/richa-knits-limited-pdf_10710.html" TargetMode="External" Id="rId5047" /><Relationship Type="http://schemas.openxmlformats.org/officeDocument/2006/relationships/hyperlink" Target="https://www.sebi.gov.in/sebi_data/attachdocs/1292318779779.pdf" TargetMode="External" Id="rId5048" /><Relationship Type="http://schemas.openxmlformats.org/officeDocument/2006/relationships/hyperlink" Target="https://www.sebi.gov.in/filings/public-issues/mar-2006/atlanta-limited_10693.html" TargetMode="External" Id="rId5049" /><Relationship Type="http://schemas.openxmlformats.org/officeDocument/2006/relationships/hyperlink" Target="https://www.sebi.gov.in/sebi_data/attachdocs/1292318466291.pdf" TargetMode="External" Id="rId5050" /><Relationship Type="http://schemas.openxmlformats.org/officeDocument/2006/relationships/hyperlink" Target="https://www.sebi.gov.in/filings/public-issues/mar-2006/gwalior-chemical-industries-limited-pdf_10687.html" TargetMode="External" Id="rId5051" /><Relationship Type="http://schemas.openxmlformats.org/officeDocument/2006/relationships/hyperlink" Target="https://www.sebi.gov.in/sebi_data/attachdocs/1292318308796.pdf" TargetMode="External" Id="rId5052" /><Relationship Type="http://schemas.openxmlformats.org/officeDocument/2006/relationships/hyperlink" Target="https://www.sebi.gov.in/filings/public-issues/mar-2006/patel-engineering-limited_10684.html" TargetMode="External" Id="rId5053" /><Relationship Type="http://schemas.openxmlformats.org/officeDocument/2006/relationships/hyperlink" Target="https://www.business-standard.com/markets/ipo/patel-engineering-ltd-ipo-1320" TargetMode="External" Id="rId5054" /><Relationship Type="http://schemas.openxmlformats.org/officeDocument/2006/relationships/hyperlink" Target="https://www.sebi.gov.in/sebi_data/attachdocs/1292317865612.pdf" TargetMode="External" Id="rId5055" /><Relationship Type="http://schemas.openxmlformats.org/officeDocument/2006/relationships/hyperlink" Target="https://www.sebi.gov.in/filings/public-issues/mar-2006/technocraft-industries-india-limited-pdf_10677.html" TargetMode="External" Id="rId5056" /><Relationship Type="http://schemas.openxmlformats.org/officeDocument/2006/relationships/hyperlink" Target="https://www.sebi.gov.in/sebi_data/attachdocs/1294372662225.pdf" TargetMode="External" Id="rId5057" /><Relationship Type="http://schemas.openxmlformats.org/officeDocument/2006/relationships/hyperlink" Target="https://www.sebi.gov.in/filings/public-issues/mar-2006/hanung-toys-and-textiles-limited_14198.html" TargetMode="External" Id="rId5058" /><Relationship Type="http://schemas.openxmlformats.org/officeDocument/2006/relationships/hyperlink" Target="https://www.business-standard.com/markets/ipo/hanung-toys-and-textiles-ltd-ipo-23633" TargetMode="External" Id="rId5059" /><Relationship Type="http://schemas.openxmlformats.org/officeDocument/2006/relationships/hyperlink" Target="https://www.sebi.gov.in/sebi_data/attachdocs/1292316257308.pdf" TargetMode="External" Id="rId5060" /><Relationship Type="http://schemas.openxmlformats.org/officeDocument/2006/relationships/hyperlink" Target="https://www.sebi.gov.in/filings/public-issues/mar-2006/jhs-svendgaard-laboratories-ltd_10640.html" TargetMode="External" Id="rId5061" /><Relationship Type="http://schemas.openxmlformats.org/officeDocument/2006/relationships/hyperlink" Target="https://www.sebi.gov.in/sebi_data/attachdocs/1292316725665.pdf" TargetMode="External" Id="rId5062" /><Relationship Type="http://schemas.openxmlformats.org/officeDocument/2006/relationships/hyperlink" Target="https://www.sebi.gov.in/filings/public-issues/mar-2006/multi-commodity-exchange-of-india-ltd_10649.html" TargetMode="External" Id="rId5063" /><Relationship Type="http://schemas.openxmlformats.org/officeDocument/2006/relationships/hyperlink" Target="https://www.business-standard.com/markets/ipo/multi-commodity-exchange-of-india-ipo-25746" TargetMode="External" Id="rId5064" /><Relationship Type="http://schemas.openxmlformats.org/officeDocument/2006/relationships/hyperlink" Target="https://www.sebi.gov.in/sebi_data/attachdocs/1294374256880.pdf" TargetMode="External" Id="rId5065" /><Relationship Type="http://schemas.openxmlformats.org/officeDocument/2006/relationships/hyperlink" Target="https://www.sebi.gov.in/filings/public-issues/mar-2006/deep-industries-limited_14199.html" TargetMode="External" Id="rId5066" /><Relationship Type="http://schemas.openxmlformats.org/officeDocument/2006/relationships/hyperlink" Target="https://www.sebi.gov.in/sebi_data/attachdocs/1292316090294.pdf" TargetMode="External" Id="rId5067" /><Relationship Type="http://schemas.openxmlformats.org/officeDocument/2006/relationships/hyperlink" Target="https://www.sebi.gov.in/filings/public-issues/mar-2006/changes-in-drhp_10637.html" TargetMode="External" Id="rId5068" /><Relationship Type="http://schemas.openxmlformats.org/officeDocument/2006/relationships/hyperlink" Target="https://www.sebi.gov.in/sebi_data/attachdocs/1292315967431.pdf" TargetMode="External" Id="rId5069" /><Relationship Type="http://schemas.openxmlformats.org/officeDocument/2006/relationships/hyperlink" Target="https://www.sebi.gov.in/filings/public-issues/mar-2006/reliance-petroleum-limited-pdf_10632.html" TargetMode="External" Id="rId5070" /><Relationship Type="http://schemas.openxmlformats.org/officeDocument/2006/relationships/hyperlink" Target="https://www.chittorgarh.com/ipo/reliance-petroleum-ipo/2918/" TargetMode="External" Id="rId5071" /><Relationship Type="http://schemas.openxmlformats.org/officeDocument/2006/relationships/hyperlink" Target="https://www.sebi.gov.in/sebi_data/attachdocs/1292315792208.pdf" TargetMode="External" Id="rId5072" /><Relationship Type="http://schemas.openxmlformats.org/officeDocument/2006/relationships/hyperlink" Target="https://www.sebi.gov.in/filings/public-issues/mar-2006/saamya-biotech-india-limited-pdf_10629.html" TargetMode="External" Id="rId5073" /><Relationship Type="http://schemas.openxmlformats.org/officeDocument/2006/relationships/hyperlink" Target="https://www.chittorgarh.com/ipo/saamya_biotech_ipo/126/" TargetMode="External" Id="rId5074" /><Relationship Type="http://schemas.openxmlformats.org/officeDocument/2006/relationships/hyperlink" Target="https://www.sebi.gov.in/sebi_data/attachdocs/1292315667460.pdf" TargetMode="External" Id="rId5075" /><Relationship Type="http://schemas.openxmlformats.org/officeDocument/2006/relationships/hyperlink" Target="https://www.sebi.gov.in/filings/public-issues/mar-2006/usher-agro-limited-pdf_10626.html" TargetMode="External" Id="rId5076" /><Relationship Type="http://schemas.openxmlformats.org/officeDocument/2006/relationships/hyperlink" Target="https://www.chittorgarh.com/ipo/usher-agro-ipo/7/" TargetMode="External" Id="rId5077" /><Relationship Type="http://schemas.openxmlformats.org/officeDocument/2006/relationships/hyperlink" Target="https://www.sebi.gov.in/sebi_data/attachdocs/1292314085224.pdf" TargetMode="External" Id="rId5078" /><Relationship Type="http://schemas.openxmlformats.org/officeDocument/2006/relationships/hyperlink" Target="https://www.sebi.gov.in/filings/public-issues/mar-2006/odyssey-india-limited-pdf_10613.html" TargetMode="External" Id="rId5079" /><Relationship Type="http://schemas.openxmlformats.org/officeDocument/2006/relationships/hyperlink" Target="https://en.wikipedia.org/wiki/Odyssey_(bookstore)" TargetMode="External" Id="rId5080" /><Relationship Type="http://schemas.openxmlformats.org/officeDocument/2006/relationships/hyperlink" Target="https://www.sebi.gov.in/sebi_data/attachdocs/1292389241839.pdf" TargetMode="External" Id="rId5081" /><Relationship Type="http://schemas.openxmlformats.org/officeDocument/2006/relationships/hyperlink" Target="https://www.sebi.gov.in/filings/public-issues/feb-2006/glory-polyfilms-limited_10878.html" TargetMode="External" Id="rId5082" /><Relationship Type="http://schemas.openxmlformats.org/officeDocument/2006/relationships/hyperlink" Target="https://www.chittorgarh.com/ipo/glory_polyfilms_ipo/82/" TargetMode="External" Id="rId5083" /><Relationship Type="http://schemas.openxmlformats.org/officeDocument/2006/relationships/hyperlink" Target="https://www.sebi.gov.in/sebi_data/attachdocs/1294375817212.pdf" TargetMode="External" Id="rId5084" /><Relationship Type="http://schemas.openxmlformats.org/officeDocument/2006/relationships/hyperlink" Target="https://www.sebi.gov.in/filings/public-issues/feb-2006/atlanta-limited_14201.html" TargetMode="External" Id="rId5085" /><Relationship Type="http://schemas.openxmlformats.org/officeDocument/2006/relationships/hyperlink" Target="https://www.sebi.gov.in/sebi_data/attachdocs/1292388678557.pdf" TargetMode="External" Id="rId5086" /><Relationship Type="http://schemas.openxmlformats.org/officeDocument/2006/relationships/hyperlink" Target="https://www.sebi.gov.in/filings/public-issues/feb-2006/kovilpatti-lakshmi-roller-flour-mills-ltd_10877.html" TargetMode="External" Id="rId5087" /><Relationship Type="http://schemas.openxmlformats.org/officeDocument/2006/relationships/hyperlink" Target="https://www.sebi.gov.in/sebi_data/attachdocs/1292388532106.pdf" TargetMode="External" Id="rId5088" /><Relationship Type="http://schemas.openxmlformats.org/officeDocument/2006/relationships/hyperlink" Target="https://www.sebi.gov.in/filings/public-issues/feb-2006/vigneshwara-exports-limited-pdf_10876.html" TargetMode="External" Id="rId5089" /><Relationship Type="http://schemas.openxmlformats.org/officeDocument/2006/relationships/hyperlink" Target="https://www.zaubacorp.com/VIGNESHWARA-EXPORTS-LIMITED-U51900MH1986PLC039425" TargetMode="External" Id="rId5090" /><Relationship Type="http://schemas.openxmlformats.org/officeDocument/2006/relationships/hyperlink" Target="https://www.sebi.gov.in/sebi_data/attachdocs/1292387288627.pdf" TargetMode="External" Id="rId5091" /><Relationship Type="http://schemas.openxmlformats.org/officeDocument/2006/relationships/hyperlink" Target="https://www.sebi.gov.in/filings/public-issues/feb-2006/development-credit-bank-limited-pdf_10872.html" TargetMode="External" Id="rId5092" /><Relationship Type="http://schemas.openxmlformats.org/officeDocument/2006/relationships/hyperlink" Target="https://www.sebi.gov.in/sebi_data/attachdocs/1292387932391.pdf" TargetMode="External" Id="rId5093" /><Relationship Type="http://schemas.openxmlformats.org/officeDocument/2006/relationships/hyperlink" Target="https://www.sebi.gov.in/filings/public-issues/feb-2006/gremach-infrastructure-equipments-and-projects-limited-pdf_10873.html" TargetMode="External" Id="rId5094" /><Relationship Type="http://schemas.openxmlformats.org/officeDocument/2006/relationships/hyperlink" Target="https://www.chittorgarh.com/ipo/gremach_ipo/70/" TargetMode="External" Id="rId5095" /><Relationship Type="http://schemas.openxmlformats.org/officeDocument/2006/relationships/hyperlink" Target="https://www.sebi.gov.in/sebi_data/attachdocs/1292388222177.pdf" TargetMode="External" Id="rId5096" /><Relationship Type="http://schemas.openxmlformats.org/officeDocument/2006/relationships/hyperlink" Target="https://www.sebi.gov.in/filings/public-issues/feb-2006/lumax-automotive-systems-limited-pdf_10875.html" TargetMode="External" Id="rId5097" /><Relationship Type="http://schemas.openxmlformats.org/officeDocument/2006/relationships/hyperlink" Target="https://www.indiainfoline.com/company/lumax-automotive-systems-ltd/summary/24621" TargetMode="External" Id="rId5098" /><Relationship Type="http://schemas.openxmlformats.org/officeDocument/2006/relationships/hyperlink" Target="https://www.sebi.gov.in/sebi_data/attachdocs/1292388068467.pdf" TargetMode="External" Id="rId5099" /><Relationship Type="http://schemas.openxmlformats.org/officeDocument/2006/relationships/hyperlink" Target="https://www.sebi.gov.in/filings/public-issues/feb-2006/steel-city-securities-limited-pdf_10874.html" TargetMode="External" Id="rId5100" /><Relationship Type="http://schemas.openxmlformats.org/officeDocument/2006/relationships/hyperlink" Target="https://www.business-standard.com/markets/ipo/steel-city-securities-ltd-ipo-6044" TargetMode="External" Id="rId5101" /><Relationship Type="http://schemas.openxmlformats.org/officeDocument/2006/relationships/hyperlink" Target="https://www.sebi.gov.in/sebi_data/attachdocs/1292387084115.pdf" TargetMode="External" Id="rId5102" /><Relationship Type="http://schemas.openxmlformats.org/officeDocument/2006/relationships/hyperlink" Target="https://www.sebi.gov.in/filings/public-issues/feb-2006/binani-cement-ltd_10871.html" TargetMode="External" Id="rId5103" /><Relationship Type="http://schemas.openxmlformats.org/officeDocument/2006/relationships/hyperlink" Target="https://www.chittorgarh.com/ipo/binani_cement_ipo/79/" TargetMode="External" Id="rId5104" /><Relationship Type="http://schemas.openxmlformats.org/officeDocument/2006/relationships/hyperlink" Target="https://www.sebi.gov.in/sebi_data/attachdocs/1292386686081.pdf" TargetMode="External" Id="rId5105" /><Relationship Type="http://schemas.openxmlformats.org/officeDocument/2006/relationships/hyperlink" Target="https://www.sebi.gov.in/filings/public-issues/feb-2006/plethico-pharmaceuticals-ltd_10870.html" TargetMode="External" Id="rId5106" /><Relationship Type="http://schemas.openxmlformats.org/officeDocument/2006/relationships/hyperlink" Target="https://www.chittorgarh.com/ipo/plethico-pharmaceuticals-ipo/2917/" TargetMode="External" Id="rId5107" /><Relationship Type="http://schemas.openxmlformats.org/officeDocument/2006/relationships/hyperlink" Target="https://www.sebi.gov.in/sebi_data/attachdocs/1292386545586.pdf" TargetMode="External" Id="rId5108" /><Relationship Type="http://schemas.openxmlformats.org/officeDocument/2006/relationships/hyperlink" Target="https://www.sebi.gov.in/filings/public-issues/feb-2006/brahma-interactive-limited_10869.html" TargetMode="External" Id="rId5109" /><Relationship Type="http://schemas.openxmlformats.org/officeDocument/2006/relationships/hyperlink" Target="https://www.sebi.gov.in/sebi_data/attachdocs/1292385686437.pdf" TargetMode="External" Id="rId5110" /><Relationship Type="http://schemas.openxmlformats.org/officeDocument/2006/relationships/hyperlink" Target="https://www.sebi.gov.in/filings/public-issues/feb-2006/emkay-share-and-stock-brokers-limited_10864.html" TargetMode="External" Id="rId5111" /><Relationship Type="http://schemas.openxmlformats.org/officeDocument/2006/relationships/hyperlink" Target="https://www.chittorgarh.com/ipo/emkay-share-stock-brokers-ipo/2912/" TargetMode="External" Id="rId5112" /><Relationship Type="http://schemas.openxmlformats.org/officeDocument/2006/relationships/hyperlink" Target="https://www.sebi.gov.in/sebi_data/attachdocs/1292386435598.pdf" TargetMode="External" Id="rId5113" /><Relationship Type="http://schemas.openxmlformats.org/officeDocument/2006/relationships/hyperlink" Target="https://www.sebi.gov.in/filings/public-issues/feb-2006/mspl-limited_10868.html" TargetMode="External" Id="rId5114" /><Relationship Type="http://schemas.openxmlformats.org/officeDocument/2006/relationships/hyperlink" Target="https://disclosures.ifc.org/project-detail/SPI/25115/mspl-limited" TargetMode="External" Id="rId5115" /><Relationship Type="http://schemas.openxmlformats.org/officeDocument/2006/relationships/hyperlink" Target="https://www.sebi.gov.in/sebi_data/attachdocs/1292386175148.pdf" TargetMode="External" Id="rId5116" /><Relationship Type="http://schemas.openxmlformats.org/officeDocument/2006/relationships/hyperlink" Target="https://www.sebi.gov.in/filings/public-issues/feb-2006/sun-tv-limited_10867.html" TargetMode="External" Id="rId5117" /><Relationship Type="http://schemas.openxmlformats.org/officeDocument/2006/relationships/hyperlink" Target="https://www.chittorgarh.com/ipo/sun-tv-ipo/2915/" TargetMode="External" Id="rId5118" /><Relationship Type="http://schemas.openxmlformats.org/officeDocument/2006/relationships/hyperlink" Target="https://www.sebi.gov.in/sebi_data/attachdocs/1292385133799.pdf" TargetMode="External" Id="rId5119" /><Relationship Type="http://schemas.openxmlformats.org/officeDocument/2006/relationships/hyperlink" Target="https://www.sebi.gov.in/filings/public-issues/feb-2006/godawari-power-and-ispat-limited-pdf_10862.html" TargetMode="External" Id="rId5120" /><Relationship Type="http://schemas.openxmlformats.org/officeDocument/2006/relationships/hyperlink" Target="https://www.chittorgarh.com/ipo/godawari-power-ispat-ipo/2910/" TargetMode="External" Id="rId5121" /><Relationship Type="http://schemas.openxmlformats.org/officeDocument/2006/relationships/hyperlink" Target="https://www.sebi.gov.in/sebi_data/attachdocs/1292385060887.pdf" TargetMode="External" Id="rId5122" /><Relationship Type="http://schemas.openxmlformats.org/officeDocument/2006/relationships/hyperlink" Target="https://www.sebi.gov.in/filings/public-issues/feb-2006/manga-capsules-limited-pdf_10861.html" TargetMode="External" Id="rId5123" /><Relationship Type="http://schemas.openxmlformats.org/officeDocument/2006/relationships/hyperlink" Target="https://www.business-standard.com/markets/ipo/manga-capsules-ltd-ipo-27279" TargetMode="External" Id="rId5124" /><Relationship Type="http://schemas.openxmlformats.org/officeDocument/2006/relationships/hyperlink" Target="https://www.sebi.gov.in/sebi_data/attachdocs/1292384961613.pdf" TargetMode="External" Id="rId5125" /><Relationship Type="http://schemas.openxmlformats.org/officeDocument/2006/relationships/hyperlink" Target="https://www.sebi.gov.in/filings/public-issues/feb-2006/r-systems-international-limited-pdf_10859.html" TargetMode="External" Id="rId5126" /><Relationship Type="http://schemas.openxmlformats.org/officeDocument/2006/relationships/hyperlink" Target="https://www.chittorgarh.com/ipo/r-systems-international-ipo/2911/" TargetMode="External" Id="rId5127" /><Relationship Type="http://schemas.openxmlformats.org/officeDocument/2006/relationships/hyperlink" Target="https://www.sebi.gov.in/sebi_data/attachdocs/1292384635241.pdf" TargetMode="External" Id="rId5128" /><Relationship Type="http://schemas.openxmlformats.org/officeDocument/2006/relationships/hyperlink" Target="https://www.sebi.gov.in/filings/public-issues/feb-2006/indowind-energy-limited_10855.html" TargetMode="External" Id="rId5129" /><Relationship Type="http://schemas.openxmlformats.org/officeDocument/2006/relationships/hyperlink" Target="https://www.sebi.gov.in/sebi_data/attachdocs/1292384025598.pdf" TargetMode="External" Id="rId5130" /><Relationship Type="http://schemas.openxmlformats.org/officeDocument/2006/relationships/hyperlink" Target="https://www.sebi.gov.in/filings/public-issues/feb-2006/gayatri-projects-ltd_10852.html" TargetMode="External" Id="rId5131" /><Relationship Type="http://schemas.openxmlformats.org/officeDocument/2006/relationships/hyperlink" Target="https://www.sebi.gov.in/sebi_data/attachdocs/1292383426550.pdf" TargetMode="External" Id="rId5132" /><Relationship Type="http://schemas.openxmlformats.org/officeDocument/2006/relationships/hyperlink" Target="https://www.sebi.gov.in/filings/public-issues/feb-2006/lawreshwar-polymers-ltd_10848.html" TargetMode="External" Id="rId5133" /><Relationship Type="http://schemas.openxmlformats.org/officeDocument/2006/relationships/hyperlink" Target="https://www.sebi.gov.in/sebi_data/attachdocs/1292383179128.pdf" TargetMode="External" Id="rId5134" /><Relationship Type="http://schemas.openxmlformats.org/officeDocument/2006/relationships/hyperlink" Target="https://www.sebi.gov.in/filings/public-issues/feb-2006/janki-corp-limited_10846.html" TargetMode="External" Id="rId5135" /><Relationship Type="http://schemas.openxmlformats.org/officeDocument/2006/relationships/hyperlink" Target="https://www.business-standard.com/markets/ipo/janki-corp-ltd-ipo-27274" TargetMode="External" Id="rId5136" /><Relationship Type="http://schemas.openxmlformats.org/officeDocument/2006/relationships/hyperlink" Target="https://www.sebi.gov.in/sebi_data/attachdocs/1292383281348.pdf" TargetMode="External" Id="rId5137" /><Relationship Type="http://schemas.openxmlformats.org/officeDocument/2006/relationships/hyperlink" Target="https://www.sebi.gov.in/filings/public-issues/feb-2006/sunstar-overseas-ltd_10847.html" TargetMode="External" Id="rId5138" /><Relationship Type="http://schemas.openxmlformats.org/officeDocument/2006/relationships/hyperlink" Target="https://www.business-standard.com/markets/ipo/sunstar-overseas-ltd-ipo-20153" TargetMode="External" Id="rId5139" /><Relationship Type="http://schemas.openxmlformats.org/officeDocument/2006/relationships/hyperlink" Target="https://www.sebi.gov.in/sebi_data/attachdocs/1292413982354.pdf" TargetMode="External" Id="rId5140" /><Relationship Type="http://schemas.openxmlformats.org/officeDocument/2006/relationships/hyperlink" Target="https://www.sebi.gov.in/filings/public-issues/jan-2006/deccan-aviation-limited_11110.html" TargetMode="External" Id="rId5141" /><Relationship Type="http://schemas.openxmlformats.org/officeDocument/2006/relationships/hyperlink" Target="https://www.chittorgarh.com/ipo/deccan-aviation-ipo/2923/" TargetMode="External" Id="rId5142" /><Relationship Type="http://schemas.openxmlformats.org/officeDocument/2006/relationships/hyperlink" Target="https://www.sebi.gov.in/sebi_data/attachdocs/1292413783985.pdf" TargetMode="External" Id="rId5143" /><Relationship Type="http://schemas.openxmlformats.org/officeDocument/2006/relationships/hyperlink" Target="https://www.sebi.gov.in/filings/public-issues/jan-2006/gangotri-textiles-ltd_11107.html" TargetMode="External" Id="rId5144" /><Relationship Type="http://schemas.openxmlformats.org/officeDocument/2006/relationships/hyperlink" Target="https://www.business-standard.com/markets/ipo/gangotri-textiles-ltd-ipo-4031" TargetMode="External" Id="rId5145" /><Relationship Type="http://schemas.openxmlformats.org/officeDocument/2006/relationships/hyperlink" Target="https://www.sebi.gov.in/sebi_data/attachdocs/1292413889728.pdf" TargetMode="External" Id="rId5146" /><Relationship Type="http://schemas.openxmlformats.org/officeDocument/2006/relationships/hyperlink" Target="https://www.sebi.gov.in/filings/public-issues/jan-2006/supreme-infrastructure-india-ltd_11108.html" TargetMode="External" Id="rId5147" /><Relationship Type="http://schemas.openxmlformats.org/officeDocument/2006/relationships/hyperlink" Target="https://www.sebi.gov.in/sebi_data/attachdocs/1292412123395.pdf" TargetMode="External" Id="rId5148" /><Relationship Type="http://schemas.openxmlformats.org/officeDocument/2006/relationships/hyperlink" Target="https://www.sebi.gov.in/filings/public-issues/jan-2006/tantia-constructions-ltd_11101.html" TargetMode="External" Id="rId5149" /><Relationship Type="http://schemas.openxmlformats.org/officeDocument/2006/relationships/hyperlink" Target="https://www.chittorgarh.com/ipo/tantia-constructions-fpo/2909/" TargetMode="External" Id="rId5150" /><Relationship Type="http://schemas.openxmlformats.org/officeDocument/2006/relationships/hyperlink" Target="https://www.sebi.gov.in/sebi_data/attachdocs/1292412693461.pdf" TargetMode="External" Id="rId5151" /><Relationship Type="http://schemas.openxmlformats.org/officeDocument/2006/relationships/hyperlink" Target="https://www.sebi.gov.in/filings/public-issues/jan-2006/uttam-sugar-mills-ltd_11103.html" TargetMode="External" Id="rId5152" /><Relationship Type="http://schemas.openxmlformats.org/officeDocument/2006/relationships/hyperlink" Target="https://www.chittorgarh.com/ipo/uttam-sugar-mills-ipo/2905/" TargetMode="External" Id="rId5153" /><Relationship Type="http://schemas.openxmlformats.org/officeDocument/2006/relationships/hyperlink" Target="https://www.sebi.gov.in/sebi_data/attachdocs/1292411489984.pdf" TargetMode="External" Id="rId5154" /><Relationship Type="http://schemas.openxmlformats.org/officeDocument/2006/relationships/hyperlink" Target="https://www.sebi.gov.in/filings/public-issues/jan-2006/shirdi-industries-ltd_11096.html" TargetMode="External" Id="rId5155" /><Relationship Type="http://schemas.openxmlformats.org/officeDocument/2006/relationships/hyperlink" Target="https://www.sebi.gov.in/sebi_data/commondocs/feb-2020/Issues%20Obs%20Issued%2031012020_p.pdf" TargetMode="External" Id="rId5156" /><Relationship Type="http://schemas.openxmlformats.org/officeDocument/2006/relationships/hyperlink" Target="https://www.sebi.gov.in/sebi_data/attachdocs/1292409704873.pdf" TargetMode="External" Id="rId5157" /><Relationship Type="http://schemas.openxmlformats.org/officeDocument/2006/relationships/hyperlink" Target="https://www.sebi.gov.in/filings/public-issues/jan-2006/bluplast-industries-ltd_11085.html" TargetMode="External" Id="rId5158" /><Relationship Type="http://schemas.openxmlformats.org/officeDocument/2006/relationships/hyperlink" Target="https://www.business-standard.com/markets/ipo/bluplast-industries-ltd-ipo-27270" TargetMode="External" Id="rId5159" /><Relationship Type="http://schemas.openxmlformats.org/officeDocument/2006/relationships/hyperlink" Target="https://www.sebi.gov.in/sebi_data/attachdocs/1292408839809.pdf" TargetMode="External" Id="rId5160" /><Relationship Type="http://schemas.openxmlformats.org/officeDocument/2006/relationships/hyperlink" Target="https://www.sebi.gov.in/filings/public-issues/jan-2006/lokesh-machines-ltd_11076.html" TargetMode="External" Id="rId5161" /><Relationship Type="http://schemas.openxmlformats.org/officeDocument/2006/relationships/hyperlink" Target="https://www.chittorgarh.com/ipo/lokesh-machines-ipo/2916/" TargetMode="External" Id="rId5162" /><Relationship Type="http://schemas.openxmlformats.org/officeDocument/2006/relationships/hyperlink" Target="https://www.sebi.gov.in/sebi_data/attachdocs/1292409032195.pdf" TargetMode="External" Id="rId5163" /><Relationship Type="http://schemas.openxmlformats.org/officeDocument/2006/relationships/hyperlink" Target="https://www.sebi.gov.in/filings/public-issues/jan-2006/opto-circuits-india-ltd_11078.html" TargetMode="External" Id="rId5164" /><Relationship Type="http://schemas.openxmlformats.org/officeDocument/2006/relationships/hyperlink" Target="https://www.business-standard.com/markets/ipo/opto-circuits-india-ltd-ipo-21300" TargetMode="External" Id="rId5165" /><Relationship Type="http://schemas.openxmlformats.org/officeDocument/2006/relationships/hyperlink" Target="https://www.sebi.gov.in/sebi_data/attachdocs/1292409210154.pdf" TargetMode="External" Id="rId5166" /><Relationship Type="http://schemas.openxmlformats.org/officeDocument/2006/relationships/hyperlink" Target="https://www.sebi.gov.in/filings/public-issues/jan-2006/today-s-writing-products-ltd_11080.html" TargetMode="External" Id="rId5167" /><Relationship Type="http://schemas.openxmlformats.org/officeDocument/2006/relationships/hyperlink" Target="https://www.indiainfoline.com/company/todays-writing-instruments-ltd/summary" TargetMode="External" Id="rId5168" /><Relationship Type="http://schemas.openxmlformats.org/officeDocument/2006/relationships/hyperlink" Target="https://www.sebi.gov.in/sebi_data/attachdocs/1292408742863.pdf" TargetMode="External" Id="rId5169" /><Relationship Type="http://schemas.openxmlformats.org/officeDocument/2006/relationships/hyperlink" Target="https://www.sebi.gov.in/filings/public-issues/jan-2006/d-s-kulkarni-developers-ltd_11075.html" TargetMode="External" Id="rId5170" /><Relationship Type="http://schemas.openxmlformats.org/officeDocument/2006/relationships/hyperlink" Target="https://www.business-standard.com/markets/ipo/d-s-kulkarni-developers-ltd-ipo-2955" TargetMode="External" Id="rId5171" /><Relationship Type="http://schemas.openxmlformats.org/officeDocument/2006/relationships/hyperlink" Target="https://www.sebi.gov.in/sebi_data/attachdocs/1294386762957.pdf" TargetMode="External" Id="rId5172" /><Relationship Type="http://schemas.openxmlformats.org/officeDocument/2006/relationships/hyperlink" Target="https://www.sebi.gov.in/filings/public-issues/jan-2006/prime-focus-ltd_14205.html" TargetMode="External" Id="rId5173" /><Relationship Type="http://schemas.openxmlformats.org/officeDocument/2006/relationships/hyperlink" Target="https://www.chittorgarh.com/ipo/prime-focus-ipo/2926/" TargetMode="External" Id="rId5174" /><Relationship Type="http://schemas.openxmlformats.org/officeDocument/2006/relationships/hyperlink" Target="https://www.sebi.gov.in/sebi_data/attachdocs/1292408503767.pdf" TargetMode="External" Id="rId5175" /><Relationship Type="http://schemas.openxmlformats.org/officeDocument/2006/relationships/hyperlink" Target="https://www.sebi.gov.in/filings/public-issues/jan-2006/celestial-labs-ltd_11071.html" TargetMode="External" Id="rId5176" /><Relationship Type="http://schemas.openxmlformats.org/officeDocument/2006/relationships/hyperlink" Target="https://www.chittorgarh.com/ipo/celestial_labs_ipo/91/" TargetMode="External" Id="rId5177" /><Relationship Type="http://schemas.openxmlformats.org/officeDocument/2006/relationships/hyperlink" Target="https://www.sebi.gov.in/sebi_data/attachdocs/1292408586645.pdf" TargetMode="External" Id="rId5178" /><Relationship Type="http://schemas.openxmlformats.org/officeDocument/2006/relationships/hyperlink" Target="https://www.sebi.gov.in/filings/public-issues/jan-2006/kewal-kiran-clothing-ltd_11073.html" TargetMode="External" Id="rId5179" /><Relationship Type="http://schemas.openxmlformats.org/officeDocument/2006/relationships/hyperlink" Target="https://www.chittorgarh.com/ipo/kewal-kiran-clothing-ipo/2906/" TargetMode="External" Id="rId5180" /><Relationship Type="http://schemas.openxmlformats.org/officeDocument/2006/relationships/hyperlink" Target="https://www.sebi.gov.in/sebi_data/attachdocs/1292408061954.pdf" TargetMode="External" Id="rId5181" /><Relationship Type="http://schemas.openxmlformats.org/officeDocument/2006/relationships/hyperlink" Target="https://www.sebi.gov.in/filings/public-issues/jan-2006/adhunik-metalinks-limited-pdf_11062.html" TargetMode="External" Id="rId5182" /><Relationship Type="http://schemas.openxmlformats.org/officeDocument/2006/relationships/hyperlink" Target="https://www.chittorgarh.com/ipo/adhunik-metaliks-ipo/2904/" TargetMode="External" Id="rId5183" /><Relationship Type="http://schemas.openxmlformats.org/officeDocument/2006/relationships/hyperlink" Target="https://www.sebi.gov.in/sebi_data/attachdocs/1292407284287.pdf" TargetMode="External" Id="rId5184" /><Relationship Type="http://schemas.openxmlformats.org/officeDocument/2006/relationships/hyperlink" Target="https://www.sebi.gov.in/filings/public-issues/jan-2006/mahindra-and-mahindra-financial-services-ltd_11050.html" TargetMode="External" Id="rId5185" /><Relationship Type="http://schemas.openxmlformats.org/officeDocument/2006/relationships/hyperlink" Target="https://www.chittorgarh.com/ipo/mahindra-mahindra-financial-services-ipo/2895/" TargetMode="External" Id="rId5186" /><Relationship Type="http://schemas.openxmlformats.org/officeDocument/2006/relationships/hyperlink" Target="https://www.sebi.gov.in/sebi_data/attachdocs/1292406099876.pdf" TargetMode="External" Id="rId5187" /><Relationship Type="http://schemas.openxmlformats.org/officeDocument/2006/relationships/hyperlink" Target="https://www.sebi.gov.in/filings/public-issues/jan-2006/solar-explosives-ltd_11035.html" TargetMode="External" Id="rId5188" /><Relationship Type="http://schemas.openxmlformats.org/officeDocument/2006/relationships/hyperlink" Target="https://www.chittorgarh.com/ipo/solar-explosives-ipo/2903/" TargetMode="External" Id="rId5189" /><Relationship Type="http://schemas.openxmlformats.org/officeDocument/2006/relationships/hyperlink" Target="https://www.sebi.gov.in/sebi_data/attachdocs/1292403719557.pdf" TargetMode="External" Id="rId5190" /><Relationship Type="http://schemas.openxmlformats.org/officeDocument/2006/relationships/hyperlink" Target="https://www.sebi.gov.in/filings/public-issues/jan-2006/visa-steel-ltd_11017.html" TargetMode="External" Id="rId5191" /><Relationship Type="http://schemas.openxmlformats.org/officeDocument/2006/relationships/hyperlink" Target="https://www.chittorgarh.com/ipo/visa-steel-ipo/2898/" TargetMode="External" Id="rId5192" /><Relationship Type="http://schemas.openxmlformats.org/officeDocument/2006/relationships/hyperlink" Target="https://www.sebi.gov.in/sebi_data/attachdocs/1292402819105.pdf" TargetMode="External" Id="rId5193" /><Relationship Type="http://schemas.openxmlformats.org/officeDocument/2006/relationships/hyperlink" Target="https://www.sebi.gov.in/filings/public-issues/jan-2006/birla-power-solutions-ltd_11008.html" TargetMode="External" Id="rId5194" /><Relationship Type="http://schemas.openxmlformats.org/officeDocument/2006/relationships/hyperlink" Target="https://www.business-standard.com/markets/ipo/birla-power-solutions-ltd-ipo-78" TargetMode="External" Id="rId5195" /><Relationship Type="http://schemas.openxmlformats.org/officeDocument/2006/relationships/hyperlink" Target="https://www.sebi.gov.in/sebi_data/attachdocs/1292402955323.pdf" TargetMode="External" Id="rId5196" /><Relationship Type="http://schemas.openxmlformats.org/officeDocument/2006/relationships/hyperlink" Target="https://www.sebi.gov.in/filings/public-issues/jan-2006/nitco-tiles-ltd_11010.html" TargetMode="External" Id="rId5197" /><Relationship Type="http://schemas.openxmlformats.org/officeDocument/2006/relationships/hyperlink" Target="https://www.chittorgarh.com/ipo/nitco-tiles-ipo/2897/" TargetMode="External" Id="rId5198" /><Relationship Type="http://schemas.openxmlformats.org/officeDocument/2006/relationships/hyperlink" Target="https://www.sebi.gov.in/sebi_data/attachdocs/1292402267245.pdf" TargetMode="External" Id="rId5199" /><Relationship Type="http://schemas.openxmlformats.org/officeDocument/2006/relationships/hyperlink" Target="https://www.sebi.gov.in/filings/public-issues/jan-2006/gallantt-metal-limited_10998.html" TargetMode="External" Id="rId5200" /><Relationship Type="http://schemas.openxmlformats.org/officeDocument/2006/relationships/hyperlink" Target="https://www.chittorgarh.com/ipo/gallantt-metal-ipo/2899/" TargetMode="External" Id="rId5201" /><Relationship Type="http://schemas.openxmlformats.org/officeDocument/2006/relationships/hyperlink" Target="https://www.sebi.gov.in/sebi_data/attachdocs/1292990159086.pdf" TargetMode="External" Id="rId5202" /><Relationship Type="http://schemas.openxmlformats.org/officeDocument/2006/relationships/hyperlink" Target="https://www.sebi.gov.in/filings/public-issues/dec-2005/hfcl-infotel-ltd-pdf_12451.html" TargetMode="External" Id="rId5203" /><Relationship Type="http://schemas.openxmlformats.org/officeDocument/2006/relationships/hyperlink" Target="https://www.sebi.gov.in/sebi_data/attachdocs/1292990066616.pdf" TargetMode="External" Id="rId5204" /><Relationship Type="http://schemas.openxmlformats.org/officeDocument/2006/relationships/hyperlink" Target="https://www.sebi.gov.in/filings/public-issues/dec-2005/idbi-flexibond-series-2005-06_12450.html" TargetMode="External" Id="rId5205" /><Relationship Type="http://schemas.openxmlformats.org/officeDocument/2006/relationships/hyperlink" Target="https://www.sebi.gov.in/sebi_data/attachdocs/1292990066616.pdf" TargetMode="External" Id="rId5206" /><Relationship Type="http://schemas.openxmlformats.org/officeDocument/2006/relationships/hyperlink" Target="https://www.sebi.gov.in/sebi_data/attachdocs/1292989984373.pdf" TargetMode="External" Id="rId5207" /><Relationship Type="http://schemas.openxmlformats.org/officeDocument/2006/relationships/hyperlink" Target="https://www.sebi.gov.in/filings/public-issues/dec-2005/malu-paper-mills-ltd_12448.html" TargetMode="External" Id="rId5208" /><Relationship Type="http://schemas.openxmlformats.org/officeDocument/2006/relationships/hyperlink" Target="https://www.chittorgarh.com/ipo/malu-paper-mills-ipo/2900/" TargetMode="External" Id="rId5209" /><Relationship Type="http://schemas.openxmlformats.org/officeDocument/2006/relationships/hyperlink" Target="https://www.sebi.gov.in/sebi_data/attachdocs/1292989815165.pdf" TargetMode="External" Id="rId5210" /><Relationship Type="http://schemas.openxmlformats.org/officeDocument/2006/relationships/hyperlink" Target="https://www.sebi.gov.in/filings/public-issues/dec-2005/union-bank-of-india_12445.html" TargetMode="External" Id="rId5211" /><Relationship Type="http://schemas.openxmlformats.org/officeDocument/2006/relationships/hyperlink" Target="https://www.business-standard.com/markets/ipo/union-bank-of-india-ipo-5493" TargetMode="External" Id="rId5212" /><Relationship Type="http://schemas.openxmlformats.org/officeDocument/2006/relationships/hyperlink" Target="https://www.sebi.gov.in/sebi_data/attachdocs/1292989708571.pdf" TargetMode="External" Id="rId5213" /><Relationship Type="http://schemas.openxmlformats.org/officeDocument/2006/relationships/hyperlink" Target="https://www.sebi.gov.in/filings/public-issues/dec-2005/gitanajli-gems-ltd_12443.html" TargetMode="External" Id="rId5214" /><Relationship Type="http://schemas.openxmlformats.org/officeDocument/2006/relationships/hyperlink" Target="https://www.chittorgarh.com/ipo/gitanjali-gems-ipo/2891/" TargetMode="External" Id="rId5215" /><Relationship Type="http://schemas.openxmlformats.org/officeDocument/2006/relationships/hyperlink" Target="https://www.sebi.gov.in/sebi_data/attachdocs/1292989615626.pdf" TargetMode="External" Id="rId5216" /><Relationship Type="http://schemas.openxmlformats.org/officeDocument/2006/relationships/hyperlink" Target="https://www.sebi.gov.in/filings/public-issues/dec-2005/south-indian-bank-limited-pdf_12441.html" TargetMode="External" Id="rId5217" /><Relationship Type="http://schemas.openxmlformats.org/officeDocument/2006/relationships/hyperlink" Target="https://www.business-standard.com/markets/ipo/south-indian-bank-ltd-ipo-6263" TargetMode="External" Id="rId5218" /><Relationship Type="http://schemas.openxmlformats.org/officeDocument/2006/relationships/hyperlink" Target="https://www.sebi.gov.in/sebi_data/attachdocs/1292989496367.pdf" TargetMode="External" Id="rId5219" /><Relationship Type="http://schemas.openxmlformats.org/officeDocument/2006/relationships/hyperlink" Target="https://www.sebi.gov.in/filings/public-issues/dec-2005/jrg-securities-ltd_12439.html" TargetMode="External" Id="rId5220" /><Relationship Type="http://schemas.openxmlformats.org/officeDocument/2006/relationships/hyperlink" Target="https://www.chittorgarh.com/ipo/jrg-securities-ipo/2919/" TargetMode="External" Id="rId5221" /><Relationship Type="http://schemas.openxmlformats.org/officeDocument/2006/relationships/hyperlink" Target="https://www.sebi.gov.in/sebi_data/attachdocs/1292989425401.pdf" TargetMode="External" Id="rId5222" /><Relationship Type="http://schemas.openxmlformats.org/officeDocument/2006/relationships/hyperlink" Target="https://www.sebi.gov.in/filings/public-issues/dec-2005/tanla-solutions-ltd_12437.html" TargetMode="External" Id="rId5223" /><Relationship Type="http://schemas.openxmlformats.org/officeDocument/2006/relationships/hyperlink" Target="https://www.sebi.gov.in/sebi_data/attachdocs/1292989012842.pdf" TargetMode="External" Id="rId5224" /><Relationship Type="http://schemas.openxmlformats.org/officeDocument/2006/relationships/hyperlink" Target="https://www.sebi.gov.in/filings/public-issues/dec-2005/jk-cement-ltd_12433.html" TargetMode="External" Id="rId5225" /><Relationship Type="http://schemas.openxmlformats.org/officeDocument/2006/relationships/hyperlink" Target="https://www.business-standard.com/markets/ipo/j-k-cements-ltd-ipo-17136" TargetMode="External" Id="rId5226" /><Relationship Type="http://schemas.openxmlformats.org/officeDocument/2006/relationships/hyperlink" Target="https://www.sebi.gov.in/sebi_data/attachdocs/1292988841748.pdf" TargetMode="External" Id="rId5227" /><Relationship Type="http://schemas.openxmlformats.org/officeDocument/2006/relationships/hyperlink" Target="https://www.sebi.gov.in/filings/public-issues/dec-2005/jagran-prakashan-limited-pdf_12430.html" TargetMode="External" Id="rId5228" /><Relationship Type="http://schemas.openxmlformats.org/officeDocument/2006/relationships/hyperlink" Target="https://www.chittorgarh.com/ipo/jagran-prakashan-ipo/2882/" TargetMode="External" Id="rId5229" /><Relationship Type="http://schemas.openxmlformats.org/officeDocument/2006/relationships/hyperlink" Target="https://www.sebi.gov.in/sebi_data/attachdocs/1292988693107.pdf" TargetMode="External" Id="rId5230" /><Relationship Type="http://schemas.openxmlformats.org/officeDocument/2006/relationships/hyperlink" Target="https://www.sebi.gov.in/filings/public-issues/dec-2005/sakuma-exports-limited-pdf_12428.html" TargetMode="External" Id="rId5231" /><Relationship Type="http://schemas.openxmlformats.org/officeDocument/2006/relationships/hyperlink" Target="https://www.chittorgarh.com/ipo/sakuma-exports-ipo/2887/" TargetMode="External" Id="rId5232" /><Relationship Type="http://schemas.openxmlformats.org/officeDocument/2006/relationships/hyperlink" Target="https://www.sebi.gov.in/sebi_data/attachdocs/1292930674033.pdf" TargetMode="External" Id="rId5233" /><Relationship Type="http://schemas.openxmlformats.org/officeDocument/2006/relationships/hyperlink" Target="https://www.sebi.gov.in/filings/public-issues/nov-2005/andhra-bank-pdf_12368.html" TargetMode="External" Id="rId5234" /><Relationship Type="http://schemas.openxmlformats.org/officeDocument/2006/relationships/hyperlink" Target="https://www.business-standard.com/markets/ipo/andhra-bank-merged-ipo-5859" TargetMode="External" Id="rId5235" /><Relationship Type="http://schemas.openxmlformats.org/officeDocument/2006/relationships/hyperlink" Target="https://www.sebi.gov.in/sebi_data/attachdocs/1292930890405.pdf" TargetMode="External" Id="rId5236" /><Relationship Type="http://schemas.openxmlformats.org/officeDocument/2006/relationships/hyperlink" Target="https://www.sebi.gov.in/filings/public-issues/nov-2005/indo-tech-transformers-limited-pdf_12374.html" TargetMode="External" Id="rId5237" /><Relationship Type="http://schemas.openxmlformats.org/officeDocument/2006/relationships/hyperlink" Target="https://www.chittorgarh.com/ipo/indotech-transformers-ipo/2889/" TargetMode="External" Id="rId5238" /><Relationship Type="http://schemas.openxmlformats.org/officeDocument/2006/relationships/hyperlink" Target="https://www.sebi.gov.in/sebi_data/attachdocs/1292930801748.pdf" TargetMode="External" Id="rId5239" /><Relationship Type="http://schemas.openxmlformats.org/officeDocument/2006/relationships/hyperlink" Target="https://www.sebi.gov.in/filings/public-issues/nov-2005/rathi-udyog-limited-pdf_12371.html" TargetMode="External" Id="rId5240" /><Relationship Type="http://schemas.openxmlformats.org/officeDocument/2006/relationships/hyperlink" Target="https://www.sebi.gov.in/sebi_data/attachdocs/1292930521239.pdf" TargetMode="External" Id="rId5241" /><Relationship Type="http://schemas.openxmlformats.org/officeDocument/2006/relationships/hyperlink" Target="https://www.sebi.gov.in/filings/public-issues/nov-2005/inox-leisure-limited_12365.html" TargetMode="External" Id="rId5242" /><Relationship Type="http://schemas.openxmlformats.org/officeDocument/2006/relationships/hyperlink" Target="https://www.chittorgarh.com/ipo/inox-leisure-ipo/2883/" TargetMode="External" Id="rId5243" /><Relationship Type="http://schemas.openxmlformats.org/officeDocument/2006/relationships/hyperlink" Target="https://www.sebi.gov.in/sebi_data/attachdocs/1292930413573.pdf" TargetMode="External" Id="rId5244" /><Relationship Type="http://schemas.openxmlformats.org/officeDocument/2006/relationships/hyperlink" Target="https://www.sebi.gov.in/filings/public-issues/nov-2005/kew-industries-ltd_12363.html" TargetMode="External" Id="rId5245" /><Relationship Type="http://schemas.openxmlformats.org/officeDocument/2006/relationships/hyperlink" Target="https://www.business-standard.com/markets/ipo/k-e-w-industries-ltd-ipo-23696" TargetMode="External" Id="rId5246" /><Relationship Type="http://schemas.openxmlformats.org/officeDocument/2006/relationships/hyperlink" Target="https://www.sebi.gov.in/sebi_data/attachdocs/1292930269387.pdf" TargetMode="External" Id="rId5247" /><Relationship Type="http://schemas.openxmlformats.org/officeDocument/2006/relationships/hyperlink" Target="https://www.sebi.gov.in/filings/public-issues/nov-2005/space-computer-and-systems-ltd_12360.html" TargetMode="External" Id="rId5248" /><Relationship Type="http://schemas.openxmlformats.org/officeDocument/2006/relationships/hyperlink" Target="https://www.sebi.gov.in/sebi_data/attachdocs/1292929809139.pdf" TargetMode="External" Id="rId5249" /><Relationship Type="http://schemas.openxmlformats.org/officeDocument/2006/relationships/hyperlink" Target="https://www.sebi.gov.in/filings/public-issues/nov-2005/ammana-bio-pharma-ltd_12355.html" TargetMode="External" Id="rId5250" /><Relationship Type="http://schemas.openxmlformats.org/officeDocument/2006/relationships/hyperlink" Target="https://www.chittorgarh.com/ipo/ammana_bio_ipo/74/" TargetMode="External" Id="rId5251" /><Relationship Type="http://schemas.openxmlformats.org/officeDocument/2006/relationships/hyperlink" Target="https://www.sebi.gov.in/sebi_data/attachdocs/1292929597904.pdf" TargetMode="External" Id="rId5252" /><Relationship Type="http://schemas.openxmlformats.org/officeDocument/2006/relationships/hyperlink" Target="https://www.sebi.gov.in/filings/public-issues/nov-2005/shirt-company-india-ltd_12354.html" TargetMode="External" Id="rId5253" /><Relationship Type="http://schemas.openxmlformats.org/officeDocument/2006/relationships/hyperlink" Target="https://www.sebi.gov.in/sebi_data/attachdocs/1292929363771.pdf" TargetMode="External" Id="rId5254" /><Relationship Type="http://schemas.openxmlformats.org/officeDocument/2006/relationships/hyperlink" Target="https://www.sebi.gov.in/filings/public-issues/nov-2005/sunil-hitech-engineers-ltd_12353.html" TargetMode="External" Id="rId5255" /><Relationship Type="http://schemas.openxmlformats.org/officeDocument/2006/relationships/hyperlink" Target="https://www.chittorgarh.com/ipo/sunil-hitech-engineers-ipo/2884/" TargetMode="External" Id="rId5256" /><Relationship Type="http://schemas.openxmlformats.org/officeDocument/2006/relationships/hyperlink" Target="https://www.sebi.gov.in/sebi_data/attachdocs/1292928921777.pdf" TargetMode="External" Id="rId5257" /><Relationship Type="http://schemas.openxmlformats.org/officeDocument/2006/relationships/hyperlink" Target="https://www.sebi.gov.in/filings/public-issues/nov-2005/kamdhenu-ispat-limited-pdf_12348.html" TargetMode="External" Id="rId5258" /><Relationship Type="http://schemas.openxmlformats.org/officeDocument/2006/relationships/hyperlink" Target="https://www.chittorgarh.com/ipo/kamdhenu-ispat-ipo/2914/" TargetMode="External" Id="rId5259" /><Relationship Type="http://schemas.openxmlformats.org/officeDocument/2006/relationships/hyperlink" Target="https://www.sebi.gov.in/sebi_data/attachdocs/1292928786756.pdf" TargetMode="External" Id="rId5260" /><Relationship Type="http://schemas.openxmlformats.org/officeDocument/2006/relationships/hyperlink" Target="https://www.sebi.gov.in/filings/public-issues/nov-2005/entertainment-network-india-limited-pdf_12347.html" TargetMode="External" Id="rId5261" /><Relationship Type="http://schemas.openxmlformats.org/officeDocument/2006/relationships/hyperlink" Target="https://www.chittorgarh.com/ipo/entertainment-network-india-ipo/2880/" TargetMode="External" Id="rId5262" /><Relationship Type="http://schemas.openxmlformats.org/officeDocument/2006/relationships/hyperlink" Target="https://www.sebi.gov.in/sebi_data/attachdocs/1292927619135.pdf" TargetMode="External" Id="rId5263" /><Relationship Type="http://schemas.openxmlformats.org/officeDocument/2006/relationships/hyperlink" Target="https://www.sebi.gov.in/filings/public-issues/nov-2005/soma-textiles-and-industries-limited-pdf_12332.html" TargetMode="External" Id="rId5264" /><Relationship Type="http://schemas.openxmlformats.org/officeDocument/2006/relationships/hyperlink" Target="https://www.sebi.gov.in/sebi_data/attachdocs/1292928098695.pdf" TargetMode="External" Id="rId5265" /><Relationship Type="http://schemas.openxmlformats.org/officeDocument/2006/relationships/hyperlink" Target="https://www.sebi.gov.in/filings/public-issues/nov-2005/shivalikglobal-limited_12340.html" TargetMode="External" Id="rId5266" /><Relationship Type="http://schemas.openxmlformats.org/officeDocument/2006/relationships/hyperlink" Target="https://www.chittorgarh.com/ipo/shivalik-global-ipo/2902/" TargetMode="External" Id="rId5267" /><Relationship Type="http://schemas.openxmlformats.org/officeDocument/2006/relationships/hyperlink" Target="https://www.sebi.gov.in/sebi_data/attachdocs/1292927493103.pdf" TargetMode="External" Id="rId5268" /><Relationship Type="http://schemas.openxmlformats.org/officeDocument/2006/relationships/hyperlink" Target="https://www.sebi.gov.in/filings/public-issues/nov-2005/rohit-ferro-tech-ltd_12330.html" TargetMode="External" Id="rId5269" /><Relationship Type="http://schemas.openxmlformats.org/officeDocument/2006/relationships/hyperlink" Target="https://www.chittorgarh.com/ipo/rohit-ferrotech-ipo/2901/" TargetMode="External" Id="rId5270" /><Relationship Type="http://schemas.openxmlformats.org/officeDocument/2006/relationships/hyperlink" Target="https://www.sebi.gov.in/sebi_data/attachdocs/1292925597425.pdf" TargetMode="External" Id="rId5271" /><Relationship Type="http://schemas.openxmlformats.org/officeDocument/2006/relationships/hyperlink" Target="https://www.sebi.gov.in/filings/public-issues/nov-2005/royal-orchid-hotels-ltd_12291.html" TargetMode="External" Id="rId5272" /><Relationship Type="http://schemas.openxmlformats.org/officeDocument/2006/relationships/hyperlink" Target="https://www.chittorgarh.com/ipo/royal-orchid-hotels-ipo/2875/" TargetMode="External" Id="rId5273" /><Relationship Type="http://schemas.openxmlformats.org/officeDocument/2006/relationships/hyperlink" Target="https://www.sebi.gov.in/sebi_data/attachdocs/1292925064369.pdf" TargetMode="External" Id="rId5274" /><Relationship Type="http://schemas.openxmlformats.org/officeDocument/2006/relationships/hyperlink" Target="https://www.sebi.gov.in/filings/public-issues/nov-2005/celebrity-fashions-limited-pdf_12284.html" TargetMode="External" Id="rId5275" /><Relationship Type="http://schemas.openxmlformats.org/officeDocument/2006/relationships/hyperlink" Target="https://www.chittorgarh.com/ipo/celebrity-fashions-ipo/3076/" TargetMode="External" Id="rId5276" /><Relationship Type="http://schemas.openxmlformats.org/officeDocument/2006/relationships/hyperlink" Target="https://www.sebi.gov.in/sebi_data/attachdocs/1292920704409.pdf" TargetMode="External" Id="rId5277" /><Relationship Type="http://schemas.openxmlformats.org/officeDocument/2006/relationships/hyperlink" Target="https://www.sebi.gov.in/filings/public-issues/oct-2005/gvk-power-and-infrastructure-ltd_12208.html" TargetMode="External" Id="rId5278" /><Relationship Type="http://schemas.openxmlformats.org/officeDocument/2006/relationships/hyperlink" Target="https://www.chittorgarh.com/ipo/gvk-power-infrastructure-ipo/2885/" TargetMode="External" Id="rId5279" /><Relationship Type="http://schemas.openxmlformats.org/officeDocument/2006/relationships/hyperlink" Target="https://www.sebi.gov.in/sebi_data/attachdocs/1292919748432.pdf" TargetMode="External" Id="rId5280" /><Relationship Type="http://schemas.openxmlformats.org/officeDocument/2006/relationships/hyperlink" Target="https://www.sebi.gov.in/filings/public-issues/oct-2005/icici-bank-ltd_12192.html" TargetMode="External" Id="rId5281" /><Relationship Type="http://schemas.openxmlformats.org/officeDocument/2006/relationships/hyperlink" Target="https://www.business-standard.com/markets/ipo/icici-bank-ltd-ipo-5418" TargetMode="External" Id="rId5282" /><Relationship Type="http://schemas.openxmlformats.org/officeDocument/2006/relationships/hyperlink" Target="https://www.sebi.gov.in/sebi_data/attachdocs/1292918569133.pdf" TargetMode="External" Id="rId5283" /><Relationship Type="http://schemas.openxmlformats.org/officeDocument/2006/relationships/hyperlink" Target="https://www.sebi.gov.in/filings/public-issues/oct-2005/dynemic-products-ltd_12190.html" TargetMode="External" Id="rId5284" /><Relationship Type="http://schemas.openxmlformats.org/officeDocument/2006/relationships/hyperlink" Target="https://www.chittorgarh.com/ipo/dynemic-products-ipo/2879/" TargetMode="External" Id="rId5285" /><Relationship Type="http://schemas.openxmlformats.org/officeDocument/2006/relationships/hyperlink" Target="https://www.sebi.gov.in/sebi_data/attachdocs/1292919374966.pdf" TargetMode="External" Id="rId5286" /><Relationship Type="http://schemas.openxmlformats.org/officeDocument/2006/relationships/hyperlink" Target="https://www.sebi.gov.in/filings/public-issues/oct-2005/gujarat-state-petronet-ltd_12191.html" TargetMode="External" Id="rId5287" /><Relationship Type="http://schemas.openxmlformats.org/officeDocument/2006/relationships/hyperlink" Target="https://www.chittorgarh.com/ipo/gujarat-state-petronet-ipo/2881/" TargetMode="External" Id="rId5288" /><Relationship Type="http://schemas.openxmlformats.org/officeDocument/2006/relationships/hyperlink" Target="https://www.sebi.gov.in/sebi_data/attachdocs/1292918090232.pdf" TargetMode="External" Id="rId5289" /><Relationship Type="http://schemas.openxmlformats.org/officeDocument/2006/relationships/hyperlink" Target="https://www.sebi.gov.in/filings/public-issues/oct-2005/bank-of-baroda_12188.html" TargetMode="External" Id="rId5290" /><Relationship Type="http://schemas.openxmlformats.org/officeDocument/2006/relationships/hyperlink" Target="https://www.business-standard.com/markets/ipo/bank-of-baroda-ipo-5456" TargetMode="External" Id="rId5291" /><Relationship Type="http://schemas.openxmlformats.org/officeDocument/2006/relationships/hyperlink" Target="https://www.sebi.gov.in/sebi_data/attachdocs/1292918374499.pdf" TargetMode="External" Id="rId5292" /><Relationship Type="http://schemas.openxmlformats.org/officeDocument/2006/relationships/hyperlink" Target="https://www.sebi.gov.in/filings/public-issues/oct-2005/punj-lloyd-ltd_12189.html" TargetMode="External" Id="rId5293" /><Relationship Type="http://schemas.openxmlformats.org/officeDocument/2006/relationships/hyperlink" Target="https://www.chittorgarh.com/ipo/punj-lloyd-ipo/3074/" TargetMode="External" Id="rId5294" /><Relationship Type="http://schemas.openxmlformats.org/officeDocument/2006/relationships/hyperlink" Target="https://www.sebi.gov.in/sebi_data/attachdocs/1292917736698.pdf" TargetMode="External" Id="rId5295" /><Relationship Type="http://schemas.openxmlformats.org/officeDocument/2006/relationships/hyperlink" Target="https://www.sebi.gov.in/filings/public-issues/oct-2005/shree-renuka-sugars-limited-notice-to-investors_12185.html" TargetMode="External" Id="rId5296" /><Relationship Type="http://schemas.openxmlformats.org/officeDocument/2006/relationships/hyperlink" Target="https://www.business-standard.com/markets/ipo/shree-renuka-sugars-ltd-ipo-23875" TargetMode="External" Id="rId5297" /><Relationship Type="http://schemas.openxmlformats.org/officeDocument/2006/relationships/hyperlink" Target="https://www.sebi.gov.in/sebi_data/attachdocs/1292917845393.pdf" TargetMode="External" Id="rId5298" /><Relationship Type="http://schemas.openxmlformats.org/officeDocument/2006/relationships/hyperlink" Target="https://www.sebi.gov.in/filings/public-issues/oct-2005/sree-sakthi-paper-mills-ltd-draft-prospectus_12186.html" TargetMode="External" Id="rId5299" /><Relationship Type="http://schemas.openxmlformats.org/officeDocument/2006/relationships/hyperlink" Target="https://www.chittorgarh.com/ipo/sree-sakthi-paper-mills-ipo/2878/" TargetMode="External" Id="rId5300" /><Relationship Type="http://schemas.openxmlformats.org/officeDocument/2006/relationships/hyperlink" Target="https://www.sebi.gov.in/sebi_data/attachdocs/1292917638871.pdf" TargetMode="External" Id="rId5301" /><Relationship Type="http://schemas.openxmlformats.org/officeDocument/2006/relationships/hyperlink" Target="https://www.sebi.gov.in/filings/public-issues/oct-2005/pvr-limited-pdf_12184.html" TargetMode="External" Id="rId5302" /><Relationship Type="http://schemas.openxmlformats.org/officeDocument/2006/relationships/hyperlink" Target="https://www.chittorgarh.com/ipo/pvr-ipo/3071/" TargetMode="External" Id="rId5303" /><Relationship Type="http://schemas.openxmlformats.org/officeDocument/2006/relationships/hyperlink" Target="https://www.sebi.gov.in/sebi_data/attachdocs/1292917424495.pdf" TargetMode="External" Id="rId5304" /><Relationship Type="http://schemas.openxmlformats.org/officeDocument/2006/relationships/hyperlink" Target="https://www.sebi.gov.in/filings/public-issues/oct-2005/sadbhav-engineering-limited-pdf_12181.html" TargetMode="External" Id="rId5305" /><Relationship Type="http://schemas.openxmlformats.org/officeDocument/2006/relationships/hyperlink" Target="https://www.chittorgarh.com/ipo/sadbhav-engineering-ipo/2886/" TargetMode="External" Id="rId5306" /><Relationship Type="http://schemas.openxmlformats.org/officeDocument/2006/relationships/hyperlink" Target="https://www.sebi.gov.in/sebi_data/attachdocs/1292917286293.pdf" TargetMode="External" Id="rId5307" /><Relationship Type="http://schemas.openxmlformats.org/officeDocument/2006/relationships/hyperlink" Target="https://www.sebi.gov.in/filings/public-issues/oct-2005/sakuma-exports-limited-pdf_12180.html" TargetMode="External" Id="rId5308" /><Relationship Type="http://schemas.openxmlformats.org/officeDocument/2006/relationships/hyperlink" Target="https://www.chittorgarh.com/ipo/sakuma-exports-ipo/2887/" TargetMode="External" Id="rId5309" /><Relationship Type="http://schemas.openxmlformats.org/officeDocument/2006/relationships/hyperlink" Target="https://www.sebi.gov.in/sebi_data/attachdocs/1292916812000.pdf" TargetMode="External" Id="rId5310" /><Relationship Type="http://schemas.openxmlformats.org/officeDocument/2006/relationships/hyperlink" Target="https://www.sebi.gov.in/filings/public-issues/oct-2005/ginni-filaments-limited-pdf_12178.html" TargetMode="External" Id="rId5311" /><Relationship Type="http://schemas.openxmlformats.org/officeDocument/2006/relationships/hyperlink" Target="https://www.business-standard.com/markets/ipo/ginni-filaments-ltd-ipo-1846" TargetMode="External" Id="rId5312" /><Relationship Type="http://schemas.openxmlformats.org/officeDocument/2006/relationships/hyperlink" Target="https://www.sebi.gov.in/sebi_data/attachdocs/1292917064202.pdf" TargetMode="External" Id="rId5313" /><Relationship Type="http://schemas.openxmlformats.org/officeDocument/2006/relationships/hyperlink" Target="https://www.sebi.gov.in/filings/public-issues/oct-2005/k-sera-sera-productions-limited-pdf_12179.html" TargetMode="External" Id="rId5314" /><Relationship Type="http://schemas.openxmlformats.org/officeDocument/2006/relationships/hyperlink" Target="https://www.chittorgarh.com/ipo/k-sera-sera-productions-fpo/2892/" TargetMode="External" Id="rId5315" /><Relationship Type="http://schemas.openxmlformats.org/officeDocument/2006/relationships/hyperlink" Target="https://www.sebi.gov.in/sebi_data/attachdocs/1292907711819.pdf" TargetMode="External" Id="rId5316" /><Relationship Type="http://schemas.openxmlformats.org/officeDocument/2006/relationships/hyperlink" Target="https://www.sebi.gov.in/filings/public-issues/sep-2005/bartronics-india-limited_11990.html" TargetMode="External" Id="rId5317" /><Relationship Type="http://schemas.openxmlformats.org/officeDocument/2006/relationships/hyperlink" Target="https://www.chittorgarh.com/ipo/bartronics-india-ipo/3079/" TargetMode="External" Id="rId5318" /><Relationship Type="http://schemas.openxmlformats.org/officeDocument/2006/relationships/hyperlink" Target="https://www.sebi.gov.in/sebi_data/attachdocs/1292907444944.pdf" TargetMode="External" Id="rId5319" /><Relationship Type="http://schemas.openxmlformats.org/officeDocument/2006/relationships/hyperlink" Target="https://www.sebi.gov.in/filings/public-issues/sep-2005/stesalit-limited_11982.html" TargetMode="External" Id="rId5320" /><Relationship Type="http://schemas.openxmlformats.org/officeDocument/2006/relationships/hyperlink" Target="https://www.zaubacorp.com/company/STESALIT-LIMITED/U35204WB1981PLC033700" TargetMode="External" Id="rId5321" /><Relationship Type="http://schemas.openxmlformats.org/officeDocument/2006/relationships/hyperlink" Target="https://www.sebi.gov.in/sebi_data/attachdocs/1292906909054.pdf" TargetMode="External" Id="rId5322" /><Relationship Type="http://schemas.openxmlformats.org/officeDocument/2006/relationships/hyperlink" Target="https://www.sebi.gov.in/filings/public-issues/sep-2005/pratibha-industries-limited-pdf_11964.html" TargetMode="External" Id="rId5323" /><Relationship Type="http://schemas.openxmlformats.org/officeDocument/2006/relationships/hyperlink" Target="https://www.chittorgarh.com/ipo/pratibha-industries-ipo/2893/" TargetMode="External" Id="rId5324" /><Relationship Type="http://schemas.openxmlformats.org/officeDocument/2006/relationships/hyperlink" Target="https://www.sebi.gov.in/sebi_data/attachdocs/1292906750811.pdf" TargetMode="External" Id="rId5325" /><Relationship Type="http://schemas.openxmlformats.org/officeDocument/2006/relationships/hyperlink" Target="https://www.sebi.gov.in/filings/public-issues/sep-2005/repro-india-limited-pdf_11961.html" TargetMode="External" Id="rId5326" /><Relationship Type="http://schemas.openxmlformats.org/officeDocument/2006/relationships/hyperlink" Target="https://www.chittorgarh.com/ipo/repro-india-ipo/3069/" TargetMode="External" Id="rId5327" /><Relationship Type="http://schemas.openxmlformats.org/officeDocument/2006/relationships/hyperlink" Target="https://www.sebi.gov.in/sebi_data/attachdocs/1292906420698.pdf" TargetMode="External" Id="rId5328" /><Relationship Type="http://schemas.openxmlformats.org/officeDocument/2006/relationships/hyperlink" Target="https://www.sebi.gov.in/filings/public-issues/sep-2005/aia-engineering-ltd_11952.html" TargetMode="External" Id="rId5329" /><Relationship Type="http://schemas.openxmlformats.org/officeDocument/2006/relationships/hyperlink" Target="https://www.chittorgarh.com/ipo/aia-engineering-ipo/3063/" TargetMode="External" Id="rId5330" /><Relationship Type="http://schemas.openxmlformats.org/officeDocument/2006/relationships/hyperlink" Target="https://www.sebi.gov.in/sebi_data/attachdocs/1292906172140.pdf" TargetMode="External" Id="rId5331" /><Relationship Type="http://schemas.openxmlformats.org/officeDocument/2006/relationships/hyperlink" Target="https://www.sebi.gov.in/filings/public-issues/sep-2005/tulip-it-services-limited-pdf_11944.html" TargetMode="External" Id="rId5332" /><Relationship Type="http://schemas.openxmlformats.org/officeDocument/2006/relationships/hyperlink" Target="https://www.chittorgarh.com/ipo/tulip-it-services-ipo/3072/" TargetMode="External" Id="rId5333" /><Relationship Type="http://schemas.openxmlformats.org/officeDocument/2006/relationships/hyperlink" Target="https://www.sebi.gov.in/sebi_data/attachdocs/1292905985855.pdf" TargetMode="External" Id="rId5334" /><Relationship Type="http://schemas.openxmlformats.org/officeDocument/2006/relationships/hyperlink" Target="https://www.sebi.gov.in/filings/public-issues/sep-2005/piramyd-retail-limited-pdf_11939.html" TargetMode="External" Id="rId5335" /><Relationship Type="http://schemas.openxmlformats.org/officeDocument/2006/relationships/hyperlink" Target="https://www.chittorgarh.com/ipo/piramyd-retail-ipo/3061/" TargetMode="External" Id="rId5336" /><Relationship Type="http://schemas.openxmlformats.org/officeDocument/2006/relationships/hyperlink" Target="https://www.sebi.gov.in/sebi_data/attachdocs/1292905452736.pdf" TargetMode="External" Id="rId5337" /><Relationship Type="http://schemas.openxmlformats.org/officeDocument/2006/relationships/hyperlink" Target="https://www.sebi.gov.in/filings/public-issues/sep-2005/educomp-solutions-ltd_11924.html" TargetMode="External" Id="rId5338" /><Relationship Type="http://schemas.openxmlformats.org/officeDocument/2006/relationships/hyperlink" Target="https://www.chittorgarh.com/ipo/educomp-solutions-ipo/3077/" TargetMode="External" Id="rId5339" /><Relationship Type="http://schemas.openxmlformats.org/officeDocument/2006/relationships/hyperlink" Target="https://www.sebi.gov.in/sebi_data/attachdocs/1292905880903.pdf" TargetMode="External" Id="rId5340" /><Relationship Type="http://schemas.openxmlformats.org/officeDocument/2006/relationships/hyperlink" Target="https://www.sebi.gov.in/filings/public-issues/sep-2005/srs-entertainment-ltd_11935.html" TargetMode="External" Id="rId5341" /><Relationship Type="http://schemas.openxmlformats.org/officeDocument/2006/relationships/hyperlink" Target="https://www.chittorgarh.com/ipo/srs_ipo/320/" TargetMode="External" Id="rId5342" /><Relationship Type="http://schemas.openxmlformats.org/officeDocument/2006/relationships/hyperlink" Target="https://www.sebi.gov.in/sebi_data/attachdocs/1292905231845.pdf" TargetMode="External" Id="rId5343" /><Relationship Type="http://schemas.openxmlformats.org/officeDocument/2006/relationships/hyperlink" Target="https://www.sebi.gov.in/filings/public-issues/sep-2005/godawari-power-and-ispat-limited-pdf_11919.html" TargetMode="External" Id="rId5344" /><Relationship Type="http://schemas.openxmlformats.org/officeDocument/2006/relationships/hyperlink" Target="https://www.chittorgarh.com/ipo/godawari-power-ispat-ipo/2910/" TargetMode="External" Id="rId5345" /><Relationship Type="http://schemas.openxmlformats.org/officeDocument/2006/relationships/hyperlink" Target="https://www.sebi.gov.in/sebi_data/attachdocs/1294131269132.pdf" TargetMode="External" Id="rId5346" /><Relationship Type="http://schemas.openxmlformats.org/officeDocument/2006/relationships/hyperlink" Target="https://www.sebi.gov.in/filings/public-issues/sep-2005/everest-kanto-cylinders-ltd_14169.html" TargetMode="External" Id="rId5347" /><Relationship Type="http://schemas.openxmlformats.org/officeDocument/2006/relationships/hyperlink" Target="https://www.chittorgarh.com/ipo/everest-kanto-cylinder-ipo/3066/" TargetMode="External" Id="rId5348" /><Relationship Type="http://schemas.openxmlformats.org/officeDocument/2006/relationships/hyperlink" Target="https://www.sebi.gov.in/sebi_data/attachdocs/1292847989010.pdf" TargetMode="External" Id="rId5349" /><Relationship Type="http://schemas.openxmlformats.org/officeDocument/2006/relationships/hyperlink" Target="https://www.sebi.gov.in/filings/public-issues/aug-2005/powersoft-global-solutions-ltd_11867.html" TargetMode="External" Id="rId5350" /><Relationship Type="http://schemas.openxmlformats.org/officeDocument/2006/relationships/hyperlink" Target="https://www.business-standard.com/markets/ipo/powersoft-global-solutions-ltd-ipo-22293" TargetMode="External" Id="rId5351" /><Relationship Type="http://schemas.openxmlformats.org/officeDocument/2006/relationships/hyperlink" Target="https://www.sebi.gov.in/sebi_data/attachdocs/1292847755187.pdf" TargetMode="External" Id="rId5352" /><Relationship Type="http://schemas.openxmlformats.org/officeDocument/2006/relationships/hyperlink" Target="https://www.sebi.gov.in/filings/public-issues/aug-2005/prithvi-information-solutions-ltd_11862.html" TargetMode="External" Id="rId5353" /><Relationship Type="http://schemas.openxmlformats.org/officeDocument/2006/relationships/hyperlink" Target="https://www.chittorgarh.com/ipo/prithvi-information-solutions-ipo/3060/" TargetMode="External" Id="rId5354" /><Relationship Type="http://schemas.openxmlformats.org/officeDocument/2006/relationships/hyperlink" Target="https://www.sebi.gov.in/sebi_data/attachdocs/1292847835215.pdf" TargetMode="External" Id="rId5355" /><Relationship Type="http://schemas.openxmlformats.org/officeDocument/2006/relationships/hyperlink" Target="https://www.sebi.gov.in/filings/public-issues/aug-2005/radha-madhav-corporation-ltd_11864.html" TargetMode="External" Id="rId5356" /><Relationship Type="http://schemas.openxmlformats.org/officeDocument/2006/relationships/hyperlink" Target="https://www.business-standard.com/markets/ipo/radha-madhav-corporation-ltd-ipo-26837" TargetMode="External" Id="rId5357" /><Relationship Type="http://schemas.openxmlformats.org/officeDocument/2006/relationships/hyperlink" Target="https://www.sebi.gov.in/sebi_data/attachdocs/1292847648863.pdf" TargetMode="External" Id="rId5358" /><Relationship Type="http://schemas.openxmlformats.org/officeDocument/2006/relationships/hyperlink" Target="https://www.sebi.gov.in/filings/public-issues/aug-2005/bannari-amman-spinning-mills-ltd_11861.html" TargetMode="External" Id="rId5359" /><Relationship Type="http://schemas.openxmlformats.org/officeDocument/2006/relationships/hyperlink" Target="https://www.chittorgarh.com/ipo/bannari-amman-spinning-mills-ipo/3057/" TargetMode="External" Id="rId5360" /><Relationship Type="http://schemas.openxmlformats.org/officeDocument/2006/relationships/hyperlink" Target="https://www.sebi.gov.in/sebi_data/attachdocs/1292846748050.pdf" TargetMode="External" Id="rId5361" /><Relationship Type="http://schemas.openxmlformats.org/officeDocument/2006/relationships/hyperlink" Target="https://www.sebi.gov.in/filings/public-issues/aug-2005/nitin-spinning-limited-pdf_11857.html" TargetMode="External" Id="rId5362" /><Relationship Type="http://schemas.openxmlformats.org/officeDocument/2006/relationships/hyperlink" Target="https://www.business-standard.com/markets/ipo/nitin-spinners-ltd-ipo-23785" TargetMode="External" Id="rId5363" /><Relationship Type="http://schemas.openxmlformats.org/officeDocument/2006/relationships/hyperlink" Target="https://www.sebi.gov.in/sebi_data/attachdocs/1292846621897.pdf" TargetMode="External" Id="rId5364" /><Relationship Type="http://schemas.openxmlformats.org/officeDocument/2006/relationships/hyperlink" Target="https://www.sebi.gov.in/filings/public-issues/aug-2005/bombay-rayon-fashions-limited-pdf_11856.html" TargetMode="External" Id="rId5365" /><Relationship Type="http://schemas.openxmlformats.org/officeDocument/2006/relationships/hyperlink" Target="https://www.chittorgarh.com/ipo/bombay-rayon-fashions-ipo/3062/" TargetMode="External" Id="rId5366" /><Relationship Type="http://schemas.openxmlformats.org/officeDocument/2006/relationships/hyperlink" Target="https://www.sebi.gov.in/sebi_data/attachdocs/1292846335646.pdf" TargetMode="External" Id="rId5367" /><Relationship Type="http://schemas.openxmlformats.org/officeDocument/2006/relationships/hyperlink" Target="https://www.sebi.gov.in/filings/public-issues/aug-2005/abg-shipyard-ltd_11855.html" TargetMode="External" Id="rId5368" /><Relationship Type="http://schemas.openxmlformats.org/officeDocument/2006/relationships/hyperlink" Target="https://www.chittorgarh.com/ipo/abg-shipyard-ipo/3064/" TargetMode="External" Id="rId5369" /><Relationship Type="http://schemas.openxmlformats.org/officeDocument/2006/relationships/hyperlink" Target="https://www.sebi.gov.in/sebi_data/attachdocs/1292846217760.pdf" TargetMode="External" Id="rId5370" /><Relationship Type="http://schemas.openxmlformats.org/officeDocument/2006/relationships/hyperlink" Target="https://www.sebi.gov.in/filings/public-issues/aug-2005/gujarat-industries-power-company-limited-pdf_11852.html" TargetMode="External" Id="rId5371" /><Relationship Type="http://schemas.openxmlformats.org/officeDocument/2006/relationships/hyperlink" Target="https://www.business-standard.com/markets/ipo/gujarat-industries-power-co-ltd-ipo-2718" TargetMode="External" Id="rId5372" /><Relationship Type="http://schemas.openxmlformats.org/officeDocument/2006/relationships/hyperlink" Target="https://www.sebi.gov.in/sebi_data/attachdocs/1292845923450.pdf" TargetMode="External" Id="rId5373" /><Relationship Type="http://schemas.openxmlformats.org/officeDocument/2006/relationships/hyperlink" Target="https://www.sebi.gov.in/filings/public-issues/aug-2005/kernex-microsystems-india-limited-pdf_11849.html" TargetMode="External" Id="rId5374" /><Relationship Type="http://schemas.openxmlformats.org/officeDocument/2006/relationships/hyperlink" Target="https://www.chittorgarh.com/ipo/kernex-microsystems-ipo/3068/" TargetMode="External" Id="rId5375" /><Relationship Type="http://schemas.openxmlformats.org/officeDocument/2006/relationships/hyperlink" Target="https://www.sebi.gov.in/sebi_data/attachdocs/1292845622636.pdf" TargetMode="External" Id="rId5376" /><Relationship Type="http://schemas.openxmlformats.org/officeDocument/2006/relationships/hyperlink" Target="https://www.sebi.gov.in/filings/public-issues/aug-2005/ramsarup-industries-limited-pdf_11845.html" TargetMode="External" Id="rId5377" /><Relationship Type="http://schemas.openxmlformats.org/officeDocument/2006/relationships/hyperlink" Target="https://www.business-standard.com/markets/ipo/ramsarup-industries-ltd-ipo-22868" TargetMode="External" Id="rId5378" /><Relationship Type="http://schemas.openxmlformats.org/officeDocument/2006/relationships/hyperlink" Target="https://www.sebi.gov.in/sebi_data/attachdocs/1292844341331.pdf" TargetMode="External" Id="rId5379" /><Relationship Type="http://schemas.openxmlformats.org/officeDocument/2006/relationships/hyperlink" Target="https://www.sebi.gov.in/filings/public-issues/aug-2005/rohit-ferro-tech-ltd_11836.html" TargetMode="External" Id="rId5380" /><Relationship Type="http://schemas.openxmlformats.org/officeDocument/2006/relationships/hyperlink" Target="https://www.chittorgarh.com/ipo/rohit-ferrotech-ipo/2901/" TargetMode="External" Id="rId5381" /><Relationship Type="http://schemas.openxmlformats.org/officeDocument/2006/relationships/hyperlink" Target="https://www.sebi.gov.in/sebi_data/attachdocs/1292844501157.pdf" TargetMode="External" Id="rId5382" /><Relationship Type="http://schemas.openxmlformats.org/officeDocument/2006/relationships/hyperlink" Target="https://www.sebi.gov.in/filings/public-issues/aug-2005/shree-renuka-sugars-limited_11838.html" TargetMode="External" Id="rId5383" /><Relationship Type="http://schemas.openxmlformats.org/officeDocument/2006/relationships/hyperlink" Target="https://www.chittorgarh.com/ipo/shree-renuka-sugars-ipo/3054/" TargetMode="External" Id="rId5384" /><Relationship Type="http://schemas.openxmlformats.org/officeDocument/2006/relationships/hyperlink" Target="https://www.sebi.gov.in/sebi_data/attachdocs/1292826786393.pdf" TargetMode="External" Id="rId5385" /><Relationship Type="http://schemas.openxmlformats.org/officeDocument/2006/relationships/hyperlink" Target="https://www.sebi.gov.in/filings/public-issues/jul-2005/suzlon-energy-limited-pdf_11597.html" TargetMode="External" Id="rId5386" /><Relationship Type="http://schemas.openxmlformats.org/officeDocument/2006/relationships/hyperlink" Target="https://www.chittorgarh.com/ipo/suzlon-energy-ipo/3051/" TargetMode="External" Id="rId5387" /><Relationship Type="http://schemas.openxmlformats.org/officeDocument/2006/relationships/hyperlink" Target="https://www.sebi.gov.in/sebi_data/attachdocs/1292826600397.pdf" TargetMode="External" Id="rId5388" /><Relationship Type="http://schemas.openxmlformats.org/officeDocument/2006/relationships/hyperlink" Target="https://www.sebi.gov.in/filings/public-issues/jul-2005/compulink-systems-limited-pdf_11593.html" TargetMode="External" Id="rId5389" /><Relationship Type="http://schemas.openxmlformats.org/officeDocument/2006/relationships/hyperlink" Target="https://www.chittorgarh.com/ipo/compulink-systems-ipo/3067/" TargetMode="External" Id="rId5390" /><Relationship Type="http://schemas.openxmlformats.org/officeDocument/2006/relationships/hyperlink" Target="https://www.sebi.gov.in/sebi_data/attachdocs/1292826657331.pdf" TargetMode="External" Id="rId5391" /><Relationship Type="http://schemas.openxmlformats.org/officeDocument/2006/relationships/hyperlink" Target="https://www.sebi.gov.in/filings/public-issues/jul-2005/shree-precoated-steels-limited-pdf_11594.html" TargetMode="External" Id="rId5392" /><Relationship Type="http://schemas.openxmlformats.org/officeDocument/2006/relationships/hyperlink" Target="https://stocksandsecurities.adityabirlacapital.com/markets/company-background/2404" TargetMode="External" Id="rId5393" /><Relationship Type="http://schemas.openxmlformats.org/officeDocument/2006/relationships/hyperlink" Target="https://www.sebi.gov.in/sebi_data/attachdocs/1292907549188.pdf" TargetMode="External" Id="rId5394" /><Relationship Type="http://schemas.openxmlformats.org/officeDocument/2006/relationships/hyperlink" Target="https://www.sebi.gov.in/filings/public-issues/jun-2005/m-s-kamayani-patients-care-india-ltd-pdf_11984.html" TargetMode="External" Id="rId5395" /><Relationship Type="http://schemas.openxmlformats.org/officeDocument/2006/relationships/hyperlink" Target="https://pitchbook.com/profiles/company/152699-32" TargetMode="External" Id="rId5396" /><Relationship Type="http://schemas.openxmlformats.org/officeDocument/2006/relationships/hyperlink" Target="https://www.sebi.gov.in/sebi_data/attachdocs/1292907429200.pdf" TargetMode="External" Id="rId5397" /><Relationship Type="http://schemas.openxmlformats.org/officeDocument/2006/relationships/hyperlink" Target="https://www.sebi.gov.in/filings/public-issues/jun-2005/km-sugar-mills-limited_11981.html" TargetMode="External" Id="rId5398" /><Relationship Type="http://schemas.openxmlformats.org/officeDocument/2006/relationships/hyperlink" Target="https://www.chittorgarh.com/ipo/kmsugar-mills-ipo/3056/" TargetMode="External" Id="rId5399" /><Relationship Type="http://schemas.openxmlformats.org/officeDocument/2006/relationships/hyperlink" Target="https://www.sebi.gov.in/sebi_data/attachdocs/1292906799549.pdf" TargetMode="External" Id="rId5400" /><Relationship Type="http://schemas.openxmlformats.org/officeDocument/2006/relationships/hyperlink" Target="https://www.sebi.gov.in/filings/public-issues/jun-2005/pba-infrastructure-ltd_11962.html" TargetMode="External" Id="rId5401" /><Relationship Type="http://schemas.openxmlformats.org/officeDocument/2006/relationships/hyperlink" Target="https://www.chittorgarh.com/ipo/pba-infrastructure-ipo/3058/" TargetMode="External" Id="rId5402" /><Relationship Type="http://schemas.openxmlformats.org/officeDocument/2006/relationships/hyperlink" Target="https://www.sebi.gov.in/sebi_data/attachdocs/1292906951972.pdf" TargetMode="External" Id="rId5403" /><Relationship Type="http://schemas.openxmlformats.org/officeDocument/2006/relationships/hyperlink" Target="https://www.sebi.gov.in/filings/public-issues/jun-2005/pyramid-saimira-theatre-ltd_11967.html" TargetMode="External" Id="rId5404" /><Relationship Type="http://schemas.openxmlformats.org/officeDocument/2006/relationships/hyperlink" Target="https://www.chittorgarh.com/ipo/pyramid-saimira-theatre-ipo/34/" TargetMode="External" Id="rId5405" /><Relationship Type="http://schemas.openxmlformats.org/officeDocument/2006/relationships/hyperlink" Target="https://www.sebi.gov.in/sebi_data/attachdocs/1292906671290.pdf" TargetMode="External" Id="rId5406" /><Relationship Type="http://schemas.openxmlformats.org/officeDocument/2006/relationships/hyperlink" Target="https://www.sebi.gov.in/filings/public-issues/jun-2005/aurionpro-solutions-limited-pdf_11959.html" TargetMode="External" Id="rId5407" /><Relationship Type="http://schemas.openxmlformats.org/officeDocument/2006/relationships/hyperlink" Target="https://www.chittorgarh.com/ipo/aurionpro-solutions-ipo/3052/" TargetMode="External" Id="rId5408" /><Relationship Type="http://schemas.openxmlformats.org/officeDocument/2006/relationships/hyperlink" Target="https://www.sebi.gov.in/sebi_data/attachdocs/1292906563120.pdf" TargetMode="External" Id="rId5409" /><Relationship Type="http://schemas.openxmlformats.org/officeDocument/2006/relationships/hyperlink" Target="https://www.sebi.gov.in/filings/public-issues/jun-2005/triveni-engineering-and-industries-limited-pdf_11956.html" TargetMode="External" Id="rId5410" /><Relationship Type="http://schemas.openxmlformats.org/officeDocument/2006/relationships/hyperlink" Target="https://www.business-standard.com/markets/ipo/triveni-engineering-and-industries-ltd-ipo-20058" TargetMode="External" Id="rId5411" /><Relationship Type="http://schemas.openxmlformats.org/officeDocument/2006/relationships/hyperlink" Target="https://www.sebi.gov.in/sebi_data/attachdocs/1292906488819.pdf" TargetMode="External" Id="rId5412" /><Relationship Type="http://schemas.openxmlformats.org/officeDocument/2006/relationships/hyperlink" Target="https://www.sebi.gov.in/filings/public-issues/jun-2005/raj-rayon-limited-pdf_11954.html" TargetMode="External" Id="rId5413" /><Relationship Type="http://schemas.openxmlformats.org/officeDocument/2006/relationships/hyperlink" Target="https://www.business-standard.com/markets/ipo/raj-rayon-industries-ltd-ipo-5128" TargetMode="External" Id="rId5414" /><Relationship Type="http://schemas.openxmlformats.org/officeDocument/2006/relationships/hyperlink" Target="https://www.sebi.gov.in/sebi_data/attachdocs/1292903712025.pdf" TargetMode="External" Id="rId5415" /><Relationship Type="http://schemas.openxmlformats.org/officeDocument/2006/relationships/hyperlink" Target="https://www.sebi.gov.in/filings/public-issues/may-2005/vikas-metal-and-power-limited-pdf_11894.html" TargetMode="External" Id="rId5416" /><Relationship Type="http://schemas.openxmlformats.org/officeDocument/2006/relationships/hyperlink" Target="https://www.chittorgarh.com/ipo/vikash-metal-&amp;amp;-power-ipo/3059/" TargetMode="External" Id="rId5417" /><Relationship Type="http://schemas.openxmlformats.org/officeDocument/2006/relationships/hyperlink" Target="https://www.sebi.gov.in/sebi_data/attachdocs/1292903574573.pdf" TargetMode="External" Id="rId5418" /><Relationship Type="http://schemas.openxmlformats.org/officeDocument/2006/relationships/hyperlink" Target="https://www.sebi.gov.in/filings/public-issues/may-2005/sasken-communication-technologies-ltd_11892.html" TargetMode="External" Id="rId5419" /><Relationship Type="http://schemas.openxmlformats.org/officeDocument/2006/relationships/hyperlink" Target="https://www.chittorgarh.com/ipo/sasken-communication-technologies-ipo/3045/" TargetMode="External" Id="rId5420" /><Relationship Type="http://schemas.openxmlformats.org/officeDocument/2006/relationships/hyperlink" Target="https://www.sebi.gov.in/sebi_data/attachdocs/1292903503350.pdf" TargetMode="External" Id="rId5421" /><Relationship Type="http://schemas.openxmlformats.org/officeDocument/2006/relationships/hyperlink" Target="https://www.sebi.gov.in/filings/public-issues/may-2005/net-4-india-limited_11890.html" TargetMode="External" Id="rId5422" /><Relationship Type="http://schemas.openxmlformats.org/officeDocument/2006/relationships/hyperlink" Target="https://www.crunchbase.com/organization/net4" TargetMode="External" Id="rId5423" /><Relationship Type="http://schemas.openxmlformats.org/officeDocument/2006/relationships/hyperlink" Target="https://www.sebi.gov.in/sebi_data/attachdocs/1292903428724.pdf" TargetMode="External" Id="rId5424" /><Relationship Type="http://schemas.openxmlformats.org/officeDocument/2006/relationships/hyperlink" Target="https://www.sebi.gov.in/filings/public-issues/may-2005/infrastructure-development-finance-company-limited-pdf_11889.html" TargetMode="External" Id="rId5425" /><Relationship Type="http://schemas.openxmlformats.org/officeDocument/2006/relationships/hyperlink" Target="https://www.chittorgarh.com/ipo/infrastructure-development-finance-coltd-ipo/3043/" TargetMode="External" Id="rId5426" /><Relationship Type="http://schemas.openxmlformats.org/officeDocument/2006/relationships/hyperlink" Target="https://www.sebi.gov.in/sebi_data/attachdocs/1292903362993.pdf" TargetMode="External" Id="rId5427" /><Relationship Type="http://schemas.openxmlformats.org/officeDocument/2006/relationships/hyperlink" Target="https://www.sebi.gov.in/filings/public-issues/may-2005/tilaknagar-industries-limited-pdf_11888.html" TargetMode="External" Id="rId5428" /><Relationship Type="http://schemas.openxmlformats.org/officeDocument/2006/relationships/hyperlink" Target="https://www.sebi.gov.in/sebi_data/attachdocs/1292904265472.pdf" TargetMode="External" Id="rId5429" /><Relationship Type="http://schemas.openxmlformats.org/officeDocument/2006/relationships/hyperlink" Target="https://www.sebi.gov.in/sebi_data/attachdocs/1292903217184.pdf" TargetMode="External" Id="rId5430" /><Relationship Type="http://schemas.openxmlformats.org/officeDocument/2006/relationships/hyperlink" Target="https://www.sebi.gov.in/filings/public-issues/may-2005/shoppers-stop-limited-public-announcement-pdf_11885.html" TargetMode="External" Id="rId5431" /><Relationship Type="http://schemas.openxmlformats.org/officeDocument/2006/relationships/hyperlink" Target="https://www.business-standard.com/markets/ipo/shoppers-stop-ltd-ipo-19961" TargetMode="External" Id="rId5432" /><Relationship Type="http://schemas.openxmlformats.org/officeDocument/2006/relationships/hyperlink" Target="https://www.sebi.gov.in/sebi_data/attachdocs/1292903268730.pdf" TargetMode="External" Id="rId5433" /><Relationship Type="http://schemas.openxmlformats.org/officeDocument/2006/relationships/hyperlink" Target="https://www.sebi.gov.in/filings/public-issues/may-2005/southern-online-bio-technologies-limited-pdf_11886.html" TargetMode="External" Id="rId5434" /><Relationship Type="http://schemas.openxmlformats.org/officeDocument/2006/relationships/hyperlink" Target="https://www.chittorgarh.com/ipo/southern-online-bio-technologies-fpo/3049/" TargetMode="External" Id="rId5435" /><Relationship Type="http://schemas.openxmlformats.org/officeDocument/2006/relationships/hyperlink" Target="https://www.sebi.gov.in/sebi_data/attachdocs/1292843481601.pdf" TargetMode="External" Id="rId5436" /><Relationship Type="http://schemas.openxmlformats.org/officeDocument/2006/relationships/hyperlink" Target="https://www.sebi.gov.in/filings/public-issues/apr-2005/ht-media-ltd_11825.html" TargetMode="External" Id="rId5437" /><Relationship Type="http://schemas.openxmlformats.org/officeDocument/2006/relationships/hyperlink" Target="https://www.chittorgarh.com/ipo/ht-media-ipo/3044/" TargetMode="External" Id="rId5438" /><Relationship Type="http://schemas.openxmlformats.org/officeDocument/2006/relationships/hyperlink" Target="https://www.sebi.gov.in/sebi_data/attachdocs/1292843365441.pdf" TargetMode="External" Id="rId5439" /><Relationship Type="http://schemas.openxmlformats.org/officeDocument/2006/relationships/hyperlink" Target="https://www.sebi.gov.in/filings/public-issues/apr-2005/ilandfs-investsmart-ltd_11823.html" TargetMode="External" Id="rId5440" /><Relationship Type="http://schemas.openxmlformats.org/officeDocument/2006/relationships/hyperlink" Target="https://www.chittorgarh.com/ipo/il&amp;amp;fs-investsmart-ipo/3039/" TargetMode="External" Id="rId5441" /><Relationship Type="http://schemas.openxmlformats.org/officeDocument/2006/relationships/hyperlink" Target="https://www.sebi.gov.in/sebi_data/attachdocs/1292843065459.pdf" TargetMode="External" Id="rId5442" /><Relationship Type="http://schemas.openxmlformats.org/officeDocument/2006/relationships/hyperlink" Target="https://www.sebi.gov.in/filings/public-issues/apr-2005/shopper-s-stop-limited-public-announcement_11821.html" TargetMode="External" Id="rId5443" /><Relationship Type="http://schemas.openxmlformats.org/officeDocument/2006/relationships/hyperlink" Target="https://www.chittorgarh.com/ipo/shoppers-stop-ipo/3025/" TargetMode="External" Id="rId5444" /><Relationship Type="http://schemas.openxmlformats.org/officeDocument/2006/relationships/hyperlink" Target="https://www.sebi.gov.in/sebi_data/attachdocs/1292842705609.pdf" TargetMode="External" Id="rId5445" /><Relationship Type="http://schemas.openxmlformats.org/officeDocument/2006/relationships/hyperlink" Target="https://www.sebi.gov.in/filings/public-issues/apr-2005/syndicate-bank-pdf_11817.html" TargetMode="External" Id="rId5446" /><Relationship Type="http://schemas.openxmlformats.org/officeDocument/2006/relationships/hyperlink" Target="https://www.business-standard.com/markets/ipo/syndicate-bank-merged-ipo-5638" TargetMode="External" Id="rId5447" /><Relationship Type="http://schemas.openxmlformats.org/officeDocument/2006/relationships/hyperlink" Target="https://www.sebi.gov.in/sebi_data/attachdocs/1292841941754.pdf" TargetMode="External" Id="rId5448" /><Relationship Type="http://schemas.openxmlformats.org/officeDocument/2006/relationships/hyperlink" Target="https://www.sebi.gov.in/filings/public-issues/apr-2005/provogue-india-limited-pdf_11812.html" TargetMode="External" Id="rId5449" /><Relationship Type="http://schemas.openxmlformats.org/officeDocument/2006/relationships/hyperlink" Target="https://www.chittorgarh.com/ipo/provogue-ipo/3032/" TargetMode="External" Id="rId5450" /><Relationship Type="http://schemas.openxmlformats.org/officeDocument/2006/relationships/hyperlink" Target="https://www.sebi.gov.in/sebi_data/attachdocs/1292841583140.pdf" TargetMode="External" Id="rId5451" /><Relationship Type="http://schemas.openxmlformats.org/officeDocument/2006/relationships/hyperlink" Target="https://www.sebi.gov.in/filings/public-issues/apr-2005/jindal-poly-films-limited-pdf_11806.html" TargetMode="External" Id="rId5452" /><Relationship Type="http://schemas.openxmlformats.org/officeDocument/2006/relationships/hyperlink" Target="https://www.business-standard.com/markets/ipo/jindal-poly-films-ltd-ipo-4162" TargetMode="External" Id="rId5453" /><Relationship Type="http://schemas.openxmlformats.org/officeDocument/2006/relationships/hyperlink" Target="https://www.sebi.gov.in/sebi_data/attachdocs/1292841477239.pdf" TargetMode="External" Id="rId5454" /><Relationship Type="http://schemas.openxmlformats.org/officeDocument/2006/relationships/hyperlink" Target="https://www.sebi.gov.in/filings/public-issues/apr-2005/spl-industries-limited-pdf_11804.html" TargetMode="External" Id="rId5455" /><Relationship Type="http://schemas.openxmlformats.org/officeDocument/2006/relationships/hyperlink" Target="https://www.chittorgarh.com/ipo/spl-industries-ipo/3037/" TargetMode="External" Id="rId5456" /><Relationship Type="http://schemas.openxmlformats.org/officeDocument/2006/relationships/hyperlink" Target="https://www.sebi.gov.in/sebi_data/attachdocs/1292841356125.pdf" TargetMode="External" Id="rId5457" /><Relationship Type="http://schemas.openxmlformats.org/officeDocument/2006/relationships/hyperlink" Target="https://www.sebi.gov.in/filings/public-issues/apr-2005/saksoft-limited-addemdum-dated-march-25-2005_11800.html" TargetMode="External" Id="rId5458" /><Relationship Type="http://schemas.openxmlformats.org/officeDocument/2006/relationships/hyperlink" Target="https://www.business-standard.com/markets/ipo/saksoft-ltd-ipo-26503" TargetMode="External" Id="rId5459" /><Relationship Type="http://schemas.openxmlformats.org/officeDocument/2006/relationships/hyperlink" Target="https://www.sebi.gov.in/sebi_data/attachdocs/1292841272787.pdf" TargetMode="External" Id="rId5460" /><Relationship Type="http://schemas.openxmlformats.org/officeDocument/2006/relationships/hyperlink" Target="https://www.sebi.gov.in/filings/public-issues/apr-2005/nectar-lifesciences-ltd_11796.html" TargetMode="External" Id="rId5461" /><Relationship Type="http://schemas.openxmlformats.org/officeDocument/2006/relationships/hyperlink" Target="https://www.chittorgarh.com/ipo/nectar-lifesciences-ipo/3035/" TargetMode="External" Id="rId5462" /><Relationship Type="http://schemas.openxmlformats.org/officeDocument/2006/relationships/hyperlink" Target="https://www.sebi.gov.in/sebi_data/attachdocs/1292827827960.pdf" TargetMode="External" Id="rId5463" /><Relationship Type="http://schemas.openxmlformats.org/officeDocument/2006/relationships/hyperlink" Target="https://www.sebi.gov.in/filings/public-issues/mar-2005/yash-papers-limited_11611.html" TargetMode="External" Id="rId5464" /><Relationship Type="http://schemas.openxmlformats.org/officeDocument/2006/relationships/hyperlink" Target="https://www.chittorgarh.com/ipo/yash-papers-fpo/3038/" TargetMode="External" Id="rId5465" /><Relationship Type="http://schemas.openxmlformats.org/officeDocument/2006/relationships/hyperlink" Target="https://www.sebi.gov.in/sebi_data/attachdocs/1292826999106.pdf" TargetMode="External" Id="rId5466" /><Relationship Type="http://schemas.openxmlformats.org/officeDocument/2006/relationships/hyperlink" Target="https://www.sebi.gov.in/filings/public-issues/mar-2005/century-extrusions-ltd_11601.html" TargetMode="External" Id="rId5467" /><Relationship Type="http://schemas.openxmlformats.org/officeDocument/2006/relationships/hyperlink" Target="https://www.goodreturns.in/company/century-extrusions/rights.html" TargetMode="External" Id="rId5468" /><Relationship Type="http://schemas.openxmlformats.org/officeDocument/2006/relationships/hyperlink" Target="https://www.sebi.gov.in/sebi_data/attachdocs/1292827272402.pdf" TargetMode="External" Id="rId5469" /><Relationship Type="http://schemas.openxmlformats.org/officeDocument/2006/relationships/hyperlink" Target="https://www.sebi.gov.in/filings/public-issues/mar-2005/the-oudh-sugar-mills-limited_11607.html" TargetMode="External" Id="rId5470" /><Relationship Type="http://schemas.openxmlformats.org/officeDocument/2006/relationships/hyperlink" Target="https://www.sebi.gov.in/sebi_data/attachdocs/1292905093116.pdf" TargetMode="External" Id="rId5471" /><Relationship Type="http://schemas.openxmlformats.org/officeDocument/2006/relationships/hyperlink" Target="https://www.sebi.gov.in/sebi_data/attachdocs/1292826307499.pdf" TargetMode="External" Id="rId5472" /><Relationship Type="http://schemas.openxmlformats.org/officeDocument/2006/relationships/hyperlink" Target="https://www.sebi.gov.in/filings/public-issues/mar-2005/talbros-automotive-components-limited-pdf_11586.html" TargetMode="External" Id="rId5473" /><Relationship Type="http://schemas.openxmlformats.org/officeDocument/2006/relationships/hyperlink" Target="https://www.business-standard.com/markets/ipo/talbros-automotive-components-ltd-ipo-549" TargetMode="External" Id="rId5474" /><Relationship Type="http://schemas.openxmlformats.org/officeDocument/2006/relationships/hyperlink" Target="https://www.sebi.gov.in/sebi_data/attachdocs/1292826233895.pdf" TargetMode="External" Id="rId5475" /><Relationship Type="http://schemas.openxmlformats.org/officeDocument/2006/relationships/hyperlink" Target="https://www.sebi.gov.in/filings/public-issues/mar-2005/yes-bank-ltd_11583.html" TargetMode="External" Id="rId5476" /><Relationship Type="http://schemas.openxmlformats.org/officeDocument/2006/relationships/hyperlink" Target="https://www.sebi.gov.in/sebi_data/attachdocs/1292825864031.pdf" TargetMode="External" Id="rId5477" /><Relationship Type="http://schemas.openxmlformats.org/officeDocument/2006/relationships/hyperlink" Target="https://www.sebi.gov.in/filings/public-issues/mar-2005/oriental-bank-of-commerce_11575.html" TargetMode="External" Id="rId5478" /><Relationship Type="http://schemas.openxmlformats.org/officeDocument/2006/relationships/hyperlink" Target="https://www.business-standard.com/markets/ipo/oriental-bank-of-commerce-merged-ipo-4318" TargetMode="External" Id="rId5479" /><Relationship Type="http://schemas.openxmlformats.org/officeDocument/2006/relationships/hyperlink" Target="https://www.sebi.gov.in/sebi_data/attachdocs/1292825583545.pdf" TargetMode="External" Id="rId5480" /><Relationship Type="http://schemas.openxmlformats.org/officeDocument/2006/relationships/hyperlink" Target="https://www.sebi.gov.in/filings/public-issues/mar-2005/color-chips-india-ltd_11571.html" TargetMode="External" Id="rId5481" /><Relationship Type="http://schemas.openxmlformats.org/officeDocument/2006/relationships/hyperlink" Target="https://www.screener.in/company/540023/" TargetMode="External" Id="rId5482" /><Relationship Type="http://schemas.openxmlformats.org/officeDocument/2006/relationships/hyperlink" Target="https://www.sebi.gov.in/sebi_data/attachdocs/1292825335951.pdf" TargetMode="External" Id="rId5483" /><Relationship Type="http://schemas.openxmlformats.org/officeDocument/2006/relationships/hyperlink" Target="https://www.sebi.gov.in/filings/public-issues/mar-2005/gwalior-chemical-industries-ltd_11568.html" TargetMode="External" Id="rId5484" /><Relationship Type="http://schemas.openxmlformats.org/officeDocument/2006/relationships/hyperlink" Target="https://www.sebi.gov.in/sebi_data/attachdocs/1292825041727.pdf" TargetMode="External" Id="rId5485" /><Relationship Type="http://schemas.openxmlformats.org/officeDocument/2006/relationships/hyperlink" Target="https://www.sebi.gov.in/filings/public-issues/mar-2005/era-constructions-india-limited_11564.html" TargetMode="External" Id="rId5486" /><Relationship Type="http://schemas.openxmlformats.org/officeDocument/2006/relationships/hyperlink" Target="http://www.cmlinks.com/pub/dp/dp4926.pdf" TargetMode="External" Id="rId5487" /><Relationship Type="http://schemas.openxmlformats.org/officeDocument/2006/relationships/hyperlink" Target="https://www.sebi.gov.in/sebi_data/attachdocs/1292820809409.pdf" TargetMode="External" Id="rId5488" /><Relationship Type="http://schemas.openxmlformats.org/officeDocument/2006/relationships/hyperlink" Target="https://www.sebi.gov.in/filings/public-issues/feb-2005/india-infoline-limited-pdf_11506.html" TargetMode="External" Id="rId5489" /><Relationship Type="http://schemas.openxmlformats.org/officeDocument/2006/relationships/hyperlink" Target="https://www.chittorgarh.com/ipo/india-infoline-ipo/3023/" TargetMode="External" Id="rId5490" /><Relationship Type="http://schemas.openxmlformats.org/officeDocument/2006/relationships/hyperlink" Target="https://www.sebi.gov.in/sebi_data/attachdocs/1292820511226.pdf" TargetMode="External" Id="rId5491" /><Relationship Type="http://schemas.openxmlformats.org/officeDocument/2006/relationships/hyperlink" Target="https://www.sebi.gov.in/filings/public-issues/feb-2005/alps-industries-limited-pdf_11505.html" TargetMode="External" Id="rId5492" /><Relationship Type="http://schemas.openxmlformats.org/officeDocument/2006/relationships/hyperlink" Target="https://www.business-standard.com/markets/ipo/alps-industries-ltd-ipo-5135" TargetMode="External" Id="rId5493" /><Relationship Type="http://schemas.openxmlformats.org/officeDocument/2006/relationships/hyperlink" Target="https://www.sebi.gov.in/sebi_data/attachdocs/1292820329626.pdf" TargetMode="External" Id="rId5494" /><Relationship Type="http://schemas.openxmlformats.org/officeDocument/2006/relationships/hyperlink" Target="https://www.sebi.gov.in/filings/public-issues/feb-2005/allahabad-bank_11504.html" TargetMode="External" Id="rId5495" /><Relationship Type="http://schemas.openxmlformats.org/officeDocument/2006/relationships/hyperlink" Target="https://www.business-standard.com/markets/ipo/allahabad-bank-merged-ipo-5675" TargetMode="External" Id="rId5496" /><Relationship Type="http://schemas.openxmlformats.org/officeDocument/2006/relationships/hyperlink" Target="https://www.sebi.gov.in/sebi_data/attachdocs/1292820198339.pdf" TargetMode="External" Id="rId5497" /><Relationship Type="http://schemas.openxmlformats.org/officeDocument/2006/relationships/hyperlink" Target="https://www.sebi.gov.in/filings/public-issues/feb-2005/alps-industries-ltd_11503.html" TargetMode="External" Id="rId5498" /><Relationship Type="http://schemas.openxmlformats.org/officeDocument/2006/relationships/hyperlink" Target="https://www.business-standard.com/markets/ipo/alps-industries-ltd-ipo-5135" TargetMode="External" Id="rId5499" /><Relationship Type="http://schemas.openxmlformats.org/officeDocument/2006/relationships/hyperlink" Target="https://www.sebi.gov.in/sebi_data/attachdocs/1292820126112.pdf" TargetMode="External" Id="rId5500" /><Relationship Type="http://schemas.openxmlformats.org/officeDocument/2006/relationships/hyperlink" Target="https://www.sebi.gov.in/filings/public-issues/feb-2005/southern-iron-and-steel-co-limited_11502.html" TargetMode="External" Id="rId5501" /><Relationship Type="http://schemas.openxmlformats.org/officeDocument/2006/relationships/hyperlink" Target="https://www.sebi.gov.in/sebi_data/attachdocs/1292819945096.pdf" TargetMode="External" Id="rId5502" /><Relationship Type="http://schemas.openxmlformats.org/officeDocument/2006/relationships/hyperlink" Target="https://www.sebi.gov.in/filings/public-issues/feb-2005/3i-infotech-limited_11501.html" TargetMode="External" Id="rId5503" /><Relationship Type="http://schemas.openxmlformats.org/officeDocument/2006/relationships/hyperlink" Target="https://www.chittorgarh.com/ipo/3i-infotech-ipo/3018/" TargetMode="External" Id="rId5504" /><Relationship Type="http://schemas.openxmlformats.org/officeDocument/2006/relationships/hyperlink" Target="https://www.sebi.gov.in/sebi_data/attachdocs/1292819603104.pdf" TargetMode="External" Id="rId5505" /><Relationship Type="http://schemas.openxmlformats.org/officeDocument/2006/relationships/hyperlink" Target="https://www.sebi.gov.in/filings/public-issues/feb-2005/allsec-technologies-limited-pdf_11500.html" TargetMode="External" Id="rId5506" /><Relationship Type="http://schemas.openxmlformats.org/officeDocument/2006/relationships/hyperlink" Target="https://www.chittorgarh.com/ipo/allsec-technologies-ipo/3021/" TargetMode="External" Id="rId5507" /><Relationship Type="http://schemas.openxmlformats.org/officeDocument/2006/relationships/hyperlink" Target="https://www.sebi.gov.in/sebi_data/attachdocs/1292819152783.pdf" TargetMode="External" Id="rId5508" /><Relationship Type="http://schemas.openxmlformats.org/officeDocument/2006/relationships/hyperlink" Target="https://www.sebi.gov.in/filings/public-issues/feb-2005/gokaldas-exports-ltd_11498.html" TargetMode="External" Id="rId5509" /><Relationship Type="http://schemas.openxmlformats.org/officeDocument/2006/relationships/hyperlink" Target="https://www.chittorgarh.com/ipo/gokaldas-exports-ipo/3017/" TargetMode="External" Id="rId5510" /><Relationship Type="http://schemas.openxmlformats.org/officeDocument/2006/relationships/hyperlink" Target="https://www.sebi.gov.in/sebi_data/attachdocs/1292819429819.pdf" TargetMode="External" Id="rId5511" /><Relationship Type="http://schemas.openxmlformats.org/officeDocument/2006/relationships/hyperlink" Target="https://www.sebi.gov.in/filings/public-issues/feb-2005/jaiprakash-hydro-power-ltd_11499.html" TargetMode="External" Id="rId5512" /><Relationship Type="http://schemas.openxmlformats.org/officeDocument/2006/relationships/hyperlink" Target="https://www.chittorgarh.com/ipo/jaiprakash-hydro-power-ipo/3015/" TargetMode="External" Id="rId5513" /><Relationship Type="http://schemas.openxmlformats.org/officeDocument/2006/relationships/hyperlink" Target="https://www.sebi.gov.in/sebi_data/attachdocs/1292819060030.pdf" TargetMode="External" Id="rId5514" /><Relationship Type="http://schemas.openxmlformats.org/officeDocument/2006/relationships/hyperlink" Target="https://www.sebi.gov.in/filings/public-issues/feb-2005/uniply-industries-limited_11497.html" TargetMode="External" Id="rId5515" /><Relationship Type="http://schemas.openxmlformats.org/officeDocument/2006/relationships/hyperlink" Target="https://www.chittorgarh.com/ipo/uniply-industries-ipo/3030/" TargetMode="External" Id="rId5516" /><Relationship Type="http://schemas.openxmlformats.org/officeDocument/2006/relationships/hyperlink" Target="https://www.sebi.gov.in/sebi_data/attachdocs/1292818962364.pdf" TargetMode="External" Id="rId5517" /><Relationship Type="http://schemas.openxmlformats.org/officeDocument/2006/relationships/hyperlink" Target="https://www.sebi.gov.in/filings/public-issues/feb-2005/shri-ramrupai-balaji-steels-limited_11496.html" TargetMode="External" Id="rId5518" /><Relationship Type="http://schemas.openxmlformats.org/officeDocument/2006/relationships/hyperlink" Target="https://www.chittorgarh.com/ipo/shri-ramrupai-balaji-steels-ipo/3041/" TargetMode="External" Id="rId5519" /><Relationship Type="http://schemas.openxmlformats.org/officeDocument/2006/relationships/hyperlink" Target="https://www.sebi.gov.in/sebi_data/attachdocs/1292818541592.pdf" TargetMode="External" Id="rId5520" /><Relationship Type="http://schemas.openxmlformats.org/officeDocument/2006/relationships/hyperlink" Target="https://www.sebi.gov.in/filings/public-issues/feb-2005/ivrcl-infrastructure-and-projects-ltd_11495.html" TargetMode="External" Id="rId5521" /><Relationship Type="http://schemas.openxmlformats.org/officeDocument/2006/relationships/hyperlink" Target="https://www.indiainfoline.com/company/ivrcl-ltd/summary/5954" TargetMode="External" Id="rId5522" /><Relationship Type="http://schemas.openxmlformats.org/officeDocument/2006/relationships/hyperlink" Target="https://www.sebi.gov.in/sebi_data/attachdocs/1292585905359.pdf" TargetMode="External" Id="rId5523" /><Relationship Type="http://schemas.openxmlformats.org/officeDocument/2006/relationships/hyperlink" Target="https://www.sebi.gov.in/filings/public-issues/jan-2005/paradyne-infotech-limited-pdf_11465.html" TargetMode="External" Id="rId5524" /><Relationship Type="http://schemas.openxmlformats.org/officeDocument/2006/relationships/hyperlink" Target="https://www.chittorgarh.com/ipo/paradyne-infotech-ipo/3053/" TargetMode="External" Id="rId5525" /><Relationship Type="http://schemas.openxmlformats.org/officeDocument/2006/relationships/hyperlink" Target="https://www.sebi.gov.in/sebi_data/attachdocs/1292585823104.pdf" TargetMode="External" Id="rId5526" /><Relationship Type="http://schemas.openxmlformats.org/officeDocument/2006/relationships/hyperlink" Target="https://www.sebi.gov.in/filings/public-issues/jan-2005/shringar-cinemas-limited_11464.html" TargetMode="External" Id="rId5527" /><Relationship Type="http://schemas.openxmlformats.org/officeDocument/2006/relationships/hyperlink" Target="https://www.chittorgarh.com/ipo/shringar-cinemas-ipo/3019/" TargetMode="External" Id="rId5528" /><Relationship Type="http://schemas.openxmlformats.org/officeDocument/2006/relationships/hyperlink" Target="https://www.sebi.gov.in/sebi_data/attachdocs/1292585729311.pdf" TargetMode="External" Id="rId5529" /><Relationship Type="http://schemas.openxmlformats.org/officeDocument/2006/relationships/hyperlink" Target="https://www.sebi.gov.in/filings/public-issues/jan-2005/punjab-national-bank-pdf_11463.html" TargetMode="External" Id="rId5530" /><Relationship Type="http://schemas.openxmlformats.org/officeDocument/2006/relationships/hyperlink" Target="https://www.business-standard.com/markets/ipo/punjab-national-bank-ipo-7855" TargetMode="External" Id="rId5531" /><Relationship Type="http://schemas.openxmlformats.org/officeDocument/2006/relationships/hyperlink" Target="https://www.sebi.gov.in/sebi_data/attachdocs/1292585658020.pdf" TargetMode="External" Id="rId5532" /><Relationship Type="http://schemas.openxmlformats.org/officeDocument/2006/relationships/hyperlink" Target="https://www.sebi.gov.in/filings/public-issues/jan-2005/shree-ganesh-forgings-limited_11462.html" TargetMode="External" Id="rId5533" /><Relationship Type="http://schemas.openxmlformats.org/officeDocument/2006/relationships/hyperlink" Target="https://www.chittorgarh.com/ipo/shree-ganesh-forgings-ipo/3028/" TargetMode="External" Id="rId5534" /><Relationship Type="http://schemas.openxmlformats.org/officeDocument/2006/relationships/hyperlink" Target="https://www.sebi.gov.in/sebi_data/attachdocs/1292585594248.pdf" TargetMode="External" Id="rId5535" /><Relationship Type="http://schemas.openxmlformats.org/officeDocument/2006/relationships/hyperlink" Target="https://www.sebi.gov.in/filings/public-issues/jan-2005/jet-airways-india-ltd-pdf_11461.html" TargetMode="External" Id="rId5536" /><Relationship Type="http://schemas.openxmlformats.org/officeDocument/2006/relationships/hyperlink" Target="https://www.chittorgarh.com/ipo/jet-airways-ipo/3009/" TargetMode="External" Id="rId5537" /><Relationship Type="http://schemas.openxmlformats.org/officeDocument/2006/relationships/hyperlink" Target="https://www.sebi.gov.in/sebi_data/attachdocs/1292585497043.pdf" TargetMode="External" Id="rId5538" /><Relationship Type="http://schemas.openxmlformats.org/officeDocument/2006/relationships/hyperlink" Target="https://www.sebi.gov.in/filings/public-issues/jan-2005/beeyu-overseas-ltd-pdf_11460.html" TargetMode="External" Id="rId5539" /><Relationship Type="http://schemas.openxmlformats.org/officeDocument/2006/relationships/hyperlink" Target="https://www.business-standard.com/markets/ipo/beeyu-overseas-ltd-ipo-20888" TargetMode="External" Id="rId5540" /><Relationship Type="http://schemas.openxmlformats.org/officeDocument/2006/relationships/hyperlink" Target="https://www.sebi.gov.in/sebi_data/attachdocs/1293431041396.pdf" TargetMode="External" Id="rId5541" /><Relationship Type="http://schemas.openxmlformats.org/officeDocument/2006/relationships/hyperlink" Target="https://www.sebi.gov.in/filings/public-issues/dec-2004/emami-limited_13483.html" TargetMode="External" Id="rId5542" /><Relationship Type="http://schemas.openxmlformats.org/officeDocument/2006/relationships/hyperlink" Target="https://www.business-standard.com/markets/ipo/emami-ltd-ipo-6423" TargetMode="External" Id="rId5543" /><Relationship Type="http://schemas.openxmlformats.org/officeDocument/2006/relationships/hyperlink" Target="https://www.sebi.gov.in/sebi_data/attachdocs/1293430907268.pdf" TargetMode="External" Id="rId5544" /><Relationship Type="http://schemas.openxmlformats.org/officeDocument/2006/relationships/hyperlink" Target="https://www.sebi.gov.in/filings/public-issues/dec-2004/draft-prospectus-fcs-software-solutions-limited_13482.html" TargetMode="External" Id="rId5545" /><Relationship Type="http://schemas.openxmlformats.org/officeDocument/2006/relationships/hyperlink" Target="https://www.chittorgarh.com/ipo/fcs-software-solutions-ipo/3046/" TargetMode="External" Id="rId5546" /><Relationship Type="http://schemas.openxmlformats.org/officeDocument/2006/relationships/hyperlink" Target="https://www.sebi.gov.in/sebi_data/attachdocs/1293430106550.pdf" TargetMode="External" Id="rId5547" /><Relationship Type="http://schemas.openxmlformats.org/officeDocument/2006/relationships/hyperlink" Target="https://www.sebi.gov.in/filings/public-issues/dec-2004/amar-remedies-limited_13478.html" TargetMode="External" Id="rId5548" /><Relationship Type="http://schemas.openxmlformats.org/officeDocument/2006/relationships/hyperlink" Target="https://www.chittorgarh.com/ipo/amar-remedies-ipo/3047/" TargetMode="External" Id="rId5549" /><Relationship Type="http://schemas.openxmlformats.org/officeDocument/2006/relationships/hyperlink" Target="https://www.sebi.gov.in/sebi_data/attachdocs/1293428682728.pdf" TargetMode="External" Id="rId5550" /><Relationship Type="http://schemas.openxmlformats.org/officeDocument/2006/relationships/hyperlink" Target="https://www.sebi.gov.in/filings/public-issues/dec-2004/nandan-exim-limited_13471.html" TargetMode="External" Id="rId5551" /><Relationship Type="http://schemas.openxmlformats.org/officeDocument/2006/relationships/hyperlink" Target="https://www.chittorgarh.com/ipo/nandan-exim-ipo/3027/" TargetMode="External" Id="rId5552" /><Relationship Type="http://schemas.openxmlformats.org/officeDocument/2006/relationships/hyperlink" Target="https://www.sebi.gov.in/sebi_data/attachdocs/1293425223480.pdf" TargetMode="External" Id="rId5553" /><Relationship Type="http://schemas.openxmlformats.org/officeDocument/2006/relationships/hyperlink" Target="https://www.sebi.gov.in/filings/public-issues/dec-2004/vivimed-labs-ltd-pdf_13453.html" TargetMode="External" Id="rId5554" /><Relationship Type="http://schemas.openxmlformats.org/officeDocument/2006/relationships/hyperlink" Target="https://www.chittorgarh.com/ipo/vivimed-labs-ipo/3042/" TargetMode="External" Id="rId5555" /><Relationship Type="http://schemas.openxmlformats.org/officeDocument/2006/relationships/hyperlink" Target="https://www.sebi.gov.in/sebi_data/attachdocs/1293428589258.pdf" TargetMode="External" Id="rId5556" /><Relationship Type="http://schemas.openxmlformats.org/officeDocument/2006/relationships/hyperlink" Target="https://www.sebi.gov.in/filings/public-issues/dec-2004/beeyu-overseas-ltd-pdf_13468.html" TargetMode="External" Id="rId5557" /><Relationship Type="http://schemas.openxmlformats.org/officeDocument/2006/relationships/hyperlink" Target="https://www.business-standard.com/markets/ipo/beeyu-overseas-ltd-ipo-20888" TargetMode="External" Id="rId5558" /><Relationship Type="http://schemas.openxmlformats.org/officeDocument/2006/relationships/hyperlink" Target="https://www.sebi.gov.in/sebi_data/attachdocs/1293427681401.pdf" TargetMode="External" Id="rId5559" /><Relationship Type="http://schemas.openxmlformats.org/officeDocument/2006/relationships/hyperlink" Target="https://www.sebi.gov.in/filings/public-issues/dec-2004/utv-software-communications-limited-pdf_13466.html" TargetMode="External" Id="rId5560" /><Relationship Type="http://schemas.openxmlformats.org/officeDocument/2006/relationships/hyperlink" Target="https://www.chittorgarh.com/ipo/utv-software-communications-ipo/3010/" TargetMode="External" Id="rId5561" /><Relationship Type="http://schemas.openxmlformats.org/officeDocument/2006/relationships/hyperlink" Target="https://www.sebi.gov.in/sebi_data/attachdocs/1293427440754.pdf" TargetMode="External" Id="rId5562" /><Relationship Type="http://schemas.openxmlformats.org/officeDocument/2006/relationships/hyperlink" Target="https://www.sebi.gov.in/filings/public-issues/dec-2004/sms-pharmaceuticals-limited_13465.html" TargetMode="External" Id="rId5563" /><Relationship Type="http://schemas.openxmlformats.org/officeDocument/2006/relationships/hyperlink" Target="https://www.sebi.gov.in/sebi_data/attachdocs/1300086403381.pdf" TargetMode="External" Id="rId5564" /><Relationship Type="http://schemas.openxmlformats.org/officeDocument/2006/relationships/hyperlink" Target="https://www.sebi.gov.in/filings/public-issues/dec-2004/capricorn-systems-global-solutions-limited_16124.html" TargetMode="External" Id="rId5565" /><Relationship Type="http://schemas.openxmlformats.org/officeDocument/2006/relationships/hyperlink" Target="https://www.sebi.gov.in/sebi_data/attachdocs/1293427310084.pdf" TargetMode="External" Id="rId5566" /><Relationship Type="http://schemas.openxmlformats.org/officeDocument/2006/relationships/hyperlink" Target="https://www.sebi.gov.in/filings/public-issues/dec-2004/saksoft-limited_13464.html" TargetMode="External" Id="rId5567" /><Relationship Type="http://schemas.openxmlformats.org/officeDocument/2006/relationships/hyperlink" Target="https://www.chittorgarh.com/ipo/saksoft-ipo/3016/" TargetMode="External" Id="rId5568" /><Relationship Type="http://schemas.openxmlformats.org/officeDocument/2006/relationships/hyperlink" Target="https://www.sebi.gov.in/sebi_data/attachdocs/1293426062977.pdf" TargetMode="External" Id="rId5569" /><Relationship Type="http://schemas.openxmlformats.org/officeDocument/2006/relationships/hyperlink" Target="https://www.sebi.gov.in/filings/public-issues/dec-2004/dena-bank_13461.html" TargetMode="External" Id="rId5570" /><Relationship Type="http://schemas.openxmlformats.org/officeDocument/2006/relationships/hyperlink" Target="https://www.business-standard.com/markets/ipo/dena-bank-merged-ipo-5533" TargetMode="External" Id="rId5571" /><Relationship Type="http://schemas.openxmlformats.org/officeDocument/2006/relationships/hyperlink" Target="https://www.sebi.gov.in/sebi_data/attachdocs/1293426145632.pdf" TargetMode="External" Id="rId5572" /><Relationship Type="http://schemas.openxmlformats.org/officeDocument/2006/relationships/hyperlink" Target="https://www.sebi.gov.in/filings/public-issues/dec-2004/the-coonoor-tea-estates-co-ltd-pdf_13462.html" TargetMode="External" Id="rId5573" /><Relationship Type="http://schemas.openxmlformats.org/officeDocument/2006/relationships/hyperlink" Target="https://www.sebi.gov.in/sebi_data/attachdocs/1293192546276.pdf" TargetMode="External" Id="rId5574" /><Relationship Type="http://schemas.openxmlformats.org/officeDocument/2006/relationships/hyperlink" Target="https://www.sebi.gov.in/filings/public-issues/nov-2004/mangalam-drugs-and-organics-limited_13381.html" TargetMode="External" Id="rId5575" /><Relationship Type="http://schemas.openxmlformats.org/officeDocument/2006/relationships/hyperlink" Target="https://www.chittorgarh.com/ipo/mangalam-drugs-&amp;amp;-organics-ipo/3022/" TargetMode="External" Id="rId5576" /><Relationship Type="http://schemas.openxmlformats.org/officeDocument/2006/relationships/hyperlink" Target="https://www.sebi.gov.in/sebi_data/attachdocs/1293191628528.pdf" TargetMode="External" Id="rId5577" /><Relationship Type="http://schemas.openxmlformats.org/officeDocument/2006/relationships/hyperlink" Target="https://www.sebi.gov.in/filings/public-issues/nov-2004/icici-bank-limited-part-1_13372.html" TargetMode="External" Id="rId5578" /><Relationship Type="http://schemas.openxmlformats.org/officeDocument/2006/relationships/hyperlink" Target="https://www.sebi.gov.in/sebi_data/attachdocs/1293191265811.pdf" TargetMode="External" Id="rId5579" /><Relationship Type="http://schemas.openxmlformats.org/officeDocument/2006/relationships/hyperlink" Target="https://www.sebi.gov.in/filings/public-issues/nov-2004/icici-bank-limited-part-2_13371.html" TargetMode="External" Id="rId5580" /><Relationship Type="http://schemas.openxmlformats.org/officeDocument/2006/relationships/hyperlink" Target="https://www.sebi.gov.in/sebi_data/attachdocs/1293191207819.pdf" TargetMode="External" Id="rId5581" /><Relationship Type="http://schemas.openxmlformats.org/officeDocument/2006/relationships/hyperlink" Target="https://www.sebi.gov.in/filings/public-issues/nov-2004/icici-bank-limited-part-3_13370.html" TargetMode="External" Id="rId5582" /><Relationship Type="http://schemas.openxmlformats.org/officeDocument/2006/relationships/hyperlink" Target="https://www.sebi.gov.in/sebi_data/attachdocs/1293191151198.pdf" TargetMode="External" Id="rId5583" /><Relationship Type="http://schemas.openxmlformats.org/officeDocument/2006/relationships/hyperlink" Target="https://www.sebi.gov.in/filings/public-issues/nov-2004/plus-paper-foodpac-limited_13369.html" TargetMode="External" Id="rId5584" /><Relationship Type="http://schemas.openxmlformats.org/officeDocument/2006/relationships/hyperlink" Target="https://www.sebi.gov.in/sebi_data/attachdocs/1293190921015.pdf" TargetMode="External" Id="rId5585" /><Relationship Type="http://schemas.openxmlformats.org/officeDocument/2006/relationships/hyperlink" Target="https://www.sebi.gov.in/filings/public-issues/nov-2004/sunil-synchem-limited_13367.html" TargetMode="External" Id="rId5586" /><Relationship Type="http://schemas.openxmlformats.org/officeDocument/2006/relationships/hyperlink" Target="https://www.sebi.gov.in/sebi_data/attachdocs/1293176642506.pdf" TargetMode="External" Id="rId5587" /><Relationship Type="http://schemas.openxmlformats.org/officeDocument/2006/relationships/hyperlink" Target="https://www.sebi.gov.in/filings/public-issues/oct-2004/cyber-media-india-ltd-pdf_13211.html" TargetMode="External" Id="rId5588" /><Relationship Type="http://schemas.openxmlformats.org/officeDocument/2006/relationships/hyperlink" Target="https://www.chittorgarh.com/ipo/cyber-media-ipo/3026/" TargetMode="External" Id="rId5589" /><Relationship Type="http://schemas.openxmlformats.org/officeDocument/2006/relationships/hyperlink" Target="https://www.sebi.gov.in/sebi_data/attachdocs/1300086582467.pdf" TargetMode="External" Id="rId5590" /><Relationship Type="http://schemas.openxmlformats.org/officeDocument/2006/relationships/hyperlink" Target="https://www.sebi.gov.in/filings/public-issues/oct-2004/net-vision-web-technologies-limtied-offer-for-sale_16129.html" TargetMode="External" Id="rId5591" /><Relationship Type="http://schemas.openxmlformats.org/officeDocument/2006/relationships/hyperlink" Target="https://www.sebi.gov.in/sebi_data/attachdocs/1293172782476.pdf" TargetMode="External" Id="rId5592" /><Relationship Type="http://schemas.openxmlformats.org/officeDocument/2006/relationships/hyperlink" Target="https://www.sebi.gov.in/filings/public-issues/oct-2004/usher-agro-limited_13191.html" TargetMode="External" Id="rId5593" /><Relationship Type="http://schemas.openxmlformats.org/officeDocument/2006/relationships/hyperlink" Target="https://www.chittorgarh.com/ipo/usher-agro-ipo/7/" TargetMode="External" Id="rId5594" /><Relationship Type="http://schemas.openxmlformats.org/officeDocument/2006/relationships/hyperlink" Target="https://www.sebi.gov.in/sebi_data/attachdocs/1293163070751.pdf" TargetMode="External" Id="rId5595" /><Relationship Type="http://schemas.openxmlformats.org/officeDocument/2006/relationships/hyperlink" Target="https://www.sebi.gov.in/filings/public-issues/sep-2004/idbi-flexibond-series-2004-2005-part-a-pdf_13100.html" TargetMode="External" Id="rId5596" /><Relationship Type="http://schemas.openxmlformats.org/officeDocument/2006/relationships/hyperlink" Target="https://www.sebi.gov.in/sebi_data/attachdocs/1293163950446.pdf" TargetMode="External" Id="rId5597" /><Relationship Type="http://schemas.openxmlformats.org/officeDocument/2006/relationships/hyperlink" Target="https://www.sebi.gov.in/filings/public-issues/sep-2004/idbi-flexibond-series-2004-2005-part-b-pdf_13105.html" TargetMode="External" Id="rId5598" /><Relationship Type="http://schemas.openxmlformats.org/officeDocument/2006/relationships/hyperlink" Target="https://www.sebi.gov.in/sebi_data/attachdocs/1293164121884.pdf" TargetMode="External" Id="rId5599" /><Relationship Type="http://schemas.openxmlformats.org/officeDocument/2006/relationships/hyperlink" Target="https://www.sebi.gov.in/filings/public-issues/sep-2004/idbi-flexibond-series-2004-2005-part-c-pdf_13109.html" TargetMode="External" Id="rId5600" /><Relationship Type="http://schemas.openxmlformats.org/officeDocument/2006/relationships/hyperlink" Target="https://www.sebi.gov.in/sebi_data/attachdocs/1293162306719.pdf" TargetMode="External" Id="rId5601" /><Relationship Type="http://schemas.openxmlformats.org/officeDocument/2006/relationships/hyperlink" Target="https://www.sebi.gov.in/filings/public-issues/sep-2004/bharati-shipyard-limited-pdf_13098.html" TargetMode="External" Id="rId5602" /><Relationship Type="http://schemas.openxmlformats.org/officeDocument/2006/relationships/hyperlink" Target="https://www.chittorgarh.com/ipo/bharati-shipyard-ipo/3132/" TargetMode="External" Id="rId5603" /><Relationship Type="http://schemas.openxmlformats.org/officeDocument/2006/relationships/hyperlink" Target="https://www.sebi.gov.in/sebi_data/attachdocs/1293106430692.pdf" TargetMode="External" Id="rId5604" /><Relationship Type="http://schemas.openxmlformats.org/officeDocument/2006/relationships/hyperlink" Target="https://www.sebi.gov.in/filings/public-issues/sep-2004/dwarikesh-sugar-industries-limited_13097.html" TargetMode="External" Id="rId5605" /><Relationship Type="http://schemas.openxmlformats.org/officeDocument/2006/relationships/hyperlink" Target="https://www.chittorgarh.com/ipo/dwarikesh-sugar-industries-ipo/3131/" TargetMode="External" Id="rId5606" /><Relationship Type="http://schemas.openxmlformats.org/officeDocument/2006/relationships/hyperlink" Target="https://www.sebi.gov.in/sebi_data/attachdocs/1293105915197.pdf" TargetMode="External" Id="rId5607" /><Relationship Type="http://schemas.openxmlformats.org/officeDocument/2006/relationships/hyperlink" Target="https://www.sebi.gov.in/filings/public-issues/sep-2004/hfcl-infotel-limited-pdf_13096.html" TargetMode="External" Id="rId5608" /><Relationship Type="http://schemas.openxmlformats.org/officeDocument/2006/relationships/hyperlink" Target="https://www.sebi.gov.in/sebi_data/attachdocs/1293083301000.pdf" TargetMode="External" Id="rId5609" /><Relationship Type="http://schemas.openxmlformats.org/officeDocument/2006/relationships/hyperlink" Target="https://www.sebi.gov.in/filings/public-issues/aug-2004/national-thermal-power-corporation-limited_12905.html" TargetMode="External" Id="rId5610" /><Relationship Type="http://schemas.openxmlformats.org/officeDocument/2006/relationships/hyperlink" Target="https://www.chittorgarh.com/ipo/national-thermal-power-ipo/3127/" TargetMode="External" Id="rId5611" /><Relationship Type="http://schemas.openxmlformats.org/officeDocument/2006/relationships/hyperlink" Target="https://www.sebi.gov.in/sebi_data/attachdocs/1293083112551.pdf" TargetMode="External" Id="rId5612" /><Relationship Type="http://schemas.openxmlformats.org/officeDocument/2006/relationships/hyperlink" Target="https://www.sebi.gov.in/filings/public-issues/aug-2004/mars-restaurants-limited_12903.html" TargetMode="External" Id="rId5613" /><Relationship Type="http://schemas.openxmlformats.org/officeDocument/2006/relationships/hyperlink" Target="https://www.sebi.gov.in/sebi_data/attachdocs/1293082881081.pdf" TargetMode="External" Id="rId5614" /><Relationship Type="http://schemas.openxmlformats.org/officeDocument/2006/relationships/hyperlink" Target="https://www.sebi.gov.in/filings/public-issues/aug-2004/shopper-s-stop-limited_12900.html" TargetMode="External" Id="rId5615" /><Relationship Type="http://schemas.openxmlformats.org/officeDocument/2006/relationships/hyperlink" Target="https://www.chittorgarh.com/ipo/shoppers-stop-ipo/3025/" TargetMode="External" Id="rId5616" /><Relationship Type="http://schemas.openxmlformats.org/officeDocument/2006/relationships/hyperlink" Target="https://www.sebi.gov.in/sebi_data/attachdocs/1295591742876.pdf" TargetMode="External" Id="rId5617" /><Relationship Type="http://schemas.openxmlformats.org/officeDocument/2006/relationships/hyperlink" Target="https://www.sebi.gov.in/filings/public-issues/jul-2004/utv-software-communications-limited-pdf_14387.html" TargetMode="External" Id="rId5618" /><Relationship Type="http://schemas.openxmlformats.org/officeDocument/2006/relationships/hyperlink" Target="https://www.chittorgarh.com/ipo/utv-software-communications-ipo/3010/" TargetMode="External" Id="rId5619" /><Relationship Type="http://schemas.openxmlformats.org/officeDocument/2006/relationships/hyperlink" Target="https://www.sebi.gov.in/sebi_data/attachdocs/1293077763420.pdf" TargetMode="External" Id="rId5620" /><Relationship Type="http://schemas.openxmlformats.org/officeDocument/2006/relationships/hyperlink" Target="https://www.sebi.gov.in/filings/public-issues/jun-2004/sunil-synchem-limited_12823.html" TargetMode="External" Id="rId5621" /><Relationship Type="http://schemas.openxmlformats.org/officeDocument/2006/relationships/hyperlink" Target="https://www.sebi.gov.in/sebi_data/attachdocs/1293077677108.pdf" TargetMode="External" Id="rId5622" /><Relationship Type="http://schemas.openxmlformats.org/officeDocument/2006/relationships/hyperlink" Target="https://www.sebi.gov.in/filings/public-issues/jun-2004/impex-ferro-tech-ltd-pdf_12821.html" TargetMode="External" Id="rId5623" /><Relationship Type="http://schemas.openxmlformats.org/officeDocument/2006/relationships/hyperlink" Target="https://www.chittorgarh.com/ipo/impex-ferro-tech-ipo/3134/" TargetMode="External" Id="rId5624" /></Relationships>
</file>

<file path=xl/worksheets/sheet1.xml><?xml version="1.0" encoding="utf-8"?>
<worksheet xmlns="http://schemas.openxmlformats.org/spreadsheetml/2006/main">
  <sheetPr filterMode="0">
    <outlinePr summaryBelow="1" summaryRight="1"/>
    <pageSetUpPr fitToPage="0"/>
  </sheetPr>
  <dimension ref="A1:Z195"/>
  <sheetViews>
    <sheetView showFormulas="0" showGridLines="0"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6" customWidth="1" style="11" min="1" max="1"/>
    <col width="44" customWidth="1" style="11" min="2" max="2"/>
    <col width="14" customWidth="1" style="11" min="3" max="4"/>
    <col width="12" customWidth="1" style="11" min="5" max="5"/>
    <col width="22" customWidth="1" style="11" min="6" max="6"/>
    <col width="14" customWidth="1" style="11" min="7" max="7"/>
    <col width="26" customWidth="1" style="11" min="8" max="8"/>
    <col width="15" customWidth="1" style="11" min="9" max="9"/>
    <col width="14" customWidth="1" style="11" min="10" max="11"/>
    <col width="16" customWidth="1" style="11" min="12" max="14"/>
    <col width="52" customWidth="1" style="11" min="15" max="15"/>
    <col width="50" customWidth="1" style="11" min="16" max="16"/>
    <col width="58" customWidth="1" style="11" min="17" max="19"/>
    <col width="12" customWidth="1" style="11" min="20" max="20"/>
    <col width="14" customWidth="1" style="12" min="21" max="21"/>
    <col width="14" customWidth="1" style="12" min="22" max="22"/>
    <col width="14" customWidth="1" style="12" min="23" max="23"/>
    <col width="28" customWidth="1" style="12" min="24" max="24"/>
    <col width="60" customWidth="1" style="12" min="25" max="25"/>
    <col width="58" customWidth="1" style="12" min="26" max="26"/>
  </cols>
  <sheetData>
    <row r="1" ht="42" customHeight="1" s="12">
      <c r="A1" s="13" t="inlineStr">
        <is>
          <t>S.No</t>
        </is>
      </c>
      <c r="B1" s="13" t="inlineStr">
        <is>
          <t>IPO / Company Name</t>
        </is>
      </c>
      <c r="C1" s="13" t="inlineStr">
        <is>
          <t>DRHP Filing Date (SEBI)</t>
        </is>
      </c>
      <c r="D1" s="13" t="inlineStr">
        <is>
          <t>Latest Draft Filing Date</t>
        </is>
      </c>
      <c r="E1" s="13" t="inlineStr">
        <is>
          <t>Latest Draft Document</t>
        </is>
      </c>
      <c r="F1" s="13" t="inlineStr">
        <is>
          <t>Filing Route</t>
        </is>
      </c>
      <c r="G1" s="13" t="inlineStr">
        <is>
          <t>IPO Issue (Open) Date</t>
        </is>
      </c>
      <c r="H1" s="13" t="inlineStr">
        <is>
          <t>IPO Status</t>
        </is>
      </c>
      <c r="I1" s="13" t="inlineStr">
        <is>
          <t>IPO Size (₹ Cr) per DRHP</t>
        </is>
      </c>
      <c r="J1" s="13" t="inlineStr">
        <is>
          <t>Fresh Issue (₹ Cr)</t>
        </is>
      </c>
      <c r="K1" s="13" t="inlineStr">
        <is>
          <t>OFS (₹ Cr)</t>
        </is>
      </c>
      <c r="L1" s="13" t="inlineStr">
        <is>
          <t>Total Offer (No. of Shares)</t>
        </is>
      </c>
      <c r="M1" s="13" t="inlineStr">
        <is>
          <t>Fresh Issue (No. of Shares)</t>
        </is>
      </c>
      <c r="N1" s="13" t="inlineStr">
        <is>
          <t>OFS (No. of Shares)</t>
        </is>
      </c>
      <c r="O1" s="13" t="inlineStr">
        <is>
          <t>Offer Terms per DRHP</t>
        </is>
      </c>
      <c r="P1" s="13" t="inlineStr">
        <is>
          <t>Size Basis</t>
        </is>
      </c>
      <c r="Q1" s="13" t="inlineStr">
        <is>
          <t>DRHP PDF (SEBI)</t>
        </is>
      </c>
      <c r="R1" s="13" t="inlineStr">
        <is>
          <t>SEBI Filing Page</t>
        </is>
      </c>
      <c r="S1" s="13" t="inlineStr">
        <is>
          <t>Draft Abridged Prospectus</t>
        </is>
      </c>
      <c r="T1" s="13" t="inlineStr">
        <is>
          <t>Addenda / Corrigenda Filed</t>
        </is>
      </c>
      <c r="U1" s="13" t="inlineStr">
        <is>
          <t>IPO Issue Open Date (web search)</t>
        </is>
      </c>
      <c r="V1" s="13" t="inlineStr">
        <is>
          <t>IPO Issue Close Date (web search)</t>
        </is>
      </c>
      <c r="W1" s="13" t="inlineStr">
        <is>
          <t>Listing Date (web search)</t>
        </is>
      </c>
      <c r="X1" s="13" t="inlineStr">
        <is>
          <t>Web Search Status</t>
        </is>
      </c>
      <c r="Y1" s="13" t="inlineStr">
        <is>
          <t>Web Search Note</t>
        </is>
      </c>
      <c r="Z1" s="13" t="inlineStr">
        <is>
          <t>Web Search Source</t>
        </is>
      </c>
    </row>
    <row r="2" ht="15" customHeight="1" s="12">
      <c r="A2" s="14" t="n">
        <v>1</v>
      </c>
      <c r="B2" s="15" t="inlineStr">
        <is>
          <t>S. D. INTERNATIONAL LIMITED</t>
        </is>
      </c>
      <c r="C2" s="16" t="n">
        <v>46295</v>
      </c>
      <c r="D2" s="16" t="n">
        <v>46295</v>
      </c>
      <c r="E2" s="15" t="inlineStr">
        <is>
          <t>DRHP</t>
        </is>
      </c>
      <c r="F2" s="15" t="inlineStr">
        <is>
          <t>Regular DRHP</t>
        </is>
      </c>
      <c r="G2" s="16" t="n"/>
      <c r="H2" s="15" t="inlineStr">
        <is>
          <t>DRHP filed — issue dates not announced</t>
        </is>
      </c>
      <c r="I2" s="17" t="n"/>
      <c r="J2" s="17" t="n"/>
      <c r="K2" s="17" t="n"/>
      <c r="L2" s="14" t="n"/>
      <c r="M2" s="14" t="n"/>
      <c r="N2" s="14" t="n"/>
      <c r="O2" s="15" t="inlineStr">
        <is>
          <t>Not read — see DRHP PDF</t>
        </is>
      </c>
      <c r="P2" s="15" t="inlineStr">
        <is>
          <t>Offer terms not extracted — open the DRHP PDF</t>
        </is>
      </c>
      <c r="Q2" s="18" t="inlineStr">
        <is>
          <t>https://www.sebi.gov.in/sebi_data/attachdocs/sep-2026/1790767812069_1376.pdf</t>
        </is>
      </c>
      <c r="R2" s="18" t="inlineStr">
        <is>
          <t>https://www.sebi.gov.in/filings/public-issues/sep-2026/s-d-international-limited_104826.html</t>
        </is>
      </c>
      <c r="S2" s="15" t="n"/>
      <c r="T2" s="14" t="n">
        <v>0</v>
      </c>
      <c r="U2" s="16" t="n"/>
      <c r="V2" s="16" t="n"/>
      <c r="W2" s="16" t="n"/>
      <c r="X2" s="15" t="inlineStr">
        <is>
          <t>Dates not announced</t>
        </is>
      </c>
      <c r="Y2" s="15" t="inlineStr">
        <is>
          <t>DRHP filed; no IPO dates found</t>
        </is>
      </c>
      <c r="Z2" s="14" t="n"/>
    </row>
    <row r="3" ht="15" customHeight="1" s="12">
      <c r="A3" s="14" t="n">
        <v>2</v>
      </c>
      <c r="B3" s="15" t="inlineStr">
        <is>
          <t>S G Encon Limited</t>
        </is>
      </c>
      <c r="C3" s="16" t="n">
        <v>46295</v>
      </c>
      <c r="D3" s="16" t="n">
        <v>46295</v>
      </c>
      <c r="E3" s="15" t="inlineStr">
        <is>
          <t>DRHP</t>
        </is>
      </c>
      <c r="F3" s="15" t="inlineStr">
        <is>
          <t>Regular DRHP</t>
        </is>
      </c>
      <c r="G3" s="16" t="n"/>
      <c r="H3" s="15" t="inlineStr">
        <is>
          <t>DRHP filed — issue dates not announced</t>
        </is>
      </c>
      <c r="I3" s="17" t="n"/>
      <c r="J3" s="17" t="n"/>
      <c r="K3" s="17" t="n"/>
      <c r="L3" s="14" t="n">
        <v>8561700</v>
      </c>
      <c r="M3" s="14" t="n">
        <v>7190400</v>
      </c>
      <c r="N3" s="14" t="n">
        <v>1371300</v>
      </c>
      <c r="O3" s="15" t="inlineStr">
        <is>
          <t>Fresh issue up to 7,190,400 sh + OFS up to 1,371,300 sh</t>
        </is>
      </c>
      <c r="P3" s="15" t="inlineStr">
        <is>
          <t>DRHP states number of shares only (DRHP cover) — ₹ size depends on price band</t>
        </is>
      </c>
      <c r="Q3" s="18" t="inlineStr">
        <is>
          <t>https://www.sebi.gov.in/sebi_data/attachdocs/sep-2026/1790767812069_1377.pdf</t>
        </is>
      </c>
      <c r="R3" s="18" t="inlineStr">
        <is>
          <t>https://www.sebi.gov.in/filings/public-issues/sep-2026/s-g-encon-limited_104828.html</t>
        </is>
      </c>
      <c r="S3" s="15" t="n"/>
      <c r="T3" s="14" t="n">
        <v>0</v>
      </c>
      <c r="U3" s="16" t="n"/>
      <c r="V3" s="16" t="n"/>
      <c r="W3" s="16" t="n"/>
      <c r="X3" s="15" t="inlineStr">
        <is>
          <t>Dates not announced</t>
        </is>
      </c>
      <c r="Y3" s="15" t="inlineStr">
        <is>
          <t>DRHP filed; no IPO dates found</t>
        </is>
      </c>
      <c r="Z3" s="14" t="n"/>
    </row>
    <row r="4" ht="15" customHeight="1" s="12">
      <c r="A4" s="14" t="n">
        <v>3</v>
      </c>
      <c r="B4" s="15" t="inlineStr">
        <is>
          <t>J B ECOTEX LIMITED</t>
        </is>
      </c>
      <c r="C4" s="16" t="n">
        <v>46295</v>
      </c>
      <c r="D4" s="16" t="n">
        <v>46295</v>
      </c>
      <c r="E4" s="15" t="inlineStr">
        <is>
          <t>DRHP</t>
        </is>
      </c>
      <c r="F4" s="15" t="inlineStr">
        <is>
          <t>Regular DRHP</t>
        </is>
      </c>
      <c r="G4" s="16" t="n"/>
      <c r="H4" s="15" t="inlineStr">
        <is>
          <t>DRHP filed — issue dates not announced</t>
        </is>
      </c>
      <c r="I4" s="17" t="n"/>
      <c r="J4" s="17" t="n"/>
      <c r="K4" s="17" t="n"/>
      <c r="L4" s="14" t="n"/>
      <c r="M4" s="14" t="n"/>
      <c r="N4" s="14" t="n"/>
      <c r="O4" s="15" t="inlineStr">
        <is>
          <t>Not read — see DRHP PDF</t>
        </is>
      </c>
      <c r="P4" s="15" t="inlineStr">
        <is>
          <t>Offer terms not extracted — open the DRHP PDF</t>
        </is>
      </c>
      <c r="Q4" s="18" t="inlineStr">
        <is>
          <t>https://www.sebi.gov.in/sebi_data/attachdocs/sep-2026/1790767812069_1378.pdf</t>
        </is>
      </c>
      <c r="R4" s="18" t="inlineStr">
        <is>
          <t>https://www.sebi.gov.in/filings/public-issues/sep-2026/j-b-ecotex-limited_104830.html</t>
        </is>
      </c>
      <c r="S4" s="15" t="n"/>
      <c r="T4" s="14" t="n">
        <v>0</v>
      </c>
      <c r="U4" s="16" t="n"/>
      <c r="V4" s="16" t="n"/>
      <c r="W4" s="16" t="n"/>
      <c r="X4" s="15" t="inlineStr">
        <is>
          <t>Dates not announced</t>
        </is>
      </c>
      <c r="Y4" s="15" t="inlineStr">
        <is>
          <t>DRHP filed; dates not announced</t>
        </is>
      </c>
      <c r="Z4" s="18" t="inlineStr">
        <is>
          <t>https://www.chittorgarh.com/ipo/j-b-ecotex-ipo/3311/</t>
        </is>
      </c>
    </row>
    <row r="5" ht="15" customHeight="1" s="12">
      <c r="A5" s="14" t="n">
        <v>4</v>
      </c>
      <c r="B5" s="15" t="inlineStr">
        <is>
          <t>ULTRAVIBRANT INTEGRATED ENERGY LIMITED</t>
        </is>
      </c>
      <c r="C5" s="16" t="n">
        <v>46294</v>
      </c>
      <c r="D5" s="16" t="n">
        <v>46294</v>
      </c>
      <c r="E5" s="15" t="inlineStr">
        <is>
          <t>DRHP</t>
        </is>
      </c>
      <c r="F5" s="15" t="inlineStr">
        <is>
          <t>Regular DRHP</t>
        </is>
      </c>
      <c r="G5" s="16" t="n"/>
      <c r="H5" s="15" t="inlineStr">
        <is>
          <t>DRHP filed — issue dates not announced</t>
        </is>
      </c>
      <c r="I5" s="17" t="n"/>
      <c r="J5" s="17" t="n"/>
      <c r="K5" s="17" t="n"/>
      <c r="L5" s="14" t="n">
        <v>14500000</v>
      </c>
      <c r="M5" s="14" t="n">
        <v>12000000</v>
      </c>
      <c r="N5" s="14" t="n">
        <v>2500000</v>
      </c>
      <c r="O5" s="15" t="inlineStr">
        <is>
          <t>Fresh issue up to 12,000,000 sh + OFS up to 2,500,000 sh</t>
        </is>
      </c>
      <c r="P5" s="15" t="inlineStr">
        <is>
          <t>DRHP states number of shares only (DRHP cover) — ₹ size depends on price band</t>
        </is>
      </c>
      <c r="Q5" s="18" t="inlineStr">
        <is>
          <t>https://www.sebi.gov.in/sebi_data/attachdocs/sep-2026/1790681405842_1375.pdf</t>
        </is>
      </c>
      <c r="R5" s="18" t="inlineStr">
        <is>
          <t>https://www.sebi.gov.in/filings/public-issues/sep-2026/ultravibrant-integrated-energy-limited_104809.html</t>
        </is>
      </c>
      <c r="S5" s="15" t="n"/>
      <c r="T5" s="14" t="n">
        <v>0</v>
      </c>
      <c r="U5" s="16" t="n"/>
      <c r="V5" s="16" t="n"/>
      <c r="W5" s="16" t="n"/>
      <c r="X5" s="15" t="inlineStr">
        <is>
          <t>Dates not announced</t>
        </is>
      </c>
      <c r="Y5" s="15" t="inlineStr">
        <is>
          <t>DRHP filed; no IPO dates found</t>
        </is>
      </c>
      <c r="Z5" s="14" t="n"/>
    </row>
    <row r="6" ht="15" customHeight="1" s="12">
      <c r="A6" s="14" t="n">
        <v>5</v>
      </c>
      <c r="B6" s="15" t="inlineStr">
        <is>
          <t>Iris Global Services Limited</t>
        </is>
      </c>
      <c r="C6" s="16" t="n">
        <v>46293</v>
      </c>
      <c r="D6" s="16" t="n">
        <v>46293</v>
      </c>
      <c r="E6" s="15" t="inlineStr">
        <is>
          <t>DRHP</t>
        </is>
      </c>
      <c r="F6" s="15" t="inlineStr">
        <is>
          <t>Regular DRHP</t>
        </is>
      </c>
      <c r="G6" s="16" t="n"/>
      <c r="H6" s="15" t="inlineStr">
        <is>
          <t>DRHP filed — issue dates not announced</t>
        </is>
      </c>
      <c r="I6" s="17" t="n"/>
      <c r="J6" s="17" t="n"/>
      <c r="K6" s="17" t="n"/>
      <c r="L6" s="14" t="n"/>
      <c r="M6" s="14" t="n"/>
      <c r="N6" s="14" t="n"/>
      <c r="O6" s="15" t="inlineStr">
        <is>
          <t>Not read — see DRHP PDF</t>
        </is>
      </c>
      <c r="P6" s="15" t="inlineStr">
        <is>
          <t>Offer terms not extracted — open the DRHP PDF</t>
        </is>
      </c>
      <c r="Q6" s="18" t="inlineStr">
        <is>
          <t>https://www.sebi.gov.in/sebi_data/attachdocs/sep-2026/1790743844411.pdf</t>
        </is>
      </c>
      <c r="R6" s="18" t="inlineStr">
        <is>
          <t>https://www.sebi.gov.in/filings/public-issues/sep-2026/iris-global-services-limited-drhp_104746.html</t>
        </is>
      </c>
      <c r="S6" s="18" t="inlineStr">
        <is>
          <t>https://www.sebi.gov.in/sebi_data/commondocs/sep-2026/Iris%20Global%20Services%20Limited%20-%20DAP_p.pdf</t>
        </is>
      </c>
      <c r="T6" s="14" t="n">
        <v>0</v>
      </c>
      <c r="U6" s="16" t="n"/>
      <c r="V6" s="16" t="n"/>
      <c r="W6" s="16" t="n"/>
      <c r="X6" s="15" t="inlineStr">
        <is>
          <t>Dates not announced</t>
        </is>
      </c>
      <c r="Y6" s="15" t="inlineStr">
        <is>
          <t>DRHP filed; no IPO dates found</t>
        </is>
      </c>
      <c r="Z6" s="14" t="n"/>
    </row>
    <row r="7" ht="15" customHeight="1" s="12">
      <c r="A7" s="14" t="n">
        <v>6</v>
      </c>
      <c r="B7" s="15" t="inlineStr">
        <is>
          <t>JSW One Platforms Limited</t>
        </is>
      </c>
      <c r="C7" s="16" t="n">
        <v>46290</v>
      </c>
      <c r="D7" s="16" t="n">
        <v>46290</v>
      </c>
      <c r="E7" s="15" t="inlineStr">
        <is>
          <t>DRHP</t>
        </is>
      </c>
      <c r="F7" s="15" t="inlineStr">
        <is>
          <t>Regular DRHP</t>
        </is>
      </c>
      <c r="G7" s="16" t="n"/>
      <c r="H7" s="15" t="inlineStr">
        <is>
          <t>DRHP filed — issue dates not announced</t>
        </is>
      </c>
      <c r="I7" s="17" t="n">
        <v>3054.01</v>
      </c>
      <c r="J7" s="17" t="n">
        <v>1300</v>
      </c>
      <c r="K7" s="17" t="n">
        <v>1754.01</v>
      </c>
      <c r="L7" s="14" t="n"/>
      <c r="M7" s="14" t="n"/>
      <c r="N7" s="14" t="n"/>
      <c r="O7" s="15" t="inlineStr">
        <is>
          <t>Fresh issue up to ₹1,300.00 Cr + OFS up to ₹1,754.01 Cr</t>
        </is>
      </c>
      <c r="P7" s="15" t="inlineStr">
        <is>
          <t>₹ amount stated in DRHP cover</t>
        </is>
      </c>
      <c r="Q7" s="18" t="inlineStr">
        <is>
          <t>https://www.sebi.gov.in/sebi_data/attachdocs/sep-2026/1790585630648.pdf</t>
        </is>
      </c>
      <c r="R7" s="18" t="inlineStr">
        <is>
          <t>https://www.sebi.gov.in/filings/public-issues/sep-2026/jsw-one-platforms-limited-drhp_104742.html</t>
        </is>
      </c>
      <c r="S7" s="18" t="inlineStr">
        <is>
          <t>https://www.sebi.gov.in/sebi_data/commondocs/sep-2026/JSW%20One%20Platforms%20Limited%20-%20Draft%20Abridged%20Prospectus_p.pdf</t>
        </is>
      </c>
      <c r="T7" s="14" t="n">
        <v>0</v>
      </c>
      <c r="U7" s="16" t="n"/>
      <c r="V7" s="16" t="n"/>
      <c r="W7" s="16" t="n"/>
      <c r="X7" s="15" t="inlineStr">
        <is>
          <t>Dates not announced</t>
        </is>
      </c>
      <c r="Y7" s="15" t="inlineStr">
        <is>
          <t>DRHP filed Sep-2026; dates not announced</t>
        </is>
      </c>
      <c r="Z7" s="18" t="inlineStr">
        <is>
          <t>https://www.chittorgarh.com/ipo/jsw-one-platform-ipo/3295/</t>
        </is>
      </c>
    </row>
    <row r="8" ht="15" customHeight="1" s="12">
      <c r="A8" s="14" t="n">
        <v>7</v>
      </c>
      <c r="B8" s="15" t="inlineStr">
        <is>
          <t>Anjali Labtech Limited</t>
        </is>
      </c>
      <c r="C8" s="16" t="n">
        <v>46290</v>
      </c>
      <c r="D8" s="16" t="n">
        <v>46290</v>
      </c>
      <c r="E8" s="15" t="inlineStr">
        <is>
          <t>UDRHP-I</t>
        </is>
      </c>
      <c r="F8" s="15" t="inlineStr">
        <is>
          <t>Confidential pre-filing (UDRHP-I published)</t>
        </is>
      </c>
      <c r="G8" s="16" t="n"/>
      <c r="H8" s="15" t="inlineStr">
        <is>
          <t>DRHP filed — issue dates not announced</t>
        </is>
      </c>
      <c r="I8" s="17" t="n"/>
      <c r="J8" s="17" t="n"/>
      <c r="K8" s="17" t="n"/>
      <c r="L8" s="14" t="n"/>
      <c r="M8" s="14" t="n"/>
      <c r="N8" s="14" t="n"/>
      <c r="O8" s="15" t="inlineStr">
        <is>
          <t>Not read — see DRHP PDF</t>
        </is>
      </c>
      <c r="P8" s="15" t="inlineStr">
        <is>
          <t>Offer terms not extracted — open the DRHP PDF</t>
        </is>
      </c>
      <c r="Q8" s="18" t="inlineStr">
        <is>
          <t>https://www.sebi.gov.in/sebi_data/attachdocs/sep-2026/1790320604407.pdf</t>
        </is>
      </c>
      <c r="R8" s="18" t="inlineStr">
        <is>
          <t>https://www.sebi.gov.in/filings/public-issues/sep-2026/anjali-labtech-limited-udrhp-i_104737.html</t>
        </is>
      </c>
      <c r="S8" s="18" t="inlineStr">
        <is>
          <t>https://www.sebi.gov.in/sebi_data/commondocs/sep-2026/Anjali%20Labtech%20Limited%20-%20DAP_p.pdf</t>
        </is>
      </c>
      <c r="T8" s="14" t="n">
        <v>0</v>
      </c>
      <c r="U8" s="16" t="n"/>
      <c r="V8" s="16" t="n"/>
      <c r="W8" s="16" t="n"/>
      <c r="X8" s="15" t="inlineStr">
        <is>
          <t>Dates not announced</t>
        </is>
      </c>
      <c r="Y8" s="15" t="inlineStr">
        <is>
          <t>SEBI nod Feb-2026; UDRHP-I filed Sep-2026; dates not announced</t>
        </is>
      </c>
      <c r="Z8" s="18" t="inlineStr">
        <is>
          <t>https://www.chittorgarh.com/ipo/anjali-labtech-ipo/2786/</t>
        </is>
      </c>
    </row>
    <row r="9" ht="15" customHeight="1" s="12">
      <c r="A9" s="14" t="n">
        <v>8</v>
      </c>
      <c r="B9" s="15" t="inlineStr">
        <is>
          <t>VARDAAN BIOTECH LIMITED</t>
        </is>
      </c>
      <c r="C9" s="16" t="n">
        <v>46287</v>
      </c>
      <c r="D9" s="16" t="n">
        <v>46287</v>
      </c>
      <c r="E9" s="15" t="inlineStr">
        <is>
          <t>DRHP</t>
        </is>
      </c>
      <c r="F9" s="15" t="inlineStr">
        <is>
          <t>Regular DRHP</t>
        </is>
      </c>
      <c r="G9" s="16" t="n"/>
      <c r="H9" s="15" t="inlineStr">
        <is>
          <t>DRHP filed — issue dates not announced</t>
        </is>
      </c>
      <c r="I9" s="17" t="n"/>
      <c r="J9" s="17" t="n"/>
      <c r="K9" s="17" t="n"/>
      <c r="L9" s="14" t="n"/>
      <c r="M9" s="14" t="n"/>
      <c r="N9" s="14" t="n"/>
      <c r="O9" s="15" t="inlineStr">
        <is>
          <t>Not read — see DRHP PDF</t>
        </is>
      </c>
      <c r="P9" s="15" t="inlineStr">
        <is>
          <t>Offer terms not extracted — open the DRHP PDF</t>
        </is>
      </c>
      <c r="Q9" s="18" t="inlineStr">
        <is>
          <t>https://www.sebi.gov.in/sebi_data/attachdocs/sep-2026/1790076604769_1355.pdf</t>
        </is>
      </c>
      <c r="R9" s="18" t="inlineStr">
        <is>
          <t>https://www.sebi.gov.in/filings/public-issues/sep-2026/vardaan-biotech-limited-drhp_104652.html</t>
        </is>
      </c>
      <c r="S9" s="18" t="inlineStr">
        <is>
          <t>https://www.sebi.gov.in/sebi_data/commondocs/sep-2026/VARDAAN%20BIOTECH%20LIMITED_p.pdf</t>
        </is>
      </c>
      <c r="T9" s="14" t="n">
        <v>0</v>
      </c>
      <c r="U9" s="16" t="n"/>
      <c r="V9" s="16" t="n"/>
      <c r="W9" s="16" t="n"/>
      <c r="X9" s="15" t="inlineStr">
        <is>
          <t>Dates not announced</t>
        </is>
      </c>
      <c r="Y9" s="15" t="inlineStr">
        <is>
          <t>Refiled on mainboard; earlier SME DRHP withdrawn Jul-2024; no dates</t>
        </is>
      </c>
      <c r="Z9" s="18" t="inlineStr">
        <is>
          <t>https://www.barandbench.com/law-firms/dealstreet/legacy-law-offices-acts-on-vardaan-biotech-90-crore-ipo</t>
        </is>
      </c>
    </row>
    <row r="10" ht="15" customHeight="1" s="12">
      <c r="A10" s="14" t="n">
        <v>9</v>
      </c>
      <c r="B10" s="15" t="inlineStr">
        <is>
          <t>Hi-Tech Flow Solutions Limited</t>
        </is>
      </c>
      <c r="C10" s="16" t="n">
        <v>46287</v>
      </c>
      <c r="D10" s="16" t="n">
        <v>46287</v>
      </c>
      <c r="E10" s="15" t="inlineStr">
        <is>
          <t>DRHP</t>
        </is>
      </c>
      <c r="F10" s="15" t="inlineStr">
        <is>
          <t>Regular DRHP</t>
        </is>
      </c>
      <c r="G10" s="16" t="n"/>
      <c r="H10" s="15" t="inlineStr">
        <is>
          <t>DRHP filed — issue dates not announced</t>
        </is>
      </c>
      <c r="I10" s="17" t="n"/>
      <c r="J10" s="17" t="n"/>
      <c r="K10" s="17" t="n"/>
      <c r="L10" s="14" t="n"/>
      <c r="M10" s="14" t="n"/>
      <c r="N10" s="14" t="n"/>
      <c r="O10" s="15" t="inlineStr">
        <is>
          <t>Not read — see DRHP PDF</t>
        </is>
      </c>
      <c r="P10" s="15" t="inlineStr">
        <is>
          <t>Offer terms not extracted — open the DRHP PDF</t>
        </is>
      </c>
      <c r="Q10" s="18" t="inlineStr">
        <is>
          <t>https://www.sebi.gov.in/sebi_data/attachdocs/sep-2026/1790058959002.pdf</t>
        </is>
      </c>
      <c r="R10" s="18" t="inlineStr">
        <is>
          <t>https://www.sebi.gov.in/filings/public-issues/sep-2026/hi-tech-flow-solutions-limited-drhp_104635.html</t>
        </is>
      </c>
      <c r="S10" s="18" t="inlineStr">
        <is>
          <t>https://www.sebi.gov.in/sebi_data/commondocs/sep-2026/HitechFlowSolutionsDAP_p.pdf</t>
        </is>
      </c>
      <c r="T10" s="14" t="n">
        <v>0</v>
      </c>
      <c r="U10" s="16" t="n"/>
      <c r="V10" s="16" t="n"/>
      <c r="W10" s="16" t="n"/>
      <c r="X10" s="15" t="inlineStr">
        <is>
          <t>Dates not announced</t>
        </is>
      </c>
      <c r="Y10" s="15" t="inlineStr">
        <is>
          <t>DRHP filed; no IPO dates found</t>
        </is>
      </c>
      <c r="Z10" s="14" t="n"/>
    </row>
    <row r="11" ht="15" customHeight="1" s="12">
      <c r="A11" s="14" t="n">
        <v>10</v>
      </c>
      <c r="B11" s="15" t="inlineStr">
        <is>
          <t>Madhur Iron &amp; Steel India Limited</t>
        </is>
      </c>
      <c r="C11" s="16" t="n">
        <v>46059</v>
      </c>
      <c r="D11" s="16" t="n">
        <v>46283</v>
      </c>
      <c r="E11" s="15" t="inlineStr">
        <is>
          <t>DRHP</t>
        </is>
      </c>
      <c r="F11" s="15" t="inlineStr">
        <is>
          <t>Regular DRHP</t>
        </is>
      </c>
      <c r="G11" s="16" t="n"/>
      <c r="H11" s="15" t="inlineStr">
        <is>
          <t>DRHP filed — issue dates not announced</t>
        </is>
      </c>
      <c r="I11" s="17" t="n"/>
      <c r="J11" s="17" t="n"/>
      <c r="K11" s="17" t="n"/>
      <c r="L11" s="14" t="n">
        <v>10000000</v>
      </c>
      <c r="M11" s="14" t="n">
        <v>10000000</v>
      </c>
      <c r="N11" s="14" t="n"/>
      <c r="O11" s="15" t="inlineStr">
        <is>
          <t>Fresh issue up to 10,000,000 sh</t>
        </is>
      </c>
      <c r="P11" s="15" t="inlineStr">
        <is>
          <t>DRHP states number of shares only (DRHP cover) — ₹ size depends on price band</t>
        </is>
      </c>
      <c r="Q11" s="18" t="inlineStr">
        <is>
          <t>https://www.sebi.gov.in/sebi_data/attachdocs/sep-2026/1789720399852.pdf</t>
        </is>
      </c>
      <c r="R11" s="18" t="inlineStr">
        <is>
          <t>https://www.sebi.gov.in/filings/public-issues/sep-2026/madhur-iron-and-steel-india-limited-drhp_104575.html</t>
        </is>
      </c>
      <c r="S11" s="18" t="inlineStr">
        <is>
          <t>https://www.sebi.gov.in/sebi_data/commondocs/sep-2026/Madhur%20Iron%20And%20Steel%20India%20Limited%20-%20Draft%20AP_p.pdf</t>
        </is>
      </c>
      <c r="T11" s="14" t="n">
        <v>0</v>
      </c>
      <c r="U11" s="16" t="n"/>
      <c r="V11" s="16" t="n"/>
      <c r="W11" s="16" t="n"/>
      <c r="X11" s="15" t="inlineStr">
        <is>
          <t>Dates not announced</t>
        </is>
      </c>
      <c r="Y11" s="15" t="inlineStr">
        <is>
          <t>Earlier DRHP withdrawn Mar-2026; fresh DRHP Sep-2026; no IPO dates</t>
        </is>
      </c>
      <c r="Z11" s="18" t="inlineStr">
        <is>
          <t>https://www.chittorgarh.com/ipo/madhur-iron-and-steel-ipo/2855/</t>
        </is>
      </c>
    </row>
    <row r="12" ht="15" customHeight="1" s="12">
      <c r="A12" s="14" t="n">
        <v>11</v>
      </c>
      <c r="B12" s="15" t="inlineStr">
        <is>
          <t>ANCHOR OFFSHORE SERVICES LIMITED</t>
        </is>
      </c>
      <c r="C12" s="16" t="n">
        <v>46283</v>
      </c>
      <c r="D12" s="16" t="n">
        <v>46283</v>
      </c>
      <c r="E12" s="15" t="inlineStr">
        <is>
          <t>DRHP</t>
        </is>
      </c>
      <c r="F12" s="15" t="inlineStr">
        <is>
          <t>Regular DRHP</t>
        </is>
      </c>
      <c r="G12" s="16" t="n"/>
      <c r="H12" s="15" t="inlineStr">
        <is>
          <t>DRHP filed — issue dates not announced</t>
        </is>
      </c>
      <c r="I12" s="17" t="n"/>
      <c r="J12" s="17" t="n"/>
      <c r="K12" s="17" t="n"/>
      <c r="L12" s="14" t="n">
        <v>7000000</v>
      </c>
      <c r="M12" s="14" t="n">
        <v>6400000</v>
      </c>
      <c r="N12" s="14" t="n">
        <v>600000</v>
      </c>
      <c r="O12" s="15" t="inlineStr">
        <is>
          <t>Fresh issue up to 6,400,000 sh + OFS up to 600,000 sh</t>
        </is>
      </c>
      <c r="P12" s="15" t="inlineStr">
        <is>
          <t>DRHP states number of shares only (DRHP cover) — ₹ size depends on price band</t>
        </is>
      </c>
      <c r="Q12" s="18" t="inlineStr">
        <is>
          <t>https://www.sebi.gov.in/sebi_data/attachdocs/sep-2026/1789731006415_1354.pdf</t>
        </is>
      </c>
      <c r="R12" s="18" t="inlineStr">
        <is>
          <t>https://www.sebi.gov.in/filings/public-issues/sep-2026/anchor-offshore-services-limited-drhp_104580.html</t>
        </is>
      </c>
      <c r="S12" s="18" t="inlineStr">
        <is>
          <t>https://www.sebi.gov.in/sebi_data/commondocs/sep-2026/Anchor%20Offshore%20Services%20Limited-DA_p.pdf</t>
        </is>
      </c>
      <c r="T12" s="14" t="n">
        <v>0</v>
      </c>
      <c r="U12" s="16" t="n"/>
      <c r="V12" s="16" t="n"/>
      <c r="W12" s="16" t="n"/>
      <c r="X12" s="15" t="inlineStr">
        <is>
          <t>Dates not announced</t>
        </is>
      </c>
      <c r="Y12" s="15" t="inlineStr">
        <is>
          <t>DRHP filed; no IPO dates found</t>
        </is>
      </c>
      <c r="Z12" s="14" t="n"/>
    </row>
    <row r="13" ht="15" customHeight="1" s="12">
      <c r="A13" s="14" t="n">
        <v>12</v>
      </c>
      <c r="B13" s="15" t="inlineStr">
        <is>
          <t>IBERIA PHARMACEUTICALS INDIA LIMITED</t>
        </is>
      </c>
      <c r="C13" s="16" t="n">
        <v>46282</v>
      </c>
      <c r="D13" s="16" t="n">
        <v>46282</v>
      </c>
      <c r="E13" s="15" t="inlineStr">
        <is>
          <t>DRHP</t>
        </is>
      </c>
      <c r="F13" s="15" t="inlineStr">
        <is>
          <t>Regular DRHP</t>
        </is>
      </c>
      <c r="G13" s="16" t="n"/>
      <c r="H13" s="15" t="inlineStr">
        <is>
          <t>DRHP filed — issue dates not announced</t>
        </is>
      </c>
      <c r="I13" s="17" t="n"/>
      <c r="J13" s="17" t="n"/>
      <c r="K13" s="17" t="n"/>
      <c r="L13" s="14" t="n"/>
      <c r="M13" s="14" t="n"/>
      <c r="N13" s="14" t="n"/>
      <c r="O13" s="15" t="inlineStr">
        <is>
          <t>Not read — see DRHP PDF</t>
        </is>
      </c>
      <c r="P13" s="15" t="inlineStr">
        <is>
          <t>Offer terms not extracted — open the DRHP PDF</t>
        </is>
      </c>
      <c r="Q13" s="18" t="inlineStr">
        <is>
          <t>https://www.sebi.gov.in/sebi_data/attachdocs/sep-2026/1789635115853.pdf</t>
        </is>
      </c>
      <c r="R13" s="18" t="inlineStr">
        <is>
          <t>https://www.sebi.gov.in/filings/public-issues/sep-2026/iberia-pharmaceuticals-india-limited-drhp_104542.html</t>
        </is>
      </c>
      <c r="S13" s="18" t="inlineStr">
        <is>
          <t>https://www.sebi.gov.in/sebi_data/commondocs/sep-2026/IBERIA%20PHARMACEUTICALS%20INDIA%20LIMITED_p.pdf</t>
        </is>
      </c>
      <c r="T13" s="14" t="n">
        <v>0</v>
      </c>
      <c r="U13" s="16" t="n"/>
      <c r="V13" s="16" t="n"/>
      <c r="W13" s="16" t="n"/>
      <c r="X13" s="15" t="inlineStr">
        <is>
          <t>Dates not announced</t>
        </is>
      </c>
      <c r="Y13" s="15" t="inlineStr">
        <is>
          <t>DRHP filed; no IPO dates found</t>
        </is>
      </c>
      <c r="Z13" s="14" t="n"/>
    </row>
    <row r="14" ht="15" customHeight="1" s="12">
      <c r="A14" s="14" t="n">
        <v>13</v>
      </c>
      <c r="B14" s="15" t="inlineStr">
        <is>
          <t>Maharashtra Oil Extractions Limited</t>
        </is>
      </c>
      <c r="C14" s="16" t="n">
        <v>46280</v>
      </c>
      <c r="D14" s="16" t="n">
        <v>46280</v>
      </c>
      <c r="E14" s="15" t="inlineStr">
        <is>
          <t>DRHP</t>
        </is>
      </c>
      <c r="F14" s="15" t="inlineStr">
        <is>
          <t>Regular DRHP</t>
        </is>
      </c>
      <c r="G14" s="16" t="n"/>
      <c r="H14" s="15" t="inlineStr">
        <is>
          <t>DRHP filed — issue dates not announced</t>
        </is>
      </c>
      <c r="I14" s="17" t="n"/>
      <c r="J14" s="17" t="n"/>
      <c r="K14" s="17" t="n"/>
      <c r="L14" s="14" t="n"/>
      <c r="M14" s="14" t="n"/>
      <c r="N14" s="14" t="n"/>
      <c r="O14" s="15" t="inlineStr">
        <is>
          <t>Not read — see DRHP PDF</t>
        </is>
      </c>
      <c r="P14" s="15" t="inlineStr">
        <is>
          <t>Offer terms not extracted — open the DRHP PDF</t>
        </is>
      </c>
      <c r="Q14" s="18" t="inlineStr">
        <is>
          <t>https://www.sebi.gov.in/sebi_data/attachdocs/sep-2026/1789531323564.pdf</t>
        </is>
      </c>
      <c r="R14" s="18" t="inlineStr">
        <is>
          <t>https://www.sebi.gov.in/filings/public-issues/sep-2026/maharashtra-oil-extractions-limited-drhp_104503.html</t>
        </is>
      </c>
      <c r="S14" s="18" t="inlineStr">
        <is>
          <t>https://www.sebi.gov.in/sebi_data/commondocs/sep-2026/Maharashtra%20Oil%20Extractions%20Limited%20-%20DAP_p.pdf</t>
        </is>
      </c>
      <c r="T14" s="14" t="n">
        <v>0</v>
      </c>
      <c r="U14" s="16" t="n"/>
      <c r="V14" s="16" t="n"/>
      <c r="W14" s="16" t="n"/>
      <c r="X14" s="15" t="inlineStr">
        <is>
          <t>Dates not announced</t>
        </is>
      </c>
      <c r="Y14" s="15" t="inlineStr">
        <is>
          <t>DRHP filed; no IPO dates found</t>
        </is>
      </c>
      <c r="Z14" s="14" t="n"/>
    </row>
    <row r="15" ht="15" customHeight="1" s="12">
      <c r="A15" s="14" t="n">
        <v>14</v>
      </c>
      <c r="B15" s="15" t="inlineStr">
        <is>
          <t>NOPAPERFORMS SOLUTIONS LIMITED</t>
        </is>
      </c>
      <c r="C15" s="16" t="n">
        <v>46276</v>
      </c>
      <c r="D15" s="16" t="n">
        <v>46276</v>
      </c>
      <c r="E15" s="15" t="inlineStr">
        <is>
          <t>UDRHP-I</t>
        </is>
      </c>
      <c r="F15" s="15" t="inlineStr">
        <is>
          <t>Confidential pre-filing (UDRHP-I published)</t>
        </is>
      </c>
      <c r="G15" s="16" t="n"/>
      <c r="H15" s="15" t="inlineStr">
        <is>
          <t>DRHP filed — issue dates not announced</t>
        </is>
      </c>
      <c r="I15" s="17" t="n"/>
      <c r="J15" s="17" t="n">
        <v>375</v>
      </c>
      <c r="K15" s="17" t="n"/>
      <c r="L15" s="14" t="n"/>
      <c r="M15" s="14" t="n"/>
      <c r="N15" s="14" t="n">
        <v>38422392</v>
      </c>
      <c r="O15" s="15" t="inlineStr">
        <is>
          <t>Fresh issue up to ₹375.00 Cr + OFS up to 38,422,392 sh</t>
        </is>
      </c>
      <c r="P15" s="15" t="inlineStr">
        <is>
          <t>Part of offer stated in ₹, rest in shares only (DRHP cover) — total depends on price band</t>
        </is>
      </c>
      <c r="Q15" s="18" t="inlineStr">
        <is>
          <t>https://www.sebi.gov.in/sebi_data/attachdocs/sep-2026/1789104761658.pdf</t>
        </is>
      </c>
      <c r="R15" s="18" t="inlineStr">
        <is>
          <t>https://www.sebi.gov.in/filings/public-issues/sep-2026/nopaperforms-solutions-limited-udrhp-1_104427.html</t>
        </is>
      </c>
      <c r="S15" s="18" t="inlineStr">
        <is>
          <t>https://www.sebi.gov.in/sebi_data/commondocs/sep-2026/NOPAPERFORMS%20SOLUTIONS%20LIMITED%20-%20DAP_p.pdf</t>
        </is>
      </c>
      <c r="T15" s="14" t="n">
        <v>0</v>
      </c>
      <c r="U15" s="16" t="n"/>
      <c r="V15" s="16" t="n"/>
      <c r="W15" s="16" t="n"/>
      <c r="X15" s="15" t="inlineStr">
        <is>
          <t>Dates not announced</t>
        </is>
      </c>
      <c r="Y15" s="15" t="inlineStr">
        <is>
          <t>SEBI nod Mar-2026; UDRHP-I filed Sep-2026; dates not announced</t>
        </is>
      </c>
      <c r="Z15" s="18" t="inlineStr">
        <is>
          <t>https://www.chittorgarh.com/ipo/nopaperforms-solutions-ipo/2796/</t>
        </is>
      </c>
    </row>
    <row r="16" ht="15" customHeight="1" s="12">
      <c r="A16" s="14" t="n">
        <v>15</v>
      </c>
      <c r="B16" s="15" t="inlineStr">
        <is>
          <t>M K C AGRO FRESH LIMITED</t>
        </is>
      </c>
      <c r="C16" s="16" t="n">
        <v>46276</v>
      </c>
      <c r="D16" s="16" t="n">
        <v>46276</v>
      </c>
      <c r="E16" s="15" t="inlineStr">
        <is>
          <t>DRHP</t>
        </is>
      </c>
      <c r="F16" s="15" t="inlineStr">
        <is>
          <t>Regular DRHP</t>
        </is>
      </c>
      <c r="G16" s="16" t="n"/>
      <c r="H16" s="15" t="inlineStr">
        <is>
          <t>DRHP filed — issue dates not announced</t>
        </is>
      </c>
      <c r="I16" s="17" t="n"/>
      <c r="J16" s="17" t="n"/>
      <c r="K16" s="17" t="n"/>
      <c r="L16" s="14" t="n">
        <v>16810751</v>
      </c>
      <c r="M16" s="14" t="n">
        <v>9999000</v>
      </c>
      <c r="N16" s="14" t="n">
        <v>6811751</v>
      </c>
      <c r="O16" s="15" t="inlineStr">
        <is>
          <t>Fresh issue up to 9,999,000 sh + OFS up to 6,811,751 sh</t>
        </is>
      </c>
      <c r="P16" s="15" t="inlineStr">
        <is>
          <t>DRHP states number of shares only (DRHP cover) — ₹ size depends on price band</t>
        </is>
      </c>
      <c r="Q16" s="18" t="inlineStr">
        <is>
          <t>https://www.sebi.gov.in/sebi_data/attachdocs/sep-2026/1789111806400_1350.pdf</t>
        </is>
      </c>
      <c r="R16" s="18" t="inlineStr">
        <is>
          <t>https://www.sebi.gov.in/filings/public-issues/sep-2026/m-k-c-agro-fresh-limited-drhp_104430.html</t>
        </is>
      </c>
      <c r="S16" s="18" t="inlineStr">
        <is>
          <t>https://www.sebi.gov.in/sebi_data/commondocs/sep-2026/M%20K%20C%20AGRO%20FRESH%20LIMITED%20-%20DAP_p.pdf</t>
        </is>
      </c>
      <c r="T16" s="14" t="n">
        <v>0</v>
      </c>
      <c r="U16" s="16" t="n"/>
      <c r="V16" s="16" t="n"/>
      <c r="W16" s="16" t="n"/>
      <c r="X16" s="15" t="inlineStr">
        <is>
          <t>Dates not announced</t>
        </is>
      </c>
      <c r="Y16" s="15" t="inlineStr">
        <is>
          <t>DRHP filed; no IPO dates found</t>
        </is>
      </c>
      <c r="Z16" s="14" t="n"/>
    </row>
    <row r="17" ht="15" customHeight="1" s="12">
      <c r="A17" s="14" t="n">
        <v>16</v>
      </c>
      <c r="B17" s="15" t="inlineStr">
        <is>
          <t>Torrent Gas Limited</t>
        </is>
      </c>
      <c r="C17" s="16" t="n">
        <v>46274</v>
      </c>
      <c r="D17" s="16" t="n">
        <v>46274</v>
      </c>
      <c r="E17" s="15" t="inlineStr">
        <is>
          <t>UDRHP-I</t>
        </is>
      </c>
      <c r="F17" s="15" t="inlineStr">
        <is>
          <t>Confidential pre-filing (UDRHP-I published)</t>
        </is>
      </c>
      <c r="G17" s="16" t="n"/>
      <c r="H17" s="15" t="inlineStr">
        <is>
          <t>DRHP filed — issue dates not announced</t>
        </is>
      </c>
      <c r="I17" s="17" t="n"/>
      <c r="J17" s="17" t="n"/>
      <c r="K17" s="17" t="n"/>
      <c r="L17" s="14" t="n">
        <v>335000000</v>
      </c>
      <c r="M17" s="14" t="n"/>
      <c r="N17" s="14" t="n">
        <v>335000000</v>
      </c>
      <c r="O17" s="15" t="inlineStr">
        <is>
          <t>OFS up to 335,000,000 sh</t>
        </is>
      </c>
      <c r="P17" s="15" t="inlineStr">
        <is>
          <t>DRHP states number of shares only (DRHP cover) — ₹ size depends on price band</t>
        </is>
      </c>
      <c r="Q17" s="18" t="inlineStr">
        <is>
          <t>https://www.sebi.gov.in/sebi_data/attachdocs/sep-2026/1788937260208.PDF</t>
        </is>
      </c>
      <c r="R17" s="18" t="inlineStr">
        <is>
          <t>https://www.sebi.gov.in/filings/public-issues/sep-2026/torrent-gas-limited-udrhp-i_104350.html</t>
        </is>
      </c>
      <c r="S17" s="18" t="inlineStr">
        <is>
          <t>https://www.sebi.gov.in/sebi_data/commondocs/sep-2026/Torrent%20Gas%20Limited%20-%20DAP_p.pdf</t>
        </is>
      </c>
      <c r="T17" s="14" t="n">
        <v>0</v>
      </c>
      <c r="U17" s="16" t="n"/>
      <c r="V17" s="16" t="n"/>
      <c r="W17" s="16" t="n"/>
      <c r="X17" s="15" t="inlineStr">
        <is>
          <t>Dates not announced</t>
        </is>
      </c>
      <c r="Y17" s="15" t="inlineStr">
        <is>
          <t>Confidential filing cleared Jun-2026; UDRHP-I Sep-2026; dates not announced</t>
        </is>
      </c>
      <c r="Z17" s="18" t="inlineStr">
        <is>
          <t>https://ipowatch.in/torrent-gas-ipo/</t>
        </is>
      </c>
    </row>
    <row r="18" ht="15" customHeight="1" s="12">
      <c r="A18" s="14" t="n">
        <v>17</v>
      </c>
      <c r="B18" s="15" t="inlineStr">
        <is>
          <t>Mahanadi Coalfields Ltd</t>
        </is>
      </c>
      <c r="C18" s="16" t="n">
        <v>46269</v>
      </c>
      <c r="D18" s="16" t="n">
        <v>46269</v>
      </c>
      <c r="E18" s="15" t="inlineStr">
        <is>
          <t>DRHP</t>
        </is>
      </c>
      <c r="F18" s="15" t="inlineStr">
        <is>
          <t>Regular DRHP</t>
        </is>
      </c>
      <c r="G18" s="16" t="n"/>
      <c r="H18" s="15" t="inlineStr">
        <is>
          <t>DRHP filed — issue dates not announced</t>
        </is>
      </c>
      <c r="I18" s="17" t="n"/>
      <c r="J18" s="17" t="n"/>
      <c r="K18" s="17" t="n"/>
      <c r="L18" s="14" t="n"/>
      <c r="M18" s="14" t="n"/>
      <c r="N18" s="14" t="n"/>
      <c r="O18" s="15" t="inlineStr">
        <is>
          <t>Not read — see DRHP PDF</t>
        </is>
      </c>
      <c r="P18" s="15" t="inlineStr">
        <is>
          <t>Offer terms not extracted — open the DRHP PDF</t>
        </is>
      </c>
      <c r="Q18" s="18" t="inlineStr">
        <is>
          <t>https://www.sebi.gov.in/sebi_data/attachdocs/sep-2026/1788761365481.pdf</t>
        </is>
      </c>
      <c r="R18" s="18" t="inlineStr">
        <is>
          <t>https://www.sebi.gov.in/filings/public-issues/sep-2026/mahanadi-coalfields-ltd-drhp_104290.html</t>
        </is>
      </c>
      <c r="S18" s="18" t="inlineStr">
        <is>
          <t>https://www.sebi.gov.in/sebi_data/commondocs/sep-2026/Mahanadi%20Coalfields%20Limited%20_Draft%20Abridged%20Prospectus_p.pdf</t>
        </is>
      </c>
      <c r="T18" s="14" t="n">
        <v>0</v>
      </c>
      <c r="U18" s="16" t="n"/>
      <c r="V18" s="16" t="n"/>
      <c r="W18" s="16" t="n"/>
      <c r="X18" s="15" t="inlineStr">
        <is>
          <t>Dates not announced</t>
        </is>
      </c>
      <c r="Y18" s="15" t="inlineStr">
        <is>
          <t>DRHP filed; dates not announced</t>
        </is>
      </c>
      <c r="Z18" s="18" t="inlineStr">
        <is>
          <t>https://www.chittorgarh.com/ipo/mahanadi-coalfields-ipo/3247/</t>
        </is>
      </c>
    </row>
    <row r="19" ht="15" customHeight="1" s="12">
      <c r="A19" s="14" t="n">
        <v>18</v>
      </c>
      <c r="B19" s="15" t="inlineStr">
        <is>
          <t>India Exposition Mart Limited</t>
        </is>
      </c>
      <c r="C19" s="16" t="n">
        <v>44628</v>
      </c>
      <c r="D19" s="16" t="n">
        <v>46269</v>
      </c>
      <c r="E19" s="15" t="inlineStr">
        <is>
          <t>DRHP</t>
        </is>
      </c>
      <c r="F19" s="15" t="inlineStr">
        <is>
          <t>Regular DRHP</t>
        </is>
      </c>
      <c r="G19" s="16" t="n"/>
      <c r="H19" s="15" t="inlineStr">
        <is>
          <t>DRHP filed — issue dates not announced</t>
        </is>
      </c>
      <c r="I19" s="17" t="n"/>
      <c r="J19" s="17" t="n"/>
      <c r="K19" s="17" t="n"/>
      <c r="L19" s="14" t="n"/>
      <c r="M19" s="14" t="n"/>
      <c r="N19" s="14" t="n"/>
      <c r="O19" s="15" t="inlineStr">
        <is>
          <t>Not read — see DRHP PDF</t>
        </is>
      </c>
      <c r="P19" s="15" t="inlineStr">
        <is>
          <t>Offer terms not extracted — open the DRHP PDF</t>
        </is>
      </c>
      <c r="Q19" s="18" t="inlineStr">
        <is>
          <t>https://www.sebi.gov.in/sebi_data/attachdocs/sep-2026/1788507005445_1348.pdf</t>
        </is>
      </c>
      <c r="R19" s="18" t="inlineStr">
        <is>
          <t>https://www.sebi.gov.in/filings/public-issues/sep-2026/india-exposition-mart-limited_104273.html</t>
        </is>
      </c>
      <c r="S19" s="15" t="n"/>
      <c r="T19" s="14" t="n">
        <v>0</v>
      </c>
      <c r="U19" s="16" t="n"/>
      <c r="V19" s="16" t="n"/>
      <c r="W19" s="16" t="n"/>
      <c r="X19" s="15" t="inlineStr">
        <is>
          <t>Dates not announced</t>
        </is>
      </c>
      <c r="Y19" s="15" t="inlineStr">
        <is>
          <t>Refiled DRHP 2026; dates not announced</t>
        </is>
      </c>
      <c r="Z19" s="18" t="inlineStr">
        <is>
          <t>https://www.chittorgarh.com/ipo/india-exposition-mart-ipo/3225/</t>
        </is>
      </c>
    </row>
    <row r="20" ht="15" customHeight="1" s="12">
      <c r="A20" s="14" t="n">
        <v>19</v>
      </c>
      <c r="B20" s="15" t="inlineStr">
        <is>
          <t>Sembcorp Green Infra Limited</t>
        </is>
      </c>
      <c r="C20" s="16" t="n">
        <v>46266</v>
      </c>
      <c r="D20" s="16" t="n">
        <v>46266</v>
      </c>
      <c r="E20" s="15" t="inlineStr">
        <is>
          <t>DRHP</t>
        </is>
      </c>
      <c r="F20" s="15" t="inlineStr">
        <is>
          <t>Regular DRHP</t>
        </is>
      </c>
      <c r="G20" s="16" t="n"/>
      <c r="H20" s="15" t="inlineStr">
        <is>
          <t>DRHP filed — issue dates not announced</t>
        </is>
      </c>
      <c r="I20" s="17" t="n">
        <v>3750</v>
      </c>
      <c r="J20" s="17" t="n">
        <v>3750</v>
      </c>
      <c r="K20" s="17" t="n"/>
      <c r="L20" s="14" t="n"/>
      <c r="M20" s="14" t="n"/>
      <c r="N20" s="14" t="n"/>
      <c r="O20" s="15" t="inlineStr">
        <is>
          <t>Fresh issue up to ₹3,750.00 Cr</t>
        </is>
      </c>
      <c r="P20" s="15" t="inlineStr">
        <is>
          <t>₹ amount stated in DRHP cover</t>
        </is>
      </c>
      <c r="Q20" s="18" t="inlineStr">
        <is>
          <t>https://www.sebi.gov.in/sebi_data/attachdocs/sep-2026/1788245484072.pdf</t>
        </is>
      </c>
      <c r="R20" s="18" t="inlineStr">
        <is>
          <t>https://www.sebi.gov.in/filings/public-issues/sep-2026/sembcorp-green-infra-limited-drhp_104162.html</t>
        </is>
      </c>
      <c r="S20" s="18" t="inlineStr">
        <is>
          <t>https://www.sebi.gov.in/sebi_data/commondocs/sep-2026/Sembcorp%20Green%20Infra%20Limited%20-%20Draft%20Abridged%20Prospectus_p.pdf</t>
        </is>
      </c>
      <c r="T20" s="14" t="n">
        <v>0</v>
      </c>
      <c r="U20" s="16" t="n"/>
      <c r="V20" s="16" t="n"/>
      <c r="W20" s="16" t="n"/>
      <c r="X20" s="15" t="inlineStr">
        <is>
          <t>Dates not announced</t>
        </is>
      </c>
      <c r="Y20" s="15" t="inlineStr">
        <is>
          <t>DRHP filed Aug/Sep-2026; dates not announced</t>
        </is>
      </c>
      <c r="Z20" s="18" t="inlineStr">
        <is>
          <t>https://www.chittorgarh.com/ipo/sembcorp-green-infra-ipo/3240/</t>
        </is>
      </c>
    </row>
    <row r="21" ht="15" customHeight="1" s="12">
      <c r="A21" s="14" t="n">
        <v>20</v>
      </c>
      <c r="B21" s="15" t="inlineStr">
        <is>
          <t>Kataria Dhulchand Pannalal Jewellers Limited</t>
        </is>
      </c>
      <c r="C21" s="16" t="n">
        <v>46266</v>
      </c>
      <c r="D21" s="16" t="n">
        <v>46266</v>
      </c>
      <c r="E21" s="15" t="inlineStr">
        <is>
          <t>DRHP</t>
        </is>
      </c>
      <c r="F21" s="15" t="inlineStr">
        <is>
          <t>Regular DRHP</t>
        </is>
      </c>
      <c r="G21" s="16" t="n"/>
      <c r="H21" s="15" t="inlineStr">
        <is>
          <t>DRHP filed — issue dates not announced</t>
        </is>
      </c>
      <c r="I21" s="17" t="n"/>
      <c r="J21" s="17" t="n"/>
      <c r="K21" s="17" t="n"/>
      <c r="L21" s="14" t="n">
        <v>16000000</v>
      </c>
      <c r="M21" s="14" t="n">
        <v>16000000</v>
      </c>
      <c r="N21" s="14" t="n"/>
      <c r="O21" s="15" t="inlineStr">
        <is>
          <t>Fresh issue up to 16,000,000 sh</t>
        </is>
      </c>
      <c r="P21" s="15" t="inlineStr">
        <is>
          <t>DRHP states number of shares only (DRHP cover) — ₹ size depends on price band</t>
        </is>
      </c>
      <c r="Q21" s="18" t="inlineStr">
        <is>
          <t>https://www.sebi.gov.in/sebi_data/attachdocs/sep-2026/1788262207109_1345.pdf</t>
        </is>
      </c>
      <c r="R21" s="18" t="inlineStr">
        <is>
          <t>https://www.sebi.gov.in/filings/public-issues/sep-2026/kataria-dhulchand-pannalal-jewellers-limited-drhp_104178.html</t>
        </is>
      </c>
      <c r="S21" s="18" t="inlineStr">
        <is>
          <t>https://www.sebi.gov.in/sebi_data/commondocs/sep-2026/Kataria%20Dhulchand%20Pannalal%20Jewellers%20Ltd%20-%20DAP_p.pdf</t>
        </is>
      </c>
      <c r="T21" s="14" t="n">
        <v>0</v>
      </c>
      <c r="U21" s="16" t="n"/>
      <c r="V21" s="16" t="n"/>
      <c r="W21" s="16" t="n"/>
      <c r="X21" s="15" t="inlineStr">
        <is>
          <t>Dates not announced</t>
        </is>
      </c>
      <c r="Y21" s="15" t="inlineStr">
        <is>
          <t>DRHP filed; no IPO dates found</t>
        </is>
      </c>
      <c r="Z21" s="14" t="n"/>
    </row>
    <row r="22" ht="15" customHeight="1" s="12">
      <c r="A22" s="14" t="n">
        <v>21</v>
      </c>
      <c r="B22" s="15" t="inlineStr">
        <is>
          <t>ARAGEN LIFE SCIENCES LIMITED</t>
        </is>
      </c>
      <c r="C22" s="16" t="n">
        <v>46266</v>
      </c>
      <c r="D22" s="16" t="n">
        <v>46266</v>
      </c>
      <c r="E22" s="15" t="inlineStr">
        <is>
          <t>DRHP</t>
        </is>
      </c>
      <c r="F22" s="15" t="inlineStr">
        <is>
          <t>Regular DRHP</t>
        </is>
      </c>
      <c r="G22" s="16" t="n"/>
      <c r="H22" s="15" t="inlineStr">
        <is>
          <t>DRHP filed — issue dates not announced</t>
        </is>
      </c>
      <c r="I22" s="17" t="n"/>
      <c r="J22" s="17" t="n"/>
      <c r="K22" s="17" t="n"/>
      <c r="L22" s="14" t="n"/>
      <c r="M22" s="14" t="n"/>
      <c r="N22" s="14" t="n"/>
      <c r="O22" s="15" t="inlineStr">
        <is>
          <t>Not read — see DRHP PDF</t>
        </is>
      </c>
      <c r="P22" s="15" t="inlineStr">
        <is>
          <t>Offer terms not extracted — open the DRHP PDF</t>
        </is>
      </c>
      <c r="Q22" s="18" t="inlineStr">
        <is>
          <t>https://www.sebi.gov.in/sebi_data/attachdocs/sep-2026/1788238496589.pdf</t>
        </is>
      </c>
      <c r="R22" s="18" t="inlineStr">
        <is>
          <t>https://www.sebi.gov.in/filings/public-issues/sep-2026/aragen-life-sciences-limited-drhp_104157.html</t>
        </is>
      </c>
      <c r="S22" s="18" t="inlineStr">
        <is>
          <t>https://www.sebi.gov.in/sebi_data/commondocs/sep-2026/ARAGEN%20LIFE%20SCIENCES%20LIMITED%20-%20DAP_p.pdf</t>
        </is>
      </c>
      <c r="T22" s="14" t="n">
        <v>0</v>
      </c>
      <c r="U22" s="16" t="n"/>
      <c r="V22" s="16" t="n"/>
      <c r="W22" s="16" t="n"/>
      <c r="X22" s="15" t="inlineStr">
        <is>
          <t>Dates not announced</t>
        </is>
      </c>
      <c r="Y22" s="15" t="inlineStr">
        <is>
          <t>DRHP filed Aug-2026; IPO dates not announced</t>
        </is>
      </c>
      <c r="Z22" s="18" t="inlineStr">
        <is>
          <t>https://ipowatch.in/aragen-life-sciences-ipo/</t>
        </is>
      </c>
    </row>
    <row r="23" ht="15" customHeight="1" s="12">
      <c r="A23" s="14" t="n">
        <v>22</v>
      </c>
      <c r="B23" s="15" t="inlineStr">
        <is>
          <t>ATOMBERG TECHNOLOGIES LIMITED</t>
        </is>
      </c>
      <c r="C23" s="16" t="n">
        <v>46261</v>
      </c>
      <c r="D23" s="16" t="n">
        <v>46261</v>
      </c>
      <c r="E23" s="15" t="inlineStr">
        <is>
          <t>DRHP</t>
        </is>
      </c>
      <c r="F23" s="15" t="inlineStr">
        <is>
          <t>Regular DRHP</t>
        </is>
      </c>
      <c r="G23" s="16" t="n"/>
      <c r="H23" s="15" t="inlineStr">
        <is>
          <t>DRHP filed — issue dates not announced</t>
        </is>
      </c>
      <c r="I23" s="17" t="n"/>
      <c r="J23" s="17" t="n">
        <v>450</v>
      </c>
      <c r="K23" s="17" t="n"/>
      <c r="L23" s="14" t="n"/>
      <c r="M23" s="14" t="n"/>
      <c r="N23" s="14" t="n">
        <v>76541851</v>
      </c>
      <c r="O23" s="15" t="inlineStr">
        <is>
          <t>Fresh issue up to ₹450.00 Cr + OFS up to 76,541,851 sh</t>
        </is>
      </c>
      <c r="P23" s="15" t="inlineStr">
        <is>
          <t>Part of offer stated in ₹, rest in shares only (DRHP cover) — total depends on price band</t>
        </is>
      </c>
      <c r="Q23" s="18" t="inlineStr">
        <is>
          <t>https://www.sebi.gov.in/sebi_data/attachdocs/aug-2026/1787809930622.pdf</t>
        </is>
      </c>
      <c r="R23" s="18" t="inlineStr">
        <is>
          <t>https://www.sebi.gov.in/filings/public-issues/aug-2026/atomberg-technologies-limited-drhp_104037.html</t>
        </is>
      </c>
      <c r="S23" s="18" t="inlineStr">
        <is>
          <t>https://www.sebi.gov.in/sebi_data/commondocs/aug-2026/ATOMBERG%20TECHNOLOGIES%20LIMITED%20-%20AP_p.pdf</t>
        </is>
      </c>
      <c r="T23" s="14" t="n">
        <v>0</v>
      </c>
      <c r="U23" s="16" t="n"/>
      <c r="V23" s="16" t="n"/>
      <c r="W23" s="16" t="n"/>
      <c r="X23" s="15" t="inlineStr">
        <is>
          <t>Dates not announced</t>
        </is>
      </c>
      <c r="Y23" s="15" t="inlineStr">
        <is>
          <t>DRHP filed Aug-2026; Rs450cr fresh + OFS; dates not announced</t>
        </is>
      </c>
      <c r="Z23" s="18" t="inlineStr">
        <is>
          <t>https://www.chittorgarh.com/ipo/atomberg-technologies-ipo/3227/</t>
        </is>
      </c>
    </row>
    <row r="24" ht="15" customHeight="1" s="12">
      <c r="A24" s="14" t="n">
        <v>23</v>
      </c>
      <c r="B24" s="15" t="inlineStr">
        <is>
          <t>Nobel Hygiene Limited</t>
        </is>
      </c>
      <c r="C24" s="16" t="n">
        <v>46259</v>
      </c>
      <c r="D24" s="16" t="n">
        <v>46259</v>
      </c>
      <c r="E24" s="15" t="inlineStr">
        <is>
          <t>DRHP</t>
        </is>
      </c>
      <c r="F24" s="15" t="inlineStr">
        <is>
          <t>Regular DRHP</t>
        </is>
      </c>
      <c r="G24" s="16" t="n"/>
      <c r="H24" s="15" t="inlineStr">
        <is>
          <t>DRHP filed — issue dates not announced</t>
        </is>
      </c>
      <c r="I24" s="17" t="n"/>
      <c r="J24" s="17" t="n"/>
      <c r="K24" s="17" t="n"/>
      <c r="L24" s="14" t="n"/>
      <c r="M24" s="14" t="n"/>
      <c r="N24" s="14" t="n"/>
      <c r="O24" s="15" t="inlineStr">
        <is>
          <t>Not read — see DRHP PDF</t>
        </is>
      </c>
      <c r="P24" s="15" t="inlineStr">
        <is>
          <t>Offer terms not extracted — open the DRHP PDF</t>
        </is>
      </c>
      <c r="Q24" s="18" t="inlineStr">
        <is>
          <t>https://www.sebi.gov.in/sebi_data/attachdocs/aug-2026/1787650339639.pdf</t>
        </is>
      </c>
      <c r="R24" s="18" t="inlineStr">
        <is>
          <t>https://www.sebi.gov.in/filings/public-issues/aug-2026/nobel-hygiene-limited-drhp_103938.html</t>
        </is>
      </c>
      <c r="S24" s="18" t="inlineStr">
        <is>
          <t>https://www.sebi.gov.in/sebi_data/commondocs/aug-2026/Nobel%20Hygiene%20Limited%20-%20Draft%20Abridged%20Prospectus_p.pdf</t>
        </is>
      </c>
      <c r="T24" s="14" t="n">
        <v>0</v>
      </c>
      <c r="U24" s="16" t="n"/>
      <c r="V24" s="16" t="n"/>
      <c r="W24" s="16" t="n"/>
      <c r="X24" s="15" t="inlineStr">
        <is>
          <t>Dates not announced</t>
        </is>
      </c>
      <c r="Y24" s="15" t="inlineStr">
        <is>
          <t>DRHP filed Aug-2026; dates not announced</t>
        </is>
      </c>
      <c r="Z24" s="18" t="inlineStr">
        <is>
          <t>https://www.kotakneo.com/news/ipos/nobel-hygiene-files-drhp-for-rs-150-crore-ipo-after-profit-jumps-nearly-100-fold-in-fy26/</t>
        </is>
      </c>
    </row>
    <row r="25" ht="15" customHeight="1" s="12">
      <c r="A25" s="14" t="n">
        <v>24</v>
      </c>
      <c r="B25" s="15" t="inlineStr">
        <is>
          <t>M P STEEL (INDIA) LIMITED</t>
        </is>
      </c>
      <c r="C25" s="16" t="n">
        <v>46259</v>
      </c>
      <c r="D25" s="16" t="n">
        <v>46259</v>
      </c>
      <c r="E25" s="15" t="inlineStr">
        <is>
          <t>DRHP</t>
        </is>
      </c>
      <c r="F25" s="15" t="inlineStr">
        <is>
          <t>Regular DRHP</t>
        </is>
      </c>
      <c r="G25" s="16" t="n"/>
      <c r="H25" s="15" t="inlineStr">
        <is>
          <t>DRHP filed — issue dates not announced</t>
        </is>
      </c>
      <c r="I25" s="17" t="n"/>
      <c r="J25" s="17" t="n"/>
      <c r="K25" s="17" t="n"/>
      <c r="L25" s="14" t="n"/>
      <c r="M25" s="14" t="n"/>
      <c r="N25" s="14" t="n"/>
      <c r="O25" s="15" t="inlineStr">
        <is>
          <t>Not read — see DRHP PDF</t>
        </is>
      </c>
      <c r="P25" s="15" t="inlineStr">
        <is>
          <t>Offer terms not extracted — open the DRHP PDF</t>
        </is>
      </c>
      <c r="Q25" s="18" t="inlineStr">
        <is>
          <t>https://www.sebi.gov.in/sebi_data/attachdocs/aug-2026/1787653298920.pdf</t>
        </is>
      </c>
      <c r="R25" s="18" t="inlineStr">
        <is>
          <t>https://www.sebi.gov.in/filings/public-issues/aug-2026/m-p-steel-india-limited-drhp_103990.html</t>
        </is>
      </c>
      <c r="S25" s="18" t="inlineStr">
        <is>
          <t>https://www.sebi.gov.in/sebi_data/commondocs/aug-2026/MPSteel-Draft%20Abridged%20Prospectus_p.pdf</t>
        </is>
      </c>
      <c r="T25" s="14" t="n">
        <v>0</v>
      </c>
      <c r="U25" s="16" t="n"/>
      <c r="V25" s="16" t="n"/>
      <c r="W25" s="16" t="n"/>
      <c r="X25" s="15" t="inlineStr">
        <is>
          <t>Dates not announced</t>
        </is>
      </c>
      <c r="Y25" s="15" t="inlineStr">
        <is>
          <t>DRHP filed Aug-2026; dates not announced (not MPK Steels SME)</t>
        </is>
      </c>
      <c r="Z25" s="18" t="inlineStr">
        <is>
          <t>https://www.chittorgarh.com/ipo/m-p-steel-ipo/3229/</t>
        </is>
      </c>
    </row>
    <row r="26" ht="15" customHeight="1" s="12">
      <c r="A26" s="14" t="n">
        <v>25</v>
      </c>
      <c r="B26" s="15" t="inlineStr">
        <is>
          <t>JAY JAGDAMBA LIMITED</t>
        </is>
      </c>
      <c r="C26" s="16" t="n">
        <v>46259</v>
      </c>
      <c r="D26" s="16" t="n">
        <v>46259</v>
      </c>
      <c r="E26" s="15" t="inlineStr">
        <is>
          <t>UDRHP-I</t>
        </is>
      </c>
      <c r="F26" s="15" t="inlineStr">
        <is>
          <t>Confidential pre-filing (UDRHP-I published)</t>
        </is>
      </c>
      <c r="G26" s="16" t="n"/>
      <c r="H26" s="15" t="inlineStr">
        <is>
          <t>DRHP filed — issue dates not announced</t>
        </is>
      </c>
      <c r="I26" s="17" t="n"/>
      <c r="J26" s="17" t="n">
        <v>600</v>
      </c>
      <c r="K26" s="17" t="n"/>
      <c r="L26" s="14" t="n"/>
      <c r="M26" s="14" t="n"/>
      <c r="N26" s="14" t="n">
        <v>15000000</v>
      </c>
      <c r="O26" s="15" t="inlineStr">
        <is>
          <t>Fresh issue up to ₹600.00 Cr + OFS up to 15,000,000 sh</t>
        </is>
      </c>
      <c r="P26" s="15" t="inlineStr">
        <is>
          <t>Part of offer stated in ₹, rest in shares only (DRHP cover) — total depends on price band</t>
        </is>
      </c>
      <c r="Q26" s="18" t="inlineStr">
        <is>
          <t>https://www.sebi.gov.in/sebi_data/attachdocs/aug-2026/1787637173016.pdf</t>
        </is>
      </c>
      <c r="R26" s="18" t="inlineStr">
        <is>
          <t>https://www.sebi.gov.in/filings/public-issues/aug-2026/jay-jagdamba-limited-udrhp_103937.html</t>
        </is>
      </c>
      <c r="S26" s="18" t="inlineStr">
        <is>
          <t>https://www.sebi.gov.in/sebi_data/commondocs/aug-2026/Jay%20Jagdamba%20Limited%20Draft%20Abridged%20Prospectus_p.pdf</t>
        </is>
      </c>
      <c r="T26" s="14" t="n">
        <v>0</v>
      </c>
      <c r="U26" s="16" t="n"/>
      <c r="V26" s="16" t="n"/>
      <c r="W26" s="16" t="n"/>
      <c r="X26" s="15" t="inlineStr">
        <is>
          <t>Dates not announced</t>
        </is>
      </c>
      <c r="Y26" s="15" t="inlineStr">
        <is>
          <t>SEBI nod Jan-2026; UDRHP-I Aug-2026; dates not announced</t>
        </is>
      </c>
      <c r="Z26" s="18" t="inlineStr">
        <is>
          <t>https://www.chittorgarh.com/ipo/jay-jagdamba-ipo/2528/</t>
        </is>
      </c>
    </row>
    <row r="27" ht="15" customHeight="1" s="12">
      <c r="A27" s="14" t="n">
        <v>26</v>
      </c>
      <c r="B27" s="15" t="inlineStr">
        <is>
          <t>AVAADA ELECTRO LIMITED</t>
        </is>
      </c>
      <c r="C27" s="16" t="n">
        <v>46259</v>
      </c>
      <c r="D27" s="16" t="n">
        <v>46259</v>
      </c>
      <c r="E27" s="15" t="inlineStr">
        <is>
          <t>UDRHP-I</t>
        </is>
      </c>
      <c r="F27" s="15" t="inlineStr">
        <is>
          <t>Confidential pre-filing (UDRHP-I published)</t>
        </is>
      </c>
      <c r="G27" s="16" t="n"/>
      <c r="H27" s="15" t="inlineStr">
        <is>
          <t>DRHP filed — issue dates not announced</t>
        </is>
      </c>
      <c r="I27" s="17" t="n"/>
      <c r="J27" s="17" t="n"/>
      <c r="K27" s="17" t="n"/>
      <c r="L27" s="14" t="n"/>
      <c r="M27" s="14" t="n"/>
      <c r="N27" s="14" t="n"/>
      <c r="O27" s="15" t="inlineStr">
        <is>
          <t>Not read — see DRHP PDF</t>
        </is>
      </c>
      <c r="P27" s="15" t="inlineStr">
        <is>
          <t>Offer terms not extracted — open the DRHP PDF</t>
        </is>
      </c>
      <c r="Q27" s="18" t="inlineStr">
        <is>
          <t>https://www.sebi.gov.in/sebi_data/attachdocs/aug-2026/1787804677669.pdf</t>
        </is>
      </c>
      <c r="R27" s="18" t="inlineStr">
        <is>
          <t>https://www.sebi.gov.in/filings/public-issues/aug-2026/avaada-electro-limited-udrhp_104034.html</t>
        </is>
      </c>
      <c r="S27" s="18" t="inlineStr">
        <is>
          <t>https://www.sebi.gov.in/sebi_data/commondocs/aug-2026/Avaada%20Electro%20Limited%20-%20Draft%20Abridged%20Prospectus_p.pdf</t>
        </is>
      </c>
      <c r="T27" s="14" t="n">
        <v>0</v>
      </c>
      <c r="U27" s="16" t="n"/>
      <c r="V27" s="16" t="n"/>
      <c r="W27" s="16" t="n"/>
      <c r="X27" s="15" t="inlineStr">
        <is>
          <t>Dates not announced</t>
        </is>
      </c>
      <c r="Y27" s="15" t="inlineStr">
        <is>
          <t>SEBI nod Apr-2026; Rs7,600cr; dates not announced</t>
        </is>
      </c>
      <c r="Z27" s="18" t="inlineStr">
        <is>
          <t>https://www.chittorgarh.com/ipo/avaada-electro-ipo/2790/</t>
        </is>
      </c>
    </row>
    <row r="28" ht="15" customHeight="1" s="12">
      <c r="A28" s="14" t="n">
        <v>27</v>
      </c>
      <c r="B28" s="15" t="inlineStr">
        <is>
          <t>GEMINI EDIBLES &amp; FATS INDIA LIMITED</t>
        </is>
      </c>
      <c r="C28" s="16" t="n">
        <v>44417</v>
      </c>
      <c r="D28" s="16" t="n">
        <v>46256</v>
      </c>
      <c r="E28" s="15" t="inlineStr">
        <is>
          <t>DRHP</t>
        </is>
      </c>
      <c r="F28" s="15" t="inlineStr">
        <is>
          <t>Regular DRHP</t>
        </is>
      </c>
      <c r="G28" s="16" t="n"/>
      <c r="H28" s="15" t="inlineStr">
        <is>
          <t>DRHP filed — issue dates not announced</t>
        </is>
      </c>
      <c r="I28" s="17" t="n"/>
      <c r="J28" s="17" t="n"/>
      <c r="K28" s="17" t="n"/>
      <c r="L28" s="14" t="n"/>
      <c r="M28" s="14" t="n"/>
      <c r="N28" s="14" t="n"/>
      <c r="O28" s="15" t="inlineStr">
        <is>
          <t>Not read — see DRHP PDF</t>
        </is>
      </c>
      <c r="P28" s="15" t="inlineStr">
        <is>
          <t>Offer terms not extracted — open the DRHP PDF</t>
        </is>
      </c>
      <c r="Q28" s="18" t="inlineStr">
        <is>
          <t>https://www.sebi.gov.in/sebi_data/attachdocs/aug-2026/1787803545833.pdf</t>
        </is>
      </c>
      <c r="R28" s="18" t="inlineStr">
        <is>
          <t>https://www.sebi.gov.in/filings/public-issues/aug-2026/gemini-edibles-and-fats-india-limited-drhp_104032.html</t>
        </is>
      </c>
      <c r="S28" s="18" t="inlineStr">
        <is>
          <t>https://www.sebi.gov.in/sebi_data/commondocs/aug-2026/Gemini%20Edibles%20&amp;%20Fats%20India%20Ltd.%20-%20Draft%20Abridged%20Prospectus_p.pdf</t>
        </is>
      </c>
      <c r="T28" s="14" t="n">
        <v>1</v>
      </c>
      <c r="U28" s="16" t="n"/>
      <c r="V28" s="16" t="n"/>
      <c r="W28" s="16" t="n"/>
      <c r="X28" s="15" t="inlineStr">
        <is>
          <t>Dates not announced</t>
        </is>
      </c>
      <c r="Y28" s="15" t="inlineStr">
        <is>
          <t>2021 DRHP was put in abeyance; refiled Aug-2026; dates not announced</t>
        </is>
      </c>
      <c r="Z28" s="18" t="inlineStr">
        <is>
          <t>https://www.chittorgarh.com/ipo/gemini-edibles-fats-india-ipo/3238/</t>
        </is>
      </c>
    </row>
    <row r="29" ht="15" customHeight="1" s="12">
      <c r="A29" s="14" t="n">
        <v>28</v>
      </c>
      <c r="B29" s="15" t="inlineStr">
        <is>
          <t>Avtar Steel Limited</t>
        </is>
      </c>
      <c r="C29" s="16" t="n">
        <v>46255</v>
      </c>
      <c r="D29" s="16" t="n">
        <v>46255</v>
      </c>
      <c r="E29" s="15" t="inlineStr">
        <is>
          <t>DRHP</t>
        </is>
      </c>
      <c r="F29" s="15" t="inlineStr">
        <is>
          <t>Regular DRHP</t>
        </is>
      </c>
      <c r="G29" s="16" t="n"/>
      <c r="H29" s="15" t="inlineStr">
        <is>
          <t>DRHP filed — issue dates not announced</t>
        </is>
      </c>
      <c r="I29" s="17" t="n"/>
      <c r="J29" s="17" t="n"/>
      <c r="K29" s="17" t="n"/>
      <c r="L29" s="14" t="n"/>
      <c r="M29" s="14" t="n"/>
      <c r="N29" s="14" t="n"/>
      <c r="O29" s="15" t="inlineStr">
        <is>
          <t>Not read — see DRHP PDF</t>
        </is>
      </c>
      <c r="P29" s="15" t="inlineStr">
        <is>
          <t>Offer terms not extracted — open the DRHP PDF</t>
        </is>
      </c>
      <c r="Q29" s="18" t="inlineStr">
        <is>
          <t>https://www.sebi.gov.in/sebi_data/attachdocs/aug-2026/1787311805039_1343.pdf</t>
        </is>
      </c>
      <c r="R29" s="18" t="inlineStr">
        <is>
          <t>https://www.sebi.gov.in/filings/public-issues/aug-2026/avtar-steel-limited-drhp_103867.html</t>
        </is>
      </c>
      <c r="S29" s="18" t="inlineStr">
        <is>
          <t>https://www.sebi.gov.in/sebi_data/commondocs/aug-2026/Avtar%20Steel%20Limited%20-%20Draft%20Abridged%20Prospectus_p.pdf</t>
        </is>
      </c>
      <c r="T29" s="14" t="n">
        <v>0</v>
      </c>
      <c r="U29" s="16" t="n"/>
      <c r="V29" s="16" t="n"/>
      <c r="W29" s="16" t="n"/>
      <c r="X29" s="15" t="inlineStr">
        <is>
          <t>Dates not announced</t>
        </is>
      </c>
      <c r="Y29" s="15" t="inlineStr">
        <is>
          <t>DRHP filed Aug-2026; Rs585cr fresh issue; dates not announced</t>
        </is>
      </c>
      <c r="Z29" s="18" t="inlineStr">
        <is>
          <t>https://www.businesstoday.in/markets/ipo-corner/story/avtar-steel-files-draft-ipo-papers-with-sebi-to-raise-rs-585-crore-through-fresh-issue-549604-2026-08-17</t>
        </is>
      </c>
    </row>
    <row r="30" ht="15" customHeight="1" s="12">
      <c r="A30" s="14" t="n">
        <v>29</v>
      </c>
      <c r="B30" s="15" t="inlineStr">
        <is>
          <t>TABLESPACE TECHNOLOGIES LIMITED</t>
        </is>
      </c>
      <c r="C30" s="16" t="n">
        <v>46252</v>
      </c>
      <c r="D30" s="16" t="n">
        <v>46252</v>
      </c>
      <c r="E30" s="15" t="inlineStr">
        <is>
          <t>DRHP</t>
        </is>
      </c>
      <c r="F30" s="15" t="inlineStr">
        <is>
          <t>Regular DRHP</t>
        </is>
      </c>
      <c r="G30" s="16" t="n"/>
      <c r="H30" s="15" t="inlineStr">
        <is>
          <t>DRHP filed — issue dates not announced</t>
        </is>
      </c>
      <c r="I30" s="17" t="n"/>
      <c r="J30" s="17" t="n"/>
      <c r="K30" s="17" t="n"/>
      <c r="L30" s="14" t="n"/>
      <c r="M30" s="14" t="n"/>
      <c r="N30" s="14" t="n"/>
      <c r="O30" s="15" t="inlineStr">
        <is>
          <t>Not read — see DRHP PDF</t>
        </is>
      </c>
      <c r="P30" s="15" t="inlineStr">
        <is>
          <t>Offer terms not extracted — open the DRHP PDF</t>
        </is>
      </c>
      <c r="Q30" s="18" t="inlineStr">
        <is>
          <t>https://www.sebi.gov.in/sebi_data/attachdocs/aug-2026/1787037217420.pdf</t>
        </is>
      </c>
      <c r="R30" s="18" t="inlineStr">
        <is>
          <t>https://www.sebi.gov.in/filings/public-issues/aug-2026/tablespace-technologies-limited-drhp_103710.html</t>
        </is>
      </c>
      <c r="S30" s="18" t="inlineStr">
        <is>
          <t>https://www.sebi.gov.in/sebi_data/commondocs/aug-2026/TABLESPACE%20TECHNOLOGIES%20LIMITED%20-%20DAP_p.pdf</t>
        </is>
      </c>
      <c r="T30" s="14" t="n">
        <v>0</v>
      </c>
      <c r="U30" s="16" t="n"/>
      <c r="V30" s="16" t="n"/>
      <c r="W30" s="16" t="n"/>
      <c r="X30" s="15" t="inlineStr">
        <is>
          <t>Dates not announced</t>
        </is>
      </c>
      <c r="Y30" s="15" t="inlineStr">
        <is>
          <t>DRHP filed Aug-2026; dates not announced</t>
        </is>
      </c>
      <c r="Z30" s="18" t="inlineStr">
        <is>
          <t>https://www.chittorgarh.com/ipo/tablespace-technologies-ipo/3218/</t>
        </is>
      </c>
    </row>
    <row r="31" ht="15" customHeight="1" s="12">
      <c r="A31" s="14" t="n">
        <v>30</v>
      </c>
      <c r="B31" s="15" t="inlineStr">
        <is>
          <t>Svatantra Microfin Limited</t>
        </is>
      </c>
      <c r="C31" s="16" t="n">
        <v>46251</v>
      </c>
      <c r="D31" s="16" t="n">
        <v>46251</v>
      </c>
      <c r="E31" s="15" t="inlineStr">
        <is>
          <t>DRHP</t>
        </is>
      </c>
      <c r="F31" s="15" t="inlineStr">
        <is>
          <t>Regular DRHP</t>
        </is>
      </c>
      <c r="G31" s="16" t="n"/>
      <c r="H31" s="15" t="inlineStr">
        <is>
          <t>DRHP filed — issue dates not announced</t>
        </is>
      </c>
      <c r="I31" s="17" t="n">
        <v>3000</v>
      </c>
      <c r="J31" s="17" t="n">
        <v>1500</v>
      </c>
      <c r="K31" s="17" t="n">
        <v>1500</v>
      </c>
      <c r="L31" s="14" t="n"/>
      <c r="M31" s="14" t="n"/>
      <c r="N31" s="14" t="n"/>
      <c r="O31" s="15" t="inlineStr">
        <is>
          <t>Fresh issue up to ₹1,500.00 Cr + OFS up to ₹1,500.00 Cr</t>
        </is>
      </c>
      <c r="P31" s="15" t="inlineStr">
        <is>
          <t>₹ amount stated in DRHP cover</t>
        </is>
      </c>
      <c r="Q31" s="18" t="inlineStr">
        <is>
          <t>https://www.sebi.gov.in/sebi_data/attachdocs/aug-2026/1787135219223.pdf</t>
        </is>
      </c>
      <c r="R31" s="18" t="inlineStr">
        <is>
          <t>https://www.sebi.gov.in/filings/public-issues/aug-2026/svatantra-microfin-limited-drhp_103765.html</t>
        </is>
      </c>
      <c r="S31" s="18" t="inlineStr">
        <is>
          <t>https://www.sebi.gov.in/sebi_data/commondocs/aug-2026/Svatantra%20Microfin%20Limited%20%20-%20DAP_p.pdf</t>
        </is>
      </c>
      <c r="T31" s="14" t="n">
        <v>0</v>
      </c>
      <c r="U31" s="16" t="n"/>
      <c r="V31" s="16" t="n"/>
      <c r="W31" s="16" t="n"/>
      <c r="X31" s="15" t="inlineStr">
        <is>
          <t>Dates not announced</t>
        </is>
      </c>
      <c r="Y31" s="15" t="inlineStr">
        <is>
          <t>DRHP filed Aug-2026; Rs3,000cr; dates not announced</t>
        </is>
      </c>
      <c r="Z31" s="18" t="inlineStr">
        <is>
          <t>https://www.chittorgarh.com/ipo/svatantra-microfin-ipo/3220/</t>
        </is>
      </c>
    </row>
    <row r="32" ht="15" customHeight="1" s="12">
      <c r="A32" s="14" t="n">
        <v>31</v>
      </c>
      <c r="B32" s="15" t="inlineStr">
        <is>
          <t>Muthoot Fincorp Limited</t>
        </is>
      </c>
      <c r="C32" s="16" t="n">
        <v>46251</v>
      </c>
      <c r="D32" s="16" t="n">
        <v>46251</v>
      </c>
      <c r="E32" s="15" t="inlineStr">
        <is>
          <t>DRHP</t>
        </is>
      </c>
      <c r="F32" s="15" t="inlineStr">
        <is>
          <t>Regular DRHP</t>
        </is>
      </c>
      <c r="G32" s="16" t="n"/>
      <c r="H32" s="15" t="inlineStr">
        <is>
          <t>DRHP filed — issue dates not announced</t>
        </is>
      </c>
      <c r="I32" s="17" t="n"/>
      <c r="J32" s="17" t="n"/>
      <c r="K32" s="17" t="n"/>
      <c r="L32" s="14" t="n"/>
      <c r="M32" s="14" t="n"/>
      <c r="N32" s="14" t="n"/>
      <c r="O32" s="15" t="inlineStr">
        <is>
          <t>Not read — see DRHP PDF</t>
        </is>
      </c>
      <c r="P32" s="15" t="inlineStr">
        <is>
          <t>Offer terms not extracted — open the DRHP PDF</t>
        </is>
      </c>
      <c r="Q32" s="18" t="inlineStr">
        <is>
          <t>https://www.sebi.gov.in/sebi_data/attachdocs/aug-2026/1787032236785.pdf</t>
        </is>
      </c>
      <c r="R32" s="18" t="inlineStr">
        <is>
          <t>https://www.sebi.gov.in/filings/public-issues/aug-2026/muthoot-fincorp-limited-drhp_103697.html</t>
        </is>
      </c>
      <c r="S32" s="18" t="inlineStr">
        <is>
          <t>https://www.sebi.gov.in/sebi_data/commondocs/aug-2026/Muthoot%20Fincorp%20DAP_p.pdf</t>
        </is>
      </c>
      <c r="T32" s="14" t="n">
        <v>0</v>
      </c>
      <c r="U32" s="16" t="n"/>
      <c r="V32" s="16" t="n"/>
      <c r="W32" s="16" t="n"/>
      <c r="X32" s="15" t="inlineStr">
        <is>
          <t>Dates not announced</t>
        </is>
      </c>
      <c r="Y32" s="15" t="inlineStr">
        <is>
          <t>DRHP filed Aug-2026; Rs3,000cr fresh; 2026 NCD issue is unrelated</t>
        </is>
      </c>
      <c r="Z32" s="18" t="inlineStr">
        <is>
          <t>https://www.chittorgarh.com/ipo/muthoot-fincorp-ipo/3219/</t>
        </is>
      </c>
    </row>
    <row r="33" ht="15" customHeight="1" s="12">
      <c r="A33" s="14" t="n">
        <v>32</v>
      </c>
      <c r="B33" s="15" t="inlineStr">
        <is>
          <t>Zetwerk Manufacturing Businesses Limited</t>
        </is>
      </c>
      <c r="C33" s="16" t="n">
        <v>46248</v>
      </c>
      <c r="D33" s="16" t="n">
        <v>46248</v>
      </c>
      <c r="E33" s="15" t="inlineStr">
        <is>
          <t>UDRHP-I</t>
        </is>
      </c>
      <c r="F33" s="15" t="inlineStr">
        <is>
          <t>Confidential pre-filing (UDRHP-I published)</t>
        </is>
      </c>
      <c r="G33" s="16" t="n"/>
      <c r="H33" s="15" t="inlineStr">
        <is>
          <t>DRHP filed — issue dates not announced</t>
        </is>
      </c>
      <c r="I33" s="17" t="n"/>
      <c r="J33" s="17" t="n">
        <v>2600</v>
      </c>
      <c r="K33" s="17" t="n"/>
      <c r="L33" s="14" t="n"/>
      <c r="M33" s="14" t="n"/>
      <c r="N33" s="14" t="n">
        <v>96837455</v>
      </c>
      <c r="O33" s="15" t="inlineStr">
        <is>
          <t>Fresh issue up to ₹2,600.00 Cr + OFS up to 96,837,455 sh</t>
        </is>
      </c>
      <c r="P33" s="15" t="inlineStr">
        <is>
          <t>Part of offer stated in ₹, rest in shares only (DRHP cover) — total depends on price band</t>
        </is>
      </c>
      <c r="Q33" s="18" t="inlineStr">
        <is>
          <t>https://www.sebi.gov.in/sebi_data/attachdocs/aug-2026/1786705255144.pdf</t>
        </is>
      </c>
      <c r="R33" s="18" t="inlineStr">
        <is>
          <t>https://www.sebi.gov.in/filings/public-issues/aug-2026/zetwerk-manufacturing-businesses-limited-udrhp_103643.html</t>
        </is>
      </c>
      <c r="S33" s="18" t="inlineStr">
        <is>
          <t>https://www.sebi.gov.in/sebi_data/commondocs/aug-2026/Zetwerk%20Manufacturing%20Businesses%20Limited%20-%20DAP_p.pdf</t>
        </is>
      </c>
      <c r="T33" s="14" t="n">
        <v>0</v>
      </c>
      <c r="U33" s="16" t="n"/>
      <c r="V33" s="16" t="n"/>
      <c r="W33" s="16" t="n"/>
      <c r="X33" s="15" t="inlineStr">
        <is>
          <t>Dates not announced</t>
        </is>
      </c>
      <c r="Y33" s="15" t="inlineStr">
        <is>
          <t>SEBI nod Jul-2026; roadshows, targeting late Sep/mid-Oct; dates not yet announced</t>
        </is>
      </c>
      <c r="Z33" s="18" t="inlineStr">
        <is>
          <t>https://www.chittorgarh.com/ipo/zetwerk-ipo/3091/</t>
        </is>
      </c>
    </row>
    <row r="34" ht="15" customHeight="1" s="12">
      <c r="A34" s="14" t="n">
        <v>33</v>
      </c>
      <c r="B34" s="15" t="inlineStr">
        <is>
          <t>Tonbo Imaging India Limited</t>
        </is>
      </c>
      <c r="C34" s="16" t="n">
        <v>46021</v>
      </c>
      <c r="D34" s="16" t="n">
        <v>46248</v>
      </c>
      <c r="E34" s="15" t="inlineStr">
        <is>
          <t>DRHP</t>
        </is>
      </c>
      <c r="F34" s="15" t="inlineStr">
        <is>
          <t>Regular DRHP</t>
        </is>
      </c>
      <c r="G34" s="16" t="n"/>
      <c r="H34" s="15" t="inlineStr">
        <is>
          <t>DRHP filed — issue dates not announced</t>
        </is>
      </c>
      <c r="I34" s="17" t="n"/>
      <c r="J34" s="17" t="n"/>
      <c r="K34" s="17" t="n"/>
      <c r="L34" s="14" t="n">
        <v>18085246</v>
      </c>
      <c r="M34" s="14" t="n">
        <v>18085246</v>
      </c>
      <c r="N34" s="14" t="n"/>
      <c r="O34" s="15" t="inlineStr">
        <is>
          <t>Fresh issue up to 18,085,246 sh</t>
        </is>
      </c>
      <c r="P34" s="15" t="inlineStr">
        <is>
          <t>DRHP states number of shares only (DRHP cover) — ₹ size depends on price band</t>
        </is>
      </c>
      <c r="Q34" s="18" t="inlineStr">
        <is>
          <t>https://www.sebi.gov.in/sebi_data/attachdocs/aug-2026/1786692605529_1339.pdf</t>
        </is>
      </c>
      <c r="R34" s="18" t="inlineStr">
        <is>
          <t>https://www.sebi.gov.in/filings/public-issues/aug-2026/tonbo-imaging-india-limited-drhp_103625.html</t>
        </is>
      </c>
      <c r="S34" s="18" t="inlineStr">
        <is>
          <t>https://www.sebi.gov.in/sebi_data/commondocs/aug-2026/Tonbo%20Imaging%20India%20Limited%20-%20DAP_p.pdf</t>
        </is>
      </c>
      <c r="T34" s="14" t="n">
        <v>0</v>
      </c>
      <c r="U34" s="16" t="n"/>
      <c r="V34" s="16" t="n"/>
      <c r="W34" s="16" t="n"/>
      <c r="X34" s="15" t="inlineStr">
        <is>
          <t>Dates not announced</t>
        </is>
      </c>
      <c r="Y34" s="15" t="inlineStr">
        <is>
          <t>SEBI nod Jun-2026; DRHP refiled Aug-2026; dates not announced</t>
        </is>
      </c>
      <c r="Z34" s="18" t="inlineStr">
        <is>
          <t>https://www.chittorgarh.com/ipo/tonbo-imaging-india-ipo/3215/</t>
        </is>
      </c>
    </row>
    <row r="35" ht="15" customHeight="1" s="12">
      <c r="A35" s="14" t="n">
        <v>34</v>
      </c>
      <c r="B35" s="15" t="inlineStr">
        <is>
          <t>AGS Health Limited</t>
        </is>
      </c>
      <c r="C35" s="16" t="n">
        <v>46248</v>
      </c>
      <c r="D35" s="16" t="n">
        <v>46248</v>
      </c>
      <c r="E35" s="15" t="inlineStr">
        <is>
          <t>UDRHP-I</t>
        </is>
      </c>
      <c r="F35" s="15" t="inlineStr">
        <is>
          <t>Confidential pre-filing (UDRHP-I published)</t>
        </is>
      </c>
      <c r="G35" s="16" t="n"/>
      <c r="H35" s="15" t="inlineStr">
        <is>
          <t>DRHP filed — issue dates not announced</t>
        </is>
      </c>
      <c r="I35" s="17" t="n"/>
      <c r="J35" s="17" t="n"/>
      <c r="K35" s="17" t="n"/>
      <c r="L35" s="14" t="n"/>
      <c r="M35" s="14" t="n"/>
      <c r="N35" s="14" t="n"/>
      <c r="O35" s="15" t="inlineStr">
        <is>
          <t>Not read — see DRHP PDF</t>
        </is>
      </c>
      <c r="P35" s="15" t="inlineStr">
        <is>
          <t>Offer terms not extracted — open the DRHP PDF</t>
        </is>
      </c>
      <c r="Q35" s="18" t="inlineStr">
        <is>
          <t>https://www.sebi.gov.in/sebi_data/attachdocs/aug-2026/1786684492213.pdf</t>
        </is>
      </c>
      <c r="R35" s="18" t="inlineStr">
        <is>
          <t>https://www.sebi.gov.in/filings/public-issues/aug-2026/ags-health-limited-udrhp_103617.html</t>
        </is>
      </c>
      <c r="S35" s="18" t="inlineStr">
        <is>
          <t>https://www.sebi.gov.in/sebi_data/commondocs/aug-2026/AGS%20Health%20Limited%20-%20AP_p.pdf</t>
        </is>
      </c>
      <c r="T35" s="14" t="n">
        <v>0</v>
      </c>
      <c r="U35" s="16" t="n"/>
      <c r="V35" s="16" t="n"/>
      <c r="W35" s="16" t="n"/>
      <c r="X35" s="15" t="inlineStr">
        <is>
          <t>Dates not announced</t>
        </is>
      </c>
      <c r="Y35" s="15" t="inlineStr">
        <is>
          <t>SEBI nod Jun-2026; UDRHP-I Aug-2026; dates not announced</t>
        </is>
      </c>
      <c r="Z35" s="18" t="inlineStr">
        <is>
          <t>https://www.chittorgarh.com/ipo/ags-health-ipo/3093/</t>
        </is>
      </c>
    </row>
    <row r="36" ht="15" customHeight="1" s="12">
      <c r="A36" s="14" t="n">
        <v>35</v>
      </c>
      <c r="B36" s="15" t="inlineStr">
        <is>
          <t>EAAA India Alternatives Limited</t>
        </is>
      </c>
      <c r="C36" s="16" t="n">
        <v>45636</v>
      </c>
      <c r="D36" s="16" t="n">
        <v>46247</v>
      </c>
      <c r="E36" s="15" t="inlineStr">
        <is>
          <t>DRHP</t>
        </is>
      </c>
      <c r="F36" s="15" t="inlineStr">
        <is>
          <t>Regular DRHP</t>
        </is>
      </c>
      <c r="G36" s="16" t="n"/>
      <c r="H36" s="15" t="inlineStr">
        <is>
          <t>DRHP filed — issue dates not announced</t>
        </is>
      </c>
      <c r="I36" s="17" t="n">
        <v>1500</v>
      </c>
      <c r="J36" s="17" t="n"/>
      <c r="K36" s="17" t="n">
        <v>1500</v>
      </c>
      <c r="L36" s="14" t="n"/>
      <c r="M36" s="14" t="n"/>
      <c r="N36" s="14" t="n"/>
      <c r="O36" s="15" t="inlineStr">
        <is>
          <t>OFS up to ₹1,500.00 Cr</t>
        </is>
      </c>
      <c r="P36" s="15" t="inlineStr">
        <is>
          <t>₹ amount stated in DRHP cover</t>
        </is>
      </c>
      <c r="Q36" s="18" t="inlineStr">
        <is>
          <t>https://www.sebi.gov.in/sebi_data/attachdocs/sep-2026/1789018300594.pdf</t>
        </is>
      </c>
      <c r="R36" s="18" t="inlineStr">
        <is>
          <t>https://www.sebi.gov.in/filings/public-issues/aug-2026/eaaa-india-alternatives-limited_104397.html</t>
        </is>
      </c>
      <c r="S36" s="15" t="n"/>
      <c r="T36" s="14" t="n">
        <v>0</v>
      </c>
      <c r="U36" s="16" t="n"/>
      <c r="V36" s="16" t="n"/>
      <c r="W36" s="16" t="n"/>
      <c r="X36" s="15" t="inlineStr">
        <is>
          <t>Dates not announced</t>
        </is>
      </c>
      <c r="Y36" s="15" t="inlineStr">
        <is>
          <t>SEBI nod Apr-2026; Rs1,500cr OFS; dates not announced</t>
        </is>
      </c>
      <c r="Z36" s="18" t="inlineStr">
        <is>
          <t>https://www.chittorgarh.com/ipo/eaaa-india-alternatives-ipo/2061/</t>
        </is>
      </c>
    </row>
    <row r="37" ht="15" customHeight="1" s="12">
      <c r="A37" s="14" t="n">
        <v>36</v>
      </c>
      <c r="B37" s="15" t="inlineStr">
        <is>
          <t>J PAN TUBULAR COMPONENTS LIMITED</t>
        </is>
      </c>
      <c r="C37" s="16" t="n">
        <v>46246</v>
      </c>
      <c r="D37" s="16" t="n">
        <v>46246</v>
      </c>
      <c r="E37" s="15" t="inlineStr">
        <is>
          <t>DRHP</t>
        </is>
      </c>
      <c r="F37" s="15" t="inlineStr">
        <is>
          <t>Regular DRHP</t>
        </is>
      </c>
      <c r="G37" s="16" t="n"/>
      <c r="H37" s="15" t="inlineStr">
        <is>
          <t>DRHP filed — issue dates not announced</t>
        </is>
      </c>
      <c r="I37" s="17" t="n"/>
      <c r="J37" s="17" t="n"/>
      <c r="K37" s="17" t="n"/>
      <c r="L37" s="14" t="n">
        <v>5180000</v>
      </c>
      <c r="M37" s="14" t="n">
        <v>4920000</v>
      </c>
      <c r="N37" s="14" t="n">
        <v>260000</v>
      </c>
      <c r="O37" s="15" t="inlineStr">
        <is>
          <t>Fresh issue up to 4,920,000 sh + OFS up to 260,000 sh</t>
        </is>
      </c>
      <c r="P37" s="15" t="inlineStr">
        <is>
          <t>DRHP states number of shares only (DRHP cover) — ₹ size depends on price band</t>
        </is>
      </c>
      <c r="Q37" s="18" t="inlineStr">
        <is>
          <t>https://www.sebi.gov.in/sebi_data/attachdocs/aug-2026/1786519804294_1338.pdf</t>
        </is>
      </c>
      <c r="R37" s="18" t="inlineStr">
        <is>
          <t>https://www.sebi.gov.in/filings/public-issues/aug-2026/j-pan-tubular-components-limited-drhp_103499.html</t>
        </is>
      </c>
      <c r="S37" s="18" t="inlineStr">
        <is>
          <t>https://www.sebi.gov.in/sebi_data/commondocs/aug-2026/J%20PAN%20TUBULAR%20COMPONENTS%20LIMITED%20-%20DAP_p.pdf</t>
        </is>
      </c>
      <c r="T37" s="14" t="n">
        <v>0</v>
      </c>
      <c r="U37" s="16" t="n"/>
      <c r="V37" s="16" t="n"/>
      <c r="W37" s="16" t="n"/>
      <c r="X37" s="15" t="inlineStr">
        <is>
          <t>Dates not announced</t>
        </is>
      </c>
      <c r="Y37" s="15" t="inlineStr">
        <is>
          <t>DRHP filed Jul/Aug-2026; dates not announced</t>
        </is>
      </c>
      <c r="Z37" s="18" t="inlineStr">
        <is>
          <t>https://www.chittorgarh.com/ipo/j-pan-tubular-components-ipo/3191/</t>
        </is>
      </c>
    </row>
    <row r="38" ht="15" customHeight="1" s="12">
      <c r="A38" s="14" t="n">
        <v>37</v>
      </c>
      <c r="B38" s="15" t="inlineStr">
        <is>
          <t>BEAUTY GARAGE LIMITED</t>
        </is>
      </c>
      <c r="C38" s="16" t="n">
        <v>46245</v>
      </c>
      <c r="D38" s="16" t="n">
        <v>46245</v>
      </c>
      <c r="E38" s="15" t="inlineStr">
        <is>
          <t>DRHP</t>
        </is>
      </c>
      <c r="F38" s="15" t="inlineStr">
        <is>
          <t>Regular DRHP</t>
        </is>
      </c>
      <c r="G38" s="16" t="n"/>
      <c r="H38" s="15" t="inlineStr">
        <is>
          <t>DRHP filed — issue dates not announced</t>
        </is>
      </c>
      <c r="I38" s="17" t="n"/>
      <c r="J38" s="17" t="n">
        <v>125</v>
      </c>
      <c r="K38" s="17" t="n"/>
      <c r="L38" s="14" t="n"/>
      <c r="M38" s="14" t="n"/>
      <c r="N38" s="14" t="n">
        <v>7836000</v>
      </c>
      <c r="O38" s="15" t="inlineStr">
        <is>
          <t>Fresh issue up to ₹125.00 Cr + OFS up to 7,836,000 sh</t>
        </is>
      </c>
      <c r="P38" s="15" t="inlineStr">
        <is>
          <t>Part of offer stated in ₹, rest in shares only (DRHP cover) — total depends on price band</t>
        </is>
      </c>
      <c r="Q38" s="18" t="inlineStr">
        <is>
          <t>https://www.sebi.gov.in/sebi_data/attachdocs/aug-2026/1786439399725.pdf</t>
        </is>
      </c>
      <c r="R38" s="18" t="inlineStr">
        <is>
          <t>https://www.sebi.gov.in/filings/public-issues/aug-2026/beauty-garage-limited-drhp_103479.html</t>
        </is>
      </c>
      <c r="S38" s="18" t="inlineStr">
        <is>
          <t>https://www.sebi.gov.in/sebi_data/commondocs/aug-2026/BEAUTY%20GARAGE%20LIMITED%20-%20AP_p.pdf</t>
        </is>
      </c>
      <c r="T38" s="14" t="n">
        <v>0</v>
      </c>
      <c r="U38" s="16" t="n"/>
      <c r="V38" s="16" t="n"/>
      <c r="W38" s="16" t="n"/>
      <c r="X38" s="15" t="inlineStr">
        <is>
          <t>Dates not announced</t>
        </is>
      </c>
      <c r="Y38" s="15" t="inlineStr">
        <is>
          <t>DRHP filed 2026; Rs125cr fresh issue + OFS; dates not announced</t>
        </is>
      </c>
      <c r="Z38" s="18" t="inlineStr">
        <is>
          <t>https://www.chittorgarh.com/ipo/beauty-garage-ipo/3208/</t>
        </is>
      </c>
    </row>
    <row r="39" ht="15" customHeight="1" s="12">
      <c r="A39" s="14" t="n">
        <v>38</v>
      </c>
      <c r="B39" s="15" t="inlineStr">
        <is>
          <t>Arjun Jewellers Limited</t>
        </is>
      </c>
      <c r="C39" s="16" t="n">
        <v>45936</v>
      </c>
      <c r="D39" s="16" t="n">
        <v>46244</v>
      </c>
      <c r="E39" s="15" t="inlineStr">
        <is>
          <t>DRHP</t>
        </is>
      </c>
      <c r="F39" s="15" t="inlineStr">
        <is>
          <t>Regular DRHP</t>
        </is>
      </c>
      <c r="G39" s="16" t="n"/>
      <c r="H39" s="15" t="inlineStr">
        <is>
          <t>DRHP filed — issue dates not announced</t>
        </is>
      </c>
      <c r="I39" s="17" t="n">
        <v>200</v>
      </c>
      <c r="J39" s="17" t="n">
        <v>200</v>
      </c>
      <c r="K39" s="17" t="n"/>
      <c r="L39" s="14" t="n"/>
      <c r="M39" s="14" t="n"/>
      <c r="N39" s="14" t="n"/>
      <c r="O39" s="15" t="inlineStr">
        <is>
          <t>Fresh issue up to ₹200.00 Cr</t>
        </is>
      </c>
      <c r="P39" s="15" t="inlineStr">
        <is>
          <t>₹ amount stated in DRHP cover</t>
        </is>
      </c>
      <c r="Q39" s="18" t="inlineStr">
        <is>
          <t>https://www.sebi.gov.in/sebi_data/attachdocs/aug-2026/1786357330303.pdf</t>
        </is>
      </c>
      <c r="R39" s="18" t="inlineStr">
        <is>
          <t>https://www.sebi.gov.in/filings/public-issues/aug-2026/arjun-jewellers-limited-drhp_103462.html</t>
        </is>
      </c>
      <c r="S39" s="18" t="inlineStr">
        <is>
          <t>https://www.sebi.gov.in/sebi_data/commondocs/aug-2026/Arjun%20Jewellers%20Limited%20-%20DAP_p.pdf</t>
        </is>
      </c>
      <c r="T39" s="14" t="n">
        <v>0</v>
      </c>
      <c r="U39" s="16" t="n"/>
      <c r="V39" s="16" t="n"/>
      <c r="W39" s="16" t="n"/>
      <c r="X39" s="15" t="inlineStr">
        <is>
          <t>Dates not announced</t>
        </is>
      </c>
      <c r="Y39" s="15" t="inlineStr">
        <is>
          <t>Earlier DRHP withdrawn 12-Mar-2026; new draft Aug-2026; dates not announced</t>
        </is>
      </c>
      <c r="Z39" s="18" t="inlineStr">
        <is>
          <t>https://www.chittorgarh.com/ipo/arjun-jewellers-ipo/2741/</t>
        </is>
      </c>
    </row>
    <row r="40" ht="15" customHeight="1" s="12">
      <c r="A40" s="14" t="n">
        <v>39</v>
      </c>
      <c r="B40" s="15" t="inlineStr">
        <is>
          <t>Encube Ethicals Limited</t>
        </is>
      </c>
      <c r="C40" s="16" t="n">
        <v>46240</v>
      </c>
      <c r="D40" s="16" t="n">
        <v>46240</v>
      </c>
      <c r="E40" s="15" t="inlineStr">
        <is>
          <t>DRHP</t>
        </is>
      </c>
      <c r="F40" s="15" t="inlineStr">
        <is>
          <t>Regular DRHP</t>
        </is>
      </c>
      <c r="G40" s="16" t="n"/>
      <c r="H40" s="15" t="inlineStr">
        <is>
          <t>DRHP filed — issue dates not announced</t>
        </is>
      </c>
      <c r="I40" s="17" t="n"/>
      <c r="J40" s="17" t="n"/>
      <c r="K40" s="17" t="n"/>
      <c r="L40" s="14" t="n"/>
      <c r="M40" s="14" t="n"/>
      <c r="N40" s="14" t="n"/>
      <c r="O40" s="15" t="inlineStr">
        <is>
          <t>Not read — see DRHP PDF</t>
        </is>
      </c>
      <c r="P40" s="15" t="inlineStr">
        <is>
          <t>Offer terms not extracted — open the DRHP PDF</t>
        </is>
      </c>
      <c r="Q40" s="18" t="inlineStr">
        <is>
          <t>https://www.sebi.gov.in/sebi_data/attachdocs/aug-2026/1785994501228.pdf</t>
        </is>
      </c>
      <c r="R40" s="18" t="inlineStr">
        <is>
          <t>https://www.sebi.gov.in/filings/public-issues/aug-2026/encube-ethicals-limited-drhp_103383.html</t>
        </is>
      </c>
      <c r="S40" s="18" t="inlineStr">
        <is>
          <t>https://www.sebi.gov.in/sebi_data/commondocs/aug-2026/Encube%20Ethicals%20Limited%20-%20AP_p.pdf</t>
        </is>
      </c>
      <c r="T40" s="14" t="n">
        <v>0</v>
      </c>
      <c r="U40" s="16" t="n"/>
      <c r="V40" s="16" t="n"/>
      <c r="W40" s="16" t="n"/>
      <c r="X40" s="15" t="inlineStr">
        <is>
          <t>Dates not announced</t>
        </is>
      </c>
      <c r="Y40" s="15" t="inlineStr">
        <is>
          <t>DRHP filed Aug-2026; Rs3,000cr OFS; reports say IPO likely by 2027</t>
        </is>
      </c>
      <c r="Z40" s="18" t="inlineStr">
        <is>
          <t>https://www.chittorgarh.com/ipo/encube-ethicals-ipo/3211/</t>
        </is>
      </c>
    </row>
    <row r="41" ht="15" customHeight="1" s="12">
      <c r="A41" s="14" t="n">
        <v>40</v>
      </c>
      <c r="B41" s="15" t="inlineStr">
        <is>
          <t>Advanced Sys-Tek Limited</t>
        </is>
      </c>
      <c r="C41" s="16" t="n">
        <v>45698</v>
      </c>
      <c r="D41" s="16" t="n">
        <v>46239</v>
      </c>
      <c r="E41" s="15" t="inlineStr">
        <is>
          <t>DRHP</t>
        </is>
      </c>
      <c r="F41" s="15" t="inlineStr">
        <is>
          <t>Regular DRHP</t>
        </is>
      </c>
      <c r="G41" s="16" t="n"/>
      <c r="H41" s="15" t="inlineStr">
        <is>
          <t>DRHP filed — issue dates not announced</t>
        </is>
      </c>
      <c r="I41" s="17" t="n"/>
      <c r="J41" s="17" t="n"/>
      <c r="K41" s="17" t="n"/>
      <c r="L41" s="14" t="n"/>
      <c r="M41" s="14" t="n"/>
      <c r="N41" s="14" t="n"/>
      <c r="O41" s="15" t="inlineStr">
        <is>
          <t>Not read — see DRHP PDF</t>
        </is>
      </c>
      <c r="P41" s="15" t="inlineStr">
        <is>
          <t>Offer terms not extracted — open the DRHP PDF</t>
        </is>
      </c>
      <c r="Q41" s="18" t="inlineStr">
        <is>
          <t>https://www.sebi.gov.in/sebi_data/attachdocs/aug-2026/1785915007745_1334.pdf</t>
        </is>
      </c>
      <c r="R41" s="18" t="inlineStr">
        <is>
          <t>https://www.sebi.gov.in/filings/public-issues/aug-2026/advanced-sys-tek-limited-drhp_103353.html</t>
        </is>
      </c>
      <c r="S41" s="18" t="inlineStr">
        <is>
          <t>https://www.sebi.gov.in/sebi_data/commondocs/aug-2026/Advanced%20Sys-Tek%20Limited%20%20-%20DAP_p.pdf</t>
        </is>
      </c>
      <c r="T41" s="14" t="n">
        <v>0</v>
      </c>
      <c r="U41" s="16" t="n"/>
      <c r="V41" s="16" t="n"/>
      <c r="W41" s="16" t="n"/>
      <c r="X41" s="15" t="inlineStr">
        <is>
          <t>Dates not announced</t>
        </is>
      </c>
      <c r="Y41" s="15" t="inlineStr">
        <is>
          <t>Feb-2025 DRHP withdrawn; refiled Jul/Aug-2026; dates not announced</t>
        </is>
      </c>
      <c r="Z41" s="18" t="inlineStr">
        <is>
          <t>https://www.chittorgarh.com/ipo/advanced-sys-tek-ipo/1997/</t>
        </is>
      </c>
    </row>
    <row r="42" ht="15" customHeight="1" s="12">
      <c r="A42" s="14" t="n">
        <v>41</v>
      </c>
      <c r="B42" s="15" t="inlineStr">
        <is>
          <t>MASTER CHAINS N JEWELS LIMITED</t>
        </is>
      </c>
      <c r="C42" s="16" t="n">
        <v>46234</v>
      </c>
      <c r="D42" s="16" t="n">
        <v>46234</v>
      </c>
      <c r="E42" s="15" t="inlineStr">
        <is>
          <t>DRHP</t>
        </is>
      </c>
      <c r="F42" s="15" t="inlineStr">
        <is>
          <t>Regular DRHP</t>
        </is>
      </c>
      <c r="G42" s="16" t="n"/>
      <c r="H42" s="15" t="inlineStr">
        <is>
          <t>DRHP filed — issue dates not announced</t>
        </is>
      </c>
      <c r="I42" s="17" t="n"/>
      <c r="J42" s="17" t="n">
        <v>400</v>
      </c>
      <c r="K42" s="17" t="n"/>
      <c r="L42" s="14" t="n"/>
      <c r="M42" s="14" t="n"/>
      <c r="N42" s="14" t="n">
        <v>5906250</v>
      </c>
      <c r="O42" s="15" t="inlineStr">
        <is>
          <t>Fresh issue up to ₹400.00 Cr + OFS up to 5,906,250 sh</t>
        </is>
      </c>
      <c r="P42" s="15" t="inlineStr">
        <is>
          <t>Part of offer stated in ₹, rest in shares only (DRHP cover) — total depends on price band</t>
        </is>
      </c>
      <c r="Q42" s="18" t="inlineStr">
        <is>
          <t>https://www.sebi.gov.in/sebi_data/attachdocs/jul-2026/1785497407202_1315.pdf</t>
        </is>
      </c>
      <c r="R42" s="18" t="inlineStr">
        <is>
          <t>https://www.sebi.gov.in/filings/public-issues/jul-2026/master-chains-n-jewels-limited-drhp_103287.html</t>
        </is>
      </c>
      <c r="S42" s="18" t="inlineStr">
        <is>
          <t>https://www.sebi.gov.in/sebi_data/commondocs/aug-2026/Master%20Chains%20N%20Jewels%20Limited%20-%20AP_p.pdf</t>
        </is>
      </c>
      <c r="T42" s="14" t="n">
        <v>0</v>
      </c>
      <c r="U42" s="16" t="n"/>
      <c r="V42" s="16" t="n"/>
      <c r="W42" s="16" t="n"/>
      <c r="X42" s="15" t="inlineStr">
        <is>
          <t>Dates not announced</t>
        </is>
      </c>
      <c r="Y42" s="15" t="inlineStr">
        <is>
          <t>DRHP filed; IPO dates not announced</t>
        </is>
      </c>
      <c r="Z42" s="18" t="inlineStr">
        <is>
          <t>https://www.ipoplatform.com/ipo/master-chains-n-jewels-ipo/4746</t>
        </is>
      </c>
    </row>
    <row r="43" ht="15" customHeight="1" s="12">
      <c r="A43" s="14" t="n">
        <v>42</v>
      </c>
      <c r="B43" s="15" t="inlineStr">
        <is>
          <t>YOGIJI DIGI LIMITED</t>
        </is>
      </c>
      <c r="C43" s="16" t="n">
        <v>46232</v>
      </c>
      <c r="D43" s="16" t="n">
        <v>46232</v>
      </c>
      <c r="E43" s="15" t="inlineStr">
        <is>
          <t>DRHP</t>
        </is>
      </c>
      <c r="F43" s="15" t="inlineStr">
        <is>
          <t>Regular DRHP</t>
        </is>
      </c>
      <c r="G43" s="16" t="n"/>
      <c r="H43" s="15" t="inlineStr">
        <is>
          <t>DRHP filed — issue dates not announced</t>
        </is>
      </c>
      <c r="I43" s="17" t="n"/>
      <c r="J43" s="17" t="n">
        <v>270</v>
      </c>
      <c r="K43" s="17" t="n"/>
      <c r="L43" s="14" t="n"/>
      <c r="M43" s="14" t="n"/>
      <c r="N43" s="14" t="n">
        <v>7171290</v>
      </c>
      <c r="O43" s="15" t="inlineStr">
        <is>
          <t>Fresh issue up to ₹270.00 Cr + OFS up to 7,171,290 sh</t>
        </is>
      </c>
      <c r="P43" s="15" t="inlineStr">
        <is>
          <t>Part of offer stated in ₹, rest in shares only (DRHP cover) — total depends on price band</t>
        </is>
      </c>
      <c r="Q43" s="18" t="inlineStr">
        <is>
          <t>https://www.sebi.gov.in/sebi_data/attachdocs/jul-2026/1785375006183_1314.pdf</t>
        </is>
      </c>
      <c r="R43" s="18" t="inlineStr">
        <is>
          <t>https://www.sebi.gov.in/filings/public-issues/jul-2026/yogiji-digi-limited-drhp_103106.html</t>
        </is>
      </c>
      <c r="S43" s="18" t="inlineStr">
        <is>
          <t>https://www.sebi.gov.in/sebi_data/commondocs/jul-2026/YOGIJI%20DIGI%20LIMITED_p.pdf</t>
        </is>
      </c>
      <c r="T43" s="14" t="n">
        <v>0</v>
      </c>
      <c r="U43" s="16" t="n"/>
      <c r="V43" s="16" t="n"/>
      <c r="W43" s="16" t="n"/>
      <c r="X43" s="15" t="inlineStr">
        <is>
          <t>Dates not announced</t>
        </is>
      </c>
      <c r="Y43" s="15" t="inlineStr">
        <is>
          <t>DRHP filed; IPO dates not announced</t>
        </is>
      </c>
      <c r="Z43" s="18" t="inlineStr">
        <is>
          <t>https://www.chittorgarh.com/ipo/yogiji-digi-ipo/3198/</t>
        </is>
      </c>
    </row>
    <row r="44" ht="15" customHeight="1" s="12">
      <c r="A44" s="14" t="n">
        <v>43</v>
      </c>
      <c r="B44" s="15" t="inlineStr">
        <is>
          <t>Indian Gas Exchange Limited</t>
        </is>
      </c>
      <c r="C44" s="16" t="n">
        <v>46232</v>
      </c>
      <c r="D44" s="16" t="n">
        <v>46232</v>
      </c>
      <c r="E44" s="15" t="inlineStr">
        <is>
          <t>DRHP</t>
        </is>
      </c>
      <c r="F44" s="15" t="inlineStr">
        <is>
          <t>Regular DRHP</t>
        </is>
      </c>
      <c r="G44" s="16" t="n"/>
      <c r="H44" s="15" t="inlineStr">
        <is>
          <t>DRHP filed — issue dates not announced</t>
        </is>
      </c>
      <c r="I44" s="17" t="n"/>
      <c r="J44" s="17" t="n"/>
      <c r="K44" s="17" t="n"/>
      <c r="L44" s="14" t="n"/>
      <c r="M44" s="14" t="n"/>
      <c r="N44" s="14" t="n"/>
      <c r="O44" s="15" t="inlineStr">
        <is>
          <t>Not read — see DRHP PDF</t>
        </is>
      </c>
      <c r="P44" s="15" t="inlineStr">
        <is>
          <t>Offer terms not extracted — open the DRHP PDF</t>
        </is>
      </c>
      <c r="Q44" s="18" t="inlineStr">
        <is>
          <t>https://www.sebi.gov.in/sebi_data/attachdocs/jul-2026/1785315631246.pdf</t>
        </is>
      </c>
      <c r="R44" s="18" t="inlineStr">
        <is>
          <t>https://www.sebi.gov.in/filings/public-issues/jul-2026/indian-gas-exchange-limited-drhp_102988.html</t>
        </is>
      </c>
      <c r="S44" s="18" t="inlineStr">
        <is>
          <t>https://www.sebi.gov.in/sebi_data/commondocs/jul-2026/Indian%20Gas%20Exchange%20Limited_p.pdf</t>
        </is>
      </c>
      <c r="T44" s="14" t="n">
        <v>0</v>
      </c>
      <c r="U44" s="16" t="n"/>
      <c r="V44" s="16" t="n"/>
      <c r="W44" s="16" t="n"/>
      <c r="X44" s="15" t="inlineStr">
        <is>
          <t>Dates not announced</t>
        </is>
      </c>
      <c r="Y44" s="15" t="inlineStr">
        <is>
          <t>DRHP stage; 100% OFS by IEX; dates not announced</t>
        </is>
      </c>
      <c r="Z44" s="18" t="inlineStr">
        <is>
          <t>https://www.chittorgarh.com/ipo/indian-gas-exchange-ipo/3193/</t>
        </is>
      </c>
    </row>
    <row r="45" ht="15" customHeight="1" s="12">
      <c r="A45" s="14" t="n">
        <v>44</v>
      </c>
      <c r="B45" s="15" t="inlineStr">
        <is>
          <t>IFL Finance Ltd</t>
        </is>
      </c>
      <c r="C45" s="16" t="n">
        <v>46232</v>
      </c>
      <c r="D45" s="16" t="n">
        <v>46232</v>
      </c>
      <c r="E45" s="15" t="inlineStr">
        <is>
          <t>DRHP</t>
        </is>
      </c>
      <c r="F45" s="15" t="inlineStr">
        <is>
          <t>Regular DRHP</t>
        </is>
      </c>
      <c r="G45" s="16" t="n"/>
      <c r="H45" s="15" t="inlineStr">
        <is>
          <t>DRHP filed — issue dates not announced</t>
        </is>
      </c>
      <c r="I45" s="17" t="n"/>
      <c r="J45" s="17" t="n"/>
      <c r="K45" s="17" t="n"/>
      <c r="L45" s="14" t="n"/>
      <c r="M45" s="14" t="n"/>
      <c r="N45" s="14" t="n"/>
      <c r="O45" s="15" t="inlineStr">
        <is>
          <t>Not read — see DRHP PDF</t>
        </is>
      </c>
      <c r="P45" s="15" t="inlineStr">
        <is>
          <t>Offer terms not extracted — open the DRHP PDF</t>
        </is>
      </c>
      <c r="Q45" s="18" t="inlineStr">
        <is>
          <t>https://www.sebi.gov.in/sebi_data/attachdocs/aug-2026/1786343435455.pdf</t>
        </is>
      </c>
      <c r="R45" s="18" t="inlineStr">
        <is>
          <t>https://www.sebi.gov.in/filings/public-issues/jul-2026/ifl-finance-ltd-drhp_103313.html</t>
        </is>
      </c>
      <c r="S45" s="18" t="inlineStr">
        <is>
          <t>https://www.sebi.gov.in/sebi_data/commondocs/aug-2026/IFL%20Finance%20Ltd-%20DAP_p.pdf</t>
        </is>
      </c>
      <c r="T45" s="14" t="n">
        <v>0</v>
      </c>
      <c r="U45" s="16" t="n"/>
      <c r="V45" s="16" t="n"/>
      <c r="W45" s="16" t="n"/>
      <c r="X45" s="15" t="inlineStr">
        <is>
          <t>Dates not announced</t>
        </is>
      </c>
      <c r="Y45" s="15" t="inlineStr">
        <is>
          <t>DRHP filed; IPO dates not announced</t>
        </is>
      </c>
      <c r="Z45" s="18" t="inlineStr">
        <is>
          <t>https://www.chittorgarh.com/ipo/ifl-finance-ipo/3200/</t>
        </is>
      </c>
    </row>
    <row r="46" ht="15" customHeight="1" s="12">
      <c r="A46" s="14" t="n">
        <v>45</v>
      </c>
      <c r="B46" s="15" t="inlineStr">
        <is>
          <t>GNI INFRASTRUCTURE LIMITED</t>
        </is>
      </c>
      <c r="C46" s="16" t="n">
        <v>46219</v>
      </c>
      <c r="D46" s="16" t="n">
        <v>46219</v>
      </c>
      <c r="E46" s="15" t="inlineStr">
        <is>
          <t>DRHP</t>
        </is>
      </c>
      <c r="F46" s="15" t="inlineStr">
        <is>
          <t>Regular DRHP</t>
        </is>
      </c>
      <c r="G46" s="16" t="n"/>
      <c r="H46" s="15" t="inlineStr">
        <is>
          <t>DRHP filed — issue dates not announced</t>
        </is>
      </c>
      <c r="I46" s="17" t="n"/>
      <c r="J46" s="17" t="n"/>
      <c r="K46" s="17" t="n"/>
      <c r="L46" s="14" t="n"/>
      <c r="M46" s="14" t="n"/>
      <c r="N46" s="14" t="n"/>
      <c r="O46" s="15" t="inlineStr">
        <is>
          <t>Not read — see DRHP PDF</t>
        </is>
      </c>
      <c r="P46" s="15" t="inlineStr">
        <is>
          <t>Offer terms not extracted — open the DRHP PDF</t>
        </is>
      </c>
      <c r="Q46" s="18" t="inlineStr">
        <is>
          <t>https://www.sebi.gov.in/sebi_data/attachdocs/jul-2026/1784187006424_1304.pdf</t>
        </is>
      </c>
      <c r="R46" s="18" t="inlineStr">
        <is>
          <t>https://www.sebi.gov.in/filings/public-issues/jul-2026/gni-infrastructure-limited-drhp_102874.html</t>
        </is>
      </c>
      <c r="S46" s="18" t="inlineStr">
        <is>
          <t>https://www.sebi.gov.in/sebi_data/commondocs/jul-2026/GNI%20INFRASTRUCTURE%20LIMITED%20-%20DA_p.pdf</t>
        </is>
      </c>
      <c r="T46" s="14" t="n">
        <v>0</v>
      </c>
      <c r="U46" s="16" t="n"/>
      <c r="V46" s="16" t="n"/>
      <c r="W46" s="16" t="n"/>
      <c r="X46" s="15" t="inlineStr">
        <is>
          <t>Dates not announced</t>
        </is>
      </c>
      <c r="Y46" s="15" t="inlineStr">
        <is>
          <t>DRHP filed; IPO dates not announced</t>
        </is>
      </c>
      <c r="Z46" s="18" t="inlineStr">
        <is>
          <t>https://www.chittorgarh.com/ipo/gni-infrastructure-ipo/3176/</t>
        </is>
      </c>
    </row>
    <row r="47" ht="15" customHeight="1" s="12">
      <c r="A47" s="14" t="n">
        <v>46</v>
      </c>
      <c r="B47" s="15" t="inlineStr">
        <is>
          <t>RATNADEEP RETAIL LIMITED</t>
        </is>
      </c>
      <c r="C47" s="16" t="n">
        <v>46212</v>
      </c>
      <c r="D47" s="16" t="n">
        <v>46212</v>
      </c>
      <c r="E47" s="15" t="inlineStr">
        <is>
          <t>DRHP</t>
        </is>
      </c>
      <c r="F47" s="15" t="inlineStr">
        <is>
          <t>Regular DRHP</t>
        </is>
      </c>
      <c r="G47" s="16" t="n"/>
      <c r="H47" s="15" t="inlineStr">
        <is>
          <t>DRHP filed — issue dates not announced</t>
        </is>
      </c>
      <c r="I47" s="17" t="n"/>
      <c r="J47" s="17" t="n"/>
      <c r="K47" s="17" t="n"/>
      <c r="L47" s="14" t="n"/>
      <c r="M47" s="14" t="n"/>
      <c r="N47" s="14" t="n"/>
      <c r="O47" s="15" t="inlineStr">
        <is>
          <t>Not read — see DRHP PDF</t>
        </is>
      </c>
      <c r="P47" s="15" t="inlineStr">
        <is>
          <t>Offer terms not extracted — open the DRHP PDF</t>
        </is>
      </c>
      <c r="Q47" s="18" t="inlineStr">
        <is>
          <t>https://www.sebi.gov.in/sebi_data/attachdocs/jul-2026/1783588088633.pdf</t>
        </is>
      </c>
      <c r="R47" s="18" t="inlineStr">
        <is>
          <t>https://www.sebi.gov.in/filings/public-issues/jul-2026/ratnadeep-retail-limited-drhp_102720.html</t>
        </is>
      </c>
      <c r="S47" s="18" t="inlineStr">
        <is>
          <t>https://www.sebi.gov.in/sebi_data/commondocs/jul-2026/Ratnadeep%20Retail%20Limited%20-%20DAP_p.pdf</t>
        </is>
      </c>
      <c r="T47" s="14" t="n">
        <v>0</v>
      </c>
      <c r="U47" s="16" t="n"/>
      <c r="V47" s="16" t="n"/>
      <c r="W47" s="16" t="n"/>
      <c r="X47" s="15" t="inlineStr">
        <is>
          <t>Dates not announced</t>
        </is>
      </c>
      <c r="Y47" s="15" t="inlineStr">
        <is>
          <t>DRHP filed; IPO dates not announced</t>
        </is>
      </c>
      <c r="Z47" s="18" t="inlineStr">
        <is>
          <t>https://www.chittorgarh.com/ipo/ratnadeep-retail-ipo/3181/</t>
        </is>
      </c>
    </row>
    <row r="48" ht="15" customHeight="1" s="12">
      <c r="A48" s="14" t="n">
        <v>47</v>
      </c>
      <c r="B48" s="15" t="inlineStr">
        <is>
          <t>CULT.FIT LIMITED</t>
        </is>
      </c>
      <c r="C48" s="16" t="n">
        <v>46212</v>
      </c>
      <c r="D48" s="16" t="n">
        <v>46212</v>
      </c>
      <c r="E48" s="15" t="inlineStr">
        <is>
          <t>DRHP</t>
        </is>
      </c>
      <c r="F48" s="15" t="inlineStr">
        <is>
          <t>Regular DRHP</t>
        </is>
      </c>
      <c r="G48" s="16" t="n"/>
      <c r="H48" s="15" t="inlineStr">
        <is>
          <t>DRHP filed — issue dates not announced</t>
        </is>
      </c>
      <c r="I48" s="17" t="n"/>
      <c r="J48" s="17" t="n"/>
      <c r="K48" s="17" t="n"/>
      <c r="L48" s="14" t="n"/>
      <c r="M48" s="14" t="n"/>
      <c r="N48" s="14" t="n"/>
      <c r="O48" s="15" t="inlineStr">
        <is>
          <t>Not read — see DRHP PDF</t>
        </is>
      </c>
      <c r="P48" s="15" t="inlineStr">
        <is>
          <t>Offer terms not extracted — open the DRHP PDF</t>
        </is>
      </c>
      <c r="Q48" s="18" t="inlineStr">
        <is>
          <t>https://www.sebi.gov.in/sebi_data/attachdocs/jul-2026/1783572277499.pdf</t>
        </is>
      </c>
      <c r="R48" s="18" t="inlineStr">
        <is>
          <t>https://www.sebi.gov.in/filings/public-issues/jul-2026/cult-fit-limited-drhp_102714.html</t>
        </is>
      </c>
      <c r="S48" s="18" t="inlineStr">
        <is>
          <t>https://www.sebi.gov.in/sebi_data/commondocs/jul-2026/CULT.FIT%20Limited%20-%20AP_p.pdf</t>
        </is>
      </c>
      <c r="T48" s="14" t="n">
        <v>0</v>
      </c>
      <c r="U48" s="16" t="n"/>
      <c r="V48" s="16" t="n"/>
      <c r="W48" s="16" t="n"/>
      <c r="X48" s="15" t="inlineStr">
        <is>
          <t>Dates not announced</t>
        </is>
      </c>
      <c r="Y48" s="15" t="inlineStr">
        <is>
          <t>DRHP stage; dates/price band not announced</t>
        </is>
      </c>
      <c r="Z48" s="18" t="inlineStr">
        <is>
          <t>https://www.chittorgarh.com/ipo/cultfit-ipo/3189/</t>
        </is>
      </c>
    </row>
    <row r="49" ht="15" customHeight="1" s="12">
      <c r="A49" s="14" t="n">
        <v>48</v>
      </c>
      <c r="B49" s="15" t="inlineStr">
        <is>
          <t>TMC Transformers India Limited</t>
        </is>
      </c>
      <c r="C49" s="16" t="n">
        <v>46211</v>
      </c>
      <c r="D49" s="16" t="n">
        <v>46211</v>
      </c>
      <c r="E49" s="15" t="inlineStr">
        <is>
          <t>DRHP</t>
        </is>
      </c>
      <c r="F49" s="15" t="inlineStr">
        <is>
          <t>Regular DRHP</t>
        </is>
      </c>
      <c r="G49" s="16" t="n"/>
      <c r="H49" s="15" t="inlineStr">
        <is>
          <t>DRHP filed — issue dates not announced</t>
        </is>
      </c>
      <c r="I49" s="17" t="n"/>
      <c r="J49" s="17" t="n"/>
      <c r="K49" s="17" t="n"/>
      <c r="L49" s="14" t="n"/>
      <c r="M49" s="14" t="n"/>
      <c r="N49" s="14" t="n"/>
      <c r="O49" s="15" t="inlineStr">
        <is>
          <t>Not read — see DRHP PDF</t>
        </is>
      </c>
      <c r="P49" s="15" t="inlineStr">
        <is>
          <t>Offer terms not extracted — open the DRHP PDF</t>
        </is>
      </c>
      <c r="Q49" s="18" t="inlineStr">
        <is>
          <t>https://www.sebi.gov.in/sebi_data/attachdocs/jul-2026/1783495804607_1303.pdf</t>
        </is>
      </c>
      <c r="R49" s="18" t="inlineStr">
        <is>
          <t>https://www.sebi.gov.in/filings/public-issues/jul-2026/tmc-transformers-india-limited-drhp_102680.html</t>
        </is>
      </c>
      <c r="S49" s="18" t="inlineStr">
        <is>
          <t>https://www.sebi.gov.in/sebi_data/commondocs/jul-2026/TMC%20Transformers%20India%20Limited%20-%20Abri_p.pdf</t>
        </is>
      </c>
      <c r="T49" s="14" t="n">
        <v>0</v>
      </c>
      <c r="U49" s="16" t="n"/>
      <c r="V49" s="16" t="n"/>
      <c r="W49" s="16" t="n"/>
      <c r="X49" s="15" t="inlineStr">
        <is>
          <t>Dates not announced</t>
        </is>
      </c>
      <c r="Y49" s="15" t="inlineStr">
        <is>
          <t>DRHP stage; aggregator placeholder date ignored; not announced</t>
        </is>
      </c>
      <c r="Z49" s="18" t="inlineStr">
        <is>
          <t>https://www.chittorgarh.com/ipo/tmc-transformers-india-ipo/3177/</t>
        </is>
      </c>
    </row>
    <row r="50" ht="15" customHeight="1" s="12">
      <c r="A50" s="14" t="n">
        <v>49</v>
      </c>
      <c r="B50" s="15" t="inlineStr">
        <is>
          <t>INNOTERRA LIMITED</t>
        </is>
      </c>
      <c r="C50" s="16" t="n">
        <v>46211</v>
      </c>
      <c r="D50" s="16" t="n">
        <v>46211</v>
      </c>
      <c r="E50" s="15" t="inlineStr">
        <is>
          <t>DRHP</t>
        </is>
      </c>
      <c r="F50" s="15" t="inlineStr">
        <is>
          <t>Regular DRHP</t>
        </is>
      </c>
      <c r="G50" s="16" t="n"/>
      <c r="H50" s="15" t="inlineStr">
        <is>
          <t>DRHP filed — issue dates not announced</t>
        </is>
      </c>
      <c r="I50" s="17" t="n"/>
      <c r="J50" s="17" t="n"/>
      <c r="K50" s="17" t="n"/>
      <c r="L50" s="14" t="n"/>
      <c r="M50" s="14" t="n"/>
      <c r="N50" s="14" t="n"/>
      <c r="O50" s="15" t="inlineStr">
        <is>
          <t>Not read — see DRHP PDF</t>
        </is>
      </c>
      <c r="P50" s="15" t="inlineStr">
        <is>
          <t>Offer terms not extracted — open the DRHP PDF</t>
        </is>
      </c>
      <c r="Q50" s="18" t="inlineStr">
        <is>
          <t>https://www.sebi.gov.in/sebi_data/attachdocs/jul-2026/1783492351929.pdf</t>
        </is>
      </c>
      <c r="R50" s="18" t="inlineStr">
        <is>
          <t>https://www.sebi.gov.in/filings/public-issues/jul-2026/innoterra-limited-drhp_102678.html</t>
        </is>
      </c>
      <c r="S50" s="18" t="inlineStr">
        <is>
          <t>https://www.sebi.gov.in/sebi_data/commondocs/jul-2026/INNOTERRA%20LIMITED%20-%20Abri_p.pdf</t>
        </is>
      </c>
      <c r="T50" s="14" t="n">
        <v>0</v>
      </c>
      <c r="U50" s="16" t="n"/>
      <c r="V50" s="16" t="n"/>
      <c r="W50" s="16" t="n"/>
      <c r="X50" s="15" t="inlineStr">
        <is>
          <t>Dates not announced</t>
        </is>
      </c>
      <c r="Y50" s="15" t="inlineStr">
        <is>
          <t>DRHP filed; IPO dates not announced</t>
        </is>
      </c>
      <c r="Z50" s="18" t="inlineStr">
        <is>
          <t>https://www.chittorgarh.com/ipo/innoterra-ipo/3175/</t>
        </is>
      </c>
    </row>
    <row r="51" ht="15" customHeight="1" s="12">
      <c r="A51" s="14" t="n">
        <v>50</v>
      </c>
      <c r="B51" s="15" t="inlineStr">
        <is>
          <t>SWARA BABY PRODUCTS LIMITED</t>
        </is>
      </c>
      <c r="C51" s="16" t="n">
        <v>46209</v>
      </c>
      <c r="D51" s="16" t="n">
        <v>46209</v>
      </c>
      <c r="E51" s="15" t="inlineStr">
        <is>
          <t>DRHP</t>
        </is>
      </c>
      <c r="F51" s="15" t="inlineStr">
        <is>
          <t>Regular DRHP</t>
        </is>
      </c>
      <c r="G51" s="16" t="n"/>
      <c r="H51" s="15" t="inlineStr">
        <is>
          <t>DRHP filed — issue dates not announced</t>
        </is>
      </c>
      <c r="I51" s="17" t="n"/>
      <c r="J51" s="17" t="n"/>
      <c r="K51" s="17" t="n"/>
      <c r="L51" s="14" t="n"/>
      <c r="M51" s="14" t="n"/>
      <c r="N51" s="14" t="n"/>
      <c r="O51" s="15" t="inlineStr">
        <is>
          <t>Not read — see DRHP PDF</t>
        </is>
      </c>
      <c r="P51" s="15" t="inlineStr">
        <is>
          <t>Offer terms not extracted — open the DRHP PDF</t>
        </is>
      </c>
      <c r="Q51" s="18" t="inlineStr">
        <is>
          <t>https://www.sebi.gov.in/sebi_data/attachdocs/jul-2026/1783337424176_1299.pdf</t>
        </is>
      </c>
      <c r="R51" s="18" t="inlineStr">
        <is>
          <t>https://www.sebi.gov.in/filings/public-issues/jul-2026/swara-baby-products-limited-drhp_102609.html</t>
        </is>
      </c>
      <c r="S51" s="18" t="inlineStr">
        <is>
          <t>https://www.sebi.gov.in/sebi_data/commondocs/jul-2026/SWARA%20Baby%20Products%20Limited%20-%20DAP_p.pdf</t>
        </is>
      </c>
      <c r="T51" s="14" t="n">
        <v>0</v>
      </c>
      <c r="U51" s="16" t="n"/>
      <c r="V51" s="16" t="n"/>
      <c r="W51" s="16" t="n"/>
      <c r="X51" s="15" t="inlineStr">
        <is>
          <t>Dates not announced</t>
        </is>
      </c>
      <c r="Y51" s="15" t="inlineStr">
        <is>
          <t>DRHP stage; dates not announced</t>
        </is>
      </c>
      <c r="Z51" s="18" t="inlineStr">
        <is>
          <t>https://www.chittorgarh.com/ipo/swara-baby-products-ipo/3186/</t>
        </is>
      </c>
    </row>
    <row r="52" ht="15" customHeight="1" s="12">
      <c r="A52" s="14" t="n">
        <v>51</v>
      </c>
      <c r="B52" s="15" t="inlineStr">
        <is>
          <t>STALWART PEOPLE SERVICES INDIA LIMITED</t>
        </is>
      </c>
      <c r="C52" s="16" t="n">
        <v>46209</v>
      </c>
      <c r="D52" s="16" t="n">
        <v>46209</v>
      </c>
      <c r="E52" s="15" t="inlineStr">
        <is>
          <t>DRHP</t>
        </is>
      </c>
      <c r="F52" s="15" t="inlineStr">
        <is>
          <t>Regular DRHP</t>
        </is>
      </c>
      <c r="G52" s="16" t="n"/>
      <c r="H52" s="15" t="inlineStr">
        <is>
          <t>DRHP filed — issue dates not announced</t>
        </is>
      </c>
      <c r="I52" s="17" t="n"/>
      <c r="J52" s="17" t="n"/>
      <c r="K52" s="17" t="n"/>
      <c r="L52" s="14" t="n"/>
      <c r="M52" s="14" t="n"/>
      <c r="N52" s="14" t="n"/>
      <c r="O52" s="15" t="inlineStr">
        <is>
          <t>Not read — see DRHP PDF</t>
        </is>
      </c>
      <c r="P52" s="15" t="inlineStr">
        <is>
          <t>Offer terms not extracted — open the DRHP PDF</t>
        </is>
      </c>
      <c r="Q52" s="18" t="inlineStr">
        <is>
          <t>https://www.sebi.gov.in/sebi_data/attachdocs/jul-2026/1783418315173.pdf</t>
        </is>
      </c>
      <c r="R52" s="18" t="inlineStr">
        <is>
          <t>https://www.sebi.gov.in/filings/public-issues/jul-2026/stalwart-people-services-india-limited-drhp_102607.html</t>
        </is>
      </c>
      <c r="S52" s="18" t="inlineStr">
        <is>
          <t>https://www.sebi.gov.in/sebi_data/commondocs/jul-2026/Stalwart%20People%20Services%20India%20Limited%20-%20Abri_p.pdf</t>
        </is>
      </c>
      <c r="T52" s="14" t="n">
        <v>0</v>
      </c>
      <c r="U52" s="16" t="n"/>
      <c r="V52" s="16" t="n"/>
      <c r="W52" s="16" t="n"/>
      <c r="X52" s="15" t="inlineStr">
        <is>
          <t>Dates not announced</t>
        </is>
      </c>
      <c r="Y52" s="15" t="inlineStr">
        <is>
          <t>DRHP stage; aggregator placeholder 11-Aug ignored; not announced</t>
        </is>
      </c>
      <c r="Z52" s="18" t="inlineStr">
        <is>
          <t>https://www.chittorgarh.com/ipo/stalwart-people-services-india-ipo/3168/</t>
        </is>
      </c>
    </row>
    <row r="53" ht="15" customHeight="1" s="12">
      <c r="A53" s="14" t="n">
        <v>52</v>
      </c>
      <c r="B53" s="15" t="inlineStr">
        <is>
          <t>Pragyawan Technologies Limited</t>
        </is>
      </c>
      <c r="C53" s="16" t="n">
        <v>46209</v>
      </c>
      <c r="D53" s="16" t="n">
        <v>46209</v>
      </c>
      <c r="E53" s="15" t="inlineStr">
        <is>
          <t>DRHP</t>
        </is>
      </c>
      <c r="F53" s="15" t="inlineStr">
        <is>
          <t>Regular DRHP</t>
        </is>
      </c>
      <c r="G53" s="16" t="n"/>
      <c r="H53" s="15" t="inlineStr">
        <is>
          <t>DRHP filed — issue dates not announced</t>
        </is>
      </c>
      <c r="I53" s="17" t="n"/>
      <c r="J53" s="17" t="n">
        <v>400</v>
      </c>
      <c r="K53" s="17" t="n"/>
      <c r="L53" s="14" t="n"/>
      <c r="M53" s="14" t="n"/>
      <c r="N53" s="14" t="n">
        <v>15000000</v>
      </c>
      <c r="O53" s="15" t="inlineStr">
        <is>
          <t>Fresh issue up to ₹400.00 Cr + OFS up to 15,000,000 sh</t>
        </is>
      </c>
      <c r="P53" s="15" t="inlineStr">
        <is>
          <t>Part of offer stated in ₹, rest in shares only (DRHP cover) — total depends on price band</t>
        </is>
      </c>
      <c r="Q53" s="18" t="inlineStr">
        <is>
          <t>https://www.sebi.gov.in/sebi_data/attachdocs/jul-2026/1783337424176_1300.pdf</t>
        </is>
      </c>
      <c r="R53" s="18" t="inlineStr">
        <is>
          <t>https://www.sebi.gov.in/filings/public-issues/jul-2026/pragyawan-technologies-limited-drhp_102611.html</t>
        </is>
      </c>
      <c r="S53" s="18" t="inlineStr">
        <is>
          <t>https://www.sebi.gov.in/sebi_data/commondocs/jul-2026/Pragyawan%20Technologies%20Limited%20-%20Abriged_p.PDF</t>
        </is>
      </c>
      <c r="T53" s="14" t="n">
        <v>0</v>
      </c>
      <c r="U53" s="16" t="n"/>
      <c r="V53" s="16" t="n"/>
      <c r="W53" s="16" t="n"/>
      <c r="X53" s="15" t="inlineStr">
        <is>
          <t>Dates not announced</t>
        </is>
      </c>
      <c r="Y53" s="15" t="inlineStr">
        <is>
          <t>DRHP filed; IPO dates not announced</t>
        </is>
      </c>
      <c r="Z53" s="18" t="inlineStr">
        <is>
          <t>https://www.chittorgarh.com/ipo/pragyawan-technologies-ipo/3172/</t>
        </is>
      </c>
    </row>
    <row r="54" ht="15" customHeight="1" s="12">
      <c r="A54" s="14" t="n">
        <v>53</v>
      </c>
      <c r="B54" s="15" t="inlineStr">
        <is>
          <t>Functional &amp; Innovative Foods Limited</t>
        </is>
      </c>
      <c r="C54" s="16" t="n">
        <v>46209</v>
      </c>
      <c r="D54" s="16" t="n">
        <v>46209</v>
      </c>
      <c r="E54" s="15" t="inlineStr">
        <is>
          <t>DRHP</t>
        </is>
      </c>
      <c r="F54" s="15" t="inlineStr">
        <is>
          <t>Regular DRHP</t>
        </is>
      </c>
      <c r="G54" s="16" t="n"/>
      <c r="H54" s="15" t="inlineStr">
        <is>
          <t>DRHP filed — issue dates not announced</t>
        </is>
      </c>
      <c r="I54" s="17" t="n"/>
      <c r="J54" s="17" t="n"/>
      <c r="K54" s="17" t="n"/>
      <c r="L54" s="14" t="n"/>
      <c r="M54" s="14" t="n"/>
      <c r="N54" s="14" t="n"/>
      <c r="O54" s="15" t="inlineStr">
        <is>
          <t>Not read — see DRHP PDF</t>
        </is>
      </c>
      <c r="P54" s="15" t="inlineStr">
        <is>
          <t>Offer terms not extracted — open the DRHP PDF</t>
        </is>
      </c>
      <c r="Q54" s="18" t="inlineStr">
        <is>
          <t>https://www.sebi.gov.in/sebi_data/attachdocs/jul-2026/1783323004810_1297.pdf</t>
        </is>
      </c>
      <c r="R54" s="18" t="inlineStr">
        <is>
          <t>https://www.sebi.gov.in/filings/public-issues/jul-2026/functional-and-innovative-foods-limited-drhp_102603.html</t>
        </is>
      </c>
      <c r="S54" s="18" t="inlineStr">
        <is>
          <t>https://www.sebi.gov.in/sebi_data/commondocs/jul-2026/Functional%20&amp;%20Innovative%20Foods%20Limited-%20Abri_p.pdf</t>
        </is>
      </c>
      <c r="T54" s="14" t="n">
        <v>0</v>
      </c>
      <c r="U54" s="16" t="n"/>
      <c r="V54" s="16" t="n"/>
      <c r="W54" s="16" t="n"/>
      <c r="X54" s="15" t="inlineStr">
        <is>
          <t>Dates not announced</t>
        </is>
      </c>
      <c r="Y54" s="15" t="inlineStr">
        <is>
          <t>SEBI nod Sep-2026; dates not yet announced</t>
        </is>
      </c>
      <c r="Z54" s="18" t="inlineStr">
        <is>
          <t>https://www.kotakneo.com/news/ipos/functional-and-innovative-foods-ipo-gets-sebi-nod-85-lakh-shares/</t>
        </is>
      </c>
    </row>
    <row r="55" ht="15" customHeight="1" s="12">
      <c r="A55" s="14" t="n">
        <v>54</v>
      </c>
      <c r="B55" s="15" t="inlineStr">
        <is>
          <t>ESWARI GLOBAL METAL INDUSTRIES LIMITED</t>
        </is>
      </c>
      <c r="C55" s="16" t="n">
        <v>46205</v>
      </c>
      <c r="D55" s="16" t="n">
        <v>46205</v>
      </c>
      <c r="E55" s="15" t="inlineStr">
        <is>
          <t>DRHP</t>
        </is>
      </c>
      <c r="F55" s="15" t="inlineStr">
        <is>
          <t>Regular DRHP</t>
        </is>
      </c>
      <c r="G55" s="16" t="n"/>
      <c r="H55" s="15" t="inlineStr">
        <is>
          <t>DRHP filed — issue dates not announced</t>
        </is>
      </c>
      <c r="I55" s="17" t="n"/>
      <c r="J55" s="17" t="n">
        <v>500</v>
      </c>
      <c r="K55" s="17" t="n"/>
      <c r="L55" s="14" t="n"/>
      <c r="M55" s="14" t="n"/>
      <c r="N55" s="14" t="n">
        <v>13209451</v>
      </c>
      <c r="O55" s="15" t="inlineStr">
        <is>
          <t>Fresh issue up to ₹500.00 Cr + OFS up to 13,209,451 sh</t>
        </is>
      </c>
      <c r="P55" s="15" t="inlineStr">
        <is>
          <t>Part of offer stated in ₹, rest in shares only (DRHP cover) — total depends on price band</t>
        </is>
      </c>
      <c r="Q55" s="18" t="inlineStr">
        <is>
          <t>https://www.sebi.gov.in/sebi_data/attachdocs/jul-2026/1782991807154_1296.pdf</t>
        </is>
      </c>
      <c r="R55" s="18" t="inlineStr">
        <is>
          <t>https://www.sebi.gov.in/filings/public-issues/jul-2026/eswari-global-metal-industries-limited-drhp_102541.html</t>
        </is>
      </c>
      <c r="S55" s="18" t="inlineStr">
        <is>
          <t>https://www.sebi.gov.in/sebi_data/commondocs/jul-2026/GLOBAL%20-%20DAP_p.pdf</t>
        </is>
      </c>
      <c r="T55" s="14" t="n">
        <v>0</v>
      </c>
      <c r="U55" s="16" t="n"/>
      <c r="V55" s="16" t="n"/>
      <c r="W55" s="16" t="n"/>
      <c r="X55" s="15" t="inlineStr">
        <is>
          <t>Dates not announced</t>
        </is>
      </c>
      <c r="Y55" s="15" t="inlineStr">
        <is>
          <t>DRHP filed; IPO dates not announced</t>
        </is>
      </c>
      <c r="Z55" s="18" t="inlineStr">
        <is>
          <t>https://www.chittorgarh.com/ipo/eswari-global-metal-ipo/3169/</t>
        </is>
      </c>
    </row>
    <row r="56" ht="15" customHeight="1" s="12">
      <c r="A56" s="14" t="n">
        <v>55</v>
      </c>
      <c r="B56" s="15" t="inlineStr">
        <is>
          <t>Social Worth Technologies Limited</t>
        </is>
      </c>
      <c r="C56" s="16" t="n">
        <v>46204</v>
      </c>
      <c r="D56" s="16" t="n">
        <v>46204</v>
      </c>
      <c r="E56" s="15" t="inlineStr">
        <is>
          <t>DRHP</t>
        </is>
      </c>
      <c r="F56" s="15" t="inlineStr">
        <is>
          <t>Regular DRHP</t>
        </is>
      </c>
      <c r="G56" s="16" t="n"/>
      <c r="H56" s="15" t="inlineStr">
        <is>
          <t>DRHP filed — issue dates not announced</t>
        </is>
      </c>
      <c r="I56" s="17" t="n"/>
      <c r="J56" s="17" t="n"/>
      <c r="K56" s="17" t="n"/>
      <c r="L56" s="14" t="n"/>
      <c r="M56" s="14" t="n"/>
      <c r="N56" s="14" t="n"/>
      <c r="O56" s="15" t="inlineStr">
        <is>
          <t>Not read — see DRHP PDF</t>
        </is>
      </c>
      <c r="P56" s="15" t="inlineStr">
        <is>
          <t>Offer terms not extracted — open the DRHP PDF</t>
        </is>
      </c>
      <c r="Q56" s="18" t="inlineStr">
        <is>
          <t>https://www.sebi.gov.in/sebi_data/attachdocs/jul-2026/1782889460153.pdf</t>
        </is>
      </c>
      <c r="R56" s="18" t="inlineStr">
        <is>
          <t>https://www.sebi.gov.in/filings/public-issues/jul-2026/social-worth-technologies-limited-drhp_102477.html</t>
        </is>
      </c>
      <c r="S56" s="18" t="inlineStr">
        <is>
          <t>https://www.sebi.gov.in/sebi_data/commondocs/jul-2026/Social%20Worth%20Technologies%20-%20DA_p.pdf</t>
        </is>
      </c>
      <c r="T56" s="14" t="n">
        <v>0</v>
      </c>
      <c r="U56" s="16" t="n"/>
      <c r="V56" s="16" t="n"/>
      <c r="W56" s="16" t="n"/>
      <c r="X56" s="15" t="inlineStr">
        <is>
          <t>Dates not announced</t>
        </is>
      </c>
      <c r="Y56" s="15" t="inlineStr">
        <is>
          <t>DRHP filed; IPO dates not announced</t>
        </is>
      </c>
      <c r="Z56" s="18" t="inlineStr">
        <is>
          <t>https://www.chittorgarh.com/ipo/social-worth-technologies-ipo/3164/</t>
        </is>
      </c>
    </row>
    <row r="57" ht="15" customHeight="1" s="12">
      <c r="A57" s="14" t="n">
        <v>56</v>
      </c>
      <c r="B57" s="15" t="inlineStr">
        <is>
          <t>Renfra Energy India Ltd</t>
        </is>
      </c>
      <c r="C57" s="16" t="n">
        <v>46204</v>
      </c>
      <c r="D57" s="16" t="n">
        <v>46204</v>
      </c>
      <c r="E57" s="15" t="inlineStr">
        <is>
          <t>DRHP</t>
        </is>
      </c>
      <c r="F57" s="15" t="inlineStr">
        <is>
          <t>Regular DRHP</t>
        </is>
      </c>
      <c r="G57" s="16" t="n"/>
      <c r="H57" s="15" t="inlineStr">
        <is>
          <t>DRHP filed — issue dates not announced</t>
        </is>
      </c>
      <c r="I57" s="17" t="n"/>
      <c r="J57" s="17" t="n">
        <v>430</v>
      </c>
      <c r="K57" s="17" t="n"/>
      <c r="L57" s="14" t="n"/>
      <c r="M57" s="14" t="n"/>
      <c r="N57" s="14" t="n">
        <v>4794800</v>
      </c>
      <c r="O57" s="15" t="inlineStr">
        <is>
          <t>Fresh issue up to ₹430.00 Cr + OFS up to 4,794,800 sh</t>
        </is>
      </c>
      <c r="P57" s="15" t="inlineStr">
        <is>
          <t>Part of offer stated in ₹, rest in shares only (DRHP cover) — total depends on price band</t>
        </is>
      </c>
      <c r="Q57" s="18" t="inlineStr">
        <is>
          <t>https://www.sebi.gov.in/sebi_data/attachdocs/jul-2026/1783322148504.pdf</t>
        </is>
      </c>
      <c r="R57" s="18" t="inlineStr">
        <is>
          <t>https://www.sebi.gov.in/filings/public-issues/jul-2026/renfra-energy-india-ltd-drhp_102601.html</t>
        </is>
      </c>
      <c r="S57" s="18" t="inlineStr">
        <is>
          <t>https://www.sebi.gov.in/sebi_data/commondocs/jul-2026/REIL%20Abridged_p.pdf</t>
        </is>
      </c>
      <c r="T57" s="14" t="n">
        <v>0</v>
      </c>
      <c r="U57" s="16" t="n"/>
      <c r="V57" s="16" t="n"/>
      <c r="W57" s="16" t="n"/>
      <c r="X57" s="15" t="inlineStr">
        <is>
          <t>Dates not announced</t>
        </is>
      </c>
      <c r="Y57" s="15" t="inlineStr">
        <is>
          <t>DRHP stage; aggregator placeholder 21-Sep ignored; not announced</t>
        </is>
      </c>
      <c r="Z57" s="18" t="inlineStr">
        <is>
          <t>https://www.chittorgarh.com/ipo/renfra-energy-india-ipo/3173/</t>
        </is>
      </c>
    </row>
    <row r="58" ht="15" customHeight="1" s="12">
      <c r="A58" s="14" t="n">
        <v>57</v>
      </c>
      <c r="B58" s="15" t="inlineStr">
        <is>
          <t>Mann Fleet Partners Limited</t>
        </is>
      </c>
      <c r="C58" s="16" t="n">
        <v>45939</v>
      </c>
      <c r="D58" s="16" t="n">
        <v>46204</v>
      </c>
      <c r="E58" s="15" t="inlineStr">
        <is>
          <t>DRHP</t>
        </is>
      </c>
      <c r="F58" s="15" t="inlineStr">
        <is>
          <t>Regular DRHP</t>
        </is>
      </c>
      <c r="G58" s="16" t="n"/>
      <c r="H58" s="15" t="inlineStr">
        <is>
          <t>DRHP filed — issue dates not announced</t>
        </is>
      </c>
      <c r="I58" s="17" t="n"/>
      <c r="J58" s="17" t="n"/>
      <c r="K58" s="17" t="n"/>
      <c r="L58" s="14" t="n"/>
      <c r="M58" s="14" t="n"/>
      <c r="N58" s="14" t="n"/>
      <c r="O58" s="15" t="inlineStr">
        <is>
          <t>Not read — see DRHP PDF</t>
        </is>
      </c>
      <c r="P58" s="15" t="inlineStr">
        <is>
          <t>Offer terms not extracted — open the DRHP PDF</t>
        </is>
      </c>
      <c r="Q58" s="18" t="inlineStr">
        <is>
          <t>https://www.sebi.gov.in/sebi_data/attachdocs/jul-2026/1782887237115.pdf</t>
        </is>
      </c>
      <c r="R58" s="18" t="inlineStr">
        <is>
          <t>https://www.sebi.gov.in/filings/public-issues/jul-2026/mann-fleet-partners-limited-drhp_102474.html</t>
        </is>
      </c>
      <c r="S58" s="18" t="inlineStr">
        <is>
          <t>https://www.sebi.gov.in/sebi_data/commondocs/jul-2026/Maan%20Fleet%20Partners%20Limited%20-%20DRPH_p.pdf</t>
        </is>
      </c>
      <c r="T58" s="14" t="n">
        <v>0</v>
      </c>
      <c r="U58" s="16" t="n"/>
      <c r="V58" s="16" t="n"/>
      <c r="W58" s="16" t="n"/>
      <c r="X58" s="15" t="inlineStr">
        <is>
          <t>Dates not announced</t>
        </is>
      </c>
      <c r="Y58" s="15" t="inlineStr">
        <is>
          <t>SEBI nod 8-Sep-2026; earlier DRHP withdrawn Mar-2026; dates not announced</t>
        </is>
      </c>
      <c r="Z58" s="18" t="inlineStr">
        <is>
          <t>https://www.chittorgarh.com/ipo/mann-fleet-partners-ipo/3166/</t>
        </is>
      </c>
    </row>
    <row r="59" ht="15" customHeight="1" s="12">
      <c r="A59" s="14" t="n">
        <v>58</v>
      </c>
      <c r="B59" s="15" t="inlineStr">
        <is>
          <t>ORAVEL STAYS LIMITED</t>
        </is>
      </c>
      <c r="C59" s="16" t="n">
        <v>44470</v>
      </c>
      <c r="D59" s="16" t="n">
        <v>46203</v>
      </c>
      <c r="E59" s="15" t="inlineStr">
        <is>
          <t>UDRHP-I</t>
        </is>
      </c>
      <c r="F59" s="15" t="inlineStr">
        <is>
          <t>Confidential pre-filing (UDRHP-I published)</t>
        </is>
      </c>
      <c r="G59" s="16" t="n"/>
      <c r="H59" s="15" t="inlineStr">
        <is>
          <t>DRHP filed — issue dates not announced</t>
        </is>
      </c>
      <c r="I59" s="17" t="n"/>
      <c r="J59" s="17" t="n"/>
      <c r="K59" s="17" t="n"/>
      <c r="L59" s="14" t="n"/>
      <c r="M59" s="14" t="n"/>
      <c r="N59" s="14" t="n"/>
      <c r="O59" s="15" t="inlineStr">
        <is>
          <t>Not read — see DRHP PDF</t>
        </is>
      </c>
      <c r="P59" s="15" t="inlineStr">
        <is>
          <t>Offer terms not extracted — open the DRHP PDF</t>
        </is>
      </c>
      <c r="Q59" s="18" t="inlineStr">
        <is>
          <t>https://www.sebi.gov.in/sebi_data/attachdocs/jun-2026/1782797745198.pdf</t>
        </is>
      </c>
      <c r="R59" s="18" t="inlineStr">
        <is>
          <t>https://www.sebi.gov.in/filings/public-issues/jun-2026/oravel-stays-limited-udrhp-i_102455.html</t>
        </is>
      </c>
      <c r="S59" s="18" t="inlineStr">
        <is>
          <t>https://www.sebi.gov.in/sebi_data/commondocs/jun-2026/ORAVEL%20STAYS%20LIMITED%20-%20Abridged_p.pdf</t>
        </is>
      </c>
      <c r="T59" s="14" t="n">
        <v>2</v>
      </c>
      <c r="U59" s="16" t="n"/>
      <c r="V59" s="16" t="n"/>
      <c r="W59" s="16" t="n"/>
      <c r="X59" s="15" t="inlineStr">
        <is>
          <t>Dates not announced</t>
        </is>
      </c>
      <c r="Y59" s="15" t="inlineStr">
        <is>
          <t>SEBI nod 2-Jun-2026 (UDRHP-I filed Jun-2026); dates not announced</t>
        </is>
      </c>
      <c r="Z59" s="18" t="inlineStr">
        <is>
          <t>https://www.chittorgarh.com/ipo/oyo-ipo/2843/</t>
        </is>
      </c>
    </row>
    <row r="60" ht="15" customHeight="1" s="12">
      <c r="A60" s="14" t="n">
        <v>59</v>
      </c>
      <c r="B60" s="15" t="inlineStr">
        <is>
          <t>Ujin Pharma Ltd</t>
        </is>
      </c>
      <c r="C60" s="16" t="n">
        <v>46199</v>
      </c>
      <c r="D60" s="16" t="n">
        <v>46199</v>
      </c>
      <c r="E60" s="15" t="inlineStr">
        <is>
          <t>DRHP</t>
        </is>
      </c>
      <c r="F60" s="15" t="inlineStr">
        <is>
          <t>Regular DRHP</t>
        </is>
      </c>
      <c r="G60" s="16" t="n"/>
      <c r="H60" s="15" t="inlineStr">
        <is>
          <t>DRHP filed — issue dates not announced</t>
        </is>
      </c>
      <c r="I60" s="17" t="n"/>
      <c r="J60" s="17" t="n"/>
      <c r="K60" s="17" t="n"/>
      <c r="L60" s="14" t="n"/>
      <c r="M60" s="14" t="n"/>
      <c r="N60" s="14" t="n"/>
      <c r="O60" s="15" t="inlineStr">
        <is>
          <t>Not read — see DRHP PDF</t>
        </is>
      </c>
      <c r="P60" s="15" t="inlineStr">
        <is>
          <t>Offer terms not extracted — open the DRHP PDF</t>
        </is>
      </c>
      <c r="Q60" s="18" t="inlineStr">
        <is>
          <t>https://www.sebi.gov.in/sebi_data/attachdocs/jun-2026/1782706923073.pdf</t>
        </is>
      </c>
      <c r="R60" s="18" t="inlineStr">
        <is>
          <t>https://www.sebi.gov.in/filings/public-issues/jun-2026/ujin-pharma-ltd-drhp_102424.html</t>
        </is>
      </c>
      <c r="S60" s="18" t="inlineStr">
        <is>
          <t>https://www.sebi.gov.in/sebi_data/commondocs/jun-2026/Ujin%20Pharma%20Ltd.%20-%20Draft%20Abridged%20Prospectus_p.pdf</t>
        </is>
      </c>
      <c r="T60" s="14" t="n">
        <v>0</v>
      </c>
      <c r="U60" s="16" t="n"/>
      <c r="V60" s="16" t="n"/>
      <c r="W60" s="16" t="n"/>
      <c r="X60" s="15" t="inlineStr">
        <is>
          <t>Dates not announced</t>
        </is>
      </c>
      <c r="Y60" s="15" t="inlineStr">
        <is>
          <t>DRHP stage; aggregator placeholder 10-Sep ignored; not announced</t>
        </is>
      </c>
      <c r="Z60" s="18" t="inlineStr">
        <is>
          <t>https://www.chittorgarh.com/ipo/ujin-pharma-ipo/3154/</t>
        </is>
      </c>
    </row>
    <row r="61" ht="15" customHeight="1" s="12">
      <c r="A61" s="14" t="n">
        <v>60</v>
      </c>
      <c r="B61" s="15" t="inlineStr">
        <is>
          <t>Sky Alloys and Power Limited</t>
        </is>
      </c>
      <c r="C61" s="16" t="n">
        <v>45939</v>
      </c>
      <c r="D61" s="16" t="n">
        <v>46198</v>
      </c>
      <c r="E61" s="15" t="inlineStr">
        <is>
          <t>DRHP</t>
        </is>
      </c>
      <c r="F61" s="15" t="inlineStr">
        <is>
          <t>Regular DRHP</t>
        </is>
      </c>
      <c r="G61" s="16" t="n"/>
      <c r="H61" s="15" t="inlineStr">
        <is>
          <t>DRHP filed — issue dates not announced</t>
        </is>
      </c>
      <c r="I61" s="17" t="n"/>
      <c r="J61" s="17" t="n"/>
      <c r="K61" s="17" t="n"/>
      <c r="L61" s="14" t="n">
        <v>17891000</v>
      </c>
      <c r="M61" s="14" t="n">
        <v>16084000</v>
      </c>
      <c r="N61" s="14" t="n">
        <v>1807000</v>
      </c>
      <c r="O61" s="15" t="inlineStr">
        <is>
          <t>Fresh issue up to 16,084,000 sh + OFS up to 1,807,000 sh</t>
        </is>
      </c>
      <c r="P61" s="15" t="inlineStr">
        <is>
          <t>DRHP states number of shares only (DRHP cover) — ₹ size depends on price band</t>
        </is>
      </c>
      <c r="Q61" s="18" t="inlineStr">
        <is>
          <t>https://www.sebi.gov.in/sebi_data/attachdocs/jun-2026/1782383217036.pdf</t>
        </is>
      </c>
      <c r="R61" s="18" t="inlineStr">
        <is>
          <t>https://www.sebi.gov.in/filings/public-issues/jun-2026/sky-alloys-and-power-limited-drhp_102415.html</t>
        </is>
      </c>
      <c r="S61" s="18" t="inlineStr">
        <is>
          <t>https://www.sebi.gov.in/sebi_data/commondocs/jun-2026/Sky%20Alloys%20and%20Power%20Limited%20-%20Abri_p.pdf</t>
        </is>
      </c>
      <c r="T61" s="14" t="n">
        <v>0</v>
      </c>
      <c r="U61" s="16" t="n"/>
      <c r="V61" s="16" t="n"/>
      <c r="W61" s="16" t="n"/>
      <c r="X61" s="15" t="inlineStr">
        <is>
          <t>Dates not announced</t>
        </is>
      </c>
      <c r="Y61" s="15" t="inlineStr">
        <is>
          <t>Refiled DRHP Jun-2026 after Dec-2025 withdrawal; dates not announced</t>
        </is>
      </c>
      <c r="Z61" s="18" t="inlineStr">
        <is>
          <t>https://www.chittorgarh.com/ipo/sky-alloys-and-power-ipo/2776/</t>
        </is>
      </c>
    </row>
    <row r="62" ht="15" customHeight="1" s="12">
      <c r="A62" s="14" t="n">
        <v>61</v>
      </c>
      <c r="B62" s="15" t="inlineStr">
        <is>
          <t>Jio Platforms Ltd</t>
        </is>
      </c>
      <c r="C62" s="16" t="n">
        <v>46192</v>
      </c>
      <c r="D62" s="16" t="n">
        <v>46192</v>
      </c>
      <c r="E62" s="15" t="inlineStr">
        <is>
          <t>DRHP</t>
        </is>
      </c>
      <c r="F62" s="15" t="inlineStr">
        <is>
          <t>Regular DRHP</t>
        </is>
      </c>
      <c r="G62" s="16" t="n"/>
      <c r="H62" s="15" t="inlineStr">
        <is>
          <t>DRHP filed — issue dates not announced</t>
        </is>
      </c>
      <c r="I62" s="17" t="n"/>
      <c r="J62" s="17" t="n"/>
      <c r="K62" s="17" t="n"/>
      <c r="L62" s="14" t="n">
        <v>270000000</v>
      </c>
      <c r="M62" s="14" t="n">
        <v>270000000</v>
      </c>
      <c r="N62" s="14" t="n"/>
      <c r="O62" s="15" t="inlineStr">
        <is>
          <t>Fresh issue up to 270,000,000 sh</t>
        </is>
      </c>
      <c r="P62" s="15" t="inlineStr">
        <is>
          <t>DRHP states number of shares only (DRHP cover) — ₹ size depends on price band</t>
        </is>
      </c>
      <c r="Q62" s="18" t="inlineStr">
        <is>
          <t>https://www.sebi.gov.in/sebi_data/attachdocs/jun-2026/1781870482419.PDF</t>
        </is>
      </c>
      <c r="R62" s="18" t="inlineStr">
        <is>
          <t>https://www.sebi.gov.in/filings/public-issues/jun-2026/jio-platforms-ltd-drhp_102248.html</t>
        </is>
      </c>
      <c r="S62" s="18" t="inlineStr">
        <is>
          <t>https://www.sebi.gov.in/sebi_data/commondocs/jun-2026/Jio%20Platforms%20Ltd_p.PDF</t>
        </is>
      </c>
      <c r="T62" s="14" t="n">
        <v>0</v>
      </c>
      <c r="U62" s="16" t="n"/>
      <c r="V62" s="16" t="n"/>
      <c r="W62" s="16" t="n"/>
      <c r="X62" s="15" t="inlineStr">
        <is>
          <t>Dates not announced</t>
        </is>
      </c>
      <c r="Y62" s="15" t="inlineStr">
        <is>
          <t>SEBI nod 28-Aug-2026; dates not yet announced</t>
        </is>
      </c>
      <c r="Z62" s="18" t="inlineStr">
        <is>
          <t>https://www.chittorgarh.com/ipo/jio-platforms-ipo/3152/</t>
        </is>
      </c>
    </row>
    <row r="63" ht="15" customHeight="1" s="12">
      <c r="A63" s="14" t="n">
        <v>62</v>
      </c>
      <c r="B63" s="15" t="inlineStr">
        <is>
          <t>Paras Healthcare Limited</t>
        </is>
      </c>
      <c r="C63" s="16" t="n">
        <v>45506</v>
      </c>
      <c r="D63" s="16" t="n">
        <v>46191</v>
      </c>
      <c r="E63" s="15" t="inlineStr">
        <is>
          <t>DRHP</t>
        </is>
      </c>
      <c r="F63" s="15" t="inlineStr">
        <is>
          <t>Regular DRHP</t>
        </is>
      </c>
      <c r="G63" s="16" t="n"/>
      <c r="H63" s="15" t="inlineStr">
        <is>
          <t>DRHP filed — issue dates not announced</t>
        </is>
      </c>
      <c r="I63" s="17" t="n">
        <v>1800</v>
      </c>
      <c r="J63" s="17" t="n">
        <v>500</v>
      </c>
      <c r="K63" s="17" t="n">
        <v>1300</v>
      </c>
      <c r="L63" s="14" t="n"/>
      <c r="M63" s="14" t="n"/>
      <c r="N63" s="14" t="n"/>
      <c r="O63" s="15" t="inlineStr">
        <is>
          <t>Fresh issue up to ₹500.00 Cr + OFS up to ₹1,300.00 Cr</t>
        </is>
      </c>
      <c r="P63" s="15" t="inlineStr">
        <is>
          <t>₹ amount stated in DRHP cover</t>
        </is>
      </c>
      <c r="Q63" s="18" t="inlineStr">
        <is>
          <t>https://www.sebi.gov.in/sebi_data/attachdocs/jun-2026/1781761057174.pdf</t>
        </is>
      </c>
      <c r="R63" s="18" t="inlineStr">
        <is>
          <t>https://www.sebi.gov.in/filings/public-issues/jun-2026/paras-healthcare-limited-drhp_102187.html</t>
        </is>
      </c>
      <c r="S63" s="18" t="inlineStr">
        <is>
          <t>https://www.sebi.gov.in/sebi_data/commondocs/jun-2026/Paras%20Healthcare%20Limited%20-%20Abridged_p.pdf</t>
        </is>
      </c>
      <c r="T63" s="14" t="n">
        <v>0</v>
      </c>
      <c r="U63" s="16" t="n"/>
      <c r="V63" s="16" t="n"/>
      <c r="W63" s="16" t="n"/>
      <c r="X63" s="15" t="inlineStr">
        <is>
          <t>Dates not announced</t>
        </is>
      </c>
      <c r="Y63" s="15" t="inlineStr">
        <is>
          <t>SEBI nod 24-Aug-2026 on refiled DRHP; dates not announced</t>
        </is>
      </c>
      <c r="Z63" s="18" t="inlineStr">
        <is>
          <t>https://www.chittorgarh.com/ipo/paras-healthcare-ipo/2256/</t>
        </is>
      </c>
    </row>
    <row r="64" ht="15" customHeight="1" s="12">
      <c r="A64" s="14" t="n">
        <v>63</v>
      </c>
      <c r="B64" s="15" t="inlineStr">
        <is>
          <t>Zepto Limited</t>
        </is>
      </c>
      <c r="C64" s="16" t="n">
        <v>46182</v>
      </c>
      <c r="D64" s="16" t="n">
        <v>46182</v>
      </c>
      <c r="E64" s="15" t="inlineStr">
        <is>
          <t>UDRHP-I</t>
        </is>
      </c>
      <c r="F64" s="15" t="inlineStr">
        <is>
          <t>Confidential pre-filing (UDRHP-I published)</t>
        </is>
      </c>
      <c r="G64" s="16" t="n"/>
      <c r="H64" s="15" t="inlineStr">
        <is>
          <t>DRHP filed — issue dates not announced</t>
        </is>
      </c>
      <c r="I64" s="17" t="n"/>
      <c r="J64" s="17" t="n"/>
      <c r="K64" s="17" t="n"/>
      <c r="L64" s="14" t="n"/>
      <c r="M64" s="14" t="n"/>
      <c r="N64" s="14" t="n"/>
      <c r="O64" s="15" t="inlineStr">
        <is>
          <t>Not read — see DRHP PDF</t>
        </is>
      </c>
      <c r="P64" s="15" t="inlineStr">
        <is>
          <t>Offer terms not extracted — open the DRHP PDF</t>
        </is>
      </c>
      <c r="Q64" s="18" t="inlineStr">
        <is>
          <t>https://www.sebi.gov.in/sebi_data/attachdocs/jun-2026/1780983427091.pdf</t>
        </is>
      </c>
      <c r="R64" s="18" t="inlineStr">
        <is>
          <t>https://www.sebi.gov.in/filings/public-issues/jun-2026/zepto-limited-udrhp1_101929.html</t>
        </is>
      </c>
      <c r="S64" s="18" t="inlineStr">
        <is>
          <t>https://www.sebi.gov.in/sebi_data/commondocs/jun-2026/Zepto%20Limited%20-%20abridged_p.pdf</t>
        </is>
      </c>
      <c r="T64" s="14" t="n">
        <v>0</v>
      </c>
      <c r="U64" s="16" t="n"/>
      <c r="V64" s="16" t="n"/>
      <c r="W64" s="16" t="n"/>
      <c r="X64" s="15" t="inlineStr">
        <is>
          <t>Dates not announced</t>
        </is>
      </c>
      <c r="Y64" s="15" t="inlineStr">
        <is>
          <t>SEBI nod 8-May-2026 (confidential filing); dates not announced</t>
        </is>
      </c>
      <c r="Z64" s="18" t="inlineStr">
        <is>
          <t>https://www.chittorgarh.com/ipo/zepto-ipo/2819/</t>
        </is>
      </c>
    </row>
    <row r="65" ht="15" customHeight="1" s="12">
      <c r="A65" s="14" t="n">
        <v>64</v>
      </c>
      <c r="B65" s="15" t="inlineStr">
        <is>
          <t>Pushp Brand India Limited</t>
        </is>
      </c>
      <c r="C65" s="16" t="n">
        <v>46177</v>
      </c>
      <c r="D65" s="16" t="n">
        <v>46177</v>
      </c>
      <c r="E65" s="15" t="inlineStr">
        <is>
          <t>DRHP</t>
        </is>
      </c>
      <c r="F65" s="15" t="inlineStr">
        <is>
          <t>Regular DRHP</t>
        </is>
      </c>
      <c r="G65" s="16" t="n"/>
      <c r="H65" s="15" t="inlineStr">
        <is>
          <t>DRHP filed — issue dates not announced</t>
        </is>
      </c>
      <c r="I65" s="17" t="n"/>
      <c r="J65" s="17" t="n"/>
      <c r="K65" s="17" t="n"/>
      <c r="L65" s="14" t="n"/>
      <c r="M65" s="14" t="n"/>
      <c r="N65" s="14" t="n"/>
      <c r="O65" s="15" t="inlineStr">
        <is>
          <t>Not read — see DRHP PDF</t>
        </is>
      </c>
      <c r="P65" s="15" t="inlineStr">
        <is>
          <t>Offer terms not extracted — open the DRHP PDF</t>
        </is>
      </c>
      <c r="Q65" s="18" t="inlineStr">
        <is>
          <t>https://www.sebi.gov.in/sebi_data/attachdocs/jun-2026/1780558204915_1257.pdf</t>
        </is>
      </c>
      <c r="R65" s="18" t="inlineStr">
        <is>
          <t>https://www.sebi.gov.in/filings/public-issues/jun-2026/pushp-brand-india-limited_101826.html</t>
        </is>
      </c>
      <c r="S65" s="18" t="inlineStr">
        <is>
          <t>https://www.sebi.gov.in/sebi_data/commondocs/jun-2026/Pushp%20Brand%20India%20Limited%20-%20DAP_p.pdf</t>
        </is>
      </c>
      <c r="T65" s="14" t="n">
        <v>0</v>
      </c>
      <c r="U65" s="16" t="n"/>
      <c r="V65" s="16" t="n"/>
      <c r="W65" s="16" t="n"/>
      <c r="X65" s="15" t="inlineStr">
        <is>
          <t>Dates not announced</t>
        </is>
      </c>
      <c r="Y65" s="15" t="inlineStr">
        <is>
          <t>SEBI nod 27-Aug-2026; dates not announced</t>
        </is>
      </c>
      <c r="Z65" s="18" t="inlineStr">
        <is>
          <t>https://www.chittorgarh.com/ipo/pushp-brand-india-ipo/3137/</t>
        </is>
      </c>
    </row>
    <row r="66" ht="15" customHeight="1" s="12">
      <c r="A66" s="14" t="n">
        <v>65</v>
      </c>
      <c r="B66" s="15" t="inlineStr">
        <is>
          <t>Matangi Rubber Limited</t>
        </is>
      </c>
      <c r="C66" s="16" t="n">
        <v>46175</v>
      </c>
      <c r="D66" s="16" t="n">
        <v>46175</v>
      </c>
      <c r="E66" s="15" t="inlineStr">
        <is>
          <t>DRHP</t>
        </is>
      </c>
      <c r="F66" s="15" t="inlineStr">
        <is>
          <t>Regular DRHP</t>
        </is>
      </c>
      <c r="G66" s="16" t="n"/>
      <c r="H66" s="15" t="inlineStr">
        <is>
          <t>DRHP filed — issue dates not announced</t>
        </is>
      </c>
      <c r="I66" s="17" t="n"/>
      <c r="J66" s="17" t="n"/>
      <c r="K66" s="17" t="n"/>
      <c r="L66" s="14" t="n">
        <v>7276981</v>
      </c>
      <c r="M66" s="14" t="n">
        <v>5761831</v>
      </c>
      <c r="N66" s="14" t="n">
        <v>1515150</v>
      </c>
      <c r="O66" s="15" t="inlineStr">
        <is>
          <t>Fresh issue up to 5,761,831 sh + OFS up to 1,515,150 sh</t>
        </is>
      </c>
      <c r="P66" s="15" t="inlineStr">
        <is>
          <t>DRHP states number of shares only (DRHP cover) — ₹ size depends on price band</t>
        </is>
      </c>
      <c r="Q66" s="18" t="inlineStr">
        <is>
          <t>https://www.sebi.gov.in/sebi_data/attachdocs/jun-2026/1780389306989.pdf</t>
        </is>
      </c>
      <c r="R66" s="18" t="inlineStr">
        <is>
          <t>https://www.sebi.gov.in/filings/public-issues/jun-2026/matangi-rubber-limited-drhp_101764.html</t>
        </is>
      </c>
      <c r="S66" s="18" t="inlineStr">
        <is>
          <t>https://www.sebi.gov.in/sebi_data/commondocs/jun-2026/Matangi%20Rubber%20Limited%20-%20Abridged_p.pdf</t>
        </is>
      </c>
      <c r="T66" s="14" t="n">
        <v>0</v>
      </c>
      <c r="U66" s="16" t="n"/>
      <c r="V66" s="16" t="n"/>
      <c r="W66" s="16" t="n"/>
      <c r="X66" s="15" t="inlineStr">
        <is>
          <t>Dates not announced</t>
        </is>
      </c>
      <c r="Y66" s="15" t="inlineStr">
        <is>
          <t>Listed as upcoming BSE SME; no confirmed dates found</t>
        </is>
      </c>
      <c r="Z66" s="14" t="n"/>
    </row>
    <row r="67" ht="15" customHeight="1" s="12">
      <c r="A67" s="14" t="n">
        <v>66</v>
      </c>
      <c r="B67" s="15" t="inlineStr">
        <is>
          <t>Arohan Financial Services Limited</t>
        </is>
      </c>
      <c r="C67" s="16" t="n">
        <v>44242</v>
      </c>
      <c r="D67" s="16" t="n">
        <v>46175</v>
      </c>
      <c r="E67" s="15" t="inlineStr">
        <is>
          <t>DRHP</t>
        </is>
      </c>
      <c r="F67" s="15" t="inlineStr">
        <is>
          <t>Regular DRHP</t>
        </is>
      </c>
      <c r="G67" s="16" t="n"/>
      <c r="H67" s="15" t="inlineStr">
        <is>
          <t>DRHP filed — issue dates not announced</t>
        </is>
      </c>
      <c r="I67" s="17" t="n"/>
      <c r="J67" s="17" t="n"/>
      <c r="K67" s="17" t="n"/>
      <c r="L67" s="14" t="n"/>
      <c r="M67" s="14" t="n"/>
      <c r="N67" s="14" t="n"/>
      <c r="O67" s="15" t="inlineStr">
        <is>
          <t>Not read — see DRHP PDF</t>
        </is>
      </c>
      <c r="P67" s="15" t="inlineStr">
        <is>
          <t>Offer terms not extracted — open the DRHP PDF</t>
        </is>
      </c>
      <c r="Q67" s="18" t="inlineStr">
        <is>
          <t>https://www.sebi.gov.in/sebi_data/attachdocs/jun-2026/1780373627534.pdf</t>
        </is>
      </c>
      <c r="R67" s="18" t="inlineStr">
        <is>
          <t>https://www.sebi.gov.in/filings/public-issues/jun-2026/arohan-financial-services-limited-drhp_101753.html</t>
        </is>
      </c>
      <c r="S67" s="18" t="inlineStr">
        <is>
          <t>https://www.sebi.gov.in/sebi_data/commondocs/jun-2026/Arohan%20Financial%20Services%20Limited%20-%20DRHP_p.pdf</t>
        </is>
      </c>
      <c r="T67" s="14" t="n">
        <v>0</v>
      </c>
      <c r="U67" s="16" t="n"/>
      <c r="V67" s="16" t="n"/>
      <c r="W67" s="16" t="n"/>
      <c r="X67" s="15" t="inlineStr">
        <is>
          <t>Dates not announced</t>
        </is>
      </c>
      <c r="Y67" s="15" t="inlineStr">
        <is>
          <t>Refiled DRHP May-2026; dates not announced</t>
        </is>
      </c>
      <c r="Z67" s="18" t="inlineStr">
        <is>
          <t>https://www.chittorgarh.com/ipo/arohan-financial-services-ipo/3135/</t>
        </is>
      </c>
    </row>
    <row r="68" ht="15" customHeight="1" s="12">
      <c r="A68" s="14" t="n">
        <v>67</v>
      </c>
      <c r="B68" s="15" t="inlineStr">
        <is>
          <t>M. K. SONS FINE JEWELS LIMITED</t>
        </is>
      </c>
      <c r="C68" s="16" t="n">
        <v>46162</v>
      </c>
      <c r="D68" s="16" t="n">
        <v>46162</v>
      </c>
      <c r="E68" s="15" t="inlineStr">
        <is>
          <t>DRHP</t>
        </is>
      </c>
      <c r="F68" s="15" t="inlineStr">
        <is>
          <t>Regular DRHP</t>
        </is>
      </c>
      <c r="G68" s="16" t="n"/>
      <c r="H68" s="15" t="inlineStr">
        <is>
          <t>DRHP filed — issue dates not announced</t>
        </is>
      </c>
      <c r="I68" s="17" t="n"/>
      <c r="J68" s="17" t="n"/>
      <c r="K68" s="17" t="n"/>
      <c r="L68" s="14" t="n"/>
      <c r="M68" s="14" t="n"/>
      <c r="N68" s="14" t="n"/>
      <c r="O68" s="15" t="inlineStr">
        <is>
          <t>Not read — see DRHP PDF</t>
        </is>
      </c>
      <c r="P68" s="15" t="inlineStr">
        <is>
          <t>Offer terms not extracted — open the DRHP PDF</t>
        </is>
      </c>
      <c r="Q68" s="18" t="inlineStr">
        <is>
          <t>https://www.sebi.gov.in/sebi_data/attachdocs/may-2026/1779262204888_1256.pdf</t>
        </is>
      </c>
      <c r="R68" s="18" t="inlineStr">
        <is>
          <t>https://www.sebi.gov.in/filings/public-issues/may-2026/m-k-sons-fine-jewels-limited_101528.html</t>
        </is>
      </c>
      <c r="S68" s="18" t="inlineStr">
        <is>
          <t>https://www.sebi.gov.in/sebi_data/commondocs/jun-2026/M%20K%20SONS%20-%20Draft%20Abridged%20Prospectus_p.pdf</t>
        </is>
      </c>
      <c r="T68" s="14" t="n">
        <v>0</v>
      </c>
      <c r="U68" s="16" t="n"/>
      <c r="V68" s="16" t="n"/>
      <c r="W68" s="16" t="n"/>
      <c r="X68" s="15" t="inlineStr">
        <is>
          <t>Dates not announced</t>
        </is>
      </c>
      <c r="Y68" s="15" t="inlineStr">
        <is>
          <t>SEBI nod 28-Aug-2026; dates not announced</t>
        </is>
      </c>
      <c r="Z68" s="18" t="inlineStr">
        <is>
          <t>https://www.chittorgarh.com/ipo/mksons-fine-jewels-ipo/3100/</t>
        </is>
      </c>
    </row>
    <row r="69" ht="15" customHeight="1" s="12">
      <c r="A69" s="14" t="n">
        <v>68</v>
      </c>
      <c r="B69" s="15" t="inlineStr">
        <is>
          <t>Gaurik Fashions Limited</t>
        </is>
      </c>
      <c r="C69" s="16" t="n">
        <v>46157</v>
      </c>
      <c r="D69" s="16" t="n">
        <v>46157</v>
      </c>
      <c r="E69" s="15" t="inlineStr">
        <is>
          <t>DRHP</t>
        </is>
      </c>
      <c r="F69" s="15" t="inlineStr">
        <is>
          <t>Regular DRHP</t>
        </is>
      </c>
      <c r="G69" s="16" t="n"/>
      <c r="H69" s="15" t="inlineStr">
        <is>
          <t>DRHP filed — issue dates not announced</t>
        </is>
      </c>
      <c r="I69" s="17" t="n"/>
      <c r="J69" s="17" t="n"/>
      <c r="K69" s="17" t="n"/>
      <c r="L69" s="14" t="n"/>
      <c r="M69" s="14" t="n"/>
      <c r="N69" s="14" t="n"/>
      <c r="O69" s="15" t="inlineStr">
        <is>
          <t>Not read — see DRHP PDF</t>
        </is>
      </c>
      <c r="P69" s="15" t="inlineStr">
        <is>
          <t>Offer terms not extracted — open the DRHP PDF</t>
        </is>
      </c>
      <c r="Q69" s="18" t="inlineStr">
        <is>
          <t>https://www.sebi.gov.in/sebi_data/attachdocs/may-2026/1778844606056_1254.pdf</t>
        </is>
      </c>
      <c r="R69" s="18" t="inlineStr">
        <is>
          <t>https://www.sebi.gov.in/filings/public-issues/may-2026/gaurik-fashions-limited-drhp_101469.html</t>
        </is>
      </c>
      <c r="S69" s="18" t="inlineStr">
        <is>
          <t>https://www.sebi.gov.in/sebi_data/commondocs/sep-2026/Gaurik%20Fashions%20Limited%20-%20DAP_p.pdf</t>
        </is>
      </c>
      <c r="T69" s="14" t="n">
        <v>1</v>
      </c>
      <c r="U69" s="16" t="n"/>
      <c r="V69" s="16" t="n"/>
      <c r="W69" s="16" t="n"/>
      <c r="X69" s="15" t="inlineStr">
        <is>
          <t>Dates not announced</t>
        </is>
      </c>
      <c r="Y69" s="15" t="inlineStr">
        <is>
          <t>SEBI approval pending; dates not announced</t>
        </is>
      </c>
      <c r="Z69" s="18" t="inlineStr">
        <is>
          <t>https://www.chittorgarh.com/ipo/gaurik-fashions-ipo/3098/</t>
        </is>
      </c>
    </row>
    <row r="70" ht="15" customHeight="1" s="12">
      <c r="A70" s="14" t="n">
        <v>69</v>
      </c>
      <c r="B70" s="15" t="inlineStr">
        <is>
          <t>Online Instruments(India) Limited</t>
        </is>
      </c>
      <c r="C70" s="16" t="n">
        <v>46156</v>
      </c>
      <c r="D70" s="16" t="n">
        <v>46156</v>
      </c>
      <c r="E70" s="15" t="inlineStr">
        <is>
          <t>DRHP</t>
        </is>
      </c>
      <c r="F70" s="15" t="inlineStr">
        <is>
          <t>Regular DRHP</t>
        </is>
      </c>
      <c r="G70" s="16" t="n"/>
      <c r="H70" s="15" t="inlineStr">
        <is>
          <t>DRHP filed — issue dates not announced</t>
        </is>
      </c>
      <c r="I70" s="17" t="n"/>
      <c r="J70" s="17" t="n">
        <v>750</v>
      </c>
      <c r="K70" s="17" t="n"/>
      <c r="L70" s="14" t="n"/>
      <c r="M70" s="14" t="n"/>
      <c r="N70" s="14" t="n">
        <v>5710000</v>
      </c>
      <c r="O70" s="15" t="inlineStr">
        <is>
          <t>Fresh issue up to ₹750.00 Cr + OFS up to 5,710,000 sh</t>
        </is>
      </c>
      <c r="P70" s="15" t="inlineStr">
        <is>
          <t>Part of offer stated in ₹, rest in shares only (DRHP cover) — total depends on price band</t>
        </is>
      </c>
      <c r="Q70" s="18" t="inlineStr">
        <is>
          <t>https://www.sebi.gov.in/sebi_data/attachdocs/may-2026/1778754857352.pdf</t>
        </is>
      </c>
      <c r="R70" s="18" t="inlineStr">
        <is>
          <t>https://www.sebi.gov.in/filings/public-issues/may-2026/online-instruments-india-limited-drhp_101429.html</t>
        </is>
      </c>
      <c r="S70" s="18" t="inlineStr">
        <is>
          <t>https://www.sebi.gov.in/sebi_data/commondocs/may-2026/Online%20Instruments%20india%20Limite-AP_p.pdf</t>
        </is>
      </c>
      <c r="T70" s="14" t="n">
        <v>0</v>
      </c>
      <c r="U70" s="16" t="n"/>
      <c r="V70" s="16" t="n"/>
      <c r="W70" s="16" t="n"/>
      <c r="X70" s="15" t="inlineStr">
        <is>
          <t>Dates not announced</t>
        </is>
      </c>
      <c r="Y70" s="15" t="inlineStr">
        <is>
          <t>SEBI nod 18-Aug-2026; dates not announced</t>
        </is>
      </c>
      <c r="Z70" s="18" t="inlineStr">
        <is>
          <t>https://www.chittorgarh.com/ipo/online-instruments-india-ipo/3099/</t>
        </is>
      </c>
    </row>
    <row r="71" ht="15" customHeight="1" s="12">
      <c r="A71" s="14" t="n">
        <v>70</v>
      </c>
      <c r="B71" s="15" t="inlineStr">
        <is>
          <t>Incred Holdings Limited</t>
        </is>
      </c>
      <c r="C71" s="16" t="n">
        <v>46156</v>
      </c>
      <c r="D71" s="16" t="n">
        <v>46156</v>
      </c>
      <c r="E71" s="15" t="inlineStr">
        <is>
          <t>UDRHP-I</t>
        </is>
      </c>
      <c r="F71" s="15" t="inlineStr">
        <is>
          <t>Confidential pre-filing (UDRHP-I published)</t>
        </is>
      </c>
      <c r="G71" s="16" t="n"/>
      <c r="H71" s="15" t="inlineStr">
        <is>
          <t>DRHP filed — issue dates not announced</t>
        </is>
      </c>
      <c r="I71" s="17" t="n"/>
      <c r="J71" s="17" t="n">
        <v>1250</v>
      </c>
      <c r="K71" s="17" t="n"/>
      <c r="L71" s="14" t="n"/>
      <c r="M71" s="14" t="n"/>
      <c r="N71" s="14" t="n">
        <v>99020833</v>
      </c>
      <c r="O71" s="15" t="inlineStr">
        <is>
          <t>Fresh issue up to ₹1,250.00 Cr + OFS up to 99,020,833 sh</t>
        </is>
      </c>
      <c r="P71" s="15" t="inlineStr">
        <is>
          <t>Part of offer stated in ₹, rest in shares only (DRHP cover) — total depends on price band</t>
        </is>
      </c>
      <c r="Q71" s="18" t="inlineStr">
        <is>
          <t>https://www.sebi.gov.in/sebi_data/attachdocs/may-2026/1778757509849.pdf</t>
        </is>
      </c>
      <c r="R71" s="18" t="inlineStr">
        <is>
          <t>https://www.sebi.gov.in/filings/public-issues/may-2026/incred-holdings-limited-udrhp-1_101433.html</t>
        </is>
      </c>
      <c r="S71" s="18" t="inlineStr">
        <is>
          <t>https://www.sebi.gov.in/sebi_data/commondocs/may-2026/Incred%20Holdings%20Limited-Abridged%20prospectus_p.pdf</t>
        </is>
      </c>
      <c r="T71" s="14" t="n">
        <v>1</v>
      </c>
      <c r="U71" s="16" t="n"/>
      <c r="V71" s="16" t="n"/>
      <c r="W71" s="16" t="n"/>
      <c r="X71" s="15" t="inlineStr">
        <is>
          <t>Dates not announced</t>
        </is>
      </c>
      <c r="Y71" s="15" t="inlineStr">
        <is>
          <t>SEBI nod 5-Feb-2026; UDRHP-I filed; dates not announced</t>
        </is>
      </c>
      <c r="Z71" s="18" t="inlineStr">
        <is>
          <t>https://www.chittorgarh.com/ipo/incred-holdings-ipo/2797/</t>
        </is>
      </c>
    </row>
    <row r="72" ht="15" customHeight="1" s="12">
      <c r="A72" s="14" t="n">
        <v>71</v>
      </c>
      <c r="B72" s="15" t="inlineStr">
        <is>
          <t>Playsimple Games Limited</t>
        </is>
      </c>
      <c r="C72" s="16" t="n">
        <v>46141</v>
      </c>
      <c r="D72" s="16" t="n">
        <v>46141</v>
      </c>
      <c r="E72" s="15" t="inlineStr">
        <is>
          <t>DRHP</t>
        </is>
      </c>
      <c r="F72" s="15" t="inlineStr">
        <is>
          <t>Regular DRHP</t>
        </is>
      </c>
      <c r="G72" s="16" t="n"/>
      <c r="H72" s="15" t="inlineStr">
        <is>
          <t>DRHP filed — issue dates not announced</t>
        </is>
      </c>
      <c r="I72" s="17" t="n"/>
      <c r="J72" s="17" t="n"/>
      <c r="K72" s="17" t="n"/>
      <c r="L72" s="14" t="n"/>
      <c r="M72" s="14" t="n"/>
      <c r="N72" s="14" t="n"/>
      <c r="O72" s="15" t="inlineStr">
        <is>
          <t>Not read — see DRHP PDF</t>
        </is>
      </c>
      <c r="P72" s="15" t="inlineStr">
        <is>
          <t>Offer terms not extracted — open the DRHP PDF</t>
        </is>
      </c>
      <c r="Q72" s="18" t="inlineStr">
        <is>
          <t>https://www.sebi.gov.in/sebi_data/attachdocs/apr-2026/1777447805864_1234.pdf</t>
        </is>
      </c>
      <c r="R72" s="18" t="inlineStr">
        <is>
          <t>https://www.sebi.gov.in/filings/public-issues/apr-2026/playsimple-games-limited-drhp_101159.html</t>
        </is>
      </c>
      <c r="S72" s="18" t="inlineStr">
        <is>
          <t>https://www.sebi.gov.in/sebi_data/commondocs/may-2026/Playsimple%20Games%20Limited_p.pdf</t>
        </is>
      </c>
      <c r="T72" s="14" t="n">
        <v>0</v>
      </c>
      <c r="U72" s="16" t="n"/>
      <c r="V72" s="16" t="n"/>
      <c r="W72" s="16" t="n"/>
      <c r="X72" s="15" t="inlineStr">
        <is>
          <t>Dates not announced</t>
        </is>
      </c>
      <c r="Y72" s="15" t="inlineStr">
        <is>
          <t>SEBI nod 6-Aug-2026; dates not announced</t>
        </is>
      </c>
      <c r="Z72" s="18" t="inlineStr">
        <is>
          <t>https://www.chittorgarh.com/ipo/playsimple-games-ipo/3087/</t>
        </is>
      </c>
    </row>
    <row r="73" ht="15" customHeight="1" s="12">
      <c r="A73" s="14" t="n">
        <v>72</v>
      </c>
      <c r="B73" s="15" t="inlineStr">
        <is>
          <t>Punjab Carbonic Limited</t>
        </is>
      </c>
      <c r="C73" s="16" t="n">
        <v>46134</v>
      </c>
      <c r="D73" s="16" t="n">
        <v>46134</v>
      </c>
      <c r="E73" s="15" t="inlineStr">
        <is>
          <t>DRHP</t>
        </is>
      </c>
      <c r="F73" s="15" t="inlineStr">
        <is>
          <t>Regular DRHP</t>
        </is>
      </c>
      <c r="G73" s="16" t="n"/>
      <c r="H73" s="15" t="inlineStr">
        <is>
          <t>DRHP filed — issue dates not announced</t>
        </is>
      </c>
      <c r="I73" s="17" t="n"/>
      <c r="J73" s="17" t="n"/>
      <c r="K73" s="17" t="n"/>
      <c r="L73" s="14" t="n"/>
      <c r="M73" s="14" t="n"/>
      <c r="N73" s="14" t="n"/>
      <c r="O73" s="15" t="inlineStr">
        <is>
          <t>Not read — see DRHP PDF</t>
        </is>
      </c>
      <c r="P73" s="15" t="inlineStr">
        <is>
          <t>Offer terms not extracted — open the DRHP PDF</t>
        </is>
      </c>
      <c r="Q73" s="18" t="inlineStr">
        <is>
          <t>https://www.sebi.gov.in/sebi_data/attachdocs/apr-2026/1776843005609_1228.pdf</t>
        </is>
      </c>
      <c r="R73" s="18" t="inlineStr">
        <is>
          <t>https://www.sebi.gov.in/filings/public-issues/apr-2026/punjab-carbonic-limited-drhp_101039.html</t>
        </is>
      </c>
      <c r="S73" s="18" t="inlineStr">
        <is>
          <t>https://www.sebi.gov.in/sebi_data/commondocs/may-2026/Draft_Abridged_Prospectus_PCL_p.pdf</t>
        </is>
      </c>
      <c r="T73" s="14" t="n">
        <v>0</v>
      </c>
      <c r="U73" s="16" t="n"/>
      <c r="V73" s="16" t="n"/>
      <c r="W73" s="16" t="n"/>
      <c r="X73" s="15" t="inlineStr">
        <is>
          <t>Dates not announced</t>
        </is>
      </c>
      <c r="Y73" s="15" t="inlineStr">
        <is>
          <t>DRHP filed; no approval or dates announced</t>
        </is>
      </c>
      <c r="Z73" s="18" t="inlineStr">
        <is>
          <t>https://www.chittorgarh.com/ipo/punjab-carbonic-ipo/2984/</t>
        </is>
      </c>
    </row>
    <row r="74" ht="15" customHeight="1" s="12">
      <c r="A74" s="14" t="n">
        <v>73</v>
      </c>
      <c r="B74" s="15" t="inlineStr">
        <is>
          <t>MONOMARK ENGINEERING INDIA LIMITED</t>
        </is>
      </c>
      <c r="C74" s="16" t="n">
        <v>46128</v>
      </c>
      <c r="D74" s="16" t="n">
        <v>46128</v>
      </c>
      <c r="E74" s="15" t="inlineStr">
        <is>
          <t>DRHP</t>
        </is>
      </c>
      <c r="F74" s="15" t="inlineStr">
        <is>
          <t>Regular DRHP</t>
        </is>
      </c>
      <c r="G74" s="16" t="n"/>
      <c r="H74" s="15" t="inlineStr">
        <is>
          <t>DRHP filed — issue dates not announced</t>
        </is>
      </c>
      <c r="I74" s="17" t="n"/>
      <c r="J74" s="17" t="n"/>
      <c r="K74" s="17" t="n"/>
      <c r="L74" s="14" t="n"/>
      <c r="M74" s="14" t="n"/>
      <c r="N74" s="14" t="n"/>
      <c r="O74" s="15" t="inlineStr">
        <is>
          <t>Not read — see DRHP PDF</t>
        </is>
      </c>
      <c r="P74" s="15" t="inlineStr">
        <is>
          <t>Offer terms not extracted — open the DRHP PDF</t>
        </is>
      </c>
      <c r="Q74" s="18" t="inlineStr">
        <is>
          <t>https://www.sebi.gov.in/sebi_data/attachdocs/apr-2026/1776339007769_1226.pdf</t>
        </is>
      </c>
      <c r="R74" s="18" t="inlineStr">
        <is>
          <t>https://www.sebi.gov.in/filings/public-issues/apr-2026/monomark-engineering-india-limited-drhp_100945.html</t>
        </is>
      </c>
      <c r="S74" s="18" t="inlineStr">
        <is>
          <t>https://www.sebi.gov.in/sebi_data/commondocs/aug-2026/Monomark%20Engineering%20-%20AP_p.pdf</t>
        </is>
      </c>
      <c r="T74" s="14" t="n">
        <v>0</v>
      </c>
      <c r="U74" s="16" t="n"/>
      <c r="V74" s="16" t="n"/>
      <c r="W74" s="16" t="n"/>
      <c r="X74" s="15" t="inlineStr">
        <is>
          <t>Dates not announced</t>
        </is>
      </c>
      <c r="Y74" s="15" t="inlineStr">
        <is>
          <t>SEBI nod 4-Sep-2026; dates not announced</t>
        </is>
      </c>
      <c r="Z74" s="18" t="inlineStr">
        <is>
          <t>https://www.chittorgarh.com/ipo/monomark-engineering-ipo/2972/</t>
        </is>
      </c>
    </row>
    <row r="75" ht="15" customHeight="1" s="12">
      <c r="A75" s="14" t="n">
        <v>74</v>
      </c>
      <c r="B75" s="15" t="inlineStr">
        <is>
          <t>Absolute Projects India Limited</t>
        </is>
      </c>
      <c r="C75" s="16" t="n">
        <v>46128</v>
      </c>
      <c r="D75" s="16" t="n">
        <v>46128</v>
      </c>
      <c r="E75" s="15" t="inlineStr">
        <is>
          <t>DRHP</t>
        </is>
      </c>
      <c r="F75" s="15" t="inlineStr">
        <is>
          <t>Regular DRHP</t>
        </is>
      </c>
      <c r="G75" s="16" t="n"/>
      <c r="H75" s="15" t="inlineStr">
        <is>
          <t>DRHP filed — issue dates not announced</t>
        </is>
      </c>
      <c r="I75" s="17" t="n"/>
      <c r="J75" s="17" t="n"/>
      <c r="K75" s="17" t="n"/>
      <c r="L75" s="14" t="n"/>
      <c r="M75" s="14" t="n"/>
      <c r="N75" s="14" t="n"/>
      <c r="O75" s="15" t="inlineStr">
        <is>
          <t>Not read — see DRHP PDF</t>
        </is>
      </c>
      <c r="P75" s="15" t="inlineStr">
        <is>
          <t>Offer terms not extracted — open the DRHP PDF</t>
        </is>
      </c>
      <c r="Q75" s="18" t="inlineStr">
        <is>
          <t>https://www.sebi.gov.in/sebi_data/attachdocs/apr-2026/1776339007769_1227.pdf</t>
        </is>
      </c>
      <c r="R75" s="18" t="inlineStr">
        <is>
          <t>https://www.sebi.gov.in/filings/public-issues/apr-2026/absolute-projects-india-limited-drhp_100947.html</t>
        </is>
      </c>
      <c r="S75" s="18" t="inlineStr">
        <is>
          <t>https://www.sebi.gov.in/sebi_data/commondocs/jul-2026/Absolute%20Projects%20India%20Limited%20-%20DAP_p.pdf</t>
        </is>
      </c>
      <c r="T75" s="14" t="n">
        <v>0</v>
      </c>
      <c r="U75" s="16" t="n"/>
      <c r="V75" s="16" t="n"/>
      <c r="W75" s="16" t="n"/>
      <c r="X75" s="15" t="inlineStr">
        <is>
          <t>Dates not announced</t>
        </is>
      </c>
      <c r="Y75" s="15" t="inlineStr">
        <is>
          <t>SEBI nod 17-Jul-2026; dates not announced</t>
        </is>
      </c>
      <c r="Z75" s="18" t="inlineStr">
        <is>
          <t>https://www.chittorgarh.com/ipo/absolute-project-india-ipo/2983/</t>
        </is>
      </c>
    </row>
    <row r="76" ht="15" customHeight="1" s="12">
      <c r="A76" s="14" t="n">
        <v>75</v>
      </c>
      <c r="B76" s="15" t="inlineStr">
        <is>
          <t>T.C. Terrytex Limited</t>
        </is>
      </c>
      <c r="C76" s="16" t="n">
        <v>46122</v>
      </c>
      <c r="D76" s="16" t="n">
        <v>46122</v>
      </c>
      <c r="E76" s="15" t="inlineStr">
        <is>
          <t>DRHP</t>
        </is>
      </c>
      <c r="F76" s="15" t="inlineStr">
        <is>
          <t>Regular DRHP</t>
        </is>
      </c>
      <c r="G76" s="16" t="n"/>
      <c r="H76" s="15" t="inlineStr">
        <is>
          <t>DRHP filed — issue dates not announced</t>
        </is>
      </c>
      <c r="I76" s="17" t="n"/>
      <c r="J76" s="17" t="n"/>
      <c r="K76" s="17" t="n"/>
      <c r="L76" s="14" t="n"/>
      <c r="M76" s="14" t="n"/>
      <c r="N76" s="14" t="n"/>
      <c r="O76" s="15" t="inlineStr">
        <is>
          <t>Not read — see DRHP PDF</t>
        </is>
      </c>
      <c r="P76" s="15" t="inlineStr">
        <is>
          <t>Offer terms not extracted — open the DRHP PDF</t>
        </is>
      </c>
      <c r="Q76" s="18" t="inlineStr">
        <is>
          <t>https://www.sebi.gov.in/sebi_data/attachdocs/apr-2026/1775806206718_1224.pdf</t>
        </is>
      </c>
      <c r="R76" s="18" t="inlineStr">
        <is>
          <t>https://www.sebi.gov.in/filings/public-issues/apr-2026/t-c-terrytex-limited-drhp_100856.html</t>
        </is>
      </c>
      <c r="S76" s="18" t="inlineStr">
        <is>
          <t>https://www.sebi.gov.in/sebi_data/commondocs/apr-2026/TC%20TERRYTEX%20LIMITED-Abridged%20Prospectus_p.pdf</t>
        </is>
      </c>
      <c r="T76" s="14" t="n">
        <v>1</v>
      </c>
      <c r="U76" s="16" t="n"/>
      <c r="V76" s="16" t="n"/>
      <c r="W76" s="16" t="n"/>
      <c r="X76" s="15" t="inlineStr">
        <is>
          <t>Dates not announced</t>
        </is>
      </c>
      <c r="Y76" s="15" t="inlineStr">
        <is>
          <t>DRHP filed; no approval or dates announced</t>
        </is>
      </c>
      <c r="Z76" s="18" t="inlineStr">
        <is>
          <t>https://www.chittorgarh.com/ipo/tc-terrytex-ipo/2994/</t>
        </is>
      </c>
    </row>
    <row r="77" ht="15" customHeight="1" s="12">
      <c r="A77" s="14" t="n">
        <v>76</v>
      </c>
      <c r="B77" s="15" t="inlineStr">
        <is>
          <t>Expression 360 Services India Limited</t>
        </is>
      </c>
      <c r="C77" s="16" t="n">
        <v>46122</v>
      </c>
      <c r="D77" s="16" t="n">
        <v>46122</v>
      </c>
      <c r="E77" s="15" t="inlineStr">
        <is>
          <t>DRHP</t>
        </is>
      </c>
      <c r="F77" s="15" t="inlineStr">
        <is>
          <t>Regular DRHP</t>
        </is>
      </c>
      <c r="G77" s="16" t="n"/>
      <c r="H77" s="15" t="inlineStr">
        <is>
          <t>DRHP filed — issue dates not announced</t>
        </is>
      </c>
      <c r="I77" s="17" t="n"/>
      <c r="J77" s="17" t="n"/>
      <c r="K77" s="17" t="n"/>
      <c r="L77" s="14" t="n">
        <v>15000000</v>
      </c>
      <c r="M77" s="14" t="n"/>
      <c r="N77" s="14" t="n">
        <v>15000000</v>
      </c>
      <c r="O77" s="15" t="inlineStr">
        <is>
          <t>OFS up to 15,000,000 sh</t>
        </is>
      </c>
      <c r="P77" s="15" t="inlineStr">
        <is>
          <t>DRHP states number of shares only (DRHP cover) — ₹ size depends on price band</t>
        </is>
      </c>
      <c r="Q77" s="18" t="inlineStr">
        <is>
          <t>https://www.sebi.gov.in/sebi_data/attachdocs/apr-2026/1775819035932.pdf</t>
        </is>
      </c>
      <c r="R77" s="18" t="inlineStr">
        <is>
          <t>https://www.sebi.gov.in/filings/public-issues/apr-2026/expression-360-services-india-limited-drhp_100861.html</t>
        </is>
      </c>
      <c r="S77" s="18" t="inlineStr">
        <is>
          <t>https://www.sebi.gov.in/sebi_data/commondocs/apr-2026/Expression%20360%20Services%20India%20Limited-Abridged%20Prospectus_p.pdf</t>
        </is>
      </c>
      <c r="T77" s="14" t="n">
        <v>0</v>
      </c>
      <c r="U77" s="16" t="n"/>
      <c r="V77" s="16" t="n"/>
      <c r="W77" s="16" t="n"/>
      <c r="X77" s="15" t="inlineStr">
        <is>
          <t>Dates not announced</t>
        </is>
      </c>
      <c r="Y77" s="15" t="inlineStr">
        <is>
          <t>SEBI nod 7-Aug-2026; dates not announced</t>
        </is>
      </c>
      <c r="Z77" s="18" t="inlineStr">
        <is>
          <t>https://www.chittorgarh.com/ipo/expression-360-services-ipo/3081/</t>
        </is>
      </c>
    </row>
    <row r="78" ht="15" customHeight="1" s="12">
      <c r="A78" s="14" t="n">
        <v>77</v>
      </c>
      <c r="B78" s="15" t="inlineStr">
        <is>
          <t>Sathya Agencies Limited</t>
        </is>
      </c>
      <c r="C78" s="16" t="n">
        <v>46120</v>
      </c>
      <c r="D78" s="16" t="n">
        <v>46120</v>
      </c>
      <c r="E78" s="15" t="inlineStr">
        <is>
          <t>DRHP</t>
        </is>
      </c>
      <c r="F78" s="15" t="inlineStr">
        <is>
          <t>Regular DRHP</t>
        </is>
      </c>
      <c r="G78" s="16" t="n"/>
      <c r="H78" s="15" t="inlineStr">
        <is>
          <t>DRHP filed — issue dates not announced</t>
        </is>
      </c>
      <c r="I78" s="17" t="n"/>
      <c r="J78" s="17" t="n"/>
      <c r="K78" s="17" t="n"/>
      <c r="L78" s="14" t="n"/>
      <c r="M78" s="14" t="n"/>
      <c r="N78" s="14" t="n"/>
      <c r="O78" s="15" t="inlineStr">
        <is>
          <t>Not read — see DRHP PDF</t>
        </is>
      </c>
      <c r="P78" s="15" t="inlineStr">
        <is>
          <t>Offer terms not extracted — open the DRHP PDF</t>
        </is>
      </c>
      <c r="Q78" s="18" t="inlineStr">
        <is>
          <t>https://www.sebi.gov.in/sebi_data/attachdocs/apr-2026/1775633415124_1218.pdf</t>
        </is>
      </c>
      <c r="R78" s="18" t="inlineStr">
        <is>
          <t>https://www.sebi.gov.in/filings/public-issues/apr-2026/sathya-agencies-limited-drhp_100796.html</t>
        </is>
      </c>
      <c r="S78" s="18" t="inlineStr">
        <is>
          <t>https://www.sebi.gov.in/sebi_data/commondocs/apr-2026/Sathya%20Agencies%20Limited-Abridged%20Prospectus_p.pdf</t>
        </is>
      </c>
      <c r="T78" s="14" t="n">
        <v>0</v>
      </c>
      <c r="U78" s="16" t="n"/>
      <c r="V78" s="16" t="n"/>
      <c r="W78" s="16" t="n"/>
      <c r="X78" s="15" t="inlineStr">
        <is>
          <t>Dates not announced</t>
        </is>
      </c>
      <c r="Y78" s="15" t="inlineStr">
        <is>
          <t>SEBI nod 25-Jun-2026; dates not announced</t>
        </is>
      </c>
      <c r="Z78" s="18" t="inlineStr">
        <is>
          <t>https://www.chittorgarh.com/ipo/sathya-agencies-ipo/2976/</t>
        </is>
      </c>
    </row>
    <row r="79" ht="15" customHeight="1" s="12">
      <c r="A79" s="14" t="n">
        <v>78</v>
      </c>
      <c r="B79" s="15" t="inlineStr">
        <is>
          <t>Nityas Gems and Jewellery Limited</t>
        </is>
      </c>
      <c r="C79" s="16" t="n">
        <v>46120</v>
      </c>
      <c r="D79" s="16" t="n">
        <v>46120</v>
      </c>
      <c r="E79" s="15" t="inlineStr">
        <is>
          <t>DRHP</t>
        </is>
      </c>
      <c r="F79" s="15" t="inlineStr">
        <is>
          <t>Regular DRHP</t>
        </is>
      </c>
      <c r="G79" s="16" t="n"/>
      <c r="H79" s="15" t="inlineStr">
        <is>
          <t>DRHP filed — issue dates not announced</t>
        </is>
      </c>
      <c r="I79" s="17" t="n"/>
      <c r="J79" s="17" t="n"/>
      <c r="K79" s="17" t="n"/>
      <c r="L79" s="14" t="n"/>
      <c r="M79" s="14" t="n"/>
      <c r="N79" s="14" t="n"/>
      <c r="O79" s="15" t="inlineStr">
        <is>
          <t>Not read — see DRHP PDF</t>
        </is>
      </c>
      <c r="P79" s="15" t="inlineStr">
        <is>
          <t>Offer terms not extracted — open the DRHP PDF</t>
        </is>
      </c>
      <c r="Q79" s="18" t="inlineStr">
        <is>
          <t>https://www.sebi.gov.in/sebi_data/attachdocs/apr-2026/1775633415124_1221.pdf</t>
        </is>
      </c>
      <c r="R79" s="18" t="inlineStr">
        <is>
          <t>https://www.sebi.gov.in/filings/public-issues/apr-2026/nityas-gems-and-jewellery-limited-drhp_100802.html</t>
        </is>
      </c>
      <c r="S79" s="18" t="inlineStr">
        <is>
          <t>https://www.sebi.gov.in/sebi_data/commondocs/apr-2026/Nityas%20Gems%20and%20Jewellery%20Limited-Abridged%20Prospectus_p.pdf</t>
        </is>
      </c>
      <c r="T79" s="14" t="n">
        <v>0</v>
      </c>
      <c r="U79" s="19" t="n">
        <v>46295</v>
      </c>
      <c r="V79" s="19" t="n">
        <v>46300</v>
      </c>
      <c r="W79" s="19" t="n">
        <v>46303</v>
      </c>
      <c r="X79" s="20" t="inlineStr">
        <is>
          <t>Issue open now</t>
        </is>
      </c>
      <c r="Y79" s="15" t="inlineStr">
        <is>
          <t>Mainboard; price band Rs 70-75; listing date tentative</t>
        </is>
      </c>
      <c r="Z79" s="18" t="inlineStr">
        <is>
          <t>https://www.chittorgarh.com/ipo/nityas-gems-jewellery-ipo/2974/</t>
        </is>
      </c>
    </row>
    <row r="80" ht="15" customHeight="1" s="12">
      <c r="A80" s="14" t="n">
        <v>79</v>
      </c>
      <c r="B80" s="15" t="inlineStr">
        <is>
          <t>Gujarat Victory Forgings Limited</t>
        </is>
      </c>
      <c r="C80" s="16" t="n">
        <v>46120</v>
      </c>
      <c r="D80" s="16" t="n">
        <v>46120</v>
      </c>
      <c r="E80" s="15" t="inlineStr">
        <is>
          <t>DRHP</t>
        </is>
      </c>
      <c r="F80" s="15" t="inlineStr">
        <is>
          <t>Regular DRHP</t>
        </is>
      </c>
      <c r="G80" s="16" t="n"/>
      <c r="H80" s="15" t="inlineStr">
        <is>
          <t>DRHP filed — issue dates not announced</t>
        </is>
      </c>
      <c r="I80" s="17" t="n"/>
      <c r="J80" s="17" t="n"/>
      <c r="K80" s="17" t="n"/>
      <c r="L80" s="14" t="n">
        <v>19700000</v>
      </c>
      <c r="M80" s="14" t="n">
        <v>6500000</v>
      </c>
      <c r="N80" s="14" t="n">
        <v>13200000</v>
      </c>
      <c r="O80" s="15" t="inlineStr">
        <is>
          <t>Fresh issue up to 6,500,000 sh + OFS up to 13,200,000 sh</t>
        </is>
      </c>
      <c r="P80" s="15" t="inlineStr">
        <is>
          <t>DRHP states number of shares only (DRHP cover) — ₹ size depends on price band</t>
        </is>
      </c>
      <c r="Q80" s="18" t="inlineStr">
        <is>
          <t>https://www.sebi.gov.in/sebi_data/attachdocs/apr-2026/1775633415124_1222.pdf</t>
        </is>
      </c>
      <c r="R80" s="18" t="inlineStr">
        <is>
          <t>https://www.sebi.gov.in/filings/public-issues/apr-2026/gujarat-victory-forgings-limited-drhp_100804.html</t>
        </is>
      </c>
      <c r="S80" s="18" t="inlineStr">
        <is>
          <t>https://www.sebi.gov.in/sebi_data/commondocs/apr-2026/GUJARAT%20VICTORY%20FORGINGS%20LIMITED-Abridged%20Prospectus_p.pdf</t>
        </is>
      </c>
      <c r="T80" s="14" t="n">
        <v>0</v>
      </c>
      <c r="U80" s="16" t="n"/>
      <c r="V80" s="16" t="n"/>
      <c r="W80" s="16" t="n"/>
      <c r="X80" s="15" t="inlineStr">
        <is>
          <t>Dates not announced</t>
        </is>
      </c>
      <c r="Y80" s="15" t="inlineStr">
        <is>
          <t>SEBI nod 8-Jul-2026; dates not announced</t>
        </is>
      </c>
      <c r="Z80" s="18" t="inlineStr">
        <is>
          <t>https://www.chittorgarh.com/ipo/gujarat-victory-forging-ipo/2975/</t>
        </is>
      </c>
    </row>
    <row r="81" ht="15" customHeight="1" s="12">
      <c r="A81" s="14" t="n">
        <v>80</v>
      </c>
      <c r="B81" s="15" t="inlineStr">
        <is>
          <t>Bvishal Oil and Energy Limited</t>
        </is>
      </c>
      <c r="C81" s="16" t="n">
        <v>46120</v>
      </c>
      <c r="D81" s="16" t="n">
        <v>46120</v>
      </c>
      <c r="E81" s="15" t="inlineStr">
        <is>
          <t>DRHP</t>
        </is>
      </c>
      <c r="F81" s="15" t="inlineStr">
        <is>
          <t>Regular DRHP</t>
        </is>
      </c>
      <c r="G81" s="16" t="n"/>
      <c r="H81" s="15" t="inlineStr">
        <is>
          <t>DRHP filed — issue dates not announced</t>
        </is>
      </c>
      <c r="I81" s="17" t="n"/>
      <c r="J81" s="17" t="n"/>
      <c r="K81" s="17" t="n"/>
      <c r="L81" s="14" t="n">
        <v>25709799</v>
      </c>
      <c r="M81" s="14" t="n">
        <v>18000000</v>
      </c>
      <c r="N81" s="14" t="n">
        <v>7709799</v>
      </c>
      <c r="O81" s="15" t="inlineStr">
        <is>
          <t>Fresh issue up to 18,000,000 sh + OFS up to 7,709,799 sh</t>
        </is>
      </c>
      <c r="P81" s="15" t="inlineStr">
        <is>
          <t>DRHP states number of shares only (DRHP cover) — ₹ size depends on price band</t>
        </is>
      </c>
      <c r="Q81" s="18" t="inlineStr">
        <is>
          <t>https://www.sebi.gov.in/sebi_data/attachdocs/apr-2026/1775633415124_1219.pdf</t>
        </is>
      </c>
      <c r="R81" s="18" t="inlineStr">
        <is>
          <t>https://www.sebi.gov.in/filings/public-issues/apr-2026/bvishal-oil-and-energy-limited-drhp_100798.html</t>
        </is>
      </c>
      <c r="S81" s="18" t="inlineStr">
        <is>
          <t>https://www.sebi.gov.in/sebi_data/commondocs/apr-2026/Bvishal%20Oil%20and%20Energy%20Limited-Abridged%20Prospectus_p.pdf</t>
        </is>
      </c>
      <c r="T81" s="14" t="n">
        <v>0</v>
      </c>
      <c r="U81" s="16" t="n"/>
      <c r="V81" s="16" t="n"/>
      <c r="W81" s="16" t="n"/>
      <c r="X81" s="15" t="inlineStr">
        <is>
          <t>Dates not announced</t>
        </is>
      </c>
      <c r="Y81" s="15" t="inlineStr">
        <is>
          <t>DRHP filed; no approval or dates announced</t>
        </is>
      </c>
      <c r="Z81" s="18" t="inlineStr">
        <is>
          <t>https://www.chittorgarh.com/ipo/bvishal-oil-and-energy-ipo/2988/</t>
        </is>
      </c>
    </row>
    <row r="82" ht="15" customHeight="1" s="12">
      <c r="A82" s="14" t="n">
        <v>81</v>
      </c>
      <c r="B82" s="15" t="inlineStr">
        <is>
          <t>SADBHAV FUTURETECH LIMITED</t>
        </is>
      </c>
      <c r="C82" s="16" t="n">
        <v>46119</v>
      </c>
      <c r="D82" s="16" t="n">
        <v>46119</v>
      </c>
      <c r="E82" s="15" t="inlineStr">
        <is>
          <t>DRHP</t>
        </is>
      </c>
      <c r="F82" s="15" t="inlineStr">
        <is>
          <t>Regular DRHP</t>
        </is>
      </c>
      <c r="G82" s="16" t="n"/>
      <c r="H82" s="15" t="inlineStr">
        <is>
          <t>DRHP filed — issue dates not announced</t>
        </is>
      </c>
      <c r="I82" s="17" t="n"/>
      <c r="J82" s="17" t="n"/>
      <c r="K82" s="17" t="n">
        <v>235</v>
      </c>
      <c r="L82" s="14" t="n"/>
      <c r="M82" s="14" t="n">
        <v>25500000</v>
      </c>
      <c r="N82" s="14" t="n"/>
      <c r="O82" s="15" t="inlineStr">
        <is>
          <t>Fresh issue up to 25,500,000 sh + OFS up to ₹235.00 Cr</t>
        </is>
      </c>
      <c r="P82" s="15" t="inlineStr">
        <is>
          <t>Part of offer stated in ₹, rest in shares only (DRHP cover) — total depends on price band</t>
        </is>
      </c>
      <c r="Q82" s="18" t="inlineStr">
        <is>
          <t>https://www.sebi.gov.in/sebi_data/attachdocs/apr-2026/1775547017596_1205.pdf</t>
        </is>
      </c>
      <c r="R82" s="18" t="inlineStr">
        <is>
          <t>https://www.sebi.gov.in/filings/public-issues/apr-2026/sadbhav-futuretech-limited_100753.html</t>
        </is>
      </c>
      <c r="S82" s="15" t="n"/>
      <c r="T82" s="14" t="n">
        <v>0</v>
      </c>
      <c r="U82" s="16" t="n"/>
      <c r="V82" s="16" t="n"/>
      <c r="W82" s="16" t="n"/>
      <c r="X82" s="15" t="inlineStr">
        <is>
          <t>Dates not announced</t>
        </is>
      </c>
      <c r="Y82" s="15" t="inlineStr">
        <is>
          <t>DRHP filed; no SEBI nod or dates found</t>
        </is>
      </c>
      <c r="Z82" s="18" t="inlineStr">
        <is>
          <t>https://www.chittorgarh.com/ipo/sadbhav-futuretech-ipo/2986/</t>
        </is>
      </c>
    </row>
    <row r="83" ht="15" customHeight="1" s="12">
      <c r="A83" s="14" t="n">
        <v>82</v>
      </c>
      <c r="B83" s="15" t="inlineStr">
        <is>
          <t>Kay Jay Forgings Limited</t>
        </is>
      </c>
      <c r="C83" s="16" t="n">
        <v>46119</v>
      </c>
      <c r="D83" s="16" t="n">
        <v>46119</v>
      </c>
      <c r="E83" s="15" t="inlineStr">
        <is>
          <t>DRHP</t>
        </is>
      </c>
      <c r="F83" s="15" t="inlineStr">
        <is>
          <t>Regular DRHP</t>
        </is>
      </c>
      <c r="G83" s="16" t="n"/>
      <c r="H83" s="15" t="inlineStr">
        <is>
          <t>DRHP filed — issue dates not announced</t>
        </is>
      </c>
      <c r="I83" s="17" t="n">
        <v>360</v>
      </c>
      <c r="J83" s="17" t="n">
        <v>300</v>
      </c>
      <c r="K83" s="17" t="n">
        <v>60</v>
      </c>
      <c r="L83" s="14" t="n"/>
      <c r="M83" s="14" t="n"/>
      <c r="N83" s="14" t="n"/>
      <c r="O83" s="15" t="inlineStr">
        <is>
          <t>Fresh issue up to ₹300.00 Cr + OFS up to ₹60.00 Cr</t>
        </is>
      </c>
      <c r="P83" s="15" t="inlineStr">
        <is>
          <t>₹ amount stated in DRHP cover</t>
        </is>
      </c>
      <c r="Q83" s="18" t="inlineStr">
        <is>
          <t>https://www.sebi.gov.in/sebi_data/attachdocs/apr-2026/1776677194481.pdf</t>
        </is>
      </c>
      <c r="R83" s="18" t="inlineStr">
        <is>
          <t>https://www.sebi.gov.in/filings/public-issues/apr-2026/kay-jay-forgings-limited-drhp_100975.html</t>
        </is>
      </c>
      <c r="S83" s="18" t="inlineStr">
        <is>
          <t>https://www.sebi.gov.in/sebi_data/commondocs/apr-2026/Kay%20Jay%20Forgings%20Limited-Abridged%20Prospectus_p.pdf</t>
        </is>
      </c>
      <c r="T83" s="14" t="n">
        <v>0</v>
      </c>
      <c r="U83" s="16" t="n"/>
      <c r="V83" s="16" t="n"/>
      <c r="W83" s="16" t="n"/>
      <c r="X83" s="15" t="inlineStr">
        <is>
          <t>Dates not announced</t>
        </is>
      </c>
      <c r="Y83" s="15" t="inlineStr">
        <is>
          <t>SEBI nod 28-Jul-2026; dates not yet announced</t>
        </is>
      </c>
      <c r="Z83" s="18" t="inlineStr">
        <is>
          <t>https://www.chittorgarh.com/ipo/kay-jay-forgings-ipo/2997/</t>
        </is>
      </c>
    </row>
    <row r="84" ht="15" customHeight="1" s="12">
      <c r="A84" s="14" t="n">
        <v>83</v>
      </c>
      <c r="B84" s="15" t="inlineStr">
        <is>
          <t>Intellius Recode Limited</t>
        </is>
      </c>
      <c r="C84" s="16" t="n">
        <v>46119</v>
      </c>
      <c r="D84" s="16" t="n">
        <v>46119</v>
      </c>
      <c r="E84" s="15" t="inlineStr">
        <is>
          <t>DRHP</t>
        </is>
      </c>
      <c r="F84" s="15" t="inlineStr">
        <is>
          <t>Regular DRHP</t>
        </is>
      </c>
      <c r="G84" s="16" t="n"/>
      <c r="H84" s="15" t="inlineStr">
        <is>
          <t>DRHP filed — issue dates not announced</t>
        </is>
      </c>
      <c r="I84" s="17" t="n"/>
      <c r="J84" s="17" t="n">
        <v>117</v>
      </c>
      <c r="K84" s="17" t="n"/>
      <c r="L84" s="14" t="n"/>
      <c r="M84" s="14" t="n"/>
      <c r="N84" s="14" t="n">
        <v>1290000</v>
      </c>
      <c r="O84" s="15" t="inlineStr">
        <is>
          <t>Fresh issue up to ₹117.00 Cr + OFS up to 1,290,000 sh</t>
        </is>
      </c>
      <c r="P84" s="15" t="inlineStr">
        <is>
          <t>Part of offer stated in ₹, rest in shares only (DRHP cover) — total depends on price band</t>
        </is>
      </c>
      <c r="Q84" s="18" t="inlineStr">
        <is>
          <t>https://www.sebi.gov.in/sebi_data/attachdocs/apr-2026/1775547017596_1211.pdf</t>
        </is>
      </c>
      <c r="R84" s="18" t="inlineStr">
        <is>
          <t>https://www.sebi.gov.in/filings/public-issues/apr-2026/intellius-recode-limited-drhp_100765.html</t>
        </is>
      </c>
      <c r="S84" s="18" t="inlineStr">
        <is>
          <t>https://www.sebi.gov.in/sebi_data/commondocs/apr-2026/Intellius%20Recode%20Ltd%20-%20Abridged%20Prospectus_p.pdf</t>
        </is>
      </c>
      <c r="T84" s="14" t="n">
        <v>0</v>
      </c>
      <c r="U84" s="16" t="n"/>
      <c r="V84" s="16" t="n"/>
      <c r="W84" s="16" t="n"/>
      <c r="X84" s="15" t="inlineStr">
        <is>
          <t>Dates not announced</t>
        </is>
      </c>
      <c r="Y84" s="15" t="inlineStr">
        <is>
          <t>SEBI nod 24-Jul-2026; dates not yet announced</t>
        </is>
      </c>
      <c r="Z84" s="18" t="inlineStr">
        <is>
          <t>https://www.chittorgarh.com/ipo/intellius-recode-ipo/2968/</t>
        </is>
      </c>
    </row>
    <row r="85" ht="15" customHeight="1" s="12">
      <c r="A85" s="14" t="n">
        <v>84</v>
      </c>
      <c r="B85" s="15" t="inlineStr">
        <is>
          <t>RKB Global Limited</t>
        </is>
      </c>
      <c r="C85" s="16" t="n">
        <v>46114</v>
      </c>
      <c r="D85" s="16" t="n">
        <v>46114</v>
      </c>
      <c r="E85" s="15" t="inlineStr">
        <is>
          <t>DRHP</t>
        </is>
      </c>
      <c r="F85" s="15" t="inlineStr">
        <is>
          <t>Regular DRHP</t>
        </is>
      </c>
      <c r="G85" s="16" t="n"/>
      <c r="H85" s="15" t="inlineStr">
        <is>
          <t>DRHP filed — issue dates not announced</t>
        </is>
      </c>
      <c r="I85" s="17" t="n"/>
      <c r="J85" s="17" t="n"/>
      <c r="K85" s="17" t="n"/>
      <c r="L85" s="14" t="n">
        <v>14620000</v>
      </c>
      <c r="M85" s="14" t="n">
        <v>12600000</v>
      </c>
      <c r="N85" s="14" t="n">
        <v>2020000</v>
      </c>
      <c r="O85" s="15" t="inlineStr">
        <is>
          <t>Fresh issue up to 12,600,000 sh + OFS up to 2,020,000 sh</t>
        </is>
      </c>
      <c r="P85" s="15" t="inlineStr">
        <is>
          <t>DRHP states number of shares only (DRHP cover) — ₹ size depends on price band</t>
        </is>
      </c>
      <c r="Q85" s="18" t="inlineStr">
        <is>
          <t>https://www.sebi.gov.in/sebi_data/attachdocs/apr-2026/1775105578692.pdf</t>
        </is>
      </c>
      <c r="R85" s="18" t="inlineStr">
        <is>
          <t>https://www.sebi.gov.in/filings/public-issues/apr-2026/rkb-global-limited-drhp_100702.html</t>
        </is>
      </c>
      <c r="S85" s="18" t="inlineStr">
        <is>
          <t>https://www.sebi.gov.in/sebi_data/commondocs/apr-2026/RKB%20Global%20Limited%20-%20Abridged%20prospectus_p.pdf</t>
        </is>
      </c>
      <c r="T85" s="14" t="n">
        <v>0</v>
      </c>
      <c r="U85" s="16" t="n"/>
      <c r="V85" s="16" t="n"/>
      <c r="W85" s="16" t="n"/>
      <c r="X85" s="15" t="inlineStr">
        <is>
          <t>Dates not announced</t>
        </is>
      </c>
      <c r="Y85" s="15" t="inlineStr">
        <is>
          <t>DRHP filed; dates TBA</t>
        </is>
      </c>
      <c r="Z85" s="18" t="inlineStr">
        <is>
          <t>https://www.chittorgarh.com/ipo/rkb-global-ipo/2952/</t>
        </is>
      </c>
    </row>
    <row r="86" ht="15" customHeight="1" s="12">
      <c r="A86" s="14" t="n">
        <v>85</v>
      </c>
      <c r="B86" s="15" t="inlineStr">
        <is>
          <t>Pioneer Fil-Med Limited</t>
        </is>
      </c>
      <c r="C86" s="16" t="n">
        <v>46114</v>
      </c>
      <c r="D86" s="16" t="n">
        <v>46114</v>
      </c>
      <c r="E86" s="15" t="inlineStr">
        <is>
          <t>DRHP</t>
        </is>
      </c>
      <c r="F86" s="15" t="inlineStr">
        <is>
          <t>Regular DRHP</t>
        </is>
      </c>
      <c r="G86" s="16" t="n"/>
      <c r="H86" s="15" t="inlineStr">
        <is>
          <t>DRHP filed — issue dates not announced</t>
        </is>
      </c>
      <c r="I86" s="17" t="n"/>
      <c r="J86" s="17" t="n"/>
      <c r="K86" s="17" t="n"/>
      <c r="L86" s="14" t="n"/>
      <c r="M86" s="14" t="n"/>
      <c r="N86" s="14" t="n"/>
      <c r="O86" s="15" t="inlineStr">
        <is>
          <t>Not read — see DRHP PDF</t>
        </is>
      </c>
      <c r="P86" s="15" t="inlineStr">
        <is>
          <t>Offer terms not extracted — open the DRHP PDF</t>
        </is>
      </c>
      <c r="Q86" s="18" t="inlineStr">
        <is>
          <t>https://www.sebi.gov.in/sebi_data/attachdocs/apr-2026/1775115013296_1202.pdf</t>
        </is>
      </c>
      <c r="R86" s="18" t="inlineStr">
        <is>
          <t>https://www.sebi.gov.in/filings/public-issues/apr-2026/pioneer-fil-med-limited-drhp_100715.html</t>
        </is>
      </c>
      <c r="S86" s="18" t="inlineStr">
        <is>
          <t>https://www.sebi.gov.in/sebi_data/commondocs/apr-2026/Pioneer%20Fil-Med%20Limited-Draft%20Abridged%20Prospectus_p.pdf</t>
        </is>
      </c>
      <c r="T86" s="14" t="n">
        <v>1</v>
      </c>
      <c r="U86" s="16" t="n"/>
      <c r="V86" s="16" t="n"/>
      <c r="W86" s="16" t="n"/>
      <c r="X86" s="15" t="inlineStr">
        <is>
          <t>Dates not announced</t>
        </is>
      </c>
      <c r="Y86" s="15" t="inlineStr">
        <is>
          <t>SEBI observations 22-Sep-2026; dates not yet announced</t>
        </is>
      </c>
      <c r="Z86" s="18" t="inlineStr">
        <is>
          <t>https://www.chittorgarh.com/ipo/pioneer-fil-med-ipo/2967/</t>
        </is>
      </c>
    </row>
    <row r="87" ht="15" customHeight="1" s="12">
      <c r="A87" s="14" t="n">
        <v>86</v>
      </c>
      <c r="B87" s="15" t="inlineStr">
        <is>
          <t>Cosmic PV Power Limited</t>
        </is>
      </c>
      <c r="C87" s="16" t="n">
        <v>46114</v>
      </c>
      <c r="D87" s="16" t="n">
        <v>46114</v>
      </c>
      <c r="E87" s="15" t="inlineStr">
        <is>
          <t>DRHP</t>
        </is>
      </c>
      <c r="F87" s="15" t="inlineStr">
        <is>
          <t>Regular DRHP</t>
        </is>
      </c>
      <c r="G87" s="16" t="n"/>
      <c r="H87" s="15" t="inlineStr">
        <is>
          <t>DRHP filed — issue dates not announced</t>
        </is>
      </c>
      <c r="I87" s="17" t="n">
        <v>640</v>
      </c>
      <c r="J87" s="17" t="n">
        <v>540</v>
      </c>
      <c r="K87" s="17" t="n">
        <v>100</v>
      </c>
      <c r="L87" s="14" t="n"/>
      <c r="M87" s="14" t="n"/>
      <c r="N87" s="14" t="n"/>
      <c r="O87" s="15" t="inlineStr">
        <is>
          <t>Fresh issue up to ₹540.00 Cr + OFS up to ₹100.00 Cr</t>
        </is>
      </c>
      <c r="P87" s="15" t="inlineStr">
        <is>
          <t>₹ amount stated in DRHP cover</t>
        </is>
      </c>
      <c r="Q87" s="18" t="inlineStr">
        <is>
          <t>https://www.sebi.gov.in/sebi_data/attachdocs/apr-2026/1775129403770_1203.pdf</t>
        </is>
      </c>
      <c r="R87" s="18" t="inlineStr">
        <is>
          <t>https://www.sebi.gov.in/filings/public-issues/apr-2026/cosmic-pv-power-limited-drhp_100718.html</t>
        </is>
      </c>
      <c r="S87" s="18" t="inlineStr">
        <is>
          <t>https://www.sebi.gov.in/sebi_data/commondocs/apr-2026/COSMIC%20PV%20POWER%20LIMITED-Abridged%20prospectus_p.pdf</t>
        </is>
      </c>
      <c r="T87" s="14" t="n">
        <v>0</v>
      </c>
      <c r="U87" s="16" t="n"/>
      <c r="V87" s="16" t="n"/>
      <c r="W87" s="16" t="n"/>
      <c r="X87" s="15" t="inlineStr">
        <is>
          <t>Dates not announced</t>
        </is>
      </c>
      <c r="Y87" s="15" t="inlineStr">
        <is>
          <t>DRHP filed; dates TBA</t>
        </is>
      </c>
      <c r="Z87" s="18" t="inlineStr">
        <is>
          <t>https://www.chittorgarh.com/ipo/cosmic-pv-power-ipo/2980/</t>
        </is>
      </c>
    </row>
    <row r="88" ht="15" customHeight="1" s="12">
      <c r="A88" s="14" t="n">
        <v>87</v>
      </c>
      <c r="B88" s="15" t="inlineStr">
        <is>
          <t>Laxyo Limited</t>
        </is>
      </c>
      <c r="C88" s="16" t="n">
        <v>46111</v>
      </c>
      <c r="D88" s="16" t="n">
        <v>46111</v>
      </c>
      <c r="E88" s="15" t="inlineStr">
        <is>
          <t>DRHP</t>
        </is>
      </c>
      <c r="F88" s="15" t="inlineStr">
        <is>
          <t>Regular DRHP</t>
        </is>
      </c>
      <c r="G88" s="16" t="n"/>
      <c r="H88" s="15" t="inlineStr">
        <is>
          <t>DRHP filed — issue dates not announced</t>
        </is>
      </c>
      <c r="I88" s="17" t="n">
        <v>150</v>
      </c>
      <c r="J88" s="17" t="n">
        <v>150</v>
      </c>
      <c r="K88" s="17" t="n"/>
      <c r="L88" s="14" t="n"/>
      <c r="M88" s="14" t="n"/>
      <c r="N88" s="14" t="n"/>
      <c r="O88" s="15" t="inlineStr">
        <is>
          <t>Fresh issue up to ₹150.00 Cr</t>
        </is>
      </c>
      <c r="P88" s="15" t="inlineStr">
        <is>
          <t>₹ amount stated in DRHP cover</t>
        </is>
      </c>
      <c r="Q88" s="18" t="inlineStr">
        <is>
          <t>https://www.sebi.gov.in/sebi_data/attachdocs/apr-2026/1775120802263.pdf</t>
        </is>
      </c>
      <c r="R88" s="18" t="inlineStr">
        <is>
          <t>https://www.sebi.gov.in/filings/public-issues/mar-2026/laxyo-limited-drhp_100686.html</t>
        </is>
      </c>
      <c r="S88" s="18" t="inlineStr">
        <is>
          <t>https://www.sebi.gov.in/sebi_data/commondocs/apr-2026/Laxyo%20Limited-Draft%20Abridged%20Prospectus_p.pdf</t>
        </is>
      </c>
      <c r="T88" s="14" t="n">
        <v>0</v>
      </c>
      <c r="U88" s="16" t="n"/>
      <c r="V88" s="16" t="n"/>
      <c r="W88" s="16" t="n"/>
      <c r="X88" s="15" t="inlineStr">
        <is>
          <t>Dates not announced</t>
        </is>
      </c>
      <c r="Y88" s="15" t="inlineStr">
        <is>
          <t>DRHP filed; dates TBA</t>
        </is>
      </c>
      <c r="Z88" s="18" t="inlineStr">
        <is>
          <t>https://www.chittorgarh.com/ipo/laxyo-ipo/2957/</t>
        </is>
      </c>
    </row>
    <row r="89" ht="15" customHeight="1" s="12">
      <c r="A89" s="14" t="n">
        <v>88</v>
      </c>
      <c r="B89" s="15" t="inlineStr">
        <is>
          <t>Bharat PET Limited</t>
        </is>
      </c>
      <c r="C89" s="16" t="n">
        <v>46111</v>
      </c>
      <c r="D89" s="16" t="n">
        <v>46111</v>
      </c>
      <c r="E89" s="15" t="inlineStr">
        <is>
          <t>DRHP</t>
        </is>
      </c>
      <c r="F89" s="15" t="inlineStr">
        <is>
          <t>Regular DRHP</t>
        </is>
      </c>
      <c r="G89" s="16" t="n"/>
      <c r="H89" s="15" t="inlineStr">
        <is>
          <t>DRHP filed — issue dates not announced</t>
        </is>
      </c>
      <c r="I89" s="17" t="n">
        <v>760</v>
      </c>
      <c r="J89" s="17" t="n">
        <v>120</v>
      </c>
      <c r="K89" s="17" t="n">
        <v>640</v>
      </c>
      <c r="L89" s="14" t="n"/>
      <c r="M89" s="14" t="n"/>
      <c r="N89" s="14" t="n"/>
      <c r="O89" s="15" t="inlineStr">
        <is>
          <t>Fresh issue up to ₹120.00 Cr + OFS up to ₹640.00 Cr</t>
        </is>
      </c>
      <c r="P89" s="15" t="inlineStr">
        <is>
          <t>₹ amount stated in DRHP cover</t>
        </is>
      </c>
      <c r="Q89" s="18" t="inlineStr">
        <is>
          <t>https://www.sebi.gov.in/sebi_data/attachdocs/apr-2026/1775016379965.pdf</t>
        </is>
      </c>
      <c r="R89" s="18" t="inlineStr">
        <is>
          <t>https://www.sebi.gov.in/filings/public-issues/mar-2026/bharat-pet-limited-drhp_100673.html</t>
        </is>
      </c>
      <c r="S89" s="18" t="inlineStr">
        <is>
          <t>https://www.sebi.gov.in/sebi_data/commondocs/apr-2026/Bharat%20PET%20Limited-Abridged%20Prospectus_p.pdf</t>
        </is>
      </c>
      <c r="T89" s="14" t="n">
        <v>0</v>
      </c>
      <c r="U89" s="16" t="n"/>
      <c r="V89" s="16" t="n"/>
      <c r="W89" s="16" t="n"/>
      <c r="X89" s="15" t="inlineStr">
        <is>
          <t>Dates not announced</t>
        </is>
      </c>
      <c r="Y89" s="15" t="inlineStr">
        <is>
          <t>DRHP filed; dates TBA</t>
        </is>
      </c>
      <c r="Z89" s="18" t="inlineStr">
        <is>
          <t>https://www.chittorgarh.com/ipo/bharat-pet-ipo/2958/</t>
        </is>
      </c>
    </row>
    <row r="90" ht="15" customHeight="1" s="12">
      <c r="A90" s="14" t="n">
        <v>89</v>
      </c>
      <c r="B90" s="15" t="inlineStr">
        <is>
          <t>POLITE POWERTECH LIMITED</t>
        </is>
      </c>
      <c r="C90" s="16" t="n">
        <v>46108</v>
      </c>
      <c r="D90" s="16" t="n">
        <v>46108</v>
      </c>
      <c r="E90" s="15" t="inlineStr">
        <is>
          <t>DRHP</t>
        </is>
      </c>
      <c r="F90" s="15" t="inlineStr">
        <is>
          <t>Regular DRHP</t>
        </is>
      </c>
      <c r="G90" s="16" t="n"/>
      <c r="H90" s="15" t="inlineStr">
        <is>
          <t>DRHP filed — issue dates not announced</t>
        </is>
      </c>
      <c r="I90" s="17" t="n"/>
      <c r="J90" s="17" t="n"/>
      <c r="K90" s="17" t="n"/>
      <c r="L90" s="14" t="n">
        <v>12500000</v>
      </c>
      <c r="M90" s="14" t="n">
        <v>10000000</v>
      </c>
      <c r="N90" s="14" t="n">
        <v>2500000</v>
      </c>
      <c r="O90" s="15" t="inlineStr">
        <is>
          <t>Fresh issue up to 10,000,000 sh + OFS up to 2,500,000 sh</t>
        </is>
      </c>
      <c r="P90" s="15" t="inlineStr">
        <is>
          <t>DRHP states number of shares only (DRHP cover) — ₹ size depends on price band</t>
        </is>
      </c>
      <c r="Q90" s="18" t="inlineStr">
        <is>
          <t>https://www.sebi.gov.in/sebi_data/attachdocs/mar-2026/1774596605715_1174.pdf</t>
        </is>
      </c>
      <c r="R90" s="18" t="inlineStr">
        <is>
          <t>https://www.sebi.gov.in/filings/public-issues/mar-2026/polite-powertech-limited_100624.html</t>
        </is>
      </c>
      <c r="S90" s="15" t="n"/>
      <c r="T90" s="14" t="n">
        <v>0</v>
      </c>
      <c r="U90" s="16" t="n"/>
      <c r="V90" s="16" t="n"/>
      <c r="W90" s="16" t="n"/>
      <c r="X90" s="15" t="inlineStr">
        <is>
          <t>Dates not announced</t>
        </is>
      </c>
      <c r="Y90" s="15" t="inlineStr">
        <is>
          <t>SEBI nod 31-Jul-2026; dates not announced</t>
        </is>
      </c>
      <c r="Z90" s="18" t="inlineStr">
        <is>
          <t>https://www.chittorgarh.com/ipo/polite-powertech-ipo/2947/</t>
        </is>
      </c>
    </row>
    <row r="91" ht="15" customHeight="1" s="12">
      <c r="A91" s="14" t="n">
        <v>90</v>
      </c>
      <c r="B91" s="15" t="inlineStr">
        <is>
          <t>Trenzet Infra Limited</t>
        </is>
      </c>
      <c r="C91" s="16" t="n">
        <v>46106</v>
      </c>
      <c r="D91" s="16" t="n">
        <v>46106</v>
      </c>
      <c r="E91" s="15" t="inlineStr">
        <is>
          <t>DRHP</t>
        </is>
      </c>
      <c r="F91" s="15" t="inlineStr">
        <is>
          <t>Regular DRHP</t>
        </is>
      </c>
      <c r="G91" s="16" t="n"/>
      <c r="H91" s="15" t="inlineStr">
        <is>
          <t>DRHP filed — issue dates not announced</t>
        </is>
      </c>
      <c r="I91" s="17" t="n"/>
      <c r="J91" s="17" t="n"/>
      <c r="K91" s="17" t="n"/>
      <c r="L91" s="14" t="n">
        <v>12300000</v>
      </c>
      <c r="M91" s="14" t="n">
        <v>10500000</v>
      </c>
      <c r="N91" s="14" t="n">
        <v>1800000</v>
      </c>
      <c r="O91" s="15" t="inlineStr">
        <is>
          <t>Fresh issue up to 10,500,000 sh + OFS up to 1,800,000 sh</t>
        </is>
      </c>
      <c r="P91" s="15" t="inlineStr">
        <is>
          <t>DRHP states number of shares only (DRHP cover) — ₹ size depends on price band</t>
        </is>
      </c>
      <c r="Q91" s="18" t="inlineStr">
        <is>
          <t>https://www.sebi.gov.in/sebi_data/attachdocs/mar-2026/1774421203748.pdf</t>
        </is>
      </c>
      <c r="R91" s="18" t="inlineStr">
        <is>
          <t>https://www.sebi.gov.in/filings/public-issues/mar-2026/trenzet-infra-limited-drhp_100553.html</t>
        </is>
      </c>
      <c r="S91" s="18" t="inlineStr">
        <is>
          <t>https://www.sebi.gov.in/sebi_data/commondocs/apr-2026/Trenzet%20Infra%20Limited-Abridged%20Prospectus_p.pdf</t>
        </is>
      </c>
      <c r="T91" s="14" t="n">
        <v>0</v>
      </c>
      <c r="U91" s="16" t="n"/>
      <c r="V91" s="16" t="n"/>
      <c r="W91" s="16" t="n"/>
      <c r="X91" s="15" t="inlineStr">
        <is>
          <t>Dates not announced</t>
        </is>
      </c>
      <c r="Y91" s="15" t="inlineStr">
        <is>
          <t>DRHP filed; dates TBA</t>
        </is>
      </c>
      <c r="Z91" s="18" t="inlineStr">
        <is>
          <t>https://www.chittorgarh.com/ipo/trenzet-infra-ipo/2951/</t>
        </is>
      </c>
    </row>
    <row r="92" ht="15" customHeight="1" s="12">
      <c r="A92" s="14" t="n">
        <v>91</v>
      </c>
      <c r="B92" s="15" t="inlineStr">
        <is>
          <t>Truhome Finance Limited</t>
        </is>
      </c>
      <c r="C92" s="16" t="n">
        <v>46105</v>
      </c>
      <c r="D92" s="16" t="n">
        <v>46105</v>
      </c>
      <c r="E92" s="15" t="inlineStr">
        <is>
          <t>DRHP</t>
        </is>
      </c>
      <c r="F92" s="15" t="inlineStr">
        <is>
          <t>Regular DRHP</t>
        </is>
      </c>
      <c r="G92" s="16" t="n"/>
      <c r="H92" s="15" t="inlineStr">
        <is>
          <t>DRHP filed — issue dates not announced</t>
        </is>
      </c>
      <c r="I92" s="17" t="n">
        <v>3000</v>
      </c>
      <c r="J92" s="17" t="n">
        <v>1500</v>
      </c>
      <c r="K92" s="17" t="n">
        <v>1500</v>
      </c>
      <c r="L92" s="14" t="n"/>
      <c r="M92" s="14" t="n"/>
      <c r="N92" s="14" t="n"/>
      <c r="O92" s="15" t="inlineStr">
        <is>
          <t>Fresh issue up to ₹1,500.00 Cr + OFS up to ₹1,500.00 Cr</t>
        </is>
      </c>
      <c r="P92" s="15" t="inlineStr">
        <is>
          <t>₹ amount stated in DRHP cover</t>
        </is>
      </c>
      <c r="Q92" s="18" t="inlineStr">
        <is>
          <t>https://www.sebi.gov.in/sebi_data/attachdocs/mar-2026/1774337405679_1155.pdf</t>
        </is>
      </c>
      <c r="R92" s="18" t="inlineStr">
        <is>
          <t>https://www.sebi.gov.in/filings/public-issues/mar-2026/truhome-finance-limited_100519.html</t>
        </is>
      </c>
      <c r="S92" s="15" t="n"/>
      <c r="T92" s="14" t="n">
        <v>0</v>
      </c>
      <c r="U92" s="16" t="n"/>
      <c r="V92" s="16" t="n"/>
      <c r="W92" s="16" t="n"/>
      <c r="X92" s="15" t="inlineStr">
        <is>
          <t>Dates not announced</t>
        </is>
      </c>
      <c r="Y92" s="15" t="inlineStr">
        <is>
          <t>SEBI nod 1-Jun-2026; dates not announced</t>
        </is>
      </c>
      <c r="Z92" s="18" t="inlineStr">
        <is>
          <t>https://www.chittorgarh.com/ipo/truhome-finance-ipo/2941/</t>
        </is>
      </c>
    </row>
    <row r="93" ht="15" customHeight="1" s="12">
      <c r="A93" s="14" t="n">
        <v>92</v>
      </c>
      <c r="B93" s="15" t="inlineStr">
        <is>
          <t>SUNIL GOLD INDIA LIMITED</t>
        </is>
      </c>
      <c r="C93" s="16" t="n">
        <v>46090</v>
      </c>
      <c r="D93" s="16" t="n">
        <v>46090</v>
      </c>
      <c r="E93" s="15" t="inlineStr">
        <is>
          <t>DRHP</t>
        </is>
      </c>
      <c r="F93" s="15" t="inlineStr">
        <is>
          <t>Regular DRHP</t>
        </is>
      </c>
      <c r="G93" s="16" t="n"/>
      <c r="H93" s="15" t="inlineStr">
        <is>
          <t>DRHP filed — issue dates not announced</t>
        </is>
      </c>
      <c r="I93" s="17" t="n"/>
      <c r="J93" s="17" t="n"/>
      <c r="K93" s="17" t="n"/>
      <c r="L93" s="14" t="n">
        <v>26500000</v>
      </c>
      <c r="M93" s="14" t="n">
        <v>20000000</v>
      </c>
      <c r="N93" s="14" t="n">
        <v>6500000</v>
      </c>
      <c r="O93" s="15" t="inlineStr">
        <is>
          <t>Fresh issue up to 20,000,000 sh + OFS up to 6,500,000 sh</t>
        </is>
      </c>
      <c r="P93" s="15" t="inlineStr">
        <is>
          <t>DRHP states number of shares only (DRHP cover) — ₹ size depends on price band</t>
        </is>
      </c>
      <c r="Q93" s="18" t="inlineStr">
        <is>
          <t>https://www.sebi.gov.in/sebi_data/attachdocs/mar-2026/1773055805156_1135.pdf</t>
        </is>
      </c>
      <c r="R93" s="18" t="inlineStr">
        <is>
          <t>https://www.sebi.gov.in/filings/public-issues/mar-2026/sunil-gold-india-limited_100202.html</t>
        </is>
      </c>
      <c r="S93" s="15" t="n"/>
      <c r="T93" s="14" t="n">
        <v>0</v>
      </c>
      <c r="U93" s="16" t="n"/>
      <c r="V93" s="16" t="n"/>
      <c r="W93" s="16" t="n"/>
      <c r="X93" s="15" t="inlineStr">
        <is>
          <t>DRHP withdrawn</t>
        </is>
      </c>
      <c r="Y93" s="15" t="inlineStr">
        <is>
          <t>DRHP withdrawn 14-Aug-2026</t>
        </is>
      </c>
      <c r="Z93" s="18" t="inlineStr">
        <is>
          <t>https://www.chittorgarh.com/ipo/sunil-gold-india-ipo/2939/</t>
        </is>
      </c>
    </row>
    <row r="94" ht="15" customHeight="1" s="12">
      <c r="A94" s="14" t="n">
        <v>93</v>
      </c>
      <c r="B94" s="15" t="inlineStr">
        <is>
          <t>SHRENI SHARES LIMITED</t>
        </is>
      </c>
      <c r="C94" s="16" t="n">
        <v>46090</v>
      </c>
      <c r="D94" s="16" t="n">
        <v>46090</v>
      </c>
      <c r="E94" s="15" t="inlineStr">
        <is>
          <t>DRHP</t>
        </is>
      </c>
      <c r="F94" s="15" t="inlineStr">
        <is>
          <t>Regular DRHP</t>
        </is>
      </c>
      <c r="G94" s="16" t="n"/>
      <c r="H94" s="15" t="inlineStr">
        <is>
          <t>DRHP filed — issue dates not announced</t>
        </is>
      </c>
      <c r="I94" s="17" t="n"/>
      <c r="J94" s="17" t="n"/>
      <c r="K94" s="17" t="n"/>
      <c r="L94" s="14" t="n"/>
      <c r="M94" s="14" t="n"/>
      <c r="N94" s="14" t="n"/>
      <c r="O94" s="15" t="inlineStr">
        <is>
          <t>Not read — see DRHP PDF</t>
        </is>
      </c>
      <c r="P94" s="15" t="inlineStr">
        <is>
          <t>Offer terms not extracted — open the DRHP PDF</t>
        </is>
      </c>
      <c r="Q94" s="18" t="inlineStr">
        <is>
          <t>https://www.sebi.gov.in/sebi_data/attachdocs/mar-2026/1773106204965_1136.pdf</t>
        </is>
      </c>
      <c r="R94" s="18" t="inlineStr">
        <is>
          <t>https://www.sebi.gov.in/filings/public-issues/mar-2026/shreni-shares-limited_100212.html</t>
        </is>
      </c>
      <c r="S94" s="15" t="n"/>
      <c r="T94" s="14" t="n">
        <v>0</v>
      </c>
      <c r="U94" s="16" t="n"/>
      <c r="V94" s="16" t="n"/>
      <c r="W94" s="16" t="n"/>
      <c r="X94" s="15" t="inlineStr">
        <is>
          <t>Dates not announced</t>
        </is>
      </c>
      <c r="Y94" s="15" t="inlineStr">
        <is>
          <t>DRHP filed; dates TBA</t>
        </is>
      </c>
      <c r="Z94" s="18" t="inlineStr">
        <is>
          <t>https://www.chittorgarh.com/ipo/shreni-shares-ipo/2935/</t>
        </is>
      </c>
    </row>
    <row r="95" ht="15" customHeight="1" s="12">
      <c r="A95" s="14" t="n">
        <v>94</v>
      </c>
      <c r="B95" s="15" t="inlineStr">
        <is>
          <t>Bonfiglioli Transmissions Limited</t>
        </is>
      </c>
      <c r="C95" s="16" t="n">
        <v>46069</v>
      </c>
      <c r="D95" s="16" t="n">
        <v>46069</v>
      </c>
      <c r="E95" s="15" t="inlineStr">
        <is>
          <t>DRHP</t>
        </is>
      </c>
      <c r="F95" s="15" t="inlineStr">
        <is>
          <t>Regular DRHP</t>
        </is>
      </c>
      <c r="G95" s="16" t="n"/>
      <c r="H95" s="15" t="inlineStr">
        <is>
          <t>DRHP filed — issue dates not announced</t>
        </is>
      </c>
      <c r="I95" s="17" t="n"/>
      <c r="J95" s="17" t="n"/>
      <c r="K95" s="17" t="n"/>
      <c r="L95" s="14" t="n">
        <v>46998959</v>
      </c>
      <c r="M95" s="14" t="n">
        <v>46998959</v>
      </c>
      <c r="N95" s="14" t="n"/>
      <c r="O95" s="15" t="inlineStr">
        <is>
          <t>Fresh issue up to 46,998,959 sh</t>
        </is>
      </c>
      <c r="P95" s="15" t="inlineStr">
        <is>
          <t>DRHP states number of shares only (DRHP cover) — ₹ size depends on price band</t>
        </is>
      </c>
      <c r="Q95" s="18" t="inlineStr">
        <is>
          <t>https://www.sebi.gov.in/sebi_data/attachdocs/feb-2026/1771241407162_1117.pdf</t>
        </is>
      </c>
      <c r="R95" s="18" t="inlineStr">
        <is>
          <t>https://www.sebi.gov.in/filings/public-issues/feb-2026/bonfiglioli-transmissions-limited_99781.html</t>
        </is>
      </c>
      <c r="S95" s="15" t="n"/>
      <c r="T95" s="14" t="n">
        <v>0</v>
      </c>
      <c r="U95" s="16" t="n"/>
      <c r="V95" s="16" t="n"/>
      <c r="W95" s="16" t="n"/>
      <c r="X95" s="15" t="inlineStr">
        <is>
          <t>Dates not announced</t>
        </is>
      </c>
      <c r="Y95" s="15" t="inlineStr">
        <is>
          <t>SEBI nod 11-Jun-2026; dates not announced</t>
        </is>
      </c>
      <c r="Z95" s="18" t="inlineStr">
        <is>
          <t>https://www.chittorgarh.com/ipo/bonfiglioli-transmissions-ipo/2861/</t>
        </is>
      </c>
    </row>
    <row r="96" ht="15" customHeight="1" s="12">
      <c r="A96" s="14" t="n">
        <v>95</v>
      </c>
      <c r="B96" s="15" t="inlineStr">
        <is>
          <t>SRIT INDIA LIMITED</t>
        </is>
      </c>
      <c r="C96" s="16" t="n">
        <v>46059</v>
      </c>
      <c r="D96" s="16" t="n">
        <v>46059</v>
      </c>
      <c r="E96" s="15" t="inlineStr">
        <is>
          <t>DRHP</t>
        </is>
      </c>
      <c r="F96" s="15" t="inlineStr">
        <is>
          <t>Regular DRHP</t>
        </is>
      </c>
      <c r="G96" s="16" t="n"/>
      <c r="H96" s="15" t="inlineStr">
        <is>
          <t>DRHP filed — issue dates not announced</t>
        </is>
      </c>
      <c r="I96" s="17" t="n"/>
      <c r="J96" s="17" t="n"/>
      <c r="K96" s="17" t="n"/>
      <c r="L96" s="14" t="n">
        <v>16800000</v>
      </c>
      <c r="M96" s="14" t="n">
        <v>16800000</v>
      </c>
      <c r="N96" s="14" t="n"/>
      <c r="O96" s="15" t="inlineStr">
        <is>
          <t>Fresh issue up to 16,800,000 sh</t>
        </is>
      </c>
      <c r="P96" s="15" t="inlineStr">
        <is>
          <t>DRHP states number of shares only (DRHP cover) — ₹ size depends on price band</t>
        </is>
      </c>
      <c r="Q96" s="18" t="inlineStr">
        <is>
          <t>https://www.sebi.gov.in/sebi_data/attachdocs/feb-2026/1770358047774.pdf</t>
        </is>
      </c>
      <c r="R96" s="18" t="inlineStr">
        <is>
          <t>https://www.sebi.gov.in/filings/public-issues/feb-2026/srit-india-limited-drhp_99558.html</t>
        </is>
      </c>
      <c r="S96" s="15" t="n"/>
      <c r="T96" s="14" t="n">
        <v>0</v>
      </c>
      <c r="U96" s="19" t="n">
        <v>46293</v>
      </c>
      <c r="V96" s="19" t="n">
        <v>46295</v>
      </c>
      <c r="W96" s="19" t="n">
        <v>46301</v>
      </c>
      <c r="X96" s="20" t="inlineStr">
        <is>
          <t>Issue closed — listing pending</t>
        </is>
      </c>
      <c r="Y96" s="15" t="inlineStr">
        <is>
          <t>Mainboard; price band 123-130; subscribed 125x; listing tentative</t>
        </is>
      </c>
      <c r="Z96" s="18" t="inlineStr">
        <is>
          <t>https://www.chittorgarh.com/ipo/srit-india-ipo/2858/</t>
        </is>
      </c>
    </row>
    <row r="97" ht="15" customHeight="1" s="12">
      <c r="A97" s="14" t="n">
        <v>96</v>
      </c>
      <c r="B97" s="15" t="inlineStr">
        <is>
          <t>Marri Retail Limited</t>
        </is>
      </c>
      <c r="C97" s="16" t="n">
        <v>46057</v>
      </c>
      <c r="D97" s="16" t="n">
        <v>46057</v>
      </c>
      <c r="E97" s="15" t="inlineStr">
        <is>
          <t>DRHP</t>
        </is>
      </c>
      <c r="F97" s="15" t="inlineStr">
        <is>
          <t>Regular DRHP</t>
        </is>
      </c>
      <c r="G97" s="16" t="n"/>
      <c r="H97" s="15" t="inlineStr">
        <is>
          <t>DRHP filed — issue dates not announced</t>
        </is>
      </c>
      <c r="I97" s="17" t="n"/>
      <c r="J97" s="17" t="n">
        <v>522</v>
      </c>
      <c r="K97" s="17" t="n"/>
      <c r="L97" s="14" t="n"/>
      <c r="M97" s="14" t="n"/>
      <c r="N97" s="14" t="n">
        <v>27000000</v>
      </c>
      <c r="O97" s="15" t="inlineStr">
        <is>
          <t>Fresh issue up to ₹522.00 Cr + OFS up to 27,000,000 sh</t>
        </is>
      </c>
      <c r="P97" s="15" t="inlineStr">
        <is>
          <t>Part of offer stated in ₹, rest in shares only (DRHP cover) — total depends on price band</t>
        </is>
      </c>
      <c r="Q97" s="18" t="inlineStr">
        <is>
          <t>https://www.sebi.gov.in/sebi_data/attachdocs/feb-2026/1770183523459.pdf</t>
        </is>
      </c>
      <c r="R97" s="18" t="inlineStr">
        <is>
          <t>https://www.sebi.gov.in/filings/public-issues/feb-2026/marri-retail-limited-drhp_99483.html</t>
        </is>
      </c>
      <c r="S97" s="15" t="n"/>
      <c r="T97" s="14" t="n">
        <v>0</v>
      </c>
      <c r="U97" s="16" t="n"/>
      <c r="V97" s="16" t="n"/>
      <c r="W97" s="16" t="n"/>
      <c r="X97" s="15" t="inlineStr">
        <is>
          <t>Dates not announced</t>
        </is>
      </c>
      <c r="Y97" s="15" t="inlineStr">
        <is>
          <t>SEBI nod 10-Jul-2026; dates not announced</t>
        </is>
      </c>
      <c r="Z97" s="18" t="inlineStr">
        <is>
          <t>https://www.chittorgarh.com/ipo/marri-retail-ipo/2857/</t>
        </is>
      </c>
    </row>
    <row r="98" ht="15" customHeight="1" s="12">
      <c r="A98" s="14" t="n">
        <v>97</v>
      </c>
      <c r="B98" s="15" t="inlineStr">
        <is>
          <t>Bombay Coated and Special Steels Limited</t>
        </is>
      </c>
      <c r="C98" s="16" t="n">
        <v>45931</v>
      </c>
      <c r="D98" s="16" t="n">
        <v>46052</v>
      </c>
      <c r="E98" s="15" t="inlineStr">
        <is>
          <t>DRHP</t>
        </is>
      </c>
      <c r="F98" s="15" t="inlineStr">
        <is>
          <t>Regular DRHP</t>
        </is>
      </c>
      <c r="G98" s="16" t="n"/>
      <c r="H98" s="15" t="inlineStr">
        <is>
          <t>DRHP filed — issue dates not announced</t>
        </is>
      </c>
      <c r="I98" s="17" t="n"/>
      <c r="J98" s="17" t="n"/>
      <c r="K98" s="17" t="n"/>
      <c r="L98" s="14" t="n"/>
      <c r="M98" s="14" t="n"/>
      <c r="N98" s="14" t="n"/>
      <c r="O98" s="15" t="inlineStr">
        <is>
          <t>Not read — see DRHP PDF</t>
        </is>
      </c>
      <c r="P98" s="15" t="inlineStr">
        <is>
          <t>Offer terms not extracted — open the DRHP PDF</t>
        </is>
      </c>
      <c r="Q98" s="18" t="inlineStr">
        <is>
          <t>https://www.sebi.gov.in/sebi_data/attachdocs/feb-2026/1770114408329.pdf</t>
        </is>
      </c>
      <c r="R98" s="18" t="inlineStr">
        <is>
          <t>https://www.sebi.gov.in/filings/public-issues/jan-2026/bombay-coated-and-special-steels-limited_99471.html</t>
        </is>
      </c>
      <c r="S98" s="15" t="n"/>
      <c r="T98" s="14" t="n">
        <v>0</v>
      </c>
      <c r="U98" s="16" t="n"/>
      <c r="V98" s="16" t="n"/>
      <c r="W98" s="16" t="n"/>
      <c r="X98" s="15" t="inlineStr">
        <is>
          <t>Dates not announced</t>
        </is>
      </c>
      <c r="Y98" s="15" t="inlineStr">
        <is>
          <t>SEBI nod 12-Jun-2026; dates not announced</t>
        </is>
      </c>
      <c r="Z98" s="18" t="inlineStr">
        <is>
          <t>https://www.chittorgarh.com/ipo/bombay-coated-and-special-steels-ipo/2671/</t>
        </is>
      </c>
    </row>
    <row r="99" ht="15" customHeight="1" s="12">
      <c r="A99" s="14" t="n">
        <v>98</v>
      </c>
      <c r="B99" s="15" t="inlineStr">
        <is>
          <t>PhonePe Limited</t>
        </is>
      </c>
      <c r="C99" s="16" t="n">
        <v>46045</v>
      </c>
      <c r="D99" s="16" t="n">
        <v>46045</v>
      </c>
      <c r="E99" s="15" t="inlineStr">
        <is>
          <t>UDRHP-I</t>
        </is>
      </c>
      <c r="F99" s="15" t="inlineStr">
        <is>
          <t>Confidential pre-filing (UDRHP-I published)</t>
        </is>
      </c>
      <c r="G99" s="16" t="n"/>
      <c r="H99" s="15" t="inlineStr">
        <is>
          <t>DRHP filed — issue dates not announced</t>
        </is>
      </c>
      <c r="I99" s="17" t="n"/>
      <c r="J99" s="17" t="n"/>
      <c r="K99" s="17" t="n"/>
      <c r="L99" s="14" t="n"/>
      <c r="M99" s="14" t="n"/>
      <c r="N99" s="14" t="n"/>
      <c r="O99" s="15" t="inlineStr">
        <is>
          <t>Not read — see DRHP PDF</t>
        </is>
      </c>
      <c r="P99" s="15" t="inlineStr">
        <is>
          <t>Offer terms not extracted — open the DRHP PDF</t>
        </is>
      </c>
      <c r="Q99" s="18" t="inlineStr">
        <is>
          <t>https://www.sebi.gov.in/sebi_data/attachdocs/jan-2026/1769161833282.pdf</t>
        </is>
      </c>
      <c r="R99" s="18" t="inlineStr">
        <is>
          <t>https://www.sebi.gov.in/filings/public-issues/jan-2026/phonepe-limited-udrhp-i_99285.html</t>
        </is>
      </c>
      <c r="S99" s="15" t="n"/>
      <c r="T99" s="14" t="n">
        <v>0</v>
      </c>
      <c r="U99" s="16" t="n"/>
      <c r="V99" s="16" t="n"/>
      <c r="W99" s="16" t="n"/>
      <c r="X99" s="15" t="inlineStr">
        <is>
          <t>Dates not announced</t>
        </is>
      </c>
      <c r="Y99" s="15" t="inlineStr">
        <is>
          <t>SEBI nod 20-Jan-2026; launch on hold, dates not announced</t>
        </is>
      </c>
      <c r="Z99" s="18" t="inlineStr">
        <is>
          <t>https://www.chittorgarh.com/ipo/phonepe-ipo/2634/</t>
        </is>
      </c>
    </row>
    <row r="100" ht="15" customHeight="1" s="12">
      <c r="A100" s="14" t="n">
        <v>99</v>
      </c>
      <c r="B100" s="15" t="inlineStr">
        <is>
          <t>Advanta Enterprises Limited</t>
        </is>
      </c>
      <c r="C100" s="16" t="n">
        <v>46044</v>
      </c>
      <c r="D100" s="16" t="n">
        <v>46044</v>
      </c>
      <c r="E100" s="15" t="inlineStr">
        <is>
          <t>DRHP</t>
        </is>
      </c>
      <c r="F100" s="15" t="inlineStr">
        <is>
          <t>Regular DRHP</t>
        </is>
      </c>
      <c r="G100" s="16" t="n"/>
      <c r="H100" s="15" t="inlineStr">
        <is>
          <t>DRHP filed — issue dates not announced</t>
        </is>
      </c>
      <c r="I100" s="17" t="n"/>
      <c r="J100" s="17" t="n"/>
      <c r="K100" s="17" t="n"/>
      <c r="L100" s="14" t="n">
        <v>36105578</v>
      </c>
      <c r="M100" s="14" t="n"/>
      <c r="N100" s="14" t="n">
        <v>28107578</v>
      </c>
      <c r="O100" s="15" t="inlineStr">
        <is>
          <t>OFS up to 28,107,578 sh</t>
        </is>
      </c>
      <c r="P100" s="15" t="inlineStr">
        <is>
          <t>DRHP states number of shares only (DRHP cover) — ₹ size depends on price band</t>
        </is>
      </c>
      <c r="Q100" s="18" t="inlineStr">
        <is>
          <t>https://www.sebi.gov.in/sebi_data/attachdocs/jan-2026/1769065345546.pdf</t>
        </is>
      </c>
      <c r="R100" s="18" t="inlineStr">
        <is>
          <t>https://www.sebi.gov.in/filings/public-issues/jan-2026/advanta-enterprises-limited-drhp_99228.html</t>
        </is>
      </c>
      <c r="S100" s="15" t="n"/>
      <c r="T100" s="14" t="n">
        <v>0</v>
      </c>
      <c r="U100" s="16" t="n"/>
      <c r="V100" s="16" t="n"/>
      <c r="W100" s="16" t="n"/>
      <c r="X100" s="15" t="inlineStr">
        <is>
          <t>Dates not announced</t>
        </is>
      </c>
      <c r="Y100" s="15" t="inlineStr">
        <is>
          <t>SEBI nod 3-Jun-2026; dates not announced</t>
        </is>
      </c>
      <c r="Z100" s="18" t="inlineStr">
        <is>
          <t>https://www.chittorgarh.com/ipo/advanta-enterprises-ipo/2854/</t>
        </is>
      </c>
    </row>
    <row r="101" ht="15" customHeight="1" s="12">
      <c r="A101" s="14" t="n">
        <v>100</v>
      </c>
      <c r="B101" s="15" t="inlineStr">
        <is>
          <t>Rodec Pharma Limited</t>
        </is>
      </c>
      <c r="C101" s="16" t="n">
        <v>46042</v>
      </c>
      <c r="D101" s="16" t="n">
        <v>46042</v>
      </c>
      <c r="E101" s="15" t="inlineStr">
        <is>
          <t>DRHP</t>
        </is>
      </c>
      <c r="F101" s="15" t="inlineStr">
        <is>
          <t>Regular DRHP</t>
        </is>
      </c>
      <c r="G101" s="16" t="n"/>
      <c r="H101" s="15" t="inlineStr">
        <is>
          <t>DRHP filed — issue dates not announced</t>
        </is>
      </c>
      <c r="I101" s="17" t="n"/>
      <c r="J101" s="17" t="n"/>
      <c r="K101" s="17" t="n"/>
      <c r="L101" s="14" t="n">
        <v>5650000</v>
      </c>
      <c r="M101" s="14" t="n"/>
      <c r="N101" s="14" t="n">
        <v>5650000</v>
      </c>
      <c r="O101" s="15" t="inlineStr">
        <is>
          <t>OFS up to 5,650,000 sh</t>
        </is>
      </c>
      <c r="P101" s="15" t="inlineStr">
        <is>
          <t>DRHP states number of shares only (DRHP cover) — ₹ size depends on price band</t>
        </is>
      </c>
      <c r="Q101" s="18" t="inlineStr">
        <is>
          <t>https://www.sebi.gov.in/sebi_data/attachdocs/jan-2026/1768908606102_1097.pdf</t>
        </is>
      </c>
      <c r="R101" s="18" t="inlineStr">
        <is>
          <t>https://www.sebi.gov.in/filings/public-issues/jan-2026/rodec-pharma-limited_99167.html</t>
        </is>
      </c>
      <c r="S101" s="15" t="n"/>
      <c r="T101" s="14" t="n">
        <v>0</v>
      </c>
      <c r="U101" s="16" t="n"/>
      <c r="V101" s="16" t="n"/>
      <c r="W101" s="16" t="n"/>
      <c r="X101" s="15" t="inlineStr">
        <is>
          <t>Dates not announced</t>
        </is>
      </c>
      <c r="Y101" s="15" t="inlineStr">
        <is>
          <t>SEBI nod reported; dates not announced</t>
        </is>
      </c>
      <c r="Z101" s="18" t="inlineStr">
        <is>
          <t>https://www.chittorgarh.com/ipo/rodec-pharma-ipo/2852/</t>
        </is>
      </c>
    </row>
    <row r="102" ht="15" customHeight="1" s="12">
      <c r="A102" s="14" t="n">
        <v>101</v>
      </c>
      <c r="B102" s="15" t="inlineStr">
        <is>
          <t>HINDUSTAN LABORATORIES LIMITED</t>
        </is>
      </c>
      <c r="C102" s="16" t="n">
        <v>46035</v>
      </c>
      <c r="D102" s="16" t="n">
        <v>46035</v>
      </c>
      <c r="E102" s="15" t="inlineStr">
        <is>
          <t>DRHP</t>
        </is>
      </c>
      <c r="F102" s="15" t="inlineStr">
        <is>
          <t>Regular DRHP</t>
        </is>
      </c>
      <c r="G102" s="16" t="n"/>
      <c r="H102" s="15" t="inlineStr">
        <is>
          <t>DRHP filed — issue dates not announced</t>
        </is>
      </c>
      <c r="I102" s="17" t="n"/>
      <c r="J102" s="17" t="n"/>
      <c r="K102" s="17" t="n"/>
      <c r="L102" s="14" t="n">
        <v>14100000</v>
      </c>
      <c r="M102" s="14" t="n">
        <v>5000000</v>
      </c>
      <c r="N102" s="14" t="n">
        <v>9100000</v>
      </c>
      <c r="O102" s="15" t="inlineStr">
        <is>
          <t>Fresh issue up to 5,000,000 sh + OFS up to 9,100,000 sh</t>
        </is>
      </c>
      <c r="P102" s="15" t="inlineStr">
        <is>
          <t>DRHP states number of shares only (DRHP cover) — ₹ size depends on price band</t>
        </is>
      </c>
      <c r="Q102" s="18" t="inlineStr">
        <is>
          <t>https://www.sebi.gov.in/sebi_data/attachdocs/jan-2026/1768303804000_1096.pdf</t>
        </is>
      </c>
      <c r="R102" s="18" t="inlineStr">
        <is>
          <t>https://www.sebi.gov.in/filings/public-issues/jan-2026/hindustan-laboratories-limited_99041.html</t>
        </is>
      </c>
      <c r="S102" s="15" t="n"/>
      <c r="T102" s="14" t="n">
        <v>0</v>
      </c>
      <c r="U102" s="16" t="n"/>
      <c r="V102" s="16" t="n"/>
      <c r="W102" s="16" t="n"/>
      <c r="X102" s="15" t="inlineStr">
        <is>
          <t>Dates not announced</t>
        </is>
      </c>
      <c r="Y102" s="15" t="inlineStr">
        <is>
          <t>SEBI nod 27-Apr-2026; dates not yet announced</t>
        </is>
      </c>
      <c r="Z102" s="18" t="inlineStr">
        <is>
          <t>https://www.chittorgarh.com/ipo/hindustan-laboratories-ipo/2850/</t>
        </is>
      </c>
    </row>
    <row r="103" ht="15" customHeight="1" s="12">
      <c r="A103" s="14" t="n">
        <v>102</v>
      </c>
      <c r="B103" s="15" t="inlineStr">
        <is>
          <t>Vishal Nirmiti Limited</t>
        </is>
      </c>
      <c r="C103" s="16" t="n">
        <v>45933</v>
      </c>
      <c r="D103" s="16" t="n">
        <v>46034</v>
      </c>
      <c r="E103" s="15" t="inlineStr">
        <is>
          <t>DRHP</t>
        </is>
      </c>
      <c r="F103" s="15" t="inlineStr">
        <is>
          <t>Regular DRHP</t>
        </is>
      </c>
      <c r="G103" s="16" t="n"/>
      <c r="H103" s="15" t="inlineStr">
        <is>
          <t>DRHP filed — issue dates not announced</t>
        </is>
      </c>
      <c r="I103" s="17" t="n"/>
      <c r="J103" s="17" t="n"/>
      <c r="K103" s="17" t="n"/>
      <c r="L103" s="14" t="n"/>
      <c r="M103" s="14" t="n"/>
      <c r="N103" s="14" t="n"/>
      <c r="O103" s="15" t="inlineStr">
        <is>
          <t>Not read — see DRHP PDF</t>
        </is>
      </c>
      <c r="P103" s="15" t="inlineStr">
        <is>
          <t>Offer terms not extracted — open the DRHP PDF</t>
        </is>
      </c>
      <c r="Q103" s="18" t="inlineStr">
        <is>
          <t>https://www.sebi.gov.in/sebi_data/attachdocs/jan-2026/1768202159183.pdf</t>
        </is>
      </c>
      <c r="R103" s="18" t="inlineStr">
        <is>
          <t>https://www.sebi.gov.in/filings/public-issues/jan-2026/vishal-nirmiti-limited_98883.html</t>
        </is>
      </c>
      <c r="S103" s="15" t="n"/>
      <c r="T103" s="14" t="n">
        <v>0</v>
      </c>
      <c r="U103" s="19" t="n">
        <v>46295</v>
      </c>
      <c r="V103" s="19" t="n">
        <v>46300</v>
      </c>
      <c r="W103" s="19" t="n">
        <v>46303</v>
      </c>
      <c r="X103" s="20" t="inlineStr">
        <is>
          <t>Issue open now</t>
        </is>
      </c>
      <c r="Y103" s="15" t="inlineStr">
        <is>
          <t>Mainboard BSE/NSE; price band Rs208-220; listing tentative</t>
        </is>
      </c>
      <c r="Z103" s="18" t="inlineStr">
        <is>
          <t>https://ipowatch.in/vishal-nirmiti-ipo/</t>
        </is>
      </c>
    </row>
    <row r="104" ht="15" customHeight="1" s="12">
      <c r="A104" s="14" t="n">
        <v>103</v>
      </c>
      <c r="B104" s="15" t="inlineStr">
        <is>
          <t>Surgiwear Limited</t>
        </is>
      </c>
      <c r="C104" s="16" t="n">
        <v>46029</v>
      </c>
      <c r="D104" s="16" t="n">
        <v>46029</v>
      </c>
      <c r="E104" s="15" t="inlineStr">
        <is>
          <t>DRHP</t>
        </is>
      </c>
      <c r="F104" s="15" t="inlineStr">
        <is>
          <t>Regular DRHP</t>
        </is>
      </c>
      <c r="G104" s="16" t="n"/>
      <c r="H104" s="15" t="inlineStr">
        <is>
          <t>DRHP filed — issue dates not announced</t>
        </is>
      </c>
      <c r="I104" s="17" t="n"/>
      <c r="J104" s="17" t="n"/>
      <c r="K104" s="17" t="n"/>
      <c r="L104" s="14" t="n"/>
      <c r="M104" s="14" t="n"/>
      <c r="N104" s="14" t="n"/>
      <c r="O104" s="15" t="inlineStr">
        <is>
          <t>Not read — see DRHP PDF</t>
        </is>
      </c>
      <c r="P104" s="15" t="inlineStr">
        <is>
          <t>Offer terms not extracted — open the DRHP PDF</t>
        </is>
      </c>
      <c r="Q104" s="18" t="inlineStr">
        <is>
          <t>https://www.sebi.gov.in/sebi_data/attachdocs/jan-2026/1767762940433.pdf</t>
        </is>
      </c>
      <c r="R104" s="18" t="inlineStr">
        <is>
          <t>https://www.sebi.gov.in/filings/public-issues/jan-2026/surgiwear-limited_98949.html</t>
        </is>
      </c>
      <c r="S104" s="15" t="n"/>
      <c r="T104" s="14" t="n">
        <v>0</v>
      </c>
      <c r="U104" s="16" t="n"/>
      <c r="V104" s="16" t="n"/>
      <c r="W104" s="16" t="n"/>
      <c r="X104" s="15" t="inlineStr">
        <is>
          <t>Dates not announced</t>
        </is>
      </c>
      <c r="Y104" s="15" t="inlineStr">
        <is>
          <t>G.Surgiwear; SEBI nod 4-May-2026; dates not announced</t>
        </is>
      </c>
      <c r="Z104" s="18" t="inlineStr">
        <is>
          <t>https://www.chittorgarh.com/ipo/g-surgiwear-ipo/2832/</t>
        </is>
      </c>
    </row>
    <row r="105" ht="15" customHeight="1" s="12">
      <c r="A105" s="14" t="n">
        <v>104</v>
      </c>
      <c r="B105" s="15" t="inlineStr">
        <is>
          <t>TRAVELSTACK TECH LIMITED</t>
        </is>
      </c>
      <c r="C105" s="16" t="n">
        <v>46024</v>
      </c>
      <c r="D105" s="16" t="n">
        <v>46024</v>
      </c>
      <c r="E105" s="15" t="inlineStr">
        <is>
          <t>DRHP</t>
        </is>
      </c>
      <c r="F105" s="15" t="inlineStr">
        <is>
          <t>Regular DRHP</t>
        </is>
      </c>
      <c r="G105" s="16" t="n"/>
      <c r="H105" s="15" t="inlineStr">
        <is>
          <t>DRHP filed — issue dates not announced</t>
        </is>
      </c>
      <c r="I105" s="17" t="n"/>
      <c r="J105" s="17" t="n"/>
      <c r="K105" s="17" t="n"/>
      <c r="L105" s="14" t="n"/>
      <c r="M105" s="14" t="n"/>
      <c r="N105" s="14" t="n"/>
      <c r="O105" s="15" t="inlineStr">
        <is>
          <t>Not read — see DRHP PDF</t>
        </is>
      </c>
      <c r="P105" s="15" t="inlineStr">
        <is>
          <t>Offer terms not extracted — open the DRHP PDF</t>
        </is>
      </c>
      <c r="Q105" s="18" t="inlineStr">
        <is>
          <t>https://www.sebi.gov.in/sebi_data/attachdocs/jan-2026/1767339026316_1046.pdf</t>
        </is>
      </c>
      <c r="R105" s="18" t="inlineStr">
        <is>
          <t>https://www.sebi.gov.in/filings/public-issues/jan-2026/travelstack-tech-limited_98786.html</t>
        </is>
      </c>
      <c r="S105" s="15" t="n"/>
      <c r="T105" s="14" t="n">
        <v>0</v>
      </c>
      <c r="U105" s="16" t="n"/>
      <c r="V105" s="16" t="n"/>
      <c r="W105" s="16" t="n"/>
      <c r="X105" s="15" t="inlineStr">
        <is>
          <t>Dates not announced</t>
        </is>
      </c>
      <c r="Y105" s="15" t="inlineStr">
        <is>
          <t>SEBI nod 11-Mar-2026; dates not announced</t>
        </is>
      </c>
      <c r="Z105" s="18" t="inlineStr">
        <is>
          <t>https://www.chittorgarh.com/ipo/travelstack-tech-ipo/2811/</t>
        </is>
      </c>
    </row>
    <row r="106" ht="15" customHeight="1" s="12">
      <c r="A106" s="14" t="n">
        <v>105</v>
      </c>
      <c r="B106" s="15" t="inlineStr">
        <is>
          <t>NEOLITE ZKW LIGHTINGS LIMITED</t>
        </is>
      </c>
      <c r="C106" s="16" t="n">
        <v>46024</v>
      </c>
      <c r="D106" s="16" t="n">
        <v>46024</v>
      </c>
      <c r="E106" s="15" t="inlineStr">
        <is>
          <t>DRHP</t>
        </is>
      </c>
      <c r="F106" s="15" t="inlineStr">
        <is>
          <t>Regular DRHP</t>
        </is>
      </c>
      <c r="G106" s="16" t="n"/>
      <c r="H106" s="15" t="inlineStr">
        <is>
          <t>DRHP filed — issue dates not announced</t>
        </is>
      </c>
      <c r="I106" s="17" t="n"/>
      <c r="J106" s="17" t="n"/>
      <c r="K106" s="17" t="n"/>
      <c r="L106" s="14" t="n"/>
      <c r="M106" s="14" t="n"/>
      <c r="N106" s="14" t="n"/>
      <c r="O106" s="15" t="inlineStr">
        <is>
          <t>Not read — see DRHP PDF</t>
        </is>
      </c>
      <c r="P106" s="15" t="inlineStr">
        <is>
          <t>Offer terms not extracted — open the DRHP PDF</t>
        </is>
      </c>
      <c r="Q106" s="18" t="inlineStr">
        <is>
          <t>https://www.sebi.gov.in/sebi_data/attachdocs/jan-2026/1767339026316_1047.pdf</t>
        </is>
      </c>
      <c r="R106" s="18" t="inlineStr">
        <is>
          <t>https://www.sebi.gov.in/filings/public-issues/jan-2026/neolite-zkw-lightings-limited_98788.html</t>
        </is>
      </c>
      <c r="S106" s="15" t="n"/>
      <c r="T106" s="14" t="n">
        <v>0</v>
      </c>
      <c r="U106" s="16" t="n"/>
      <c r="V106" s="16" t="n"/>
      <c r="W106" s="16" t="n"/>
      <c r="X106" s="15" t="inlineStr">
        <is>
          <t>Dates not announced</t>
        </is>
      </c>
      <c r="Y106" s="15" t="inlineStr">
        <is>
          <t>Rs600cr DRHP; no SEBI nod/dates found</t>
        </is>
      </c>
      <c r="Z106" s="18" t="inlineStr">
        <is>
          <t>https://www.chittorgarh.com/ipo/neolite-zkw-lightings-ipo/2828/</t>
        </is>
      </c>
    </row>
    <row r="107" ht="15" customHeight="1" s="12">
      <c r="A107" s="14" t="n">
        <v>106</v>
      </c>
      <c r="B107" s="15" t="inlineStr">
        <is>
          <t>MEHTA HITECH INDUSTRIES LIMITED</t>
        </is>
      </c>
      <c r="C107" s="16" t="n">
        <v>46024</v>
      </c>
      <c r="D107" s="16" t="n">
        <v>46024</v>
      </c>
      <c r="E107" s="15" t="inlineStr">
        <is>
          <t>DRHP</t>
        </is>
      </c>
      <c r="F107" s="15" t="inlineStr">
        <is>
          <t>Regular DRHP</t>
        </is>
      </c>
      <c r="G107" s="16" t="n"/>
      <c r="H107" s="15" t="inlineStr">
        <is>
          <t>DRHP filed — issue dates not announced</t>
        </is>
      </c>
      <c r="I107" s="17" t="n"/>
      <c r="J107" s="17" t="n"/>
      <c r="K107" s="17" t="n"/>
      <c r="L107" s="14" t="n"/>
      <c r="M107" s="14" t="n"/>
      <c r="N107" s="14" t="n"/>
      <c r="O107" s="15" t="inlineStr">
        <is>
          <t>Not read — see DRHP PDF</t>
        </is>
      </c>
      <c r="P107" s="15" t="inlineStr">
        <is>
          <t>Offer terms not extracted — open the DRHP PDF</t>
        </is>
      </c>
      <c r="Q107" s="18" t="inlineStr">
        <is>
          <t>https://www.sebi.gov.in/sebi_data/attachdocs/jan-2026/1767339026316_1048.pdf</t>
        </is>
      </c>
      <c r="R107" s="18" t="inlineStr">
        <is>
          <t>https://www.sebi.gov.in/filings/public-issues/jan-2026/mehta-hitech-industries-limited_98790.html</t>
        </is>
      </c>
      <c r="S107" s="15" t="n"/>
      <c r="T107" s="14" t="n">
        <v>0</v>
      </c>
      <c r="U107" s="16" t="n"/>
      <c r="V107" s="16" t="n"/>
      <c r="W107" s="16" t="n"/>
      <c r="X107" s="15" t="inlineStr">
        <is>
          <t>Dates not announced</t>
        </is>
      </c>
      <c r="Y107" s="15" t="inlineStr">
        <is>
          <t>SEBI nod 5-Jun-2026; dates not announced</t>
        </is>
      </c>
      <c r="Z107" s="18" t="inlineStr">
        <is>
          <t>https://www.chittorgarh.com/ipo/mehta-hitech-ipo/2833/</t>
        </is>
      </c>
    </row>
    <row r="108" ht="15" customHeight="1" s="12">
      <c r="A108" s="14" t="n">
        <v>107</v>
      </c>
      <c r="B108" s="15" t="inlineStr">
        <is>
          <t>KRISHNA BUILDSPACE LIMITED</t>
        </is>
      </c>
      <c r="C108" s="16" t="n">
        <v>46024</v>
      </c>
      <c r="D108" s="16" t="n">
        <v>46024</v>
      </c>
      <c r="E108" s="15" t="inlineStr">
        <is>
          <t>DRHP</t>
        </is>
      </c>
      <c r="F108" s="15" t="inlineStr">
        <is>
          <t>Regular DRHP</t>
        </is>
      </c>
      <c r="G108" s="16" t="n"/>
      <c r="H108" s="15" t="inlineStr">
        <is>
          <t>DRHP filed — issue dates not announced</t>
        </is>
      </c>
      <c r="I108" s="17" t="n"/>
      <c r="J108" s="17" t="n"/>
      <c r="K108" s="17" t="n"/>
      <c r="L108" s="14" t="n">
        <v>9900000</v>
      </c>
      <c r="M108" s="14" t="n">
        <v>9000000</v>
      </c>
      <c r="N108" s="14" t="n">
        <v>900000</v>
      </c>
      <c r="O108" s="15" t="inlineStr">
        <is>
          <t>Fresh issue up to 9,000,000 sh + OFS up to 900,000 sh</t>
        </is>
      </c>
      <c r="P108" s="15" t="inlineStr">
        <is>
          <t>DRHP states number of shares only (DRHP cover) — ₹ size depends on price band</t>
        </is>
      </c>
      <c r="Q108" s="18" t="inlineStr">
        <is>
          <t>https://www.sebi.gov.in/sebi_data/attachdocs/jan-2026/1767353409824_1050.pdf</t>
        </is>
      </c>
      <c r="R108" s="18" t="inlineStr">
        <is>
          <t>https://www.sebi.gov.in/filings/public-issues/jan-2026/krishna-buildspace-limited_98809.html</t>
        </is>
      </c>
      <c r="S108" s="15" t="n"/>
      <c r="T108" s="14" t="n">
        <v>0</v>
      </c>
      <c r="U108" s="16" t="n"/>
      <c r="V108" s="16" t="n"/>
      <c r="W108" s="16" t="n"/>
      <c r="X108" s="15" t="inlineStr">
        <is>
          <t>Dates not announced</t>
        </is>
      </c>
      <c r="Y108" s="15" t="inlineStr">
        <is>
          <t>DRHP stage; no dates announced</t>
        </is>
      </c>
      <c r="Z108" s="18" t="inlineStr">
        <is>
          <t>https://www.chittorgarh.com/ipo/krishna-buildspace-ipo/2839/</t>
        </is>
      </c>
    </row>
    <row r="109" ht="15" customHeight="1" s="12">
      <c r="A109" s="14" t="n">
        <v>108</v>
      </c>
      <c r="B109" s="15" t="inlineStr">
        <is>
          <t>Casagrand Premier Builder Limited</t>
        </is>
      </c>
      <c r="C109" s="16" t="n">
        <v>45558</v>
      </c>
      <c r="D109" s="16" t="n">
        <v>46022</v>
      </c>
      <c r="E109" s="15" t="inlineStr">
        <is>
          <t>DRHP</t>
        </is>
      </c>
      <c r="F109" s="15" t="inlineStr">
        <is>
          <t>Regular DRHP</t>
        </is>
      </c>
      <c r="G109" s="16" t="n"/>
      <c r="H109" s="15" t="inlineStr">
        <is>
          <t>DRHP filed — issue dates not announced</t>
        </is>
      </c>
      <c r="I109" s="17" t="n">
        <v>1220</v>
      </c>
      <c r="J109" s="17" t="n">
        <v>1200</v>
      </c>
      <c r="K109" s="17" t="n">
        <v>20</v>
      </c>
      <c r="L109" s="14" t="n"/>
      <c r="M109" s="14" t="n"/>
      <c r="N109" s="14" t="n"/>
      <c r="O109" s="15" t="inlineStr">
        <is>
          <t>Fresh issue up to ₹1,200.00 Cr + OFS up to ₹20.00 Cr</t>
        </is>
      </c>
      <c r="P109" s="15" t="inlineStr">
        <is>
          <t>₹ amount stated in DRHP cover</t>
        </is>
      </c>
      <c r="Q109" s="18" t="inlineStr">
        <is>
          <t>https://www.sebi.gov.in/sebi_data/attachdocs/dec-2025/1767161602994.pdf</t>
        </is>
      </c>
      <c r="R109" s="18" t="inlineStr">
        <is>
          <t>https://www.sebi.gov.in/filings/public-issues/dec-2025/casagrand-premier-builder-limited-drhp_98765.html</t>
        </is>
      </c>
      <c r="S109" s="15" t="n"/>
      <c r="T109" s="14" t="n">
        <v>1</v>
      </c>
      <c r="U109" s="16" t="n"/>
      <c r="V109" s="16" t="n"/>
      <c r="W109" s="16" t="n"/>
      <c r="X109" s="15" t="inlineStr">
        <is>
          <t>Dates not announced</t>
        </is>
      </c>
      <c r="Y109" s="15" t="inlineStr">
        <is>
          <t>SEBI nod 8-Jun-2026; Rs1,220cr; dates not announced</t>
        </is>
      </c>
      <c r="Z109" s="18" t="inlineStr">
        <is>
          <t>https://www.chittorgarh.com/ipo/casagrand-premier-builder-ipo/2183/</t>
        </is>
      </c>
    </row>
    <row r="110" ht="15" customHeight="1" s="12">
      <c r="A110" s="14" t="n">
        <v>109</v>
      </c>
      <c r="B110" s="15" t="inlineStr">
        <is>
          <t>YATAYAT CORPORATION INDIA LIMITED</t>
        </is>
      </c>
      <c r="C110" s="16" t="n">
        <v>46020</v>
      </c>
      <c r="D110" s="16" t="n">
        <v>46020</v>
      </c>
      <c r="E110" s="15" t="inlineStr">
        <is>
          <t>DRHP</t>
        </is>
      </c>
      <c r="F110" s="15" t="inlineStr">
        <is>
          <t>Regular DRHP</t>
        </is>
      </c>
      <c r="G110" s="16" t="n"/>
      <c r="H110" s="15" t="inlineStr">
        <is>
          <t>DRHP filed — issue dates not announced</t>
        </is>
      </c>
      <c r="I110" s="17" t="n"/>
      <c r="J110" s="17" t="n"/>
      <c r="K110" s="17" t="n"/>
      <c r="L110" s="14" t="n"/>
      <c r="M110" s="14" t="n"/>
      <c r="N110" s="14" t="n"/>
      <c r="O110" s="15" t="inlineStr">
        <is>
          <t>Not read — see DRHP PDF</t>
        </is>
      </c>
      <c r="P110" s="15" t="inlineStr">
        <is>
          <t>Offer terms not extracted — open the DRHP PDF</t>
        </is>
      </c>
      <c r="Q110" s="18" t="inlineStr">
        <is>
          <t>https://www.sebi.gov.in/sebi_data/attachdocs/dec-2025/1767007811746_1043.pdf</t>
        </is>
      </c>
      <c r="R110" s="18" t="inlineStr">
        <is>
          <t>https://www.sebi.gov.in/filings/public-issues/dec-2025/yatayat-corporation-india-limited_98716.html</t>
        </is>
      </c>
      <c r="S110" s="15" t="n"/>
      <c r="T110" s="14" t="n">
        <v>0</v>
      </c>
      <c r="U110" s="16" t="n"/>
      <c r="V110" s="16" t="n"/>
      <c r="W110" s="16" t="n"/>
      <c r="X110" s="15" t="inlineStr">
        <is>
          <t>Dates not announced</t>
        </is>
      </c>
      <c r="Y110" s="15" t="inlineStr">
        <is>
          <t>No dates announced; placeholder dates on aggregators ignored</t>
        </is>
      </c>
      <c r="Z110" s="18" t="inlineStr">
        <is>
          <t>https://www.chittorgarh.com/ipo/yatayat-corp-india-ipo/2818/</t>
        </is>
      </c>
    </row>
    <row r="111" ht="15" customHeight="1" s="12">
      <c r="A111" s="14" t="n">
        <v>110</v>
      </c>
      <c r="B111" s="15" t="inlineStr">
        <is>
          <t>WOG Technologies Limited</t>
        </is>
      </c>
      <c r="C111" s="16" t="n">
        <v>46020</v>
      </c>
      <c r="D111" s="16" t="n">
        <v>46020</v>
      </c>
      <c r="E111" s="15" t="inlineStr">
        <is>
          <t>DRHP</t>
        </is>
      </c>
      <c r="F111" s="15" t="inlineStr">
        <is>
          <t>Regular DRHP</t>
        </is>
      </c>
      <c r="G111" s="16" t="n"/>
      <c r="H111" s="15" t="inlineStr">
        <is>
          <t>DRHP filed — issue dates not announced</t>
        </is>
      </c>
      <c r="I111" s="17" t="n"/>
      <c r="J111" s="17" t="n">
        <v>375</v>
      </c>
      <c r="K111" s="17" t="n"/>
      <c r="L111" s="14" t="n"/>
      <c r="M111" s="14" t="n"/>
      <c r="N111" s="14" t="n">
        <v>4328000</v>
      </c>
      <c r="O111" s="15" t="inlineStr">
        <is>
          <t>Fresh issue up to ₹375.00 Cr + OFS up to 4,328,000 sh</t>
        </is>
      </c>
      <c r="P111" s="15" t="inlineStr">
        <is>
          <t>Part of offer stated in ₹, rest in shares only (DRHP cover) — total depends on price band</t>
        </is>
      </c>
      <c r="Q111" s="18" t="inlineStr">
        <is>
          <t>https://www.sebi.gov.in/sebi_data/attachdocs/dec-2025/1766991289537.pdf</t>
        </is>
      </c>
      <c r="R111" s="18" t="inlineStr">
        <is>
          <t>https://www.sebi.gov.in/filings/public-issues/dec-2025/wog-technologies-limited-drhp_98710.html</t>
        </is>
      </c>
      <c r="S111" s="15" t="n"/>
      <c r="T111" s="14" t="n">
        <v>0</v>
      </c>
      <c r="U111" s="16" t="n"/>
      <c r="V111" s="16" t="n"/>
      <c r="W111" s="16" t="n"/>
      <c r="X111" s="15" t="inlineStr">
        <is>
          <t>Dates not announced</t>
        </is>
      </c>
      <c r="Y111" s="15" t="inlineStr">
        <is>
          <t>Dates not announced</t>
        </is>
      </c>
      <c r="Z111" s="18" t="inlineStr">
        <is>
          <t>https://www.chittorgarh.com/ipo/wog-technologies-ipo/2821/</t>
        </is>
      </c>
    </row>
    <row r="112" ht="15" customHeight="1" s="12">
      <c r="A112" s="14" t="n">
        <v>111</v>
      </c>
      <c r="B112" s="15" t="inlineStr">
        <is>
          <t>Crystal Crop Protection Limited</t>
        </is>
      </c>
      <c r="C112" s="16" t="n">
        <v>43196</v>
      </c>
      <c r="D112" s="16" t="n">
        <v>46013</v>
      </c>
      <c r="E112" s="15" t="inlineStr">
        <is>
          <t>DRHP</t>
        </is>
      </c>
      <c r="F112" s="15" t="inlineStr">
        <is>
          <t>Regular DRHP</t>
        </is>
      </c>
      <c r="G112" s="16" t="n"/>
      <c r="H112" s="15" t="inlineStr">
        <is>
          <t>DRHP filed — issue dates not announced</t>
        </is>
      </c>
      <c r="I112" s="17" t="n"/>
      <c r="J112" s="17" t="n">
        <v>60000</v>
      </c>
      <c r="K112" s="17" t="n"/>
      <c r="L112" s="14" t="n"/>
      <c r="M112" s="14" t="n"/>
      <c r="N112" s="14" t="n">
        <v>7405387</v>
      </c>
      <c r="O112" s="15" t="inlineStr">
        <is>
          <t>Fresh issue up to ₹60,000.00 Cr + OFS up to 7,405,387 sh</t>
        </is>
      </c>
      <c r="P112" s="15" t="inlineStr">
        <is>
          <t>Part of offer stated in ₹, rest in shares only (DRHP cover) — total depends on price band</t>
        </is>
      </c>
      <c r="Q112" s="18" t="inlineStr">
        <is>
          <t>https://www.sebi.gov.in/sebi_data/attachdocs/dec-2025/1766375089872.pdf</t>
        </is>
      </c>
      <c r="R112" s="18" t="inlineStr">
        <is>
          <t>https://www.sebi.gov.in/filings/public-issues/dec-2025/crystal-crop-protection-limited-drhp_98530.html</t>
        </is>
      </c>
      <c r="S112" s="15" t="n"/>
      <c r="T112" s="14" t="n">
        <v>0</v>
      </c>
      <c r="U112" s="16" t="n"/>
      <c r="V112" s="16" t="n"/>
      <c r="W112" s="16" t="n"/>
      <c r="X112" s="15" t="inlineStr">
        <is>
          <t>Dates not announced</t>
        </is>
      </c>
      <c r="Y112" s="15" t="inlineStr">
        <is>
          <t>Fresh Rs600cr + OFS; dates/price band not announced</t>
        </is>
      </c>
      <c r="Z112" s="18" t="inlineStr">
        <is>
          <t>https://ipowatch.in/crystal-crop-protection-ipo/</t>
        </is>
      </c>
    </row>
    <row r="113" ht="15" customHeight="1" s="12">
      <c r="A113" s="14" t="n">
        <v>112</v>
      </c>
      <c r="B113" s="15" t="inlineStr">
        <is>
          <t>Shivganga Drillers Limited</t>
        </is>
      </c>
      <c r="C113" s="16" t="n">
        <v>46010</v>
      </c>
      <c r="D113" s="16" t="n">
        <v>46010</v>
      </c>
      <c r="E113" s="15" t="inlineStr">
        <is>
          <t>DRHP</t>
        </is>
      </c>
      <c r="F113" s="15" t="inlineStr">
        <is>
          <t>Regular DRHP</t>
        </is>
      </c>
      <c r="G113" s="16" t="n"/>
      <c r="H113" s="15" t="inlineStr">
        <is>
          <t>DRHP filed — issue dates not announced</t>
        </is>
      </c>
      <c r="I113" s="17" t="n">
        <v>400</v>
      </c>
      <c r="J113" s="17" t="n">
        <v>400</v>
      </c>
      <c r="K113" s="17" t="n"/>
      <c r="L113" s="14" t="n"/>
      <c r="M113" s="14" t="n"/>
      <c r="N113" s="14" t="n"/>
      <c r="O113" s="15" t="inlineStr">
        <is>
          <t>Fresh issue up to ₹400.00 Cr</t>
        </is>
      </c>
      <c r="P113" s="15" t="inlineStr">
        <is>
          <t>₹ amount stated in DRHP cover</t>
        </is>
      </c>
      <c r="Q113" s="18" t="inlineStr">
        <is>
          <t>https://www.sebi.gov.in/sebi_data/attachdocs/dec-2025/1766142033748.pdf</t>
        </is>
      </c>
      <c r="R113" s="18" t="inlineStr">
        <is>
          <t>https://www.sebi.gov.in/filings/public-issues/dec-2025/shivganga-drillers-limited-drhp_98515.html</t>
        </is>
      </c>
      <c r="S113" s="15" t="n"/>
      <c r="T113" s="14" t="n">
        <v>0</v>
      </c>
      <c r="U113" s="16" t="n"/>
      <c r="V113" s="16" t="n"/>
      <c r="W113" s="16" t="n"/>
      <c r="X113" s="15" t="inlineStr">
        <is>
          <t>DRHP withdrawn</t>
        </is>
      </c>
      <c r="Y113" s="15" t="inlineStr">
        <is>
          <t>DRHP withdrawn from SEBI 30-Jun-2026</t>
        </is>
      </c>
      <c r="Z113" s="18" t="inlineStr">
        <is>
          <t>https://www.chittorgarh.com/ipo/shivganga-drillers-ipo/2810/</t>
        </is>
      </c>
    </row>
    <row r="114" ht="15" customHeight="1" s="12">
      <c r="A114" s="14" t="n">
        <v>113</v>
      </c>
      <c r="B114" s="15" t="inlineStr">
        <is>
          <t>Renny Strips Limited</t>
        </is>
      </c>
      <c r="C114" s="16" t="n">
        <v>46010</v>
      </c>
      <c r="D114" s="16" t="n">
        <v>46010</v>
      </c>
      <c r="E114" s="15" t="inlineStr">
        <is>
          <t>DRHP</t>
        </is>
      </c>
      <c r="F114" s="15" t="inlineStr">
        <is>
          <t>Regular DRHP</t>
        </is>
      </c>
      <c r="G114" s="16" t="n"/>
      <c r="H114" s="15" t="inlineStr">
        <is>
          <t>DRHP filed — issue dates not announced</t>
        </is>
      </c>
      <c r="I114" s="17" t="n"/>
      <c r="J114" s="17" t="n">
        <v>300</v>
      </c>
      <c r="K114" s="17" t="n"/>
      <c r="L114" s="14" t="n"/>
      <c r="M114" s="14" t="n"/>
      <c r="N114" s="14" t="n">
        <v>12000000</v>
      </c>
      <c r="O114" s="15" t="inlineStr">
        <is>
          <t>Fresh issue up to ₹300.00 Cr + OFS up to 12,000,000 sh</t>
        </is>
      </c>
      <c r="P114" s="15" t="inlineStr">
        <is>
          <t>Part of offer stated in ₹, rest in shares only (DRHP cover) — total depends on price band</t>
        </is>
      </c>
      <c r="Q114" s="18" t="inlineStr">
        <is>
          <t>https://www.sebi.gov.in/sebi_data/attachdocs/dec-2025/1766129404848_1041.pdf</t>
        </is>
      </c>
      <c r="R114" s="18" t="inlineStr">
        <is>
          <t>https://www.sebi.gov.in/filings/public-issues/dec-2025/renny-strips-limited_98494.html</t>
        </is>
      </c>
      <c r="S114" s="15" t="n"/>
      <c r="T114" s="14" t="n">
        <v>0</v>
      </c>
      <c r="U114" s="16" t="n"/>
      <c r="V114" s="16" t="n"/>
      <c r="W114" s="16" t="n"/>
      <c r="X114" s="15" t="inlineStr">
        <is>
          <t>Dates not announced</t>
        </is>
      </c>
      <c r="Y114" s="15" t="inlineStr">
        <is>
          <t>Dates not announced</t>
        </is>
      </c>
      <c r="Z114" s="18" t="inlineStr">
        <is>
          <t>https://www.chittorgarh.com/ipo/renny-strips-ipo/2807/</t>
        </is>
      </c>
    </row>
    <row r="115" ht="15" customHeight="1" s="12">
      <c r="A115" s="14" t="n">
        <v>114</v>
      </c>
      <c r="B115" s="15" t="inlineStr">
        <is>
          <t>ASPRI SPIRITS LIMITED</t>
        </is>
      </c>
      <c r="C115" s="16" t="n">
        <v>46009</v>
      </c>
      <c r="D115" s="16" t="n">
        <v>46009</v>
      </c>
      <c r="E115" s="15" t="inlineStr">
        <is>
          <t>DRHP</t>
        </is>
      </c>
      <c r="F115" s="15" t="inlineStr">
        <is>
          <t>Regular DRHP</t>
        </is>
      </c>
      <c r="G115" s="16" t="n"/>
      <c r="H115" s="15" t="inlineStr">
        <is>
          <t>DRHP filed — issue dates not announced</t>
        </is>
      </c>
      <c r="I115" s="17" t="n"/>
      <c r="J115" s="17" t="n">
        <v>140</v>
      </c>
      <c r="K115" s="17" t="n"/>
      <c r="L115" s="14" t="n"/>
      <c r="M115" s="14" t="n"/>
      <c r="N115" s="14" t="n">
        <v>5000000</v>
      </c>
      <c r="O115" s="15" t="inlineStr">
        <is>
          <t>Fresh issue up to ₹140.00 Cr + OFS up to 5,000,000 sh</t>
        </is>
      </c>
      <c r="P115" s="15" t="inlineStr">
        <is>
          <t>Part of offer stated in ₹, rest in shares only (DRHP cover) — total depends on price band</t>
        </is>
      </c>
      <c r="Q115" s="18" t="inlineStr">
        <is>
          <t>https://www.sebi.gov.in/sebi_data/attachdocs/dec-2025/1766107805579_1040.pdf</t>
        </is>
      </c>
      <c r="R115" s="18" t="inlineStr">
        <is>
          <t>https://www.sebi.gov.in/filings/public-issues/dec-2025/aspri-spirits-limited_98473.html</t>
        </is>
      </c>
      <c r="S115" s="15" t="n"/>
      <c r="T115" s="14" t="n">
        <v>0</v>
      </c>
      <c r="U115" s="16" t="n"/>
      <c r="V115" s="16" t="n"/>
      <c r="W115" s="16" t="n"/>
      <c r="X115" s="15" t="inlineStr">
        <is>
          <t>Dates not announced</t>
        </is>
      </c>
      <c r="Y115" s="15" t="inlineStr">
        <is>
          <t>SEBI nod 6-May-2026; dates not announced</t>
        </is>
      </c>
      <c r="Z115" s="18" t="inlineStr">
        <is>
          <t>https://www.chittorgarh.com/ipo/aspri-spirits-ipo/2806/</t>
        </is>
      </c>
    </row>
    <row r="116" ht="15" customHeight="1" s="12">
      <c r="A116" s="14" t="n">
        <v>115</v>
      </c>
      <c r="B116" s="15" t="inlineStr">
        <is>
          <t>AceVector Limited</t>
        </is>
      </c>
      <c r="C116" s="16" t="n">
        <v>46000</v>
      </c>
      <c r="D116" s="16" t="n">
        <v>46000</v>
      </c>
      <c r="E116" s="15" t="inlineStr">
        <is>
          <t>UDRHP-I</t>
        </is>
      </c>
      <c r="F116" s="15" t="inlineStr">
        <is>
          <t>Confidential pre-filing (UDRHP-I published)</t>
        </is>
      </c>
      <c r="G116" s="16" t="n"/>
      <c r="H116" s="15" t="inlineStr">
        <is>
          <t>DRHP filed — issue dates not announced</t>
        </is>
      </c>
      <c r="I116" s="17" t="n"/>
      <c r="J116" s="17" t="n"/>
      <c r="K116" s="17" t="n"/>
      <c r="L116" s="14" t="n"/>
      <c r="M116" s="14" t="n"/>
      <c r="N116" s="14" t="n"/>
      <c r="O116" s="15" t="inlineStr">
        <is>
          <t>Not read — see DRHP PDF</t>
        </is>
      </c>
      <c r="P116" s="15" t="inlineStr">
        <is>
          <t>Offer terms not extracted — open the DRHP PDF</t>
        </is>
      </c>
      <c r="Q116" s="18" t="inlineStr">
        <is>
          <t>https://www.sebi.gov.in/sebi_data/attachdocs/dec-2025/1765261442709.pdf</t>
        </is>
      </c>
      <c r="R116" s="18" t="inlineStr">
        <is>
          <t>https://www.sebi.gov.in/filings/public-issues/dec-2025/acevector-limited-udrhp_98252.html</t>
        </is>
      </c>
      <c r="S116" s="15" t="n"/>
      <c r="T116" s="14" t="n">
        <v>0</v>
      </c>
      <c r="U116" s="19" t="n">
        <v>46290</v>
      </c>
      <c r="V116" s="19" t="n">
        <v>46294</v>
      </c>
      <c r="W116" s="19" t="n">
        <v>46300</v>
      </c>
      <c r="X116" s="20" t="inlineStr">
        <is>
          <t>Issue closed — listing pending</t>
        </is>
      </c>
      <c r="Y116" s="15" t="inlineStr">
        <is>
          <t>Snapdeal parent; Rs30-32; Rs420cr; subscribed 5.07x; listing tentative</t>
        </is>
      </c>
      <c r="Z116" s="18" t="inlineStr">
        <is>
          <t>https://www.ipoji.com/ipo/acevector-ipo</t>
        </is>
      </c>
    </row>
    <row r="117" ht="15" customHeight="1" s="12">
      <c r="A117" s="14" t="n">
        <v>116</v>
      </c>
      <c r="B117" s="15" t="inlineStr">
        <is>
          <t>HERO FINCORP LIMITED</t>
        </is>
      </c>
      <c r="C117" s="16" t="n">
        <v>45509</v>
      </c>
      <c r="D117" s="16" t="n">
        <v>45989</v>
      </c>
      <c r="E117" s="15" t="inlineStr">
        <is>
          <t>DRHP</t>
        </is>
      </c>
      <c r="F117" s="15" t="inlineStr">
        <is>
          <t>Regular DRHP</t>
        </is>
      </c>
      <c r="G117" s="16" t="n"/>
      <c r="H117" s="15" t="inlineStr">
        <is>
          <t>DRHP filed — issue dates not announced</t>
        </is>
      </c>
      <c r="I117" s="17" t="n"/>
      <c r="J117" s="17" t="n"/>
      <c r="K117" s="17" t="n"/>
      <c r="L117" s="14" t="n"/>
      <c r="M117" s="14" t="n"/>
      <c r="N117" s="14" t="n"/>
      <c r="O117" s="15" t="inlineStr">
        <is>
          <t>Not read — see DRHP PDF</t>
        </is>
      </c>
      <c r="P117" s="15" t="inlineStr">
        <is>
          <t>Offer terms not extracted — open the DRHP PDF</t>
        </is>
      </c>
      <c r="Q117" s="18" t="inlineStr">
        <is>
          <t>https://www.sebi.gov.in/sebi_data/attachdocs/nov-2025/1764331093856.pdf</t>
        </is>
      </c>
      <c r="R117" s="18" t="inlineStr">
        <is>
          <t>https://www.sebi.gov.in/filings/public-issues/nov-2025/hero-fincorp-limited-drhp_98032.html</t>
        </is>
      </c>
      <c r="S117" s="15" t="n"/>
      <c r="T117" s="14" t="n">
        <v>0</v>
      </c>
      <c r="U117" s="16" t="n"/>
      <c r="V117" s="16" t="n"/>
      <c r="W117" s="16" t="n"/>
      <c r="X117" s="15" t="inlineStr">
        <is>
          <t>SEBI approval lapsed — no IPO</t>
        </is>
      </c>
      <c r="Y117" s="15" t="inlineStr">
        <is>
          <t>SEBI nod 22-May-2025; approval expired without IPO</t>
        </is>
      </c>
      <c r="Z117" s="18" t="inlineStr">
        <is>
          <t>https://www.chittorgarh.com/ipo/hero-fincorp-ipo/2250/</t>
        </is>
      </c>
    </row>
    <row r="118" ht="15" customHeight="1" s="12">
      <c r="A118" s="14" t="n">
        <v>117</v>
      </c>
      <c r="B118" s="15" t="inlineStr">
        <is>
          <t>Milestone Gears Limited</t>
        </is>
      </c>
      <c r="C118" s="16" t="n">
        <v>45988</v>
      </c>
      <c r="D118" s="16" t="n">
        <v>45988</v>
      </c>
      <c r="E118" s="15" t="inlineStr">
        <is>
          <t>DRHP</t>
        </is>
      </c>
      <c r="F118" s="15" t="inlineStr">
        <is>
          <t>Regular DRHP</t>
        </is>
      </c>
      <c r="G118" s="16" t="n"/>
      <c r="H118" s="15" t="inlineStr">
        <is>
          <t>DRHP filed — issue dates not announced</t>
        </is>
      </c>
      <c r="I118" s="17" t="n">
        <v>1100</v>
      </c>
      <c r="J118" s="17" t="n">
        <v>800</v>
      </c>
      <c r="K118" s="17" t="n">
        <v>300</v>
      </c>
      <c r="L118" s="14" t="n"/>
      <c r="M118" s="14" t="n"/>
      <c r="N118" s="14" t="n"/>
      <c r="O118" s="15" t="inlineStr">
        <is>
          <t>Fresh issue up to ₹800.00 Cr + OFS up to ₹300.00 Cr</t>
        </is>
      </c>
      <c r="P118" s="15" t="inlineStr">
        <is>
          <t>₹ amount stated in DRHP cover</t>
        </is>
      </c>
      <c r="Q118" s="18" t="inlineStr">
        <is>
          <t>https://www.sebi.gov.in/sebi_data/attachdocs/nov-2025/1764232197013.pdf</t>
        </is>
      </c>
      <c r="R118" s="18" t="inlineStr">
        <is>
          <t>https://www.sebi.gov.in/filings/public-issues/nov-2025/milestone-gears-limited-drhp_97973.html</t>
        </is>
      </c>
      <c r="S118" s="15" t="n"/>
      <c r="T118" s="14" t="n">
        <v>0</v>
      </c>
      <c r="U118" s="16" t="n"/>
      <c r="V118" s="16" t="n"/>
      <c r="W118" s="16" t="n"/>
      <c r="X118" s="15" t="inlineStr">
        <is>
          <t>Dates not announced</t>
        </is>
      </c>
      <c r="Y118" s="15" t="inlineStr">
        <is>
          <t>SEBI nod 6-Mar-2026; Rs1,100cr; dates not announced</t>
        </is>
      </c>
      <c r="Z118" s="18" t="inlineStr">
        <is>
          <t>https://www.chittorgarh.com/ipo/milestone-gears-ipo/2799/</t>
        </is>
      </c>
    </row>
    <row r="119" ht="15" customHeight="1" s="12">
      <c r="A119" s="14" t="n">
        <v>118</v>
      </c>
      <c r="B119" s="15" t="inlineStr">
        <is>
          <t>SAEL INDUSTRIES LIMITED</t>
        </is>
      </c>
      <c r="C119" s="16" t="n">
        <v>45968</v>
      </c>
      <c r="D119" s="16" t="n">
        <v>45968</v>
      </c>
      <c r="E119" s="15" t="inlineStr">
        <is>
          <t>DRHP</t>
        </is>
      </c>
      <c r="F119" s="15" t="inlineStr">
        <is>
          <t>Regular DRHP</t>
        </is>
      </c>
      <c r="G119" s="16" t="n"/>
      <c r="H119" s="15" t="inlineStr">
        <is>
          <t>DRHP filed — issue dates not announced</t>
        </is>
      </c>
      <c r="I119" s="17" t="n"/>
      <c r="J119" s="17" t="n"/>
      <c r="K119" s="17" t="n"/>
      <c r="L119" s="14" t="n"/>
      <c r="M119" s="14" t="n"/>
      <c r="N119" s="14" t="n"/>
      <c r="O119" s="15" t="inlineStr">
        <is>
          <t>Not read — see DRHP PDF</t>
        </is>
      </c>
      <c r="P119" s="15" t="inlineStr">
        <is>
          <t>Offer terms not extracted — open the DRHP PDF</t>
        </is>
      </c>
      <c r="Q119" s="18" t="inlineStr">
        <is>
          <t>https://www.sebi.gov.in/sebi_data/attachdocs/nov-2025/1762508222639.pdf</t>
        </is>
      </c>
      <c r="R119" s="18" t="inlineStr">
        <is>
          <t>https://www.sebi.gov.in/filings/public-issues/nov-2025/sael-industries-limited_97667.html</t>
        </is>
      </c>
      <c r="S119" s="15" t="n"/>
      <c r="T119" s="14" t="n">
        <v>2</v>
      </c>
      <c r="U119" s="16" t="n"/>
      <c r="V119" s="16" t="n"/>
      <c r="W119" s="16" t="n"/>
      <c r="X119" s="15" t="inlineStr">
        <is>
          <t>Dates not announced</t>
        </is>
      </c>
      <c r="Y119" s="15" t="inlineStr">
        <is>
          <t>SEBI nod 27-Mar-2026; Rs4,575cr; dates not announced</t>
        </is>
      </c>
      <c r="Z119" s="18" t="inlineStr">
        <is>
          <t>https://www.chittorgarh.com/ipo/sael-industries-ipo/2793/</t>
        </is>
      </c>
    </row>
    <row r="120" ht="15" customHeight="1" s="12">
      <c r="A120" s="14" t="n">
        <v>119</v>
      </c>
      <c r="B120" s="15" t="inlineStr">
        <is>
          <t>Imagine Marketing Limited</t>
        </is>
      </c>
      <c r="C120" s="16" t="n">
        <v>44589</v>
      </c>
      <c r="D120" s="16" t="n">
        <v>45959</v>
      </c>
      <c r="E120" s="15" t="inlineStr">
        <is>
          <t>UDRHP-I</t>
        </is>
      </c>
      <c r="F120" s="15" t="inlineStr">
        <is>
          <t>Confidential pre-filing (UDRHP-I published)</t>
        </is>
      </c>
      <c r="G120" s="16" t="n"/>
      <c r="H120" s="15" t="inlineStr">
        <is>
          <t>DRHP filed — issue dates not announced</t>
        </is>
      </c>
      <c r="I120" s="17" t="n"/>
      <c r="J120" s="17" t="n"/>
      <c r="K120" s="17" t="n"/>
      <c r="L120" s="14" t="n"/>
      <c r="M120" s="14" t="n"/>
      <c r="N120" s="14" t="n"/>
      <c r="O120" s="15" t="inlineStr">
        <is>
          <t>Not read — see DRHP PDF</t>
        </is>
      </c>
      <c r="P120" s="15" t="inlineStr">
        <is>
          <t>Offer terms not extracted — open the DRHP PDF</t>
        </is>
      </c>
      <c r="Q120" s="18" t="inlineStr">
        <is>
          <t>https://www.sebi.gov.in/sebi_data/attachdocs/oct-2025/1761711834836.pdf</t>
        </is>
      </c>
      <c r="R120" s="18" t="inlineStr">
        <is>
          <t>https://www.sebi.gov.in/filings/public-issues/oct-2025/imagine-marketing-limited-udrhp_97510.html</t>
        </is>
      </c>
      <c r="S120" s="15" t="n"/>
      <c r="T120" s="14" t="n">
        <v>0</v>
      </c>
      <c r="U120" s="16" t="n"/>
      <c r="V120" s="16" t="n"/>
      <c r="W120" s="16" t="n"/>
      <c r="X120" s="15" t="inlineStr">
        <is>
          <t>Dates not announced</t>
        </is>
      </c>
      <c r="Y120" s="15" t="inlineStr">
        <is>
          <t>boAt; SEBI nod 1-Aug-2025; dates not announced</t>
        </is>
      </c>
      <c r="Z120" s="18" t="inlineStr">
        <is>
          <t>https://www.chittorgarh.com/ipo/boat-ipo/2310/</t>
        </is>
      </c>
    </row>
    <row r="121" ht="15" customHeight="1" s="12">
      <c r="A121" s="14" t="n">
        <v>120</v>
      </c>
      <c r="B121" s="15" t="inlineStr">
        <is>
          <t>Integris Medtech Limited</t>
        </is>
      </c>
      <c r="C121" s="16" t="n">
        <v>45945</v>
      </c>
      <c r="D121" s="16" t="n">
        <v>45953</v>
      </c>
      <c r="E121" s="15" t="inlineStr">
        <is>
          <t>DRHP</t>
        </is>
      </c>
      <c r="F121" s="15" t="inlineStr">
        <is>
          <t>Regular DRHP</t>
        </is>
      </c>
      <c r="G121" s="16" t="n"/>
      <c r="H121" s="15" t="inlineStr">
        <is>
          <t>DRHP filed — issue dates not announced</t>
        </is>
      </c>
      <c r="I121" s="17" t="n"/>
      <c r="J121" s="17" t="n"/>
      <c r="K121" s="17" t="n"/>
      <c r="L121" s="14" t="n"/>
      <c r="M121" s="14" t="n"/>
      <c r="N121" s="14" t="n"/>
      <c r="O121" s="15" t="inlineStr">
        <is>
          <t>Not read — see DRHP PDF</t>
        </is>
      </c>
      <c r="P121" s="15" t="inlineStr">
        <is>
          <t>Offer terms not extracted — open the DRHP PDF</t>
        </is>
      </c>
      <c r="Q121" s="18" t="inlineStr">
        <is>
          <t>https://www.sebi.gov.in/sebi_data/attachdocs/oct-2025/1761204614130_1020.pdf</t>
        </is>
      </c>
      <c r="R121" s="18" t="inlineStr">
        <is>
          <t>https://www.sebi.gov.in/filings/public-issues/oct-2025/integris-medtech-limited_97425.html</t>
        </is>
      </c>
      <c r="S121" s="15" t="n"/>
      <c r="T121" s="14" t="n">
        <v>0</v>
      </c>
      <c r="U121" s="16" t="n"/>
      <c r="V121" s="16" t="n"/>
      <c r="W121" s="16" t="n"/>
      <c r="X121" s="15" t="inlineStr">
        <is>
          <t>Dates not announced</t>
        </is>
      </c>
      <c r="Y121" s="15" t="inlineStr">
        <is>
          <t>SEBI nod 13-Feb-2026; dates not announced</t>
        </is>
      </c>
      <c r="Z121" s="18" t="inlineStr">
        <is>
          <t>https://www.chittorgarh.com/ipo/integris-medtech-ipo/2774/</t>
        </is>
      </c>
    </row>
    <row r="122" ht="15" customHeight="1" s="12">
      <c r="A122" s="14" t="n">
        <v>121</v>
      </c>
      <c r="B122" s="15" t="inlineStr">
        <is>
          <t>Duroflex Limited</t>
        </is>
      </c>
      <c r="C122" s="16" t="n">
        <v>45953</v>
      </c>
      <c r="D122" s="16" t="n">
        <v>45953</v>
      </c>
      <c r="E122" s="15" t="inlineStr">
        <is>
          <t>DRHP</t>
        </is>
      </c>
      <c r="F122" s="15" t="inlineStr">
        <is>
          <t>Regular DRHP</t>
        </is>
      </c>
      <c r="G122" s="16" t="n"/>
      <c r="H122" s="15" t="inlineStr">
        <is>
          <t>DRHP filed — issue dates not announced</t>
        </is>
      </c>
      <c r="I122" s="17" t="n"/>
      <c r="J122" s="17" t="n"/>
      <c r="K122" s="17" t="n"/>
      <c r="L122" s="14" t="n"/>
      <c r="M122" s="14" t="n"/>
      <c r="N122" s="14" t="n"/>
      <c r="O122" s="15" t="inlineStr">
        <is>
          <t>Not read — see DRHP PDF</t>
        </is>
      </c>
      <c r="P122" s="15" t="inlineStr">
        <is>
          <t>Offer terms not extracted — open the DRHP PDF</t>
        </is>
      </c>
      <c r="Q122" s="18" t="inlineStr">
        <is>
          <t>https://www.sebi.gov.in/sebi_data/attachdocs/oct-2025/1761219007321_1021.pdf</t>
        </is>
      </c>
      <c r="R122" s="18" t="inlineStr">
        <is>
          <t>https://www.sebi.gov.in/filings/public-issues/oct-2025/duroflex-limited_97438.html</t>
        </is>
      </c>
      <c r="S122" s="15" t="n"/>
      <c r="T122" s="14" t="n">
        <v>0</v>
      </c>
      <c r="U122" s="16" t="n"/>
      <c r="V122" s="16" t="n"/>
      <c r="W122" s="16" t="n"/>
      <c r="X122" s="15" t="inlineStr">
        <is>
          <t>Dates not announced</t>
        </is>
      </c>
      <c r="Y122" s="15" t="inlineStr">
        <is>
          <t>SEBI nod 12-Feb-2026; dates not yet announced</t>
        </is>
      </c>
      <c r="Z122" s="18" t="inlineStr">
        <is>
          <t>https://www.chittorgarh.com/ipo/duroflex-ipo/2777/</t>
        </is>
      </c>
    </row>
    <row r="123" ht="15" customHeight="1" s="12">
      <c r="A123" s="14" t="n">
        <v>122</v>
      </c>
      <c r="B123" s="15" t="inlineStr">
        <is>
          <t>Sify Infinit Spaces Limited</t>
        </is>
      </c>
      <c r="C123" s="16" t="n">
        <v>45947</v>
      </c>
      <c r="D123" s="16" t="n">
        <v>45947</v>
      </c>
      <c r="E123" s="15" t="inlineStr">
        <is>
          <t>DRHP</t>
        </is>
      </c>
      <c r="F123" s="15" t="inlineStr">
        <is>
          <t>Regular DRHP</t>
        </is>
      </c>
      <c r="G123" s="16" t="n"/>
      <c r="H123" s="15" t="inlineStr">
        <is>
          <t>DRHP filed — issue dates not announced</t>
        </is>
      </c>
      <c r="I123" s="17" t="n"/>
      <c r="J123" s="17" t="n"/>
      <c r="K123" s="17" t="n"/>
      <c r="L123" s="14" t="n"/>
      <c r="M123" s="14" t="n"/>
      <c r="N123" s="14" t="n"/>
      <c r="O123" s="15" t="inlineStr">
        <is>
          <t>Not read — see DRHP PDF</t>
        </is>
      </c>
      <c r="P123" s="15" t="inlineStr">
        <is>
          <t>Offer terms not extracted — open the DRHP PDF</t>
        </is>
      </c>
      <c r="Q123" s="18" t="inlineStr">
        <is>
          <t>https://www.sebi.gov.in/sebi_data/attachdocs/oct-2025/1761628612556.pdf</t>
        </is>
      </c>
      <c r="R123" s="18" t="inlineStr">
        <is>
          <t>https://www.sebi.gov.in/filings/public-issues/oct-2025/sify-infinit-spaces-limited-drhp_97481.html</t>
        </is>
      </c>
      <c r="S123" s="15" t="n"/>
      <c r="T123" s="14" t="n">
        <v>0</v>
      </c>
      <c r="U123" s="16" t="n"/>
      <c r="V123" s="16" t="n"/>
      <c r="W123" s="16" t="n"/>
      <c r="X123" s="15" t="inlineStr">
        <is>
          <t>Dates not announced</t>
        </is>
      </c>
      <c r="Y123" s="15" t="inlineStr">
        <is>
          <t>SEBI nod 23-Jan-2026; Rs3,700cr issue; dates not announced</t>
        </is>
      </c>
      <c r="Z123" s="18" t="inlineStr">
        <is>
          <t>https://www.chittorgarh.com/ipo/sify-infinit-spaces-ipo/2781/</t>
        </is>
      </c>
    </row>
    <row r="124" ht="15" customHeight="1" s="12">
      <c r="A124" s="14" t="n">
        <v>123</v>
      </c>
      <c r="B124" s="15" t="inlineStr">
        <is>
          <t>Rays Power Infra Limited</t>
        </is>
      </c>
      <c r="C124" s="16" t="n">
        <v>45293</v>
      </c>
      <c r="D124" s="16" t="n">
        <v>45946</v>
      </c>
      <c r="E124" s="15" t="inlineStr">
        <is>
          <t>DRHP</t>
        </is>
      </c>
      <c r="F124" s="15" t="inlineStr">
        <is>
          <t>Regular DRHP</t>
        </is>
      </c>
      <c r="G124" s="16" t="n"/>
      <c r="H124" s="15" t="inlineStr">
        <is>
          <t>DRHP filed — issue dates not announced</t>
        </is>
      </c>
      <c r="I124" s="17" t="n"/>
      <c r="J124" s="17" t="n"/>
      <c r="K124" s="17" t="n"/>
      <c r="L124" s="14" t="n"/>
      <c r="M124" s="14" t="n"/>
      <c r="N124" s="14" t="n"/>
      <c r="O124" s="15" t="inlineStr">
        <is>
          <t>Not read — see DRHP PDF</t>
        </is>
      </c>
      <c r="P124" s="15" t="inlineStr">
        <is>
          <t>Offer terms not extracted — open the DRHP PDF</t>
        </is>
      </c>
      <c r="Q124" s="18" t="inlineStr">
        <is>
          <t>https://www.sebi.gov.in/sebi_data/attachdocs/oct-2025/1760605051795.pdf</t>
        </is>
      </c>
      <c r="R124" s="18" t="inlineStr">
        <is>
          <t>https://www.sebi.gov.in/filings/public-issues/oct-2025/rays-power-infra-limited-drhp_97355.html</t>
        </is>
      </c>
      <c r="S124" s="15" t="n"/>
      <c r="T124" s="14" t="n">
        <v>0</v>
      </c>
      <c r="U124" s="16" t="n"/>
      <c r="V124" s="16" t="n"/>
      <c r="W124" s="16" t="n"/>
      <c r="X124" s="15" t="inlineStr">
        <is>
          <t>DRHP withdrawn</t>
        </is>
      </c>
      <c r="Y124" s="15" t="inlineStr">
        <is>
          <t>DRHP withdrawn from SEBI on 13-Mar-2026</t>
        </is>
      </c>
      <c r="Z124" s="18" t="inlineStr">
        <is>
          <t>https://www.chittorgarh.com/ipo/rays-power-infra-ipo/2692/</t>
        </is>
      </c>
    </row>
    <row r="125" ht="15" customHeight="1" s="12">
      <c r="A125" s="14" t="n">
        <v>124</v>
      </c>
      <c r="B125" s="15" t="inlineStr">
        <is>
          <t>Hotel Polo Towers Limited</t>
        </is>
      </c>
      <c r="C125" s="16" t="n">
        <v>45940</v>
      </c>
      <c r="D125" s="16" t="n">
        <v>45940</v>
      </c>
      <c r="E125" s="15" t="inlineStr">
        <is>
          <t>DRHP</t>
        </is>
      </c>
      <c r="F125" s="15" t="inlineStr">
        <is>
          <t>Regular DRHP</t>
        </is>
      </c>
      <c r="G125" s="16" t="n"/>
      <c r="H125" s="15" t="inlineStr">
        <is>
          <t>DRHP filed — issue dates not announced</t>
        </is>
      </c>
      <c r="I125" s="17" t="n"/>
      <c r="J125" s="17" t="n"/>
      <c r="K125" s="17" t="n"/>
      <c r="L125" s="14" t="n"/>
      <c r="M125" s="14" t="n"/>
      <c r="N125" s="14" t="n"/>
      <c r="O125" s="15" t="inlineStr">
        <is>
          <t>Not read — see DRHP PDF</t>
        </is>
      </c>
      <c r="P125" s="15" t="inlineStr">
        <is>
          <t>Offer terms not extracted — open the DRHP PDF</t>
        </is>
      </c>
      <c r="Q125" s="18" t="inlineStr">
        <is>
          <t>https://www.sebi.gov.in/sebi_data/attachdocs/oct-2025/1760076891744.pdf</t>
        </is>
      </c>
      <c r="R125" s="18" t="inlineStr">
        <is>
          <t>https://www.sebi.gov.in/filings/public-issues/oct-2025/hotel-polo-towers-limited-drhp_97223.html</t>
        </is>
      </c>
      <c r="S125" s="15" t="n"/>
      <c r="T125" s="14" t="n">
        <v>0</v>
      </c>
      <c r="U125" s="16" t="n"/>
      <c r="V125" s="16" t="n"/>
      <c r="W125" s="16" t="n"/>
      <c r="X125" s="15" t="inlineStr">
        <is>
          <t>Dates not announced</t>
        </is>
      </c>
      <c r="Y125" s="15" t="inlineStr">
        <is>
          <t>SEBI nod May-2026; dates not yet announced</t>
        </is>
      </c>
      <c r="Z125" s="18" t="inlineStr">
        <is>
          <t>https://www.chittorgarh.com/ipo/hotel-polo-towers-ipo/2649/</t>
        </is>
      </c>
    </row>
    <row r="126" ht="15" customHeight="1" s="12">
      <c r="A126" s="14" t="n">
        <v>125</v>
      </c>
      <c r="B126" s="15" t="inlineStr">
        <is>
          <t>BVG India Limited</t>
        </is>
      </c>
      <c r="C126" s="16" t="n">
        <v>44470</v>
      </c>
      <c r="D126" s="16" t="n">
        <v>45940</v>
      </c>
      <c r="E126" s="15" t="inlineStr">
        <is>
          <t>DRHP</t>
        </is>
      </c>
      <c r="F126" s="15" t="inlineStr">
        <is>
          <t>Regular DRHP</t>
        </is>
      </c>
      <c r="G126" s="16" t="n"/>
      <c r="H126" s="15" t="inlineStr">
        <is>
          <t>DRHP filed — issue dates not announced</t>
        </is>
      </c>
      <c r="I126" s="17" t="n"/>
      <c r="J126" s="17" t="n"/>
      <c r="K126" s="17" t="n"/>
      <c r="L126" s="14" t="n"/>
      <c r="M126" s="14" t="n"/>
      <c r="N126" s="14" t="n"/>
      <c r="O126" s="15" t="inlineStr">
        <is>
          <t>Not read — see DRHP PDF</t>
        </is>
      </c>
      <c r="P126" s="15" t="inlineStr">
        <is>
          <t>Offer terms not extracted — open the DRHP PDF</t>
        </is>
      </c>
      <c r="Q126" s="18" t="inlineStr">
        <is>
          <t>https://www.sebi.gov.in/sebi_data/attachdocs/oct-2025/1760081406764_1011.pdf</t>
        </is>
      </c>
      <c r="R126" s="18" t="inlineStr">
        <is>
          <t>https://www.sebi.gov.in/filings/public-issues/oct-2025/bvg-india-limited_97227.html</t>
        </is>
      </c>
      <c r="S126" s="15" t="n"/>
      <c r="T126" s="14" t="n">
        <v>0</v>
      </c>
      <c r="U126" s="16" t="n"/>
      <c r="V126" s="16" t="n"/>
      <c r="W126" s="16" t="n"/>
      <c r="X126" s="15" t="inlineStr">
        <is>
          <t>Dates not announced</t>
        </is>
      </c>
      <c r="Y126" s="15" t="inlineStr">
        <is>
          <t>SEBI nod 23-Jan-2026; dates not yet announced</t>
        </is>
      </c>
      <c r="Z126" s="18" t="inlineStr">
        <is>
          <t>https://www.chittorgarh.com/ipo/bvg-india-ipo/2684/</t>
        </is>
      </c>
    </row>
    <row r="127" ht="15" customHeight="1" s="12">
      <c r="A127" s="14" t="n">
        <v>126</v>
      </c>
      <c r="B127" s="15" t="inlineStr">
        <is>
          <t>Vishvaraj Environment Limited</t>
        </is>
      </c>
      <c r="C127" s="16" t="n">
        <v>45939</v>
      </c>
      <c r="D127" s="16" t="n">
        <v>45939</v>
      </c>
      <c r="E127" s="15" t="inlineStr">
        <is>
          <t>DRHP</t>
        </is>
      </c>
      <c r="F127" s="15" t="inlineStr">
        <is>
          <t>Regular DRHP</t>
        </is>
      </c>
      <c r="G127" s="16" t="n"/>
      <c r="H127" s="15" t="inlineStr">
        <is>
          <t>DRHP filed — issue dates not announced</t>
        </is>
      </c>
      <c r="I127" s="17" t="n"/>
      <c r="J127" s="17" t="n"/>
      <c r="K127" s="17" t="n"/>
      <c r="L127" s="14" t="n"/>
      <c r="M127" s="14" t="n"/>
      <c r="N127" s="14" t="n"/>
      <c r="O127" s="15" t="inlineStr">
        <is>
          <t>Not read — see DRHP PDF</t>
        </is>
      </c>
      <c r="P127" s="15" t="inlineStr">
        <is>
          <t>Offer terms not extracted — open the DRHP PDF</t>
        </is>
      </c>
      <c r="Q127" s="18" t="inlineStr">
        <is>
          <t>https://www.sebi.gov.in/sebi_data/attachdocs/oct-2025/1760002256727.pdf</t>
        </is>
      </c>
      <c r="R127" s="18" t="inlineStr">
        <is>
          <t>https://www.sebi.gov.in/filings/public-issues/oct-2025/vishvaraj-environment-limited-drhp_97182.html</t>
        </is>
      </c>
      <c r="S127" s="15" t="n"/>
      <c r="T127" s="14" t="n">
        <v>0</v>
      </c>
      <c r="U127" s="16" t="n"/>
      <c r="V127" s="16" t="n"/>
      <c r="W127" s="16" t="n"/>
      <c r="X127" s="15" t="inlineStr">
        <is>
          <t>Dates not announced</t>
        </is>
      </c>
      <c r="Y127" s="15" t="inlineStr">
        <is>
          <t>SEBI nod 27-Mar-2026; dates not yet announced</t>
        </is>
      </c>
      <c r="Z127" s="18" t="inlineStr">
        <is>
          <t>https://www.chittorgarh.com/ipo/vishvaraj-environment-ipo/2672/</t>
        </is>
      </c>
    </row>
    <row r="128" ht="15" customHeight="1" s="12">
      <c r="A128" s="14" t="n">
        <v>127</v>
      </c>
      <c r="B128" s="15" t="inlineStr">
        <is>
          <t>Sterlite Electric Limited</t>
        </is>
      </c>
      <c r="C128" s="16" t="n">
        <v>45939</v>
      </c>
      <c r="D128" s="16" t="n">
        <v>45939</v>
      </c>
      <c r="E128" s="15" t="inlineStr">
        <is>
          <t>DRHP</t>
        </is>
      </c>
      <c r="F128" s="15" t="inlineStr">
        <is>
          <t>Regular DRHP</t>
        </is>
      </c>
      <c r="G128" s="16" t="n"/>
      <c r="H128" s="15" t="inlineStr">
        <is>
          <t>DRHP filed — issue dates not announced</t>
        </is>
      </c>
      <c r="I128" s="17" t="n"/>
      <c r="J128" s="17" t="n"/>
      <c r="K128" s="17" t="n"/>
      <c r="L128" s="14" t="n"/>
      <c r="M128" s="14" t="n"/>
      <c r="N128" s="14" t="n"/>
      <c r="O128" s="15" t="inlineStr">
        <is>
          <t>Not read — see DRHP PDF</t>
        </is>
      </c>
      <c r="P128" s="15" t="inlineStr">
        <is>
          <t>Offer terms not extracted — open the DRHP PDF</t>
        </is>
      </c>
      <c r="Q128" s="18" t="inlineStr">
        <is>
          <t>https://www.sebi.gov.in/sebi_data/attachdocs/oct-2025/1760000743042.pdf</t>
        </is>
      </c>
      <c r="R128" s="18" t="inlineStr">
        <is>
          <t>https://www.sebi.gov.in/filings/public-issues/oct-2025/sterlite-electric-limited-drhp_97181.html</t>
        </is>
      </c>
      <c r="S128" s="15" t="n"/>
      <c r="T128" s="14" t="n">
        <v>2</v>
      </c>
      <c r="U128" s="16" t="n"/>
      <c r="V128" s="16" t="n"/>
      <c r="W128" s="16" t="n"/>
      <c r="X128" s="15" t="inlineStr">
        <is>
          <t>Dates not announced</t>
        </is>
      </c>
      <c r="Y128" s="15" t="inlineStr">
        <is>
          <t>DRHP filed; dates, price band not yet announced</t>
        </is>
      </c>
      <c r="Z128" s="18" t="inlineStr">
        <is>
          <t>https://www.chittorgarh.com/ipo/sterlite-electric-ipo/2679/</t>
        </is>
      </c>
    </row>
    <row r="129" ht="15" customHeight="1" s="12">
      <c r="A129" s="14" t="n">
        <v>128</v>
      </c>
      <c r="B129" s="15" t="inlineStr">
        <is>
          <t>Runwal Developers Limited</t>
        </is>
      </c>
      <c r="C129" s="16" t="n">
        <v>45939</v>
      </c>
      <c r="D129" s="16" t="n">
        <v>45939</v>
      </c>
      <c r="E129" s="15" t="inlineStr">
        <is>
          <t>DRHP</t>
        </is>
      </c>
      <c r="F129" s="15" t="inlineStr">
        <is>
          <t>Regular DRHP</t>
        </is>
      </c>
      <c r="G129" s="16" t="n"/>
      <c r="H129" s="15" t="inlineStr">
        <is>
          <t>DRHP filed — issue dates not announced</t>
        </is>
      </c>
      <c r="I129" s="17" t="n"/>
      <c r="J129" s="17" t="n"/>
      <c r="K129" s="17" t="n"/>
      <c r="L129" s="14" t="n"/>
      <c r="M129" s="14" t="n"/>
      <c r="N129" s="14" t="n"/>
      <c r="O129" s="15" t="inlineStr">
        <is>
          <t>Not read — see DRHP PDF</t>
        </is>
      </c>
      <c r="P129" s="15" t="inlineStr">
        <is>
          <t>Offer terms not extracted — open the DRHP PDF</t>
        </is>
      </c>
      <c r="Q129" s="18" t="inlineStr">
        <is>
          <t>https://www.sebi.gov.in/sebi_data/attachdocs/oct-2025/1759988098283.pdf</t>
        </is>
      </c>
      <c r="R129" s="18" t="inlineStr">
        <is>
          <t>https://www.sebi.gov.in/filings/public-issues/oct-2025/runwal-developers-limited-drhp_97161.html</t>
        </is>
      </c>
      <c r="S129" s="15" t="n"/>
      <c r="T129" s="14" t="n">
        <v>0</v>
      </c>
      <c r="U129" s="16" t="n"/>
      <c r="V129" s="16" t="n"/>
      <c r="W129" s="16" t="n"/>
      <c r="X129" s="15" t="inlineStr">
        <is>
          <t>Dates not announced</t>
        </is>
      </c>
      <c r="Y129" s="15" t="inlineStr">
        <is>
          <t>SEBI nod 13-Jan-2026; Runwal Enterprises Sep-2026 IPO is a different entity</t>
        </is>
      </c>
      <c r="Z129" s="18" t="inlineStr">
        <is>
          <t>https://www.chittorgarh.com/ipo/runwal-developers-ipo/2690/</t>
        </is>
      </c>
    </row>
    <row r="130" ht="15" customHeight="1" s="12">
      <c r="A130" s="14" t="n">
        <v>129</v>
      </c>
      <c r="B130" s="15" t="inlineStr">
        <is>
          <t>R.K. STEEL MANUFACTURING COMPANY LIMITED</t>
        </is>
      </c>
      <c r="C130" s="16" t="n">
        <v>45939</v>
      </c>
      <c r="D130" s="16" t="n">
        <v>45939</v>
      </c>
      <c r="E130" s="15" t="inlineStr">
        <is>
          <t>DRHP</t>
        </is>
      </c>
      <c r="F130" s="15" t="inlineStr">
        <is>
          <t>Regular DRHP</t>
        </is>
      </c>
      <c r="G130" s="16" t="n"/>
      <c r="H130" s="15" t="inlineStr">
        <is>
          <t>DRHP filed — issue dates not announced</t>
        </is>
      </c>
      <c r="I130" s="17" t="n"/>
      <c r="J130" s="17" t="n"/>
      <c r="K130" s="17" t="n"/>
      <c r="L130" s="14" t="n"/>
      <c r="M130" s="14" t="n"/>
      <c r="N130" s="14" t="n"/>
      <c r="O130" s="15" t="inlineStr">
        <is>
          <t>Not read — see DRHP PDF</t>
        </is>
      </c>
      <c r="P130" s="15" t="inlineStr">
        <is>
          <t>Offer terms not extracted — open the DRHP PDF</t>
        </is>
      </c>
      <c r="Q130" s="18" t="inlineStr">
        <is>
          <t>https://www.sebi.gov.in/sebi_data/attachdocs/oct-2025/1760009417606_1002.pdf</t>
        </is>
      </c>
      <c r="R130" s="18" t="inlineStr">
        <is>
          <t>https://www.sebi.gov.in/filings/public-issues/oct-2025/r-k-steel-manufacturing-company-limited_97187.html</t>
        </is>
      </c>
      <c r="S130" s="15" t="n"/>
      <c r="T130" s="14" t="n">
        <v>1</v>
      </c>
      <c r="U130" s="16" t="n"/>
      <c r="V130" s="16" t="n"/>
      <c r="W130" s="16" t="n"/>
      <c r="X130" s="15" t="inlineStr">
        <is>
          <t>Dates not announced</t>
        </is>
      </c>
      <c r="Y130" s="15" t="inlineStr">
        <is>
          <t>Fresh issue Rs2,000cr; dates not yet announced</t>
        </is>
      </c>
      <c r="Z130" s="18" t="inlineStr">
        <is>
          <t>https://www.chittorgarh.com/ipo/rk-steel-manufacturing-ipo/2687/</t>
        </is>
      </c>
    </row>
    <row r="131" ht="15" customHeight="1" s="12">
      <c r="A131" s="14" t="n">
        <v>130</v>
      </c>
      <c r="B131" s="15" t="inlineStr">
        <is>
          <t>PRIDE HOTELS LIMITED</t>
        </is>
      </c>
      <c r="C131" s="16" t="n">
        <v>40455</v>
      </c>
      <c r="D131" s="16" t="n">
        <v>45939</v>
      </c>
      <c r="E131" s="15" t="inlineStr">
        <is>
          <t>DRHP</t>
        </is>
      </c>
      <c r="F131" s="15" t="inlineStr">
        <is>
          <t>Regular DRHP</t>
        </is>
      </c>
      <c r="G131" s="16" t="n"/>
      <c r="H131" s="15" t="inlineStr">
        <is>
          <t>DRHP filed — issue dates not announced</t>
        </is>
      </c>
      <c r="I131" s="17" t="n"/>
      <c r="J131" s="17" t="n"/>
      <c r="K131" s="17" t="n"/>
      <c r="L131" s="14" t="n"/>
      <c r="M131" s="14" t="n"/>
      <c r="N131" s="14" t="n"/>
      <c r="O131" s="15" t="inlineStr">
        <is>
          <t>Not read — see DRHP PDF</t>
        </is>
      </c>
      <c r="P131" s="15" t="inlineStr">
        <is>
          <t>Offer terms not extracted — open the DRHP PDF</t>
        </is>
      </c>
      <c r="Q131" s="18" t="inlineStr">
        <is>
          <t>https://www.sebi.gov.in/sebi_data/attachdocs/oct-2025/1759995019453_998.pdf</t>
        </is>
      </c>
      <c r="R131" s="18" t="inlineStr">
        <is>
          <t>https://www.sebi.gov.in/filings/public-issues/oct-2025/pride-hotels-limited_97173.html</t>
        </is>
      </c>
      <c r="S131" s="15" t="n"/>
      <c r="T131" s="14" t="n">
        <v>0</v>
      </c>
      <c r="U131" s="16" t="n"/>
      <c r="V131" s="16" t="n"/>
      <c r="W131" s="16" t="n"/>
      <c r="X131" s="15" t="inlineStr">
        <is>
          <t>Dates not announced</t>
        </is>
      </c>
      <c r="Y131" s="15" t="inlineStr">
        <is>
          <t>SEBI nod Jan-2026; company targets launch by Dec-2026; no dates</t>
        </is>
      </c>
      <c r="Z131" s="18" t="inlineStr">
        <is>
          <t>https://www.chittorgarh.com/ipo/pride-hotels-ipo/2683/</t>
        </is>
      </c>
    </row>
    <row r="132" ht="15" customHeight="1" s="12">
      <c r="A132" s="14" t="n">
        <v>131</v>
      </c>
      <c r="B132" s="15" t="inlineStr">
        <is>
          <t>Learnfluence Education Limited</t>
        </is>
      </c>
      <c r="C132" s="16" t="n">
        <v>45939</v>
      </c>
      <c r="D132" s="16" t="n">
        <v>45939</v>
      </c>
      <c r="E132" s="15" t="inlineStr">
        <is>
          <t>DRHP</t>
        </is>
      </c>
      <c r="F132" s="15" t="inlineStr">
        <is>
          <t>Regular DRHP</t>
        </is>
      </c>
      <c r="G132" s="16" t="n"/>
      <c r="H132" s="15" t="inlineStr">
        <is>
          <t>DRHP filed — issue dates not announced</t>
        </is>
      </c>
      <c r="I132" s="17" t="n"/>
      <c r="J132" s="17" t="n"/>
      <c r="K132" s="17" t="n"/>
      <c r="L132" s="14" t="n"/>
      <c r="M132" s="14" t="n"/>
      <c r="N132" s="14" t="n"/>
      <c r="O132" s="15" t="inlineStr">
        <is>
          <t>Not read — see DRHP PDF</t>
        </is>
      </c>
      <c r="P132" s="15" t="inlineStr">
        <is>
          <t>Offer terms not extracted — open the DRHP PDF</t>
        </is>
      </c>
      <c r="Q132" s="18" t="inlineStr">
        <is>
          <t>https://www.sebi.gov.in/sebi_data/attachdocs/oct-2025/1760009417606_1007.pdf</t>
        </is>
      </c>
      <c r="R132" s="18" t="inlineStr">
        <is>
          <t>https://www.sebi.gov.in/filings/public-issues/oct-2025/learnfluence-education-limited_97197.html</t>
        </is>
      </c>
      <c r="S132" s="15" t="n"/>
      <c r="T132" s="14" t="n">
        <v>0</v>
      </c>
      <c r="U132" s="16" t="n"/>
      <c r="V132" s="16" t="n"/>
      <c r="W132" s="16" t="n"/>
      <c r="X132" s="15" t="inlineStr">
        <is>
          <t>Dates not announced</t>
        </is>
      </c>
      <c r="Y132" s="15" t="inlineStr">
        <is>
          <t>SEBI nod 11-Mar-2026; dates not yet announced</t>
        </is>
      </c>
      <c r="Z132" s="18" t="inlineStr">
        <is>
          <t>https://www.chittorgarh.com/ipo/learnfluence-education-ipo/2669/</t>
        </is>
      </c>
    </row>
    <row r="133" ht="15" customHeight="1" s="12">
      <c r="A133" s="14" t="n">
        <v>132</v>
      </c>
      <c r="B133" s="15" t="inlineStr">
        <is>
          <t>Lalbaba Engineering Limited</t>
        </is>
      </c>
      <c r="C133" s="16" t="n">
        <v>45939</v>
      </c>
      <c r="D133" s="16" t="n">
        <v>45939</v>
      </c>
      <c r="E133" s="15" t="inlineStr">
        <is>
          <t>DRHP</t>
        </is>
      </c>
      <c r="F133" s="15" t="inlineStr">
        <is>
          <t>Regular DRHP</t>
        </is>
      </c>
      <c r="G133" s="16" t="n"/>
      <c r="H133" s="15" t="inlineStr">
        <is>
          <t>DRHP filed — issue dates not announced</t>
        </is>
      </c>
      <c r="I133" s="17" t="n">
        <v>1000</v>
      </c>
      <c r="J133" s="17" t="n">
        <v>630</v>
      </c>
      <c r="K133" s="17" t="n">
        <v>370</v>
      </c>
      <c r="L133" s="14" t="n"/>
      <c r="M133" s="14" t="n"/>
      <c r="N133" s="14" t="n"/>
      <c r="O133" s="15" t="inlineStr">
        <is>
          <t>Fresh issue up to ₹630.00 Cr + OFS up to ₹370.00 Cr</t>
        </is>
      </c>
      <c r="P133" s="15" t="inlineStr">
        <is>
          <t>₹ amount stated in DRHP cover</t>
        </is>
      </c>
      <c r="Q133" s="18" t="inlineStr">
        <is>
          <t>https://www.sebi.gov.in/sebi_data/attachdocs/oct-2025/1759985997171.pdf</t>
        </is>
      </c>
      <c r="R133" s="18" t="inlineStr">
        <is>
          <t>https://www.sebi.gov.in/filings/public-issues/oct-2025/lalbaba-engineering-limited-drhp_97160.html</t>
        </is>
      </c>
      <c r="S133" s="15" t="n"/>
      <c r="T133" s="14" t="n">
        <v>0</v>
      </c>
      <c r="U133" s="16" t="n"/>
      <c r="V133" s="16" t="n"/>
      <c r="W133" s="16" t="n"/>
      <c r="X133" s="15" t="inlineStr">
        <is>
          <t>Dates not announced</t>
        </is>
      </c>
      <c r="Y133" s="15" t="inlineStr">
        <is>
          <t>SEBI nod 13-Jan-2026; dates not yet announced</t>
        </is>
      </c>
      <c r="Z133" s="18" t="inlineStr">
        <is>
          <t>https://www.chittorgarh.com/ipo/lalbaba-engineering-ipo/2660/</t>
        </is>
      </c>
    </row>
    <row r="134" ht="15" customHeight="1" s="12">
      <c r="A134" s="14" t="n">
        <v>133</v>
      </c>
      <c r="B134" s="15" t="inlineStr">
        <is>
          <t>Jerai Fitness Limited</t>
        </is>
      </c>
      <c r="C134" s="16" t="n">
        <v>45939</v>
      </c>
      <c r="D134" s="16" t="n">
        <v>45939</v>
      </c>
      <c r="E134" s="15" t="inlineStr">
        <is>
          <t>DRHP</t>
        </is>
      </c>
      <c r="F134" s="15" t="inlineStr">
        <is>
          <t>Regular DRHP</t>
        </is>
      </c>
      <c r="G134" s="16" t="n"/>
      <c r="H134" s="15" t="inlineStr">
        <is>
          <t>DRHP filed — issue dates not announced</t>
        </is>
      </c>
      <c r="I134" s="17" t="n"/>
      <c r="J134" s="17" t="n"/>
      <c r="K134" s="17" t="n"/>
      <c r="L134" s="14" t="n"/>
      <c r="M134" s="14" t="n"/>
      <c r="N134" s="14" t="n"/>
      <c r="O134" s="15" t="inlineStr">
        <is>
          <t>Not read — see DRHP PDF</t>
        </is>
      </c>
      <c r="P134" s="15" t="inlineStr">
        <is>
          <t>Offer terms not extracted — open the DRHP PDF</t>
        </is>
      </c>
      <c r="Q134" s="18" t="inlineStr">
        <is>
          <t>https://www.sebi.gov.in/sebi_data/attachdocs/oct-2025/1760009417606_1008.pdf</t>
        </is>
      </c>
      <c r="R134" s="18" t="inlineStr">
        <is>
          <t>https://www.sebi.gov.in/filings/public-issues/oct-2025/jerai-fitness-limited_97199.html</t>
        </is>
      </c>
      <c r="S134" s="15" t="n"/>
      <c r="T134" s="14" t="n">
        <v>0</v>
      </c>
      <c r="U134" s="16" t="n"/>
      <c r="V134" s="16" t="n"/>
      <c r="W134" s="16" t="n"/>
      <c r="X134" s="15" t="inlineStr">
        <is>
          <t>Dates not announced</t>
        </is>
      </c>
      <c r="Y134" s="15" t="inlineStr">
        <is>
          <t>SEBI nod 31-Dec-2025; pure OFS; dates not announced</t>
        </is>
      </c>
      <c r="Z134" s="18" t="inlineStr">
        <is>
          <t>https://www.chittorgarh.com/ipo/jerai-fintess-ipo/2664/</t>
        </is>
      </c>
    </row>
    <row r="135" ht="15" customHeight="1" s="12">
      <c r="A135" s="14" t="n">
        <v>134</v>
      </c>
      <c r="B135" s="15" t="inlineStr">
        <is>
          <t>CJ Darcl Logistics Limited</t>
        </is>
      </c>
      <c r="C135" s="16" t="n">
        <v>45204</v>
      </c>
      <c r="D135" s="16" t="n">
        <v>45939</v>
      </c>
      <c r="E135" s="15" t="inlineStr">
        <is>
          <t>DRHP</t>
        </is>
      </c>
      <c r="F135" s="15" t="inlineStr">
        <is>
          <t>Regular DRHP</t>
        </is>
      </c>
      <c r="G135" s="16" t="n"/>
      <c r="H135" s="15" t="inlineStr">
        <is>
          <t>DRHP filed — issue dates not announced</t>
        </is>
      </c>
      <c r="I135" s="17" t="n"/>
      <c r="J135" s="17" t="n"/>
      <c r="K135" s="17" t="n"/>
      <c r="L135" s="14" t="n"/>
      <c r="M135" s="14" t="n"/>
      <c r="N135" s="14" t="n"/>
      <c r="O135" s="15" t="inlineStr">
        <is>
          <t>Not read — see DRHP PDF</t>
        </is>
      </c>
      <c r="P135" s="15" t="inlineStr">
        <is>
          <t>Offer terms not extracted — open the DRHP PDF</t>
        </is>
      </c>
      <c r="Q135" s="18" t="inlineStr">
        <is>
          <t>https://www.sebi.gov.in/sebi_data/attachdocs/oct-2025/1759993428893.pdf</t>
        </is>
      </c>
      <c r="R135" s="18" t="inlineStr">
        <is>
          <t>https://www.sebi.gov.in/filings/public-issues/oct-2025/cj-darcl-logistics-limited-drhp_97166.html</t>
        </is>
      </c>
      <c r="S135" s="18" t="inlineStr">
        <is>
          <t>https://www.sebi.gov.in/sebi_data/commondocs/sep-2026/CJ%20Darcl%20-%20Addendum%20to%20DRHP%20-%20Final%20Layout_p.pdf</t>
        </is>
      </c>
      <c r="T135" s="14" t="n">
        <v>0</v>
      </c>
      <c r="U135" s="16" t="n"/>
      <c r="V135" s="16" t="n"/>
      <c r="W135" s="16" t="n"/>
      <c r="X135" s="15" t="inlineStr">
        <is>
          <t>Dates not announced</t>
        </is>
      </c>
      <c r="Y135" s="15" t="inlineStr">
        <is>
          <t>SEBI nod 14-Jan-2026; dates not yet announced</t>
        </is>
      </c>
      <c r="Z135" s="18" t="inlineStr">
        <is>
          <t>https://www.chittorgarh.com/ipo/cj-darcl-logistics-ipo/2680/</t>
        </is>
      </c>
    </row>
    <row r="136" ht="15" customHeight="1" s="12">
      <c r="A136" s="14" t="n">
        <v>135</v>
      </c>
      <c r="B136" s="15" t="inlineStr">
        <is>
          <t>Associated Power Structures Limited</t>
        </is>
      </c>
      <c r="C136" s="16" t="n">
        <v>45939</v>
      </c>
      <c r="D136" s="16" t="n">
        <v>45939</v>
      </c>
      <c r="E136" s="15" t="inlineStr">
        <is>
          <t>DRHP</t>
        </is>
      </c>
      <c r="F136" s="15" t="inlineStr">
        <is>
          <t>Regular DRHP</t>
        </is>
      </c>
      <c r="G136" s="16" t="n"/>
      <c r="H136" s="15" t="inlineStr">
        <is>
          <t>DRHP filed — issue dates not announced</t>
        </is>
      </c>
      <c r="I136" s="17" t="n"/>
      <c r="J136" s="17" t="n">
        <v>400</v>
      </c>
      <c r="K136" s="17" t="n"/>
      <c r="L136" s="14" t="n"/>
      <c r="M136" s="14" t="n"/>
      <c r="N136" s="14" t="n">
        <v>7142860</v>
      </c>
      <c r="O136" s="15" t="inlineStr">
        <is>
          <t>Fresh issue up to ₹400.00 Cr + OFS up to 7,142,860 sh</t>
        </is>
      </c>
      <c r="P136" s="15" t="inlineStr">
        <is>
          <t>Part of offer stated in ₹, rest in shares only (DRHP cover) — total depends on price band</t>
        </is>
      </c>
      <c r="Q136" s="18" t="inlineStr">
        <is>
          <t>https://www.sebi.gov.in/sebi_data/attachdocs/oct-2025/1759995019453_1001.pdf</t>
        </is>
      </c>
      <c r="R136" s="18" t="inlineStr">
        <is>
          <t>https://www.sebi.gov.in/filings/public-issues/oct-2025/associated-power-structures-limited_97179.html</t>
        </is>
      </c>
      <c r="S136" s="15" t="n"/>
      <c r="T136" s="14" t="n">
        <v>0</v>
      </c>
      <c r="U136" s="16" t="n"/>
      <c r="V136" s="16" t="n"/>
      <c r="W136" s="16" t="n"/>
      <c r="X136" s="15" t="inlineStr">
        <is>
          <t>Dates not announced</t>
        </is>
      </c>
      <c r="Y136" s="15" t="inlineStr">
        <is>
          <t>DRHP filed; dates not yet announced</t>
        </is>
      </c>
      <c r="Z136" s="18" t="inlineStr">
        <is>
          <t>https://www.chittorgarh.com/ipo/associated-power-structures-ipo/2650/</t>
        </is>
      </c>
    </row>
    <row r="137" ht="15" customHeight="1" s="12">
      <c r="A137" s="14" t="n">
        <v>136</v>
      </c>
      <c r="B137" s="15" t="inlineStr">
        <is>
          <t>Aarvee Engineering Consultants Limited</t>
        </is>
      </c>
      <c r="C137" s="16" t="n">
        <v>45939</v>
      </c>
      <c r="D137" s="16" t="n">
        <v>45939</v>
      </c>
      <c r="E137" s="15" t="inlineStr">
        <is>
          <t>DRHP</t>
        </is>
      </c>
      <c r="F137" s="15" t="inlineStr">
        <is>
          <t>Regular DRHP</t>
        </is>
      </c>
      <c r="G137" s="16" t="n"/>
      <c r="H137" s="15" t="inlineStr">
        <is>
          <t>DRHP filed — issue dates not announced</t>
        </is>
      </c>
      <c r="I137" s="17" t="n"/>
      <c r="J137" s="17" t="n"/>
      <c r="K137" s="17" t="n"/>
      <c r="L137" s="14" t="n"/>
      <c r="M137" s="14" t="n"/>
      <c r="N137" s="14" t="n"/>
      <c r="O137" s="15" t="inlineStr">
        <is>
          <t>Not read — see DRHP PDF</t>
        </is>
      </c>
      <c r="P137" s="15" t="inlineStr">
        <is>
          <t>Offer terms not extracted — open the DRHP PDF</t>
        </is>
      </c>
      <c r="Q137" s="18" t="inlineStr">
        <is>
          <t>https://www.sebi.gov.in/sebi_data/attachdocs/oct-2025/1759995019453_999.pdf</t>
        </is>
      </c>
      <c r="R137" s="18" t="inlineStr">
        <is>
          <t>https://www.sebi.gov.in/filings/public-issues/oct-2025/aarvee-engineering-consultants-limited_97175.html</t>
        </is>
      </c>
      <c r="S137" s="15" t="n"/>
      <c r="T137" s="14" t="n">
        <v>2</v>
      </c>
      <c r="U137" s="16" t="n"/>
      <c r="V137" s="16" t="n"/>
      <c r="W137" s="16" t="n"/>
      <c r="X137" s="15" t="inlineStr">
        <is>
          <t>Dates not announced</t>
        </is>
      </c>
      <c r="Y137" s="15" t="inlineStr">
        <is>
          <t>SEBI nod 4-Feb-2026; dates not yet announced</t>
        </is>
      </c>
      <c r="Z137" s="18" t="inlineStr">
        <is>
          <t>https://www.chittorgarh.com/ipo/aarvee-engineering-consultants-ipo/2637/</t>
        </is>
      </c>
    </row>
    <row r="138" ht="15" customHeight="1" s="12">
      <c r="A138" s="14" t="n">
        <v>137</v>
      </c>
      <c r="B138" s="15" t="inlineStr">
        <is>
          <t>Virupaksha Organics Limited</t>
        </is>
      </c>
      <c r="C138" s="16" t="n">
        <v>45938</v>
      </c>
      <c r="D138" s="16" t="n">
        <v>45938</v>
      </c>
      <c r="E138" s="15" t="inlineStr">
        <is>
          <t>DRHP</t>
        </is>
      </c>
      <c r="F138" s="15" t="inlineStr">
        <is>
          <t>Regular DRHP</t>
        </is>
      </c>
      <c r="G138" s="16" t="n"/>
      <c r="H138" s="15" t="inlineStr">
        <is>
          <t>DRHP filed — issue dates not announced</t>
        </is>
      </c>
      <c r="I138" s="17" t="n"/>
      <c r="J138" s="17" t="n"/>
      <c r="K138" s="17" t="n"/>
      <c r="L138" s="14" t="n"/>
      <c r="M138" s="14" t="n"/>
      <c r="N138" s="14" t="n"/>
      <c r="O138" s="15" t="inlineStr">
        <is>
          <t>Not read — see DRHP PDF</t>
        </is>
      </c>
      <c r="P138" s="15" t="inlineStr">
        <is>
          <t>Offer terms not extracted — open the DRHP PDF</t>
        </is>
      </c>
      <c r="Q138" s="18" t="inlineStr">
        <is>
          <t>https://www.sebi.gov.in/sebi_data/attachdocs/oct-2025/1759906912149.pdf</t>
        </is>
      </c>
      <c r="R138" s="18" t="inlineStr">
        <is>
          <t>https://www.sebi.gov.in/filings/public-issues/oct-2025/virupaksha-organics-limited-drhp_97120.html</t>
        </is>
      </c>
      <c r="S138" s="15" t="n"/>
      <c r="T138" s="14" t="n">
        <v>0</v>
      </c>
      <c r="U138" s="16" t="n"/>
      <c r="V138" s="16" t="n"/>
      <c r="W138" s="16" t="n"/>
      <c r="X138" s="15" t="inlineStr">
        <is>
          <t>Dates not announced</t>
        </is>
      </c>
      <c r="Y138" s="15" t="inlineStr">
        <is>
          <t>SEBI nod 12-Feb-2026; Rs740cr fresh issue; dates not announced</t>
        </is>
      </c>
      <c r="Z138" s="18" t="inlineStr">
        <is>
          <t>https://www.chittorgarh.com/ipo/virupaksha-organics-ipo/2691/</t>
        </is>
      </c>
    </row>
    <row r="139" ht="15" customHeight="1" s="12">
      <c r="A139" s="14" t="n">
        <v>138</v>
      </c>
      <c r="B139" s="15" t="inlineStr">
        <is>
          <t>SHAH INVESTOR'S HOME LIMITED</t>
        </is>
      </c>
      <c r="C139" s="16" t="n">
        <v>45938</v>
      </c>
      <c r="D139" s="16" t="n">
        <v>45938</v>
      </c>
      <c r="E139" s="15" t="inlineStr">
        <is>
          <t>DRHP</t>
        </is>
      </c>
      <c r="F139" s="15" t="inlineStr">
        <is>
          <t>Regular DRHP</t>
        </is>
      </c>
      <c r="G139" s="16" t="n"/>
      <c r="H139" s="15" t="inlineStr">
        <is>
          <t>DRHP filed — issue dates not announced</t>
        </is>
      </c>
      <c r="I139" s="17" t="n"/>
      <c r="J139" s="17" t="n"/>
      <c r="K139" s="17" t="n"/>
      <c r="L139" s="14" t="n"/>
      <c r="M139" s="14" t="n"/>
      <c r="N139" s="14" t="n"/>
      <c r="O139" s="15" t="inlineStr">
        <is>
          <t>Not read — see DRHP PDF</t>
        </is>
      </c>
      <c r="P139" s="15" t="inlineStr">
        <is>
          <t>Offer terms not extracted — open the DRHP PDF</t>
        </is>
      </c>
      <c r="Q139" s="18" t="inlineStr">
        <is>
          <t>https://www.sebi.gov.in/sebi_data/attachdocs/oct-2025/1759918079758.pdf</t>
        </is>
      </c>
      <c r="R139" s="18" t="inlineStr">
        <is>
          <t>https://www.sebi.gov.in/filings/public-issues/oct-2025/shah-investor-s-home-limited-drhp_97135.html</t>
        </is>
      </c>
      <c r="S139" s="15" t="n"/>
      <c r="T139" s="14" t="n">
        <v>0</v>
      </c>
      <c r="U139" s="19" t="n">
        <v>46293</v>
      </c>
      <c r="V139" s="19" t="n">
        <v>46295</v>
      </c>
      <c r="W139" s="19" t="n">
        <v>46301</v>
      </c>
      <c r="X139" s="20" t="inlineStr">
        <is>
          <t>Issue closed — listing pending</t>
        </is>
      </c>
      <c r="Y139" s="15" t="inlineStr">
        <is>
          <t>Mainboard; price band Rs159-167; listing 6-Oct-2026 tentative</t>
        </is>
      </c>
      <c r="Z139" s="18" t="inlineStr">
        <is>
          <t>https://www.chittorgarh.com/ipo/shah-investors-home-ipo/2657/</t>
        </is>
      </c>
    </row>
    <row r="140" ht="15" customHeight="1" s="12">
      <c r="A140" s="14" t="n">
        <v>139</v>
      </c>
      <c r="B140" s="15" t="inlineStr">
        <is>
          <t>RKCPL Limited</t>
        </is>
      </c>
      <c r="C140" s="16" t="n">
        <v>45938</v>
      </c>
      <c r="D140" s="16" t="n">
        <v>45938</v>
      </c>
      <c r="E140" s="15" t="inlineStr">
        <is>
          <t>DRHP</t>
        </is>
      </c>
      <c r="F140" s="15" t="inlineStr">
        <is>
          <t>Regular DRHP</t>
        </is>
      </c>
      <c r="G140" s="16" t="n"/>
      <c r="H140" s="15" t="inlineStr">
        <is>
          <t>DRHP filed — issue dates not announced</t>
        </is>
      </c>
      <c r="I140" s="17" t="n"/>
      <c r="J140" s="17" t="n"/>
      <c r="K140" s="17" t="n"/>
      <c r="L140" s="14" t="n"/>
      <c r="M140" s="14" t="n"/>
      <c r="N140" s="14" t="n"/>
      <c r="O140" s="15" t="inlineStr">
        <is>
          <t>Not read — see DRHP PDF</t>
        </is>
      </c>
      <c r="P140" s="15" t="inlineStr">
        <is>
          <t>Offer terms not extracted — open the DRHP PDF</t>
        </is>
      </c>
      <c r="Q140" s="18" t="inlineStr">
        <is>
          <t>https://www.sebi.gov.in/sebi_data/attachdocs/oct-2025/1759921908126.pdf</t>
        </is>
      </c>
      <c r="R140" s="18" t="inlineStr">
        <is>
          <t>https://www.sebi.gov.in/filings/public-issues/oct-2025/rkcpl-limited-drhp_97140.html</t>
        </is>
      </c>
      <c r="S140" s="15" t="n"/>
      <c r="T140" s="14" t="n">
        <v>0</v>
      </c>
      <c r="U140" s="16" t="n"/>
      <c r="V140" s="16" t="n"/>
      <c r="W140" s="16" t="n"/>
      <c r="X140" s="15" t="inlineStr">
        <is>
          <t>Dates not announced</t>
        </is>
      </c>
      <c r="Y140" s="15" t="inlineStr">
        <is>
          <t>SEBI nod 31-Dec-2025; Rs1,250cr; dates not yet announced</t>
        </is>
      </c>
      <c r="Z140" s="18" t="inlineStr">
        <is>
          <t>https://www.chittorgarh.com/ipo/rkcpl-ipo/2633/</t>
        </is>
      </c>
    </row>
    <row r="141" ht="15" customHeight="1" s="12">
      <c r="A141" s="14" t="n">
        <v>140</v>
      </c>
      <c r="B141" s="15" t="inlineStr">
        <is>
          <t>HD Fire Protect Limited</t>
        </is>
      </c>
      <c r="C141" s="16" t="n">
        <v>45938</v>
      </c>
      <c r="D141" s="16" t="n">
        <v>45938</v>
      </c>
      <c r="E141" s="15" t="inlineStr">
        <is>
          <t>DRHP</t>
        </is>
      </c>
      <c r="F141" s="15" t="inlineStr">
        <is>
          <t>Regular DRHP</t>
        </is>
      </c>
      <c r="G141" s="16" t="n"/>
      <c r="H141" s="15" t="inlineStr">
        <is>
          <t>DRHP filed — issue dates not announced</t>
        </is>
      </c>
      <c r="I141" s="17" t="n"/>
      <c r="J141" s="17" t="n"/>
      <c r="K141" s="17" t="n"/>
      <c r="L141" s="14" t="n">
        <v>26284500</v>
      </c>
      <c r="M141" s="14" t="n"/>
      <c r="N141" s="14" t="n">
        <v>26284500</v>
      </c>
      <c r="O141" s="15" t="inlineStr">
        <is>
          <t>OFS up to 26,284,500 sh</t>
        </is>
      </c>
      <c r="P141" s="15" t="inlineStr">
        <is>
          <t>DRHP states number of shares only (DRHP cover) — ₹ size depends on price band</t>
        </is>
      </c>
      <c r="Q141" s="18" t="inlineStr">
        <is>
          <t>https://www.sebi.gov.in/sebi_data/attachdocs/oct-2025/1759925748914.pdf</t>
        </is>
      </c>
      <c r="R141" s="18" t="inlineStr">
        <is>
          <t>https://www.sebi.gov.in/filings/public-issues/oct-2025/hd-fire-protect-limited-drhp_97144.html</t>
        </is>
      </c>
      <c r="S141" s="15" t="n"/>
      <c r="T141" s="14" t="n">
        <v>0</v>
      </c>
      <c r="U141" s="16" t="n"/>
      <c r="V141" s="16" t="n"/>
      <c r="W141" s="16" t="n"/>
      <c r="X141" s="15" t="inlineStr">
        <is>
          <t>Dates not announced</t>
        </is>
      </c>
      <c r="Y141" s="15" t="inlineStr">
        <is>
          <t>SEBI nod 29-Jan-2026; reportedly planning Oct-2026 launch; dates not announced</t>
        </is>
      </c>
      <c r="Z141" s="18" t="inlineStr">
        <is>
          <t>https://www.chittorgarh.com/ipo/hd-fire-protect-ipo/2628/</t>
        </is>
      </c>
    </row>
    <row r="142" ht="15" customHeight="1" s="12">
      <c r="A142" s="14" t="n">
        <v>141</v>
      </c>
      <c r="B142" s="15" t="inlineStr">
        <is>
          <t>Grand Housing Limited</t>
        </is>
      </c>
      <c r="C142" s="16" t="n">
        <v>45938</v>
      </c>
      <c r="D142" s="16" t="n">
        <v>45938</v>
      </c>
      <c r="E142" s="15" t="inlineStr">
        <is>
          <t>DRHP</t>
        </is>
      </c>
      <c r="F142" s="15" t="inlineStr">
        <is>
          <t>Regular DRHP</t>
        </is>
      </c>
      <c r="G142" s="16" t="n"/>
      <c r="H142" s="15" t="inlineStr">
        <is>
          <t>DRHP filed — issue dates not announced</t>
        </is>
      </c>
      <c r="I142" s="17" t="n"/>
      <c r="J142" s="17" t="n"/>
      <c r="K142" s="17" t="n"/>
      <c r="L142" s="14" t="n"/>
      <c r="M142" s="14" t="n"/>
      <c r="N142" s="14" t="n"/>
      <c r="O142" s="15" t="inlineStr">
        <is>
          <t>Not read — see DRHP PDF</t>
        </is>
      </c>
      <c r="P142" s="15" t="inlineStr">
        <is>
          <t>Offer terms not extracted — open the DRHP PDF</t>
        </is>
      </c>
      <c r="Q142" s="18" t="inlineStr">
        <is>
          <t>https://www.sebi.gov.in/sebi_data/attachdocs/oct-2025/1759901381010.pdf</t>
        </is>
      </c>
      <c r="R142" s="18" t="inlineStr">
        <is>
          <t>https://www.sebi.gov.in/filings/public-issues/oct-2025/grand-housing-limited-drhp_97117.html</t>
        </is>
      </c>
      <c r="S142" s="15" t="n"/>
      <c r="T142" s="14" t="n">
        <v>0</v>
      </c>
      <c r="U142" s="16" t="n"/>
      <c r="V142" s="16" t="n"/>
      <c r="W142" s="16" t="n"/>
      <c r="X142" s="15" t="inlineStr">
        <is>
          <t>Dates not announced</t>
        </is>
      </c>
      <c r="Y142" s="15" t="inlineStr">
        <is>
          <t>SEBI nod 20-Apr-2026; OFS 3.55 cr shares; dates not yet announced</t>
        </is>
      </c>
      <c r="Z142" s="18" t="inlineStr">
        <is>
          <t>https://www.chittorgarh.com/ipo/grand-housing-ipo/2685/</t>
        </is>
      </c>
    </row>
    <row r="143" ht="15" customHeight="1" s="12">
      <c r="A143" s="14" t="n">
        <v>142</v>
      </c>
      <c r="B143" s="15" t="inlineStr">
        <is>
          <t>Deon Energy Limited</t>
        </is>
      </c>
      <c r="C143" s="16" t="n">
        <v>45938</v>
      </c>
      <c r="D143" s="16" t="n">
        <v>45938</v>
      </c>
      <c r="E143" s="15" t="inlineStr">
        <is>
          <t>DRHP</t>
        </is>
      </c>
      <c r="F143" s="15" t="inlineStr">
        <is>
          <t>Regular DRHP</t>
        </is>
      </c>
      <c r="G143" s="16" t="n"/>
      <c r="H143" s="15" t="inlineStr">
        <is>
          <t>DRHP filed — issue dates not announced</t>
        </is>
      </c>
      <c r="I143" s="17" t="n"/>
      <c r="J143" s="17" t="n"/>
      <c r="K143" s="17" t="n"/>
      <c r="L143" s="14" t="n"/>
      <c r="M143" s="14" t="n"/>
      <c r="N143" s="14" t="n"/>
      <c r="O143" s="15" t="inlineStr">
        <is>
          <t>Not read — see DRHP PDF</t>
        </is>
      </c>
      <c r="P143" s="15" t="inlineStr">
        <is>
          <t>Offer terms not extracted — open the DRHP PDF</t>
        </is>
      </c>
      <c r="Q143" s="18" t="inlineStr">
        <is>
          <t>https://www.sebi.gov.in/sebi_data/attachdocs/oct-2025/1759921018406.pdf</t>
        </is>
      </c>
      <c r="R143" s="18" t="inlineStr">
        <is>
          <t>https://www.sebi.gov.in/filings/public-issues/oct-2025/deon-energy-limited-drhp_97139.html</t>
        </is>
      </c>
      <c r="S143" s="15" t="n"/>
      <c r="T143" s="14" t="n">
        <v>0</v>
      </c>
      <c r="U143" s="16" t="n"/>
      <c r="V143" s="16" t="n"/>
      <c r="W143" s="16" t="n"/>
      <c r="X143" s="15" t="inlineStr">
        <is>
          <t>DRHP withdrawn</t>
        </is>
      </c>
      <c r="Y143" s="15" t="inlineStr">
        <is>
          <t>Offer document withdrawn from SEBI on 8-Jan-2026</t>
        </is>
      </c>
      <c r="Z143" s="18" t="inlineStr">
        <is>
          <t>https://www.chittorgarh.com/ipo/deon-energy-ipo/2642/</t>
        </is>
      </c>
    </row>
    <row r="144" ht="15" customHeight="1" s="12">
      <c r="A144" s="14" t="n">
        <v>143</v>
      </c>
      <c r="B144" s="15" t="inlineStr">
        <is>
          <t>Commtel Networks Limited</t>
        </is>
      </c>
      <c r="C144" s="16" t="n">
        <v>45938</v>
      </c>
      <c r="D144" s="16" t="n">
        <v>45938</v>
      </c>
      <c r="E144" s="15" t="inlineStr">
        <is>
          <t>DRHP</t>
        </is>
      </c>
      <c r="F144" s="15" t="inlineStr">
        <is>
          <t>Regular DRHP</t>
        </is>
      </c>
      <c r="G144" s="16" t="n"/>
      <c r="H144" s="15" t="inlineStr">
        <is>
          <t>DRHP filed — issue dates not announced</t>
        </is>
      </c>
      <c r="I144" s="17" t="n"/>
      <c r="J144" s="17" t="n"/>
      <c r="K144" s="17" t="n"/>
      <c r="L144" s="14" t="n"/>
      <c r="M144" s="14" t="n"/>
      <c r="N144" s="14" t="n"/>
      <c r="O144" s="15" t="inlineStr">
        <is>
          <t>Not read — see DRHP PDF</t>
        </is>
      </c>
      <c r="P144" s="15" t="inlineStr">
        <is>
          <t>Offer terms not extracted — open the DRHP PDF</t>
        </is>
      </c>
      <c r="Q144" s="18" t="inlineStr">
        <is>
          <t>https://www.sebi.gov.in/sebi_data/attachdocs/oct-2025/1759918220979.pdf</t>
        </is>
      </c>
      <c r="R144" s="18" t="inlineStr">
        <is>
          <t>https://www.sebi.gov.in/filings/public-issues/oct-2025/commtel-networks-limited-drhp_97138.html</t>
        </is>
      </c>
      <c r="S144" s="15" t="n"/>
      <c r="T144" s="14" t="n">
        <v>0</v>
      </c>
      <c r="U144" s="16" t="n"/>
      <c r="V144" s="16" t="n"/>
      <c r="W144" s="16" t="n"/>
      <c r="X144" s="15" t="inlineStr">
        <is>
          <t>Dates not announced</t>
        </is>
      </c>
      <c r="Y144" s="15" t="inlineStr">
        <is>
          <t>SEBI nod 22-Jan-2026; dates not yet announced</t>
        </is>
      </c>
      <c r="Z144" s="18" t="inlineStr">
        <is>
          <t>https://www.chittorgarh.com/ipo/commtel-networks-ipo/2656/</t>
        </is>
      </c>
    </row>
    <row r="145" ht="15" customHeight="1" s="12">
      <c r="A145" s="14" t="n">
        <v>144</v>
      </c>
      <c r="B145" s="15" t="inlineStr">
        <is>
          <t>BONBLOC TECHNOLOGIES LIMITED</t>
        </is>
      </c>
      <c r="C145" s="16" t="n">
        <v>45938</v>
      </c>
      <c r="D145" s="16" t="n">
        <v>45938</v>
      </c>
      <c r="E145" s="15" t="inlineStr">
        <is>
          <t>DRHP</t>
        </is>
      </c>
      <c r="F145" s="15" t="inlineStr">
        <is>
          <t>Regular DRHP</t>
        </is>
      </c>
      <c r="G145" s="16" t="n"/>
      <c r="H145" s="15" t="inlineStr">
        <is>
          <t>DRHP filed — issue dates not announced</t>
        </is>
      </c>
      <c r="I145" s="17" t="n"/>
      <c r="J145" s="17" t="n">
        <v>230</v>
      </c>
      <c r="K145" s="17" t="n"/>
      <c r="L145" s="14" t="n"/>
      <c r="M145" s="14" t="n"/>
      <c r="N145" s="14" t="n">
        <v>30000000</v>
      </c>
      <c r="O145" s="15" t="inlineStr">
        <is>
          <t>Fresh issue up to ₹230.00 Cr + OFS up to 30,000,000 sh</t>
        </is>
      </c>
      <c r="P145" s="15" t="inlineStr">
        <is>
          <t>Part of offer stated in ₹, rest in shares only (DRHP cover) — total depends on price band</t>
        </is>
      </c>
      <c r="Q145" s="18" t="inlineStr">
        <is>
          <t>https://www.sebi.gov.in/sebi_data/attachdocs/oct-2025/1759923004723_994.pdf</t>
        </is>
      </c>
      <c r="R145" s="18" t="inlineStr">
        <is>
          <t>https://www.sebi.gov.in/filings/public-issues/oct-2025/bonbloc-technologies-limited_97141.html</t>
        </is>
      </c>
      <c r="S145" s="15" t="n"/>
      <c r="T145" s="14" t="n">
        <v>1</v>
      </c>
      <c r="U145" s="16" t="n"/>
      <c r="V145" s="16" t="n"/>
      <c r="W145" s="16" t="n"/>
      <c r="X145" s="15" t="inlineStr">
        <is>
          <t>Dates not announced</t>
        </is>
      </c>
      <c r="Y145" s="15" t="inlineStr">
        <is>
          <t>SEBI nod 5-Mar-2026; dates not yet announced</t>
        </is>
      </c>
      <c r="Z145" s="18" t="inlineStr">
        <is>
          <t>https://www.chittorgarh.com/ipo/bonbloc-technologies-ipo/2645/</t>
        </is>
      </c>
    </row>
    <row r="146" ht="15" customHeight="1" s="12">
      <c r="A146" s="14" t="n">
        <v>145</v>
      </c>
      <c r="B146" s="15" t="inlineStr">
        <is>
          <t>APPL Containers Limited</t>
        </is>
      </c>
      <c r="C146" s="16" t="n">
        <v>45931</v>
      </c>
      <c r="D146" s="16" t="n">
        <v>45938</v>
      </c>
      <c r="E146" s="15" t="inlineStr">
        <is>
          <t>DRHP</t>
        </is>
      </c>
      <c r="F146" s="15" t="inlineStr">
        <is>
          <t>Regular DRHP</t>
        </is>
      </c>
      <c r="G146" s="16" t="n"/>
      <c r="H146" s="15" t="inlineStr">
        <is>
          <t>DRHP filed — issue dates not announced</t>
        </is>
      </c>
      <c r="I146" s="17" t="n"/>
      <c r="J146" s="17" t="n"/>
      <c r="K146" s="17" t="n"/>
      <c r="L146" s="14" t="n"/>
      <c r="M146" s="14" t="n"/>
      <c r="N146" s="14" t="n"/>
      <c r="O146" s="15" t="inlineStr">
        <is>
          <t>Not read — see DRHP PDF</t>
        </is>
      </c>
      <c r="P146" s="15" t="inlineStr">
        <is>
          <t>Offer terms not extracted — open the DRHP PDF</t>
        </is>
      </c>
      <c r="Q146" s="18" t="inlineStr">
        <is>
          <t>https://www.sebi.gov.in/sebi_data/attachdocs/oct-2025/1759918166128.pdf</t>
        </is>
      </c>
      <c r="R146" s="18" t="inlineStr">
        <is>
          <t>https://www.sebi.gov.in/filings/public-issues/oct-2025/appl-containers-limited-drhp_97137.html</t>
        </is>
      </c>
      <c r="S146" s="15" t="n"/>
      <c r="T146" s="14" t="n">
        <v>1</v>
      </c>
      <c r="U146" s="16" t="n"/>
      <c r="V146" s="16" t="n"/>
      <c r="W146" s="16" t="n"/>
      <c r="X146" s="15" t="inlineStr">
        <is>
          <t>Dates not announced</t>
        </is>
      </c>
      <c r="Y146" s="15" t="inlineStr">
        <is>
          <t>SEBI nod 20-Feb-2026; dates not yet announced</t>
        </is>
      </c>
      <c r="Z146" s="18" t="inlineStr">
        <is>
          <t>https://www.chittorgarh.com/ipo/appl-containers-ipo/2643/</t>
        </is>
      </c>
    </row>
    <row r="147" ht="15" customHeight="1" s="12">
      <c r="A147" s="14" t="n">
        <v>146</v>
      </c>
      <c r="B147" s="15" t="inlineStr">
        <is>
          <t>Dhariwal Buildtech Limited</t>
        </is>
      </c>
      <c r="C147" s="16" t="n">
        <v>45937</v>
      </c>
      <c r="D147" s="16" t="n">
        <v>45937</v>
      </c>
      <c r="E147" s="15" t="inlineStr">
        <is>
          <t>DRHP</t>
        </is>
      </c>
      <c r="F147" s="15" t="inlineStr">
        <is>
          <t>Regular DRHP</t>
        </is>
      </c>
      <c r="G147" s="16" t="n"/>
      <c r="H147" s="15" t="inlineStr">
        <is>
          <t>DRHP filed — issue dates not announced</t>
        </is>
      </c>
      <c r="I147" s="17" t="n"/>
      <c r="J147" s="17" t="n"/>
      <c r="K147" s="17" t="n"/>
      <c r="L147" s="14" t="n"/>
      <c r="M147" s="14" t="n"/>
      <c r="N147" s="14" t="n"/>
      <c r="O147" s="15" t="inlineStr">
        <is>
          <t>Not read — see DRHP PDF</t>
        </is>
      </c>
      <c r="P147" s="15" t="inlineStr">
        <is>
          <t>Offer terms not extracted — open the DRHP PDF</t>
        </is>
      </c>
      <c r="Q147" s="18" t="inlineStr">
        <is>
          <t>https://www.sebi.gov.in/sebi_data/attachdocs/oct-2025/1759820241318.PDF</t>
        </is>
      </c>
      <c r="R147" s="18" t="inlineStr">
        <is>
          <t>https://www.sebi.gov.in/filings/public-issues/oct-2025/dhariwal-buildtech-limited-drhp_97090.html</t>
        </is>
      </c>
      <c r="S147" s="15" t="n"/>
      <c r="T147" s="14" t="n">
        <v>1</v>
      </c>
      <c r="U147" s="16" t="n"/>
      <c r="V147" s="16" t="n"/>
      <c r="W147" s="16" t="n"/>
      <c r="X147" s="15" t="inlineStr">
        <is>
          <t>Dates not announced</t>
        </is>
      </c>
      <c r="Y147" s="15" t="inlineStr">
        <is>
          <t>SEBI nod 15-Dec-2025; Rs950 cr fresh issue; dates not yet announced</t>
        </is>
      </c>
      <c r="Z147" s="18" t="inlineStr">
        <is>
          <t>https://www.chittorgarh.com/ipo/dhariwal-buildtech-ipo/2652/</t>
        </is>
      </c>
    </row>
    <row r="148" ht="15" customHeight="1" s="12">
      <c r="A148" s="14" t="n">
        <v>147</v>
      </c>
      <c r="B148" s="15" t="inlineStr">
        <is>
          <t>ELDECO INFRASTRUCTURE AND PROPERTIES LIMITED</t>
        </is>
      </c>
      <c r="C148" s="16" t="n">
        <v>45936</v>
      </c>
      <c r="D148" s="16" t="n">
        <v>45936</v>
      </c>
      <c r="E148" s="15" t="inlineStr">
        <is>
          <t>DRHP</t>
        </is>
      </c>
      <c r="F148" s="15" t="inlineStr">
        <is>
          <t>Regular DRHP</t>
        </is>
      </c>
      <c r="G148" s="16" t="n"/>
      <c r="H148" s="15" t="inlineStr">
        <is>
          <t>DRHP filed — issue dates not announced</t>
        </is>
      </c>
      <c r="I148" s="17" t="n"/>
      <c r="J148" s="17" t="n"/>
      <c r="K148" s="17" t="n"/>
      <c r="L148" s="14" t="n"/>
      <c r="M148" s="14" t="n"/>
      <c r="N148" s="14" t="n"/>
      <c r="O148" s="15" t="inlineStr">
        <is>
          <t>Not read — see DRHP PDF</t>
        </is>
      </c>
      <c r="P148" s="15" t="inlineStr">
        <is>
          <t>Offer terms not extracted — open the DRHP PDF</t>
        </is>
      </c>
      <c r="Q148" s="18" t="inlineStr">
        <is>
          <t>https://www.sebi.gov.in/sebi_data/attachdocs/oct-2025/1759750210525_990.pdf</t>
        </is>
      </c>
      <c r="R148" s="18" t="inlineStr">
        <is>
          <t>https://www.sebi.gov.in/filings/public-issues/oct-2025/eldeco-infrastructure-and-properties-limited_97071.html</t>
        </is>
      </c>
      <c r="S148" s="15" t="n"/>
      <c r="T148" s="14" t="n">
        <v>0</v>
      </c>
      <c r="U148" s="16" t="n"/>
      <c r="V148" s="16" t="n"/>
      <c r="W148" s="16" t="n"/>
      <c r="X148" s="15" t="inlineStr">
        <is>
          <t>Dates not announced</t>
        </is>
      </c>
      <c r="Y148" s="15" t="inlineStr">
        <is>
          <t>SEBI nod 30-Jan-2026; dates not yet announced</t>
        </is>
      </c>
      <c r="Z148" s="18" t="inlineStr">
        <is>
          <t>https://www.chittorgarh.com/ipo/eldeco-infrastructure-properties-ipo/2689/</t>
        </is>
      </c>
    </row>
    <row r="149" ht="15" customHeight="1" s="12">
      <c r="A149" s="14" t="n">
        <v>148</v>
      </c>
      <c r="B149" s="15" t="inlineStr">
        <is>
          <t>Premier Industrial Corporation Limited</t>
        </is>
      </c>
      <c r="C149" s="16" t="n">
        <v>45933</v>
      </c>
      <c r="D149" s="16" t="n">
        <v>45933</v>
      </c>
      <c r="E149" s="15" t="inlineStr">
        <is>
          <t>DRHP</t>
        </is>
      </c>
      <c r="F149" s="15" t="inlineStr">
        <is>
          <t>Regular DRHP</t>
        </is>
      </c>
      <c r="G149" s="16" t="n"/>
      <c r="H149" s="15" t="inlineStr">
        <is>
          <t>DRHP filed — issue dates not announced</t>
        </is>
      </c>
      <c r="I149" s="17" t="n"/>
      <c r="J149" s="17" t="n"/>
      <c r="K149" s="17" t="n"/>
      <c r="L149" s="14" t="n"/>
      <c r="M149" s="14" t="n"/>
      <c r="N149" s="14" t="n"/>
      <c r="O149" s="15" t="inlineStr">
        <is>
          <t>Not read — see DRHP PDF</t>
        </is>
      </c>
      <c r="P149" s="15" t="inlineStr">
        <is>
          <t>Offer terms not extracted — open the DRHP PDF</t>
        </is>
      </c>
      <c r="Q149" s="18" t="inlineStr">
        <is>
          <t>https://www.sebi.gov.in/sebi_data/attachdocs/oct-2025/1759476612614_982.pdf</t>
        </is>
      </c>
      <c r="R149" s="18" t="inlineStr">
        <is>
          <t>https://www.sebi.gov.in/filings/public-issues/oct-2025/premier-industrial-corporation-limited_97037.html</t>
        </is>
      </c>
      <c r="S149" s="15" t="n"/>
      <c r="T149" s="14" t="n">
        <v>0</v>
      </c>
      <c r="U149" s="16" t="n"/>
      <c r="V149" s="16" t="n"/>
      <c r="W149" s="16" t="n"/>
      <c r="X149" s="15" t="inlineStr">
        <is>
          <t>Dates not announced</t>
        </is>
      </c>
      <c r="Y149" s="15" t="inlineStr">
        <is>
          <t>DRHP filed; no IPO dates announced</t>
        </is>
      </c>
      <c r="Z149" s="18" t="inlineStr">
        <is>
          <t>https://www.chittorgarh.com/ipo/premier-industrial-corporation-ipo/2674/</t>
        </is>
      </c>
    </row>
    <row r="150" ht="15" customHeight="1" s="12">
      <c r="A150" s="14" t="n">
        <v>149</v>
      </c>
      <c r="B150" s="15" t="inlineStr">
        <is>
          <t>Rotomag Enertec Limited</t>
        </is>
      </c>
      <c r="C150" s="16" t="n">
        <v>45931</v>
      </c>
      <c r="D150" s="16" t="n">
        <v>45931</v>
      </c>
      <c r="E150" s="15" t="inlineStr">
        <is>
          <t>DRHP</t>
        </is>
      </c>
      <c r="F150" s="15" t="inlineStr">
        <is>
          <t>Regular DRHP</t>
        </is>
      </c>
      <c r="G150" s="16" t="n"/>
      <c r="H150" s="15" t="inlineStr">
        <is>
          <t>DRHP filed — issue dates not announced</t>
        </is>
      </c>
      <c r="I150" s="17" t="n"/>
      <c r="J150" s="17" t="n"/>
      <c r="K150" s="17" t="n"/>
      <c r="L150" s="14" t="n"/>
      <c r="M150" s="14" t="n"/>
      <c r="N150" s="14" t="n"/>
      <c r="O150" s="15" t="inlineStr">
        <is>
          <t>Not read — see DRHP PDF</t>
        </is>
      </c>
      <c r="P150" s="15" t="inlineStr">
        <is>
          <t>Offer terms not extracted — open the DRHP PDF</t>
        </is>
      </c>
      <c r="Q150" s="18" t="inlineStr">
        <is>
          <t>https://www.sebi.gov.in/sebi_data/attachdocs/oct-2025/1759368606185_979.pdf</t>
        </is>
      </c>
      <c r="R150" s="18" t="inlineStr">
        <is>
          <t>https://www.sebi.gov.in/filings/public-issues/oct-2025/rotomag-enertec-limited_97024.html</t>
        </is>
      </c>
      <c r="S150" s="15" t="n"/>
      <c r="T150" s="14" t="n">
        <v>0</v>
      </c>
      <c r="U150" s="16" t="n"/>
      <c r="V150" s="16" t="n"/>
      <c r="W150" s="16" t="n"/>
      <c r="X150" s="15" t="inlineStr">
        <is>
          <t>Dates not announced</t>
        </is>
      </c>
      <c r="Y150" s="15" t="inlineStr">
        <is>
          <t>SEBI nod 30-Jan-2026; dates not yet announced</t>
        </is>
      </c>
      <c r="Z150" s="18" t="inlineStr">
        <is>
          <t>https://www.chittorgarh.com/ipo/rotomag-enertec-ipo/2662/</t>
        </is>
      </c>
    </row>
    <row r="151" ht="15" customHeight="1" s="12">
      <c r="A151" s="14" t="n">
        <v>150</v>
      </c>
      <c r="B151" s="15" t="inlineStr">
        <is>
          <t>Oswal Cables</t>
        </is>
      </c>
      <c r="C151" s="16" t="n">
        <v>45931</v>
      </c>
      <c r="D151" s="16" t="n">
        <v>45931</v>
      </c>
      <c r="E151" s="15" t="inlineStr">
        <is>
          <t>DRHP</t>
        </is>
      </c>
      <c r="F151" s="15" t="inlineStr">
        <is>
          <t>Regular DRHP</t>
        </is>
      </c>
      <c r="G151" s="16" t="n"/>
      <c r="H151" s="15" t="inlineStr">
        <is>
          <t>DRHP filed — issue dates not announced</t>
        </is>
      </c>
      <c r="I151" s="17" t="n"/>
      <c r="J151" s="17" t="n"/>
      <c r="K151" s="17" t="n"/>
      <c r="L151" s="14" t="n"/>
      <c r="M151" s="14" t="n"/>
      <c r="N151" s="14" t="n"/>
      <c r="O151" s="15" t="inlineStr">
        <is>
          <t>Not read — see DRHP PDF</t>
        </is>
      </c>
      <c r="P151" s="15" t="inlineStr">
        <is>
          <t>Offer terms not extracted — open the DRHP PDF</t>
        </is>
      </c>
      <c r="Q151" s="18" t="inlineStr">
        <is>
          <t>https://www.sebi.gov.in/sebi_data/attachdocs/oct-2025/1760415698411.PDF</t>
        </is>
      </c>
      <c r="R151" s="18" t="inlineStr">
        <is>
          <t>https://www.sebi.gov.in/filings/public-issues/oct-2025/oswal-cables-drhp_97284.html</t>
        </is>
      </c>
      <c r="S151" s="15" t="n"/>
      <c r="T151" s="14" t="n">
        <v>0</v>
      </c>
      <c r="U151" s="16" t="n"/>
      <c r="V151" s="16" t="n"/>
      <c r="W151" s="16" t="n"/>
      <c r="X151" s="15" t="inlineStr">
        <is>
          <t>Dates not announced</t>
        </is>
      </c>
      <c r="Y151" s="15" t="inlineStr">
        <is>
          <t>SEBI nod 19-Jan-2026; dates not yet announced</t>
        </is>
      </c>
      <c r="Z151" s="18" t="inlineStr">
        <is>
          <t>https://www.chittorgarh.com/ipo/oswal-cables-ipo/2677/</t>
        </is>
      </c>
    </row>
    <row r="152" ht="15" customHeight="1" s="12">
      <c r="A152" s="14" t="n">
        <v>151</v>
      </c>
      <c r="B152" s="15" t="inlineStr">
        <is>
          <t>ALCOBREW DISTILLERIES INDIA LIMITED</t>
        </is>
      </c>
      <c r="C152" s="16" t="n">
        <v>45931</v>
      </c>
      <c r="D152" s="16" t="n">
        <v>45931</v>
      </c>
      <c r="E152" s="15" t="inlineStr">
        <is>
          <t>DRHP</t>
        </is>
      </c>
      <c r="F152" s="15" t="inlineStr">
        <is>
          <t>Regular DRHP</t>
        </is>
      </c>
      <c r="G152" s="16" t="n"/>
      <c r="H152" s="15" t="inlineStr">
        <is>
          <t>DRHP filed — issue dates not announced</t>
        </is>
      </c>
      <c r="I152" s="17" t="n"/>
      <c r="J152" s="17" t="n"/>
      <c r="K152" s="17" t="n"/>
      <c r="L152" s="14" t="n"/>
      <c r="M152" s="14" t="n"/>
      <c r="N152" s="14" t="n"/>
      <c r="O152" s="15" t="inlineStr">
        <is>
          <t>Not read — see DRHP PDF</t>
        </is>
      </c>
      <c r="P152" s="15" t="inlineStr">
        <is>
          <t>Offer terms not extracted — open the DRHP PDF</t>
        </is>
      </c>
      <c r="Q152" s="18" t="inlineStr">
        <is>
          <t>https://www.sebi.gov.in/sebi_data/attachdocs/oct-2025/1759318215777_973.pdf</t>
        </is>
      </c>
      <c r="R152" s="18" t="inlineStr">
        <is>
          <t>https://www.sebi.gov.in/filings/public-issues/oct-2025/alcobrew-distilleries-india-limited_97005.html</t>
        </is>
      </c>
      <c r="S152" s="15" t="n"/>
      <c r="T152" s="14" t="n">
        <v>0</v>
      </c>
      <c r="U152" s="16" t="n"/>
      <c r="V152" s="16" t="n"/>
      <c r="W152" s="16" t="n"/>
      <c r="X152" s="15" t="inlineStr">
        <is>
          <t>Dates not announced</t>
        </is>
      </c>
      <c r="Y152" s="15" t="inlineStr">
        <is>
          <t>SEBI nod 8-Jan-2026; dates not yet announced</t>
        </is>
      </c>
      <c r="Z152" s="18" t="inlineStr">
        <is>
          <t>https://www.chittorgarh.com/ipo/alcobrew-distilleries-india-ipo/2639/</t>
        </is>
      </c>
    </row>
    <row r="153" ht="15" customHeight="1" s="12">
      <c r="A153" s="14" t="n">
        <v>152</v>
      </c>
      <c r="B153" s="15" t="inlineStr">
        <is>
          <t>Parijat Industries India Limited</t>
        </is>
      </c>
      <c r="C153" s="16" t="n">
        <v>45930</v>
      </c>
      <c r="D153" s="16" t="n">
        <v>45930</v>
      </c>
      <c r="E153" s="15" t="inlineStr">
        <is>
          <t>DRHP</t>
        </is>
      </c>
      <c r="F153" s="15" t="inlineStr">
        <is>
          <t>Regular DRHP</t>
        </is>
      </c>
      <c r="G153" s="16" t="n"/>
      <c r="H153" s="15" t="inlineStr">
        <is>
          <t>DRHP filed — issue dates not announced</t>
        </is>
      </c>
      <c r="I153" s="17" t="n"/>
      <c r="J153" s="17" t="n"/>
      <c r="K153" s="17" t="n"/>
      <c r="L153" s="14" t="n"/>
      <c r="M153" s="14" t="n"/>
      <c r="N153" s="14" t="n"/>
      <c r="O153" s="15" t="inlineStr">
        <is>
          <t>Not read — see DRHP PDF</t>
        </is>
      </c>
      <c r="P153" s="15" t="inlineStr">
        <is>
          <t>Offer terms not extracted — open the DRHP PDF</t>
        </is>
      </c>
      <c r="Q153" s="18" t="inlineStr">
        <is>
          <t>https://www.sebi.gov.in/sebi_data/attachdocs/sep-2025/1759217407843_966.pdf</t>
        </is>
      </c>
      <c r="R153" s="18" t="inlineStr">
        <is>
          <t>https://www.sebi.gov.in/filings/public-issues/sep-2025/parijat-industries-india-limited_96966.html</t>
        </is>
      </c>
      <c r="S153" s="15" t="n"/>
      <c r="T153" s="14" t="n">
        <v>0</v>
      </c>
      <c r="U153" s="16" t="n"/>
      <c r="V153" s="16" t="n"/>
      <c r="W153" s="16" t="n"/>
      <c r="X153" s="15" t="inlineStr">
        <is>
          <t>Dates not announced</t>
        </is>
      </c>
      <c r="Y153" s="15" t="inlineStr">
        <is>
          <t>SEBI nod 29-Jan-2026; dates not yet announced</t>
        </is>
      </c>
      <c r="Z153" s="18" t="inlineStr">
        <is>
          <t>https://www.chittorgarh.com/ipo/parijat-industries-ipo/2640/</t>
        </is>
      </c>
    </row>
    <row r="154" ht="15" customHeight="1" s="12">
      <c r="A154" s="14" t="n">
        <v>153</v>
      </c>
      <c r="B154" s="15" t="inlineStr">
        <is>
          <t>MEDICAP HEALTHCARE LIMITED</t>
        </is>
      </c>
      <c r="C154" s="16" t="n">
        <v>45926</v>
      </c>
      <c r="D154" s="16" t="n">
        <v>45926</v>
      </c>
      <c r="E154" s="15" t="inlineStr">
        <is>
          <t>DRHP</t>
        </is>
      </c>
      <c r="F154" s="15" t="inlineStr">
        <is>
          <t>Regular DRHP</t>
        </is>
      </c>
      <c r="G154" s="16" t="n"/>
      <c r="H154" s="15" t="inlineStr">
        <is>
          <t>DRHP filed — issue dates not announced</t>
        </is>
      </c>
      <c r="I154" s="17" t="n"/>
      <c r="J154" s="17" t="n"/>
      <c r="K154" s="17" t="n"/>
      <c r="L154" s="14" t="n"/>
      <c r="M154" s="14" t="n"/>
      <c r="N154" s="14" t="n"/>
      <c r="O154" s="15" t="inlineStr">
        <is>
          <t>Not read — see DRHP PDF</t>
        </is>
      </c>
      <c r="P154" s="15" t="inlineStr">
        <is>
          <t>Offer terms not extracted — open the DRHP PDF</t>
        </is>
      </c>
      <c r="Q154" s="18" t="inlineStr">
        <is>
          <t>https://www.sebi.gov.in/sebi_data/attachdocs/sep-2025/1758936615167_957.pdf</t>
        </is>
      </c>
      <c r="R154" s="18" t="inlineStr">
        <is>
          <t>https://www.sebi.gov.in/filings/public-issues/sep-2025/medicap-healthcare-limited_96876.html</t>
        </is>
      </c>
      <c r="S154" s="15" t="n"/>
      <c r="T154" s="14" t="n">
        <v>0</v>
      </c>
      <c r="U154" s="16" t="n"/>
      <c r="V154" s="16" t="n"/>
      <c r="W154" s="16" t="n"/>
      <c r="X154" s="15" t="inlineStr">
        <is>
          <t>Dates not announced</t>
        </is>
      </c>
      <c r="Y154" s="15" t="inlineStr">
        <is>
          <t>SEBI nod 23-Jan-2026; dates not yet announced</t>
        </is>
      </c>
      <c r="Z154" s="18" t="inlineStr">
        <is>
          <t>https://www.chittorgarh.com/ipo/medicap-healthcare-ipo/2619/</t>
        </is>
      </c>
    </row>
    <row r="155" ht="15" customHeight="1" s="12">
      <c r="A155" s="14" t="n">
        <v>154</v>
      </c>
      <c r="B155" s="15" t="inlineStr">
        <is>
          <t>SHRIRAM FOOD INDUSTRY LIMITED</t>
        </is>
      </c>
      <c r="C155" s="16" t="n">
        <v>45923</v>
      </c>
      <c r="D155" s="16" t="n">
        <v>45923</v>
      </c>
      <c r="E155" s="15" t="inlineStr">
        <is>
          <t>DRHP</t>
        </is>
      </c>
      <c r="F155" s="15" t="inlineStr">
        <is>
          <t>Regular DRHP</t>
        </is>
      </c>
      <c r="G155" s="16" t="n"/>
      <c r="H155" s="15" t="inlineStr">
        <is>
          <t>DRHP filed — issue dates not announced</t>
        </is>
      </c>
      <c r="I155" s="17" t="n"/>
      <c r="J155" s="17" t="n"/>
      <c r="K155" s="17" t="n"/>
      <c r="L155" s="14" t="n"/>
      <c r="M155" s="14" t="n"/>
      <c r="N155" s="14" t="n"/>
      <c r="O155" s="15" t="inlineStr">
        <is>
          <t>Not read — see DRHP PDF</t>
        </is>
      </c>
      <c r="P155" s="15" t="inlineStr">
        <is>
          <t>Offer terms not extracted — open the DRHP PDF</t>
        </is>
      </c>
      <c r="Q155" s="18" t="inlineStr">
        <is>
          <t>https://www.sebi.gov.in/sebi_data/attachdocs/sep-2025/1758612610710_953.pdf</t>
        </is>
      </c>
      <c r="R155" s="18" t="inlineStr">
        <is>
          <t>https://www.sebi.gov.in/filings/public-issues/sep-2025/shriram-food-industry-limited_96783.html</t>
        </is>
      </c>
      <c r="S155" s="15" t="n"/>
      <c r="T155" s="14" t="n">
        <v>0</v>
      </c>
      <c r="U155" s="16" t="n"/>
      <c r="V155" s="16" t="n"/>
      <c r="W155" s="16" t="n"/>
      <c r="X155" s="15" t="inlineStr">
        <is>
          <t>Dates not announced</t>
        </is>
      </c>
      <c r="Y155" s="15" t="inlineStr">
        <is>
          <t>SEBI nod 30-Dec-2025; dates not yet announced</t>
        </is>
      </c>
      <c r="Z155" s="18" t="inlineStr">
        <is>
          <t>https://www.chittorgarh.com/ipo/shriram-food-industry-ipo/2613/</t>
        </is>
      </c>
    </row>
    <row r="156" ht="15" customHeight="1" s="12">
      <c r="A156" s="14" t="n">
        <v>155</v>
      </c>
      <c r="B156" s="15" t="inlineStr">
        <is>
          <t>Cotec Healthcare Limited</t>
        </is>
      </c>
      <c r="C156" s="16" t="n">
        <v>45919</v>
      </c>
      <c r="D156" s="16" t="n">
        <v>45919</v>
      </c>
      <c r="E156" s="15" t="inlineStr">
        <is>
          <t>DRHP</t>
        </is>
      </c>
      <c r="F156" s="15" t="inlineStr">
        <is>
          <t>Regular DRHP</t>
        </is>
      </c>
      <c r="G156" s="16" t="n"/>
      <c r="H156" s="15" t="inlineStr">
        <is>
          <t>DRHP filed — issue dates not announced</t>
        </is>
      </c>
      <c r="I156" s="17" t="n"/>
      <c r="J156" s="17" t="n"/>
      <c r="K156" s="17" t="n"/>
      <c r="L156" s="14" t="n"/>
      <c r="M156" s="14" t="n"/>
      <c r="N156" s="14" t="n"/>
      <c r="O156" s="15" t="inlineStr">
        <is>
          <t>Not read — see DRHP PDF</t>
        </is>
      </c>
      <c r="P156" s="15" t="inlineStr">
        <is>
          <t>Offer terms not extracted — open the DRHP PDF</t>
        </is>
      </c>
      <c r="Q156" s="18" t="inlineStr">
        <is>
          <t>https://www.sebi.gov.in/sebi_data/attachdocs/sep-2025/1758279614350.pdf</t>
        </is>
      </c>
      <c r="R156" s="18" t="inlineStr">
        <is>
          <t>https://www.sebi.gov.in/filings/public-issues/sep-2025/cotec-healthcare-limited-drhp_96701.html</t>
        </is>
      </c>
      <c r="S156" s="15" t="n"/>
      <c r="T156" s="14" t="n">
        <v>0</v>
      </c>
      <c r="U156" s="16" t="n"/>
      <c r="V156" s="16" t="n"/>
      <c r="W156" s="16" t="n"/>
      <c r="X156" s="15" t="inlineStr">
        <is>
          <t>Dates not announced</t>
        </is>
      </c>
      <c r="Y156" s="15" t="inlineStr">
        <is>
          <t>SEBI nod 18-May-2026; dates not yet announced</t>
        </is>
      </c>
      <c r="Z156" s="18" t="inlineStr">
        <is>
          <t>https://www.chittorgarh.com/ipo/cotec-healthcare-ipo/2611/</t>
        </is>
      </c>
    </row>
    <row r="157" ht="15" customHeight="1" s="12">
      <c r="A157" s="14" t="n">
        <v>156</v>
      </c>
      <c r="B157" s="15" t="inlineStr">
        <is>
          <t>Chartered Speed Limited</t>
        </is>
      </c>
      <c r="C157" s="16" t="n">
        <v>43374</v>
      </c>
      <c r="D157" s="16" t="n">
        <v>45915</v>
      </c>
      <c r="E157" s="15" t="inlineStr">
        <is>
          <t>DRHP</t>
        </is>
      </c>
      <c r="F157" s="15" t="inlineStr">
        <is>
          <t>Regular DRHP</t>
        </is>
      </c>
      <c r="G157" s="16" t="n"/>
      <c r="H157" s="15" t="inlineStr">
        <is>
          <t>DRHP filed — issue dates not announced</t>
        </is>
      </c>
      <c r="I157" s="17" t="n"/>
      <c r="J157" s="17" t="n"/>
      <c r="K157" s="17" t="n"/>
      <c r="L157" s="14" t="n"/>
      <c r="M157" s="14" t="n"/>
      <c r="N157" s="14" t="n"/>
      <c r="O157" s="15" t="inlineStr">
        <is>
          <t>Not read — see DRHP PDF</t>
        </is>
      </c>
      <c r="P157" s="15" t="inlineStr">
        <is>
          <t>Offer terms not extracted — open the DRHP PDF</t>
        </is>
      </c>
      <c r="Q157" s="18" t="inlineStr">
        <is>
          <t>https://www.sebi.gov.in/sebi_data/attachdocs/sep-2025/1757932215749.pdf</t>
        </is>
      </c>
      <c r="R157" s="18" t="inlineStr">
        <is>
          <t>https://www.sebi.gov.in/filings/public-issues/sep-2025/chartered-speed-limited-drhp_96608.html</t>
        </is>
      </c>
      <c r="S157" s="15" t="n"/>
      <c r="T157" s="14" t="n">
        <v>0</v>
      </c>
      <c r="U157" s="16" t="n"/>
      <c r="V157" s="16" t="n"/>
      <c r="W157" s="16" t="n"/>
      <c r="X157" s="15" t="inlineStr">
        <is>
          <t>Dates not announced</t>
        </is>
      </c>
      <c r="Y157" s="15" t="inlineStr">
        <is>
          <t>SEBI nod 2-Jan-2026; Rs855 cr issue; dates not yet announced</t>
        </is>
      </c>
      <c r="Z157" s="18" t="inlineStr">
        <is>
          <t>https://www.chittorgarh.com/ipo/chartered-speed-ipo/2596/</t>
        </is>
      </c>
    </row>
    <row r="158" ht="15" customHeight="1" s="12">
      <c r="A158" s="14" t="n">
        <v>157</v>
      </c>
      <c r="B158" s="15" t="inlineStr">
        <is>
          <t>Eldorado Agritech Limited</t>
        </is>
      </c>
      <c r="C158" s="16" t="n">
        <v>45912</v>
      </c>
      <c r="D158" s="16" t="n">
        <v>45912</v>
      </c>
      <c r="E158" s="15" t="inlineStr">
        <is>
          <t>DRHP</t>
        </is>
      </c>
      <c r="F158" s="15" t="inlineStr">
        <is>
          <t>Regular DRHP</t>
        </is>
      </c>
      <c r="G158" s="16" t="n"/>
      <c r="H158" s="15" t="inlineStr">
        <is>
          <t>DRHP filed — issue dates not announced</t>
        </is>
      </c>
      <c r="I158" s="17" t="n"/>
      <c r="J158" s="17" t="n"/>
      <c r="K158" s="17" t="n"/>
      <c r="L158" s="14" t="n"/>
      <c r="M158" s="14" t="n"/>
      <c r="N158" s="14" t="n"/>
      <c r="O158" s="15" t="inlineStr">
        <is>
          <t>Not read — see DRHP PDF</t>
        </is>
      </c>
      <c r="P158" s="15" t="inlineStr">
        <is>
          <t>Offer terms not extracted — open the DRHP PDF</t>
        </is>
      </c>
      <c r="Q158" s="18" t="inlineStr">
        <is>
          <t>https://www.sebi.gov.in/sebi_data/attachdocs/sep-2025/1757668063664.pdf</t>
        </is>
      </c>
      <c r="R158" s="18" t="inlineStr">
        <is>
          <t>https://www.sebi.gov.in/filings/public-issues/sep-2025/eldorado-agritech-limited-drhp_96600.html</t>
        </is>
      </c>
      <c r="S158" s="15" t="n"/>
      <c r="T158" s="14" t="n">
        <v>0</v>
      </c>
      <c r="U158" s="16" t="n"/>
      <c r="V158" s="16" t="n"/>
      <c r="W158" s="16" t="n"/>
      <c r="X158" s="15" t="inlineStr">
        <is>
          <t>Dates not announced</t>
        </is>
      </c>
      <c r="Y158" s="15" t="inlineStr">
        <is>
          <t>SEBI nod 5-Dec-2025; dates not yet announced</t>
        </is>
      </c>
      <c r="Z158" s="18" t="inlineStr">
        <is>
          <t>https://www.chittorgarh.com/ipo/eldorado-agritech-ipo/2588/</t>
        </is>
      </c>
    </row>
    <row r="159" ht="15" customHeight="1" s="12">
      <c r="A159" s="14" t="n">
        <v>158</v>
      </c>
      <c r="B159" s="15" t="inlineStr">
        <is>
          <t>SHIVALAYA CONSTRUCTION LIMITED</t>
        </is>
      </c>
      <c r="C159" s="16" t="n">
        <v>45909</v>
      </c>
      <c r="D159" s="16" t="n">
        <v>45909</v>
      </c>
      <c r="E159" s="15" t="inlineStr">
        <is>
          <t>DRHP</t>
        </is>
      </c>
      <c r="F159" s="15" t="inlineStr">
        <is>
          <t>Regular DRHP</t>
        </is>
      </c>
      <c r="G159" s="16" t="n"/>
      <c r="H159" s="15" t="inlineStr">
        <is>
          <t>DRHP filed — issue dates not announced</t>
        </is>
      </c>
      <c r="I159" s="17" t="n"/>
      <c r="J159" s="17" t="n"/>
      <c r="K159" s="17" t="n"/>
      <c r="L159" s="14" t="n"/>
      <c r="M159" s="14" t="n"/>
      <c r="N159" s="14" t="n"/>
      <c r="O159" s="15" t="inlineStr">
        <is>
          <t>Not read — see DRHP PDF</t>
        </is>
      </c>
      <c r="P159" s="15" t="inlineStr">
        <is>
          <t>Offer terms not extracted — open the DRHP PDF</t>
        </is>
      </c>
      <c r="Q159" s="18" t="inlineStr">
        <is>
          <t>https://www.sebi.gov.in/sebi_data/attachdocs/sep-2025/1757417405397_945.pdf</t>
        </is>
      </c>
      <c r="R159" s="18" t="inlineStr">
        <is>
          <t>https://www.sebi.gov.in/filings/public-issues/sep-2025/shivalaya-construction-limited_96495.html</t>
        </is>
      </c>
      <c r="S159" s="15" t="n"/>
      <c r="T159" s="14" t="n">
        <v>0</v>
      </c>
      <c r="U159" s="16" t="n"/>
      <c r="V159" s="16" t="n"/>
      <c r="W159" s="16" t="n"/>
      <c r="X159" s="15" t="inlineStr">
        <is>
          <t>Dates not announced</t>
        </is>
      </c>
      <c r="Y159" s="15" t="inlineStr">
        <is>
          <t>SEBI nod 24-Dec-2025; dates not yet announced</t>
        </is>
      </c>
      <c r="Z159" s="18" t="inlineStr">
        <is>
          <t>https://www.chittorgarh.com/ipo/shivalaya-construction-ipo/2593/</t>
        </is>
      </c>
    </row>
    <row r="160" ht="15" customHeight="1" s="12">
      <c r="A160" s="14" t="n">
        <v>159</v>
      </c>
      <c r="B160" s="15" t="inlineStr">
        <is>
          <t>SFC ENVIRONMENTAL TECHNOLOGIES LIMITED</t>
        </is>
      </c>
      <c r="C160" s="16" t="n">
        <v>45631</v>
      </c>
      <c r="D160" s="16" t="n">
        <v>45909</v>
      </c>
      <c r="E160" s="15" t="inlineStr">
        <is>
          <t>DRHP</t>
        </is>
      </c>
      <c r="F160" s="15" t="inlineStr">
        <is>
          <t>Regular DRHP</t>
        </is>
      </c>
      <c r="G160" s="16" t="n"/>
      <c r="H160" s="15" t="inlineStr">
        <is>
          <t>DRHP filed — issue dates not announced</t>
        </is>
      </c>
      <c r="I160" s="17" t="n"/>
      <c r="J160" s="17" t="n"/>
      <c r="K160" s="17" t="n"/>
      <c r="L160" s="14" t="n"/>
      <c r="M160" s="14" t="n"/>
      <c r="N160" s="14" t="n"/>
      <c r="O160" s="15" t="inlineStr">
        <is>
          <t>Not read — see DRHP PDF</t>
        </is>
      </c>
      <c r="P160" s="15" t="inlineStr">
        <is>
          <t>Offer terms not extracted — open the DRHP PDF</t>
        </is>
      </c>
      <c r="Q160" s="18" t="inlineStr">
        <is>
          <t>https://www.sebi.gov.in/sebi_data/attachdocs/sep-2025/1757403007624_943.pdf</t>
        </is>
      </c>
      <c r="R160" s="18" t="inlineStr">
        <is>
          <t>https://www.sebi.gov.in/filings/public-issues/sep-2025/sfc-environmental-technologies-limited_96473.html</t>
        </is>
      </c>
      <c r="S160" s="15" t="n"/>
      <c r="T160" s="14" t="n">
        <v>1</v>
      </c>
      <c r="U160" s="16" t="n"/>
      <c r="V160" s="16" t="n"/>
      <c r="W160" s="16" t="n"/>
      <c r="X160" s="15" t="inlineStr">
        <is>
          <t>Dates not announced</t>
        </is>
      </c>
      <c r="Y160" s="15" t="inlineStr">
        <is>
          <t>SEBI nod 12-Dec-2025; refiled Sep-2025 after earlier withdrawal; dates not announced</t>
        </is>
      </c>
      <c r="Z160" s="18" t="inlineStr">
        <is>
          <t>https://www.chittorgarh.com/ipo/sfc-environmental-technologies-ipo/2070/</t>
        </is>
      </c>
    </row>
    <row r="161" ht="15" customHeight="1" s="12">
      <c r="A161" s="14" t="n">
        <v>160</v>
      </c>
      <c r="B161" s="15" t="inlineStr">
        <is>
          <t>ukb electronis limited</t>
        </is>
      </c>
      <c r="C161" s="16" t="n">
        <v>45905</v>
      </c>
      <c r="D161" s="16" t="n">
        <v>45905</v>
      </c>
      <c r="E161" s="15" t="inlineStr">
        <is>
          <t>DRHP</t>
        </is>
      </c>
      <c r="F161" s="15" t="inlineStr">
        <is>
          <t>Regular DRHP</t>
        </is>
      </c>
      <c r="G161" s="16" t="n"/>
      <c r="H161" s="15" t="inlineStr">
        <is>
          <t>DRHP filed — issue dates not announced</t>
        </is>
      </c>
      <c r="I161" s="17" t="n"/>
      <c r="J161" s="17" t="n"/>
      <c r="K161" s="17" t="n"/>
      <c r="L161" s="14" t="n"/>
      <c r="M161" s="14" t="n"/>
      <c r="N161" s="14" t="n"/>
      <c r="O161" s="15" t="inlineStr">
        <is>
          <t>Not read — see DRHP PDF</t>
        </is>
      </c>
      <c r="P161" s="15" t="inlineStr">
        <is>
          <t>Offer terms not extracted — open the DRHP PDF</t>
        </is>
      </c>
      <c r="Q161" s="18" t="inlineStr">
        <is>
          <t>https://www.sebi.gov.in/sebi_data/attachdocs/sep-2025/1757122205056_940.pdf</t>
        </is>
      </c>
      <c r="R161" s="18" t="inlineStr">
        <is>
          <t>https://www.sebi.gov.in/filings/public-issues/sep-2025/ukb-electronis-limited_96456.html</t>
        </is>
      </c>
      <c r="S161" s="15" t="n"/>
      <c r="T161" s="14" t="n">
        <v>0</v>
      </c>
      <c r="U161" s="16" t="n"/>
      <c r="V161" s="16" t="n"/>
      <c r="W161" s="16" t="n"/>
      <c r="X161" s="15" t="inlineStr">
        <is>
          <t>Dates not announced</t>
        </is>
      </c>
      <c r="Y161" s="15" t="inlineStr">
        <is>
          <t>SEBI nod 23-Jan-2026; Rs800 cr issue; dates not yet announced</t>
        </is>
      </c>
      <c r="Z161" s="18" t="inlineStr">
        <is>
          <t>https://www.chittorgarh.com/ipo/ukb-electronics-ipo/2587/</t>
        </is>
      </c>
    </row>
    <row r="162" ht="15" customHeight="1" s="12">
      <c r="A162" s="14" t="n">
        <v>161</v>
      </c>
      <c r="B162" s="15" t="inlineStr">
        <is>
          <t>Supreet Chemicals Limited</t>
        </is>
      </c>
      <c r="C162" s="16" t="n">
        <v>45905</v>
      </c>
      <c r="D162" s="16" t="n">
        <v>45905</v>
      </c>
      <c r="E162" s="15" t="inlineStr">
        <is>
          <t>DRHP</t>
        </is>
      </c>
      <c r="F162" s="15" t="inlineStr">
        <is>
          <t>Regular DRHP</t>
        </is>
      </c>
      <c r="G162" s="16" t="n"/>
      <c r="H162" s="15" t="inlineStr">
        <is>
          <t>DRHP filed — issue dates not announced</t>
        </is>
      </c>
      <c r="I162" s="17" t="n"/>
      <c r="J162" s="17" t="n"/>
      <c r="K162" s="17" t="n"/>
      <c r="L162" s="14" t="n"/>
      <c r="M162" s="14" t="n"/>
      <c r="N162" s="14" t="n"/>
      <c r="O162" s="15" t="inlineStr">
        <is>
          <t>Not read — see DRHP PDF</t>
        </is>
      </c>
      <c r="P162" s="15" t="inlineStr">
        <is>
          <t>Offer terms not extracted — open the DRHP PDF</t>
        </is>
      </c>
      <c r="Q162" s="18" t="inlineStr">
        <is>
          <t>https://www.sebi.gov.in/sebi_data/attachdocs/sep-2025/1758514124562.pdf</t>
        </is>
      </c>
      <c r="R162" s="18" t="inlineStr">
        <is>
          <t>https://www.sebi.gov.in/filings/public-issues/sep-2025/supreet-chemicals-limited-drhp_96737.html</t>
        </is>
      </c>
      <c r="S162" s="15" t="n"/>
      <c r="T162" s="14" t="n">
        <v>0</v>
      </c>
      <c r="U162" s="16" t="n"/>
      <c r="V162" s="16" t="n"/>
      <c r="W162" s="16" t="n"/>
      <c r="X162" s="15" t="inlineStr">
        <is>
          <t>Dates not announced</t>
        </is>
      </c>
      <c r="Y162" s="15" t="inlineStr">
        <is>
          <t>SEBI nod 16-Jan-2026; Rs499cr fresh issue; dates not yet announced</t>
        </is>
      </c>
      <c r="Z162" s="18" t="inlineStr">
        <is>
          <t>https://www.chittorgarh.com/ipo/supreet-chemicals-ipo/2598/</t>
        </is>
      </c>
    </row>
    <row r="163" ht="15" customHeight="1" s="12">
      <c r="A163" s="14" t="n">
        <v>162</v>
      </c>
      <c r="B163" s="15" t="inlineStr">
        <is>
          <t>RSB RETAIL INDIA LIMITED</t>
        </is>
      </c>
      <c r="C163" s="16" t="n">
        <v>45894</v>
      </c>
      <c r="D163" s="16" t="n">
        <v>45894</v>
      </c>
      <c r="E163" s="15" t="inlineStr">
        <is>
          <t>DRHP</t>
        </is>
      </c>
      <c r="F163" s="15" t="inlineStr">
        <is>
          <t>Regular DRHP</t>
        </is>
      </c>
      <c r="G163" s="16" t="n"/>
      <c r="H163" s="15" t="inlineStr">
        <is>
          <t>DRHP filed — issue dates not announced</t>
        </is>
      </c>
      <c r="I163" s="17" t="n"/>
      <c r="J163" s="17" t="n"/>
      <c r="K163" s="17" t="n"/>
      <c r="L163" s="14" t="n"/>
      <c r="M163" s="14" t="n"/>
      <c r="N163" s="14" t="n"/>
      <c r="O163" s="15" t="inlineStr">
        <is>
          <t>Not read — see DRHP PDF</t>
        </is>
      </c>
      <c r="P163" s="15" t="inlineStr">
        <is>
          <t>Offer terms not extracted — open the DRHP PDF</t>
        </is>
      </c>
      <c r="Q163" s="18" t="inlineStr">
        <is>
          <t>https://www.sebi.gov.in/sebi_data/attachdocs/aug-2025/1756107066531_928.pdf</t>
        </is>
      </c>
      <c r="R163" s="18" t="inlineStr">
        <is>
          <t>https://www.sebi.gov.in/filings/public-issues/aug-2025/rsb-retail-india-limited_96283.html</t>
        </is>
      </c>
      <c r="S163" s="15" t="n"/>
      <c r="T163" s="14" t="n">
        <v>1</v>
      </c>
      <c r="U163" s="16" t="n"/>
      <c r="V163" s="16" t="n"/>
      <c r="W163" s="16" t="n"/>
      <c r="X163" s="15" t="inlineStr">
        <is>
          <t>Dates not announced</t>
        </is>
      </c>
      <c r="Y163" s="15" t="inlineStr">
        <is>
          <t>SEBI nod 12-Dec-2025; dates not yet announced</t>
        </is>
      </c>
      <c r="Z163" s="18" t="inlineStr">
        <is>
          <t>https://www.chittorgarh.com/ipo/rsb-retail-india-ipo/2571/</t>
        </is>
      </c>
    </row>
    <row r="164" ht="15" customHeight="1" s="12">
      <c r="A164" s="14" t="n">
        <v>163</v>
      </c>
      <c r="B164" s="15" t="inlineStr">
        <is>
          <t>Transline Technologies Limited</t>
        </is>
      </c>
      <c r="C164" s="16" t="n">
        <v>45882</v>
      </c>
      <c r="D164" s="16" t="n">
        <v>45882</v>
      </c>
      <c r="E164" s="15" t="inlineStr">
        <is>
          <t>DRHP</t>
        </is>
      </c>
      <c r="F164" s="15" t="inlineStr">
        <is>
          <t>Regular DRHP</t>
        </is>
      </c>
      <c r="G164" s="16" t="n"/>
      <c r="H164" s="15" t="inlineStr">
        <is>
          <t>DRHP filed — issue dates not announced</t>
        </is>
      </c>
      <c r="I164" s="17" t="n"/>
      <c r="J164" s="17" t="n"/>
      <c r="K164" s="17" t="n"/>
      <c r="L164" s="14" t="n"/>
      <c r="M164" s="14" t="n"/>
      <c r="N164" s="14" t="n"/>
      <c r="O164" s="15" t="inlineStr">
        <is>
          <t>Not read — see DRHP PDF</t>
        </is>
      </c>
      <c r="P164" s="15" t="inlineStr">
        <is>
          <t>Offer terms not extracted — open the DRHP PDF</t>
        </is>
      </c>
      <c r="Q164" s="18" t="inlineStr">
        <is>
          <t>https://www.sebi.gov.in/sebi_data/attachdocs/aug-2025/1755070204199_915.pdf</t>
        </is>
      </c>
      <c r="R164" s="18" t="inlineStr">
        <is>
          <t>https://www.sebi.gov.in/filings/public-issues/aug-2025/transline-technologies-limited_96056.html</t>
        </is>
      </c>
      <c r="S164" s="15" t="n"/>
      <c r="T164" s="14" t="n">
        <v>0</v>
      </c>
      <c r="U164" s="16" t="n"/>
      <c r="V164" s="16" t="n"/>
      <c r="W164" s="16" t="n"/>
      <c r="X164" s="15" t="inlineStr">
        <is>
          <t>Dates not announced</t>
        </is>
      </c>
      <c r="Y164" s="15" t="inlineStr">
        <is>
          <t>SEBI nod 22-Jan-2026; 100% OFS; dates not yet announced</t>
        </is>
      </c>
      <c r="Z164" s="18" t="inlineStr">
        <is>
          <t>https://www.chittorgarh.com/ipo/transline-technologies-ipo/2575/</t>
        </is>
      </c>
    </row>
    <row r="165" ht="15" customHeight="1" s="12">
      <c r="A165" s="14" t="n">
        <v>164</v>
      </c>
      <c r="B165" s="15" t="inlineStr">
        <is>
          <t>BLS Polymers Limited</t>
        </is>
      </c>
      <c r="C165" s="16" t="n">
        <v>45881</v>
      </c>
      <c r="D165" s="16" t="n">
        <v>45881</v>
      </c>
      <c r="E165" s="15" t="inlineStr">
        <is>
          <t>DRHP</t>
        </is>
      </c>
      <c r="F165" s="15" t="inlineStr">
        <is>
          <t>Regular DRHP</t>
        </is>
      </c>
      <c r="G165" s="16" t="n"/>
      <c r="H165" s="15" t="inlineStr">
        <is>
          <t>DRHP filed — issue dates not announced</t>
        </is>
      </c>
      <c r="I165" s="17" t="n"/>
      <c r="J165" s="17" t="n"/>
      <c r="K165" s="17" t="n"/>
      <c r="L165" s="14" t="n"/>
      <c r="M165" s="14" t="n"/>
      <c r="N165" s="14" t="n"/>
      <c r="O165" s="15" t="inlineStr">
        <is>
          <t>Not read — see DRHP PDF</t>
        </is>
      </c>
      <c r="P165" s="15" t="inlineStr">
        <is>
          <t>Offer terms not extracted — open the DRHP PDF</t>
        </is>
      </c>
      <c r="Q165" s="18" t="inlineStr">
        <is>
          <t>https://www.sebi.gov.in/sebi_data/attachdocs/aug-2025/1754998206920_914.pdf</t>
        </is>
      </c>
      <c r="R165" s="18" t="inlineStr">
        <is>
          <t>https://www.sebi.gov.in/filings/public-issues/aug-2025/bls-polymers-limited_96028.html</t>
        </is>
      </c>
      <c r="S165" s="15" t="n"/>
      <c r="T165" s="14" t="n">
        <v>0</v>
      </c>
      <c r="U165" s="16" t="n"/>
      <c r="V165" s="16" t="n"/>
      <c r="W165" s="16" t="n"/>
      <c r="X165" s="15" t="inlineStr">
        <is>
          <t>Dates not announced</t>
        </is>
      </c>
      <c r="Y165" s="15" t="inlineStr">
        <is>
          <t>SEBI nod 16-Dec-2025; dates not yet announced</t>
        </is>
      </c>
      <c r="Z165" s="18" t="inlineStr">
        <is>
          <t>https://www.chittorgarh.com/ipo/bls-polymers-ipo/2559/</t>
        </is>
      </c>
    </row>
    <row r="166" ht="15" customHeight="1" s="12">
      <c r="A166" s="14" t="n">
        <v>165</v>
      </c>
      <c r="B166" s="15" t="inlineStr">
        <is>
          <t>Steel Infra Solutions Company Limited</t>
        </is>
      </c>
      <c r="C166" s="16" t="n">
        <v>45880</v>
      </c>
      <c r="D166" s="16" t="n">
        <v>45880</v>
      </c>
      <c r="E166" s="15" t="inlineStr">
        <is>
          <t>DRHP</t>
        </is>
      </c>
      <c r="F166" s="15" t="inlineStr">
        <is>
          <t>Regular DRHP</t>
        </is>
      </c>
      <c r="G166" s="16" t="n"/>
      <c r="H166" s="15" t="inlineStr">
        <is>
          <t>DRHP filed — issue dates not announced</t>
        </is>
      </c>
      <c r="I166" s="17" t="n"/>
      <c r="J166" s="17" t="n"/>
      <c r="K166" s="17" t="n"/>
      <c r="L166" s="14" t="n"/>
      <c r="M166" s="14" t="n"/>
      <c r="N166" s="14" t="n"/>
      <c r="O166" s="15" t="inlineStr">
        <is>
          <t>Not read — see DRHP PDF</t>
        </is>
      </c>
      <c r="P166" s="15" t="inlineStr">
        <is>
          <t>Offer terms not extracted — open the DRHP PDF</t>
        </is>
      </c>
      <c r="Q166" s="18" t="inlineStr">
        <is>
          <t>https://www.sebi.gov.in/sebi_data/attachdocs/aug-2025/1754887182581.pdf</t>
        </is>
      </c>
      <c r="R166" s="18" t="inlineStr">
        <is>
          <t>https://www.sebi.gov.in/filings/public-issues/aug-2025/steel-infra-solutions-company-limited-drhp_95961.html</t>
        </is>
      </c>
      <c r="S166" s="15" t="n"/>
      <c r="T166" s="14" t="n">
        <v>0</v>
      </c>
      <c r="U166" s="16" t="n"/>
      <c r="V166" s="16" t="n"/>
      <c r="W166" s="16" t="n"/>
      <c r="X166" s="15" t="inlineStr">
        <is>
          <t>Dates not announced</t>
        </is>
      </c>
      <c r="Y166" s="15" t="inlineStr">
        <is>
          <t>SEBI nod 11-Nov-2025; dates not yet announced</t>
        </is>
      </c>
      <c r="Z166" s="18" t="inlineStr">
        <is>
          <t>https://www.chittorgarh.com/ipo/siscol-ipo/2553/</t>
        </is>
      </c>
    </row>
    <row r="167" ht="15" customHeight="1" s="12">
      <c r="A167" s="14" t="n">
        <v>166</v>
      </c>
      <c r="B167" s="15" t="inlineStr">
        <is>
          <t>Silver Consumers Electricals Limited</t>
        </is>
      </c>
      <c r="C167" s="16" t="n">
        <v>45880</v>
      </c>
      <c r="D167" s="16" t="n">
        <v>45880</v>
      </c>
      <c r="E167" s="15" t="inlineStr">
        <is>
          <t>DRHP</t>
        </is>
      </c>
      <c r="F167" s="15" t="inlineStr">
        <is>
          <t>Regular DRHP</t>
        </is>
      </c>
      <c r="G167" s="16" t="n"/>
      <c r="H167" s="15" t="inlineStr">
        <is>
          <t>DRHP filed — issue dates not announced</t>
        </is>
      </c>
      <c r="I167" s="17" t="n"/>
      <c r="J167" s="17" t="n"/>
      <c r="K167" s="17" t="n"/>
      <c r="L167" s="14" t="n"/>
      <c r="M167" s="14" t="n"/>
      <c r="N167" s="14" t="n"/>
      <c r="O167" s="15" t="inlineStr">
        <is>
          <t>Not read — see DRHP PDF</t>
        </is>
      </c>
      <c r="P167" s="15" t="inlineStr">
        <is>
          <t>Offer terms not extracted — open the DRHP PDF</t>
        </is>
      </c>
      <c r="Q167" s="18" t="inlineStr">
        <is>
          <t>https://www.sebi.gov.in/sebi_data/attachdocs/aug-2025/1754887054517.pdf</t>
        </is>
      </c>
      <c r="R167" s="18" t="inlineStr">
        <is>
          <t>https://www.sebi.gov.in/filings/public-issues/aug-2025/silver-consumers-electricals-limited-drhp_95959.html</t>
        </is>
      </c>
      <c r="S167" s="15" t="n"/>
      <c r="T167" s="14" t="n">
        <v>0</v>
      </c>
      <c r="U167" s="16" t="n"/>
      <c r="V167" s="16" t="n"/>
      <c r="W167" s="16" t="n"/>
      <c r="X167" s="15" t="inlineStr">
        <is>
          <t>Dates not announced</t>
        </is>
      </c>
      <c r="Y167" s="15" t="inlineStr">
        <is>
          <t>SEBI nod 12-Nov-2025; Rs1,400cr issue; dates not yet announced</t>
        </is>
      </c>
      <c r="Z167" s="18" t="inlineStr">
        <is>
          <t>https://www.chittorgarh.com/ipo/silver-consumer-electricals-ipo/2562/</t>
        </is>
      </c>
    </row>
    <row r="168" ht="15" customHeight="1" s="12">
      <c r="A168" s="14" t="n">
        <v>167</v>
      </c>
      <c r="B168" s="15" t="inlineStr">
        <is>
          <t>Lamtuf Limited</t>
        </is>
      </c>
      <c r="C168" s="16" t="n">
        <v>45870</v>
      </c>
      <c r="D168" s="16" t="n">
        <v>45870</v>
      </c>
      <c r="E168" s="15" t="inlineStr">
        <is>
          <t>DRHP</t>
        </is>
      </c>
      <c r="F168" s="15" t="inlineStr">
        <is>
          <t>Regular DRHP</t>
        </is>
      </c>
      <c r="G168" s="16" t="n"/>
      <c r="H168" s="15" t="inlineStr">
        <is>
          <t>DRHP filed — issue dates not announced</t>
        </is>
      </c>
      <c r="I168" s="17" t="n"/>
      <c r="J168" s="17" t="n"/>
      <c r="K168" s="17" t="n"/>
      <c r="L168" s="14" t="n"/>
      <c r="M168" s="14" t="n"/>
      <c r="N168" s="14" t="n"/>
      <c r="O168" s="15" t="inlineStr">
        <is>
          <t>Not read — see DRHP PDF</t>
        </is>
      </c>
      <c r="P168" s="15" t="inlineStr">
        <is>
          <t>Offer terms not extracted — open the DRHP PDF</t>
        </is>
      </c>
      <c r="Q168" s="18" t="inlineStr">
        <is>
          <t>https://www.sebi.gov.in/sebi_data/attachdocs/aug-2025/1754031254931.pdf</t>
        </is>
      </c>
      <c r="R168" s="18" t="inlineStr">
        <is>
          <t>https://www.sebi.gov.in/filings/public-issues/aug-2025/lamtuf-limited_95754.html</t>
        </is>
      </c>
      <c r="S168" s="15" t="n"/>
      <c r="T168" s="14" t="n">
        <v>0</v>
      </c>
      <c r="U168" s="16" t="n"/>
      <c r="V168" s="16" t="n"/>
      <c r="W168" s="16" t="n"/>
      <c r="X168" s="15" t="inlineStr">
        <is>
          <t>Dates not announced</t>
        </is>
      </c>
      <c r="Y168" s="15" t="inlineStr">
        <is>
          <t>SEBI nod 26-Sep-2025 (valid 12 months); dates not announced</t>
        </is>
      </c>
      <c r="Z168" s="18" t="inlineStr">
        <is>
          <t>https://www.chittorgarh.com/ipo/lamtuf-ipo/2537/</t>
        </is>
      </c>
    </row>
    <row r="169" ht="15" customHeight="1" s="12">
      <c r="A169" s="14" t="n">
        <v>168</v>
      </c>
      <c r="B169" s="15" t="inlineStr">
        <is>
          <t>SAHAJANAND MEDICAL TECHNOLOGIES LIMITED</t>
        </is>
      </c>
      <c r="C169" s="16" t="n">
        <v>44468</v>
      </c>
      <c r="D169" s="16" t="n">
        <v>45869</v>
      </c>
      <c r="E169" s="15" t="inlineStr">
        <is>
          <t>DRHP</t>
        </is>
      </c>
      <c r="F169" s="15" t="inlineStr">
        <is>
          <t>Regular DRHP</t>
        </is>
      </c>
      <c r="G169" s="16" t="n"/>
      <c r="H169" s="15" t="inlineStr">
        <is>
          <t>DRHP filed — issue dates not announced</t>
        </is>
      </c>
      <c r="I169" s="17" t="n"/>
      <c r="J169" s="17" t="n"/>
      <c r="K169" s="17" t="n"/>
      <c r="L169" s="14" t="n"/>
      <c r="M169" s="14" t="n"/>
      <c r="N169" s="14" t="n"/>
      <c r="O169" s="15" t="inlineStr">
        <is>
          <t>Not read — see DRHP PDF</t>
        </is>
      </c>
      <c r="P169" s="15" t="inlineStr">
        <is>
          <t>Offer terms not extracted — open the DRHP PDF</t>
        </is>
      </c>
      <c r="Q169" s="18" t="inlineStr">
        <is>
          <t>https://www.sebi.gov.in/sebi_data/attachdocs/jul-2025/1753961405691_889.pdf</t>
        </is>
      </c>
      <c r="R169" s="18" t="inlineStr">
        <is>
          <t>https://www.sebi.gov.in/filings/public-issues/jul-2025/sahajanand-medical-technologies-limited_95741.html</t>
        </is>
      </c>
      <c r="S169" s="15" t="n"/>
      <c r="T169" s="14" t="n">
        <v>0</v>
      </c>
      <c r="U169" s="16" t="n"/>
      <c r="V169" s="16" t="n"/>
      <c r="W169" s="16" t="n"/>
      <c r="X169" s="15" t="inlineStr">
        <is>
          <t>Dates not announced</t>
        </is>
      </c>
      <c r="Y169" s="15" t="inlineStr">
        <is>
          <t>SEBI nod 17-Nov-2025; 100% OFS; dates not yet announced</t>
        </is>
      </c>
      <c r="Z169" s="18" t="inlineStr">
        <is>
          <t>https://www.chittorgarh.com/ipo/sahajanand-medical-technologies-ipo/2550/</t>
        </is>
      </c>
    </row>
    <row r="170" ht="15" customHeight="1" s="12">
      <c r="A170" s="14" t="n">
        <v>169</v>
      </c>
      <c r="B170" s="15" t="inlineStr">
        <is>
          <t>Executive Centre India Limited</t>
        </is>
      </c>
      <c r="C170" s="16" t="n">
        <v>45868</v>
      </c>
      <c r="D170" s="16" t="n">
        <v>45868</v>
      </c>
      <c r="E170" s="15" t="inlineStr">
        <is>
          <t>DRHP</t>
        </is>
      </c>
      <c r="F170" s="15" t="inlineStr">
        <is>
          <t>Regular DRHP</t>
        </is>
      </c>
      <c r="G170" s="16" t="n"/>
      <c r="H170" s="15" t="inlineStr">
        <is>
          <t>DRHP filed — issue dates not announced</t>
        </is>
      </c>
      <c r="I170" s="17" t="n"/>
      <c r="J170" s="17" t="n"/>
      <c r="K170" s="17" t="n"/>
      <c r="L170" s="14" t="n"/>
      <c r="M170" s="14" t="n"/>
      <c r="N170" s="14" t="n"/>
      <c r="O170" s="15" t="inlineStr">
        <is>
          <t>Not read — see DRHP PDF</t>
        </is>
      </c>
      <c r="P170" s="15" t="inlineStr">
        <is>
          <t>Offer terms not extracted — open the DRHP PDF</t>
        </is>
      </c>
      <c r="Q170" s="18" t="inlineStr">
        <is>
          <t>https://www.sebi.gov.in/sebi_data/attachdocs/jul-2025/1753925406298_885.pdf</t>
        </is>
      </c>
      <c r="R170" s="18" t="inlineStr">
        <is>
          <t>https://www.sebi.gov.in/filings/public-issues/jul-2025/executive-centre-india-limited_95722.html</t>
        </is>
      </c>
      <c r="S170" s="15" t="n"/>
      <c r="T170" s="14" t="n">
        <v>0</v>
      </c>
      <c r="U170" s="16" t="n"/>
      <c r="V170" s="16" t="n"/>
      <c r="W170" s="16" t="n"/>
      <c r="X170" s="15" t="inlineStr">
        <is>
          <t>Dates not announced</t>
        </is>
      </c>
      <c r="Y170" s="15" t="inlineStr">
        <is>
          <t>SEBI nod 15-Jan-2026; Rs2,600cr fresh issue; dates not announced</t>
        </is>
      </c>
      <c r="Z170" s="18" t="inlineStr">
        <is>
          <t>https://www.chittorgarh.com/ipo/executive-centre-ipo/2544/</t>
        </is>
      </c>
    </row>
    <row r="171" ht="15" customHeight="1" s="12">
      <c r="A171" s="14" t="n">
        <v>170</v>
      </c>
      <c r="B171" s="15" t="inlineStr">
        <is>
          <t>Oswal Energies Limited</t>
        </is>
      </c>
      <c r="C171" s="16" t="n">
        <v>45861</v>
      </c>
      <c r="D171" s="16" t="n">
        <v>45861</v>
      </c>
      <c r="E171" s="15" t="inlineStr">
        <is>
          <t>DRHP</t>
        </is>
      </c>
      <c r="F171" s="15" t="inlineStr">
        <is>
          <t>Regular DRHP</t>
        </is>
      </c>
      <c r="G171" s="16" t="n"/>
      <c r="H171" s="15" t="inlineStr">
        <is>
          <t>DRHP filed — issue dates not announced</t>
        </is>
      </c>
      <c r="I171" s="17" t="n"/>
      <c r="J171" s="17" t="n"/>
      <c r="K171" s="17" t="n"/>
      <c r="L171" s="14" t="n"/>
      <c r="M171" s="14" t="n"/>
      <c r="N171" s="14" t="n"/>
      <c r="O171" s="15" t="inlineStr">
        <is>
          <t>Not read — see DRHP PDF</t>
        </is>
      </c>
      <c r="P171" s="15" t="inlineStr">
        <is>
          <t>Offer terms not extracted — open the DRHP PDF</t>
        </is>
      </c>
      <c r="Q171" s="18" t="inlineStr">
        <is>
          <t>https://www.sebi.gov.in/sebi_data/attachdocs/jul-2025/1753270215879_878.pdf</t>
        </is>
      </c>
      <c r="R171" s="18" t="inlineStr">
        <is>
          <t>https://www.sebi.gov.in/filings/public-issues/jul-2025/oswal-energies-limited_95557.html</t>
        </is>
      </c>
      <c r="S171" s="15" t="n"/>
      <c r="T171" s="14" t="n">
        <v>0</v>
      </c>
      <c r="U171" s="16" t="n"/>
      <c r="V171" s="16" t="n"/>
      <c r="W171" s="16" t="n"/>
      <c r="X171" s="15" t="inlineStr">
        <is>
          <t>Dates not announced</t>
        </is>
      </c>
      <c r="Y171" s="15" t="inlineStr">
        <is>
          <t>SEBI nod 9-Dec-2025; dates not yet announced</t>
        </is>
      </c>
      <c r="Z171" s="18" t="inlineStr">
        <is>
          <t>https://www.chittorgarh.com/ipo/oswal-energies-ipo/2540/</t>
        </is>
      </c>
    </row>
    <row r="172" ht="15" customHeight="1" s="12">
      <c r="A172" s="14" t="n">
        <v>171</v>
      </c>
      <c r="B172" s="15" t="inlineStr">
        <is>
          <t>Orient Cables Limited</t>
        </is>
      </c>
      <c r="C172" s="16" t="n">
        <v>45860</v>
      </c>
      <c r="D172" s="16" t="n">
        <v>45860</v>
      </c>
      <c r="E172" s="15" t="inlineStr">
        <is>
          <t>DRHP</t>
        </is>
      </c>
      <c r="F172" s="15" t="inlineStr">
        <is>
          <t>Regular DRHP</t>
        </is>
      </c>
      <c r="G172" s="16" t="n"/>
      <c r="H172" s="15" t="inlineStr">
        <is>
          <t>DRHP filed — issue dates not announced</t>
        </is>
      </c>
      <c r="I172" s="17" t="n"/>
      <c r="J172" s="17" t="n"/>
      <c r="K172" s="17" t="n"/>
      <c r="L172" s="14" t="n"/>
      <c r="M172" s="14" t="n"/>
      <c r="N172" s="14" t="n"/>
      <c r="O172" s="15" t="inlineStr">
        <is>
          <t>Not read — see DRHP PDF</t>
        </is>
      </c>
      <c r="P172" s="15" t="inlineStr">
        <is>
          <t>Offer terms not extracted — open the DRHP PDF</t>
        </is>
      </c>
      <c r="Q172" s="18" t="inlineStr">
        <is>
          <t>https://www.sebi.gov.in/sebi_data/attachdocs/jul-2025/1753171926581.pdf</t>
        </is>
      </c>
      <c r="R172" s="18" t="inlineStr">
        <is>
          <t>https://www.sebi.gov.in/filings/public-issues/jul-2025/orient-cables-limited-drhp_95503.html</t>
        </is>
      </c>
      <c r="S172" s="15" t="n"/>
      <c r="T172" s="14" t="n">
        <v>1</v>
      </c>
      <c r="U172" s="19" t="n">
        <v>46290</v>
      </c>
      <c r="V172" s="19" t="n">
        <v>46294</v>
      </c>
      <c r="W172" s="19" t="n">
        <v>46300</v>
      </c>
      <c r="X172" s="20" t="inlineStr">
        <is>
          <t>Issue closed — listing pending</t>
        </is>
      </c>
      <c r="Y172" s="15" t="inlineStr">
        <is>
          <t>Price band Rs258-272; Rs552cr; listing 5-Oct-2026 tentative (not yet listed)</t>
        </is>
      </c>
      <c r="Z172" s="18" t="inlineStr">
        <is>
          <t>https://ipowatch.in/orient-cables-ipo/</t>
        </is>
      </c>
    </row>
    <row r="173" ht="15" customHeight="1" s="12">
      <c r="A173" s="14" t="n">
        <v>172</v>
      </c>
      <c r="B173" s="15" t="inlineStr">
        <is>
          <t>AGGCON EQUIPMENTS INTERNATIONAL LIMITED</t>
        </is>
      </c>
      <c r="C173" s="16" t="n">
        <v>45852</v>
      </c>
      <c r="D173" s="16" t="n">
        <v>45854</v>
      </c>
      <c r="E173" s="15" t="inlineStr">
        <is>
          <t>DRHP</t>
        </is>
      </c>
      <c r="F173" s="15" t="inlineStr">
        <is>
          <t>Regular DRHP</t>
        </is>
      </c>
      <c r="G173" s="16" t="n"/>
      <c r="H173" s="15" t="inlineStr">
        <is>
          <t>DRHP filed — issue dates not announced</t>
        </is>
      </c>
      <c r="I173" s="17" t="n"/>
      <c r="J173" s="17" t="n"/>
      <c r="K173" s="17" t="n"/>
      <c r="L173" s="14" t="n"/>
      <c r="M173" s="14" t="n"/>
      <c r="N173" s="14" t="n"/>
      <c r="O173" s="15" t="inlineStr">
        <is>
          <t>Not read — see DRHP PDF</t>
        </is>
      </c>
      <c r="P173" s="15" t="inlineStr">
        <is>
          <t>Offer terms not extracted — open the DRHP PDF</t>
        </is>
      </c>
      <c r="Q173" s="18" t="inlineStr">
        <is>
          <t>https://www.sebi.gov.in/sebi_data/attachdocs/jul-2025/1752665404329_867.pdf</t>
        </is>
      </c>
      <c r="R173" s="18" t="inlineStr">
        <is>
          <t>https://www.sebi.gov.in/filings/public-issues/jul-2025/aggcon-equipments-international-limited_95349.html</t>
        </is>
      </c>
      <c r="S173" s="15" t="n"/>
      <c r="T173" s="14" t="n">
        <v>0</v>
      </c>
      <c r="U173" s="16" t="n"/>
      <c r="V173" s="16" t="n"/>
      <c r="W173" s="16" t="n"/>
      <c r="X173" s="15" t="inlineStr">
        <is>
          <t>Dates not announced</t>
        </is>
      </c>
      <c r="Y173" s="15" t="inlineStr">
        <is>
          <t>SEBI nod 17-Oct-2025; dates not yet announced</t>
        </is>
      </c>
      <c r="Z173" s="18" t="inlineStr">
        <is>
          <t>https://www.chittorgarh.com/ipo/aggcon-equipments-international-ipo/2531/</t>
        </is>
      </c>
    </row>
    <row r="174" ht="15" customHeight="1" s="12">
      <c r="A174" s="14" t="n">
        <v>173</v>
      </c>
      <c r="B174" s="15" t="inlineStr">
        <is>
          <t>Allied Engineering Works Limited</t>
        </is>
      </c>
      <c r="C174" s="16" t="n">
        <v>45849</v>
      </c>
      <c r="D174" s="16" t="n">
        <v>45849</v>
      </c>
      <c r="E174" s="15" t="inlineStr">
        <is>
          <t>DRHP</t>
        </is>
      </c>
      <c r="F174" s="15" t="inlineStr">
        <is>
          <t>Regular DRHP</t>
        </is>
      </c>
      <c r="G174" s="16" t="n"/>
      <c r="H174" s="15" t="inlineStr">
        <is>
          <t>DRHP filed — issue dates not announced</t>
        </is>
      </c>
      <c r="I174" s="17" t="n"/>
      <c r="J174" s="17" t="n"/>
      <c r="K174" s="17" t="n"/>
      <c r="L174" s="14" t="n"/>
      <c r="M174" s="14" t="n"/>
      <c r="N174" s="14" t="n"/>
      <c r="O174" s="15" t="inlineStr">
        <is>
          <t>Not read — see DRHP PDF</t>
        </is>
      </c>
      <c r="P174" s="15" t="inlineStr">
        <is>
          <t>Offer terms not extracted — open the DRHP PDF</t>
        </is>
      </c>
      <c r="Q174" s="18" t="inlineStr">
        <is>
          <t>https://www.sebi.gov.in/sebi_data/attachdocs/jul-2025/1752219016712_862.pdf</t>
        </is>
      </c>
      <c r="R174" s="18" t="inlineStr">
        <is>
          <t>https://www.sebi.gov.in/filings/public-issues/jul-2025/allied-engineering-works-limited_95201.html</t>
        </is>
      </c>
      <c r="S174" s="15" t="n"/>
      <c r="T174" s="14" t="n">
        <v>0</v>
      </c>
      <c r="U174" s="16" t="n"/>
      <c r="V174" s="16" t="n"/>
      <c r="W174" s="16" t="n"/>
      <c r="X174" s="15" t="inlineStr">
        <is>
          <t>Dates not announced</t>
        </is>
      </c>
      <c r="Y174" s="15" t="inlineStr">
        <is>
          <t>SEBI nod 30-Oct-2025; dates not yet announced</t>
        </is>
      </c>
      <c r="Z174" s="18" t="inlineStr">
        <is>
          <t>https://www.chittorgarh.com/ipo/allied-engineering-works-ipo/2519/</t>
        </is>
      </c>
    </row>
    <row r="175" ht="15" customHeight="1" s="12">
      <c r="A175" s="14" t="n">
        <v>174</v>
      </c>
      <c r="B175" s="15" t="inlineStr">
        <is>
          <t>SAFEX CHEMICALS INDIA LIMITED</t>
        </is>
      </c>
      <c r="C175" s="16" t="n">
        <v>45846</v>
      </c>
      <c r="D175" s="16" t="n">
        <v>45846</v>
      </c>
      <c r="E175" s="15" t="inlineStr">
        <is>
          <t>DRHP</t>
        </is>
      </c>
      <c r="F175" s="15" t="inlineStr">
        <is>
          <t>Regular DRHP</t>
        </is>
      </c>
      <c r="G175" s="16" t="n"/>
      <c r="H175" s="15" t="inlineStr">
        <is>
          <t>DRHP filed — issue dates not announced</t>
        </is>
      </c>
      <c r="I175" s="17" t="n"/>
      <c r="J175" s="17" t="n"/>
      <c r="K175" s="17" t="n"/>
      <c r="L175" s="14" t="n"/>
      <c r="M175" s="14" t="n"/>
      <c r="N175" s="14" t="n"/>
      <c r="O175" s="15" t="inlineStr">
        <is>
          <t>Not read — see DRHP PDF</t>
        </is>
      </c>
      <c r="P175" s="15" t="inlineStr">
        <is>
          <t>Offer terms not extracted — open the DRHP PDF</t>
        </is>
      </c>
      <c r="Q175" s="18" t="inlineStr">
        <is>
          <t>https://www.sebi.gov.in/sebi_data/attachdocs/jul-2025/1751959819550_855.pdf</t>
        </is>
      </c>
      <c r="R175" s="18" t="inlineStr">
        <is>
          <t>https://www.sebi.gov.in/filings/public-issues/jul-2025/safex-chemicals-india-limited_95115.html</t>
        </is>
      </c>
      <c r="S175" s="15" t="n"/>
      <c r="T175" s="14" t="n">
        <v>0</v>
      </c>
      <c r="U175" s="16" t="n"/>
      <c r="V175" s="16" t="n"/>
      <c r="W175" s="16" t="n"/>
      <c r="X175" s="15" t="inlineStr">
        <is>
          <t>Dates not announced</t>
        </is>
      </c>
      <c r="Y175" s="15" t="inlineStr">
        <is>
          <t>SEBI nod 17-Oct-2025; dates not yet announced</t>
        </is>
      </c>
      <c r="Z175" s="18" t="inlineStr">
        <is>
          <t>https://www.chittorgarh.com/ipo/safex-chemicals-ipo/2520/</t>
        </is>
      </c>
    </row>
    <row r="176" ht="15" customHeight="1" s="12">
      <c r="A176" s="14" t="n">
        <v>175</v>
      </c>
      <c r="B176" s="15" t="inlineStr">
        <is>
          <t>German Green Steel and Power Limited</t>
        </is>
      </c>
      <c r="C176" s="16" t="n">
        <v>45846</v>
      </c>
      <c r="D176" s="16" t="n">
        <v>45846</v>
      </c>
      <c r="E176" s="15" t="inlineStr">
        <is>
          <t>DRHP</t>
        </is>
      </c>
      <c r="F176" s="15" t="inlineStr">
        <is>
          <t>Regular DRHP</t>
        </is>
      </c>
      <c r="G176" s="16" t="n"/>
      <c r="H176" s="15" t="inlineStr">
        <is>
          <t>DRHP filed — issue dates not announced</t>
        </is>
      </c>
      <c r="I176" s="17" t="n"/>
      <c r="J176" s="17" t="n"/>
      <c r="K176" s="17" t="n"/>
      <c r="L176" s="14" t="n"/>
      <c r="M176" s="14" t="n"/>
      <c r="N176" s="14" t="n"/>
      <c r="O176" s="15" t="inlineStr">
        <is>
          <t>Not read — see DRHP PDF</t>
        </is>
      </c>
      <c r="P176" s="15" t="inlineStr">
        <is>
          <t>Offer terms not extracted — open the DRHP PDF</t>
        </is>
      </c>
      <c r="Q176" s="18" t="inlineStr">
        <is>
          <t>https://www.sebi.gov.in/sebi_data/attachdocs/aug-2026/1787315835585.pdf</t>
        </is>
      </c>
      <c r="R176" s="18" t="inlineStr">
        <is>
          <t>https://www.sebi.gov.in/filings/public-issues/jul-2025/german-green-steel-and-power-limited-drhp_95113.html</t>
        </is>
      </c>
      <c r="S176" s="15" t="n"/>
      <c r="T176" s="14" t="n">
        <v>2</v>
      </c>
      <c r="U176" s="19" t="n">
        <v>46290</v>
      </c>
      <c r="V176" s="19" t="n">
        <v>46294</v>
      </c>
      <c r="W176" s="19" t="n">
        <v>46300</v>
      </c>
      <c r="X176" s="20" t="inlineStr">
        <is>
          <t>Issue closed — listing pending</t>
        </is>
      </c>
      <c r="Y176" s="15" t="inlineStr">
        <is>
          <t>Price band Rs132-139; subscribed 30.4x; listing 5-Oct-2026 tentative</t>
        </is>
      </c>
      <c r="Z176" s="18" t="inlineStr">
        <is>
          <t>https://www.chittorgarh.com/ipo/german-green-steel-and-power-ipo/2497/</t>
        </is>
      </c>
    </row>
    <row r="177" ht="15" customHeight="1" s="12">
      <c r="A177" s="14" t="n">
        <v>176</v>
      </c>
      <c r="B177" s="15" t="inlineStr">
        <is>
          <t>Sillverton Industries Limited</t>
        </is>
      </c>
      <c r="C177" s="16" t="n">
        <v>45841</v>
      </c>
      <c r="D177" s="16" t="n">
        <v>45841</v>
      </c>
      <c r="E177" s="15" t="inlineStr">
        <is>
          <t>DRHP</t>
        </is>
      </c>
      <c r="F177" s="15" t="inlineStr">
        <is>
          <t>Regular DRHP</t>
        </is>
      </c>
      <c r="G177" s="16" t="n"/>
      <c r="H177" s="15" t="inlineStr">
        <is>
          <t>DRHP filed — issue dates not announced</t>
        </is>
      </c>
      <c r="I177" s="17" t="n"/>
      <c r="J177" s="17" t="n"/>
      <c r="K177" s="17" t="n"/>
      <c r="L177" s="14" t="n"/>
      <c r="M177" s="14" t="n"/>
      <c r="N177" s="14" t="n"/>
      <c r="O177" s="15" t="inlineStr">
        <is>
          <t>Not read — see DRHP PDF</t>
        </is>
      </c>
      <c r="P177" s="15" t="inlineStr">
        <is>
          <t>Offer terms not extracted — open the DRHP PDF</t>
        </is>
      </c>
      <c r="Q177" s="18" t="inlineStr">
        <is>
          <t>https://www.sebi.gov.in/sebi_data/attachdocs/jul-2025/1751542207660_843.pdf</t>
        </is>
      </c>
      <c r="R177" s="18" t="inlineStr">
        <is>
          <t>https://www.sebi.gov.in/filings/public-issues/jul-2025/sillverton-industries-limited_95023.html</t>
        </is>
      </c>
      <c r="S177" s="15" t="n"/>
      <c r="T177" s="14" t="n">
        <v>2</v>
      </c>
      <c r="U177" s="16" t="n"/>
      <c r="V177" s="16" t="n"/>
      <c r="W177" s="16" t="n"/>
      <c r="X177" s="15" t="inlineStr">
        <is>
          <t>Dates not announced</t>
        </is>
      </c>
      <c r="Y177" s="15" t="inlineStr">
        <is>
          <t>SEBI nod 12-Jan-2026; dates not yet announced</t>
        </is>
      </c>
      <c r="Z177" s="18" t="inlineStr">
        <is>
          <t>https://www.chittorgarh.com/ipo/sillverton-industries-ipo/2499/</t>
        </is>
      </c>
    </row>
    <row r="178" ht="15" customHeight="1" s="12">
      <c r="A178" s="14" t="n">
        <v>177</v>
      </c>
      <c r="B178" s="15" t="inlineStr">
        <is>
          <t>Rayzon Solar Limited</t>
        </is>
      </c>
      <c r="C178" s="16" t="n">
        <v>45841</v>
      </c>
      <c r="D178" s="16" t="n">
        <v>45841</v>
      </c>
      <c r="E178" s="15" t="inlineStr">
        <is>
          <t>DRHP</t>
        </is>
      </c>
      <c r="F178" s="15" t="inlineStr">
        <is>
          <t>Regular DRHP</t>
        </is>
      </c>
      <c r="G178" s="16" t="n"/>
      <c r="H178" s="15" t="inlineStr">
        <is>
          <t>DRHP filed — issue dates not announced</t>
        </is>
      </c>
      <c r="I178" s="17" t="n"/>
      <c r="J178" s="17" t="n"/>
      <c r="K178" s="17" t="n"/>
      <c r="L178" s="14" t="n"/>
      <c r="M178" s="14" t="n"/>
      <c r="N178" s="14" t="n"/>
      <c r="O178" s="15" t="inlineStr">
        <is>
          <t>Not read — see DRHP PDF</t>
        </is>
      </c>
      <c r="P178" s="15" t="inlineStr">
        <is>
          <t>Offer terms not extracted — open the DRHP PDF</t>
        </is>
      </c>
      <c r="Q178" s="18" t="inlineStr">
        <is>
          <t>https://www.sebi.gov.in/sebi_data/attachdocs/jul-2025/1751527808198_840.pdf</t>
        </is>
      </c>
      <c r="R178" s="18" t="inlineStr">
        <is>
          <t>https://www.sebi.gov.in/filings/public-issues/jul-2025/rayzon-solar-limited_95011.html</t>
        </is>
      </c>
      <c r="S178" s="15" t="n"/>
      <c r="T178" s="14" t="n">
        <v>1</v>
      </c>
      <c r="U178" s="16" t="n"/>
      <c r="V178" s="16" t="n"/>
      <c r="W178" s="16" t="n"/>
      <c r="X178" s="15" t="inlineStr">
        <is>
          <t>Dates not announced</t>
        </is>
      </c>
      <c r="Y178" s="15" t="inlineStr">
        <is>
          <t>SEBI nod 13-Oct-2025 (valid till Oct-2026); dates not announced</t>
        </is>
      </c>
      <c r="Z178" s="18" t="inlineStr">
        <is>
          <t>https://www.chittorgarh.com/ipo/rayzon-solar-ipo/2490/</t>
        </is>
      </c>
    </row>
    <row r="179" ht="15" customHeight="1" s="12">
      <c r="A179" s="14" t="n">
        <v>178</v>
      </c>
      <c r="B179" s="15" t="inlineStr">
        <is>
          <t>Curefoods India Limited</t>
        </is>
      </c>
      <c r="C179" s="16" t="n">
        <v>45841</v>
      </c>
      <c r="D179" s="16" t="n">
        <v>45841</v>
      </c>
      <c r="E179" s="15" t="inlineStr">
        <is>
          <t>DRHP</t>
        </is>
      </c>
      <c r="F179" s="15" t="inlineStr">
        <is>
          <t>Regular DRHP</t>
        </is>
      </c>
      <c r="G179" s="16" t="n"/>
      <c r="H179" s="15" t="inlineStr">
        <is>
          <t>DRHP filed — issue dates not announced</t>
        </is>
      </c>
      <c r="I179" s="17" t="n"/>
      <c r="J179" s="17" t="n"/>
      <c r="K179" s="17" t="n"/>
      <c r="L179" s="14" t="n"/>
      <c r="M179" s="14" t="n"/>
      <c r="N179" s="14" t="n"/>
      <c r="O179" s="15" t="inlineStr">
        <is>
          <t>Not read — see DRHP PDF</t>
        </is>
      </c>
      <c r="P179" s="15" t="inlineStr">
        <is>
          <t>Offer terms not extracted — open the DRHP PDF</t>
        </is>
      </c>
      <c r="Q179" s="18" t="inlineStr">
        <is>
          <t>https://www.sebi.gov.in/sebi_data/attachdocs/jul-2025/1751527808198_841.pdf</t>
        </is>
      </c>
      <c r="R179" s="18" t="inlineStr">
        <is>
          <t>https://www.sebi.gov.in/filings/public-issues/jul-2025/curefoods-india-limited_95013.html</t>
        </is>
      </c>
      <c r="S179" s="15" t="n"/>
      <c r="T179" s="14" t="n">
        <v>0</v>
      </c>
      <c r="U179" s="16" t="n"/>
      <c r="V179" s="16" t="n"/>
      <c r="W179" s="16" t="n"/>
      <c r="X179" s="15" t="inlineStr">
        <is>
          <t>Dates not announced</t>
        </is>
      </c>
      <c r="Y179" s="15" t="inlineStr">
        <is>
          <t>SEBI nod 24-Oct-2025; IPO reportedly shelved Jun-2026; no dates (secondary source)</t>
        </is>
      </c>
      <c r="Z179" s="18" t="inlineStr">
        <is>
          <t>https://curvedtrading.com/articles/en/investing/curefoods-ipo/</t>
        </is>
      </c>
    </row>
    <row r="180" ht="15" customHeight="1" s="12">
      <c r="A180" s="14" t="n">
        <v>179</v>
      </c>
      <c r="B180" s="15" t="inlineStr">
        <is>
          <t>AMIR CHAND JAGDISH KUMAR EXPORTS LIMITED</t>
        </is>
      </c>
      <c r="C180" s="16" t="n">
        <v>45841</v>
      </c>
      <c r="D180" s="16" t="n">
        <v>45841</v>
      </c>
      <c r="E180" s="15" t="inlineStr">
        <is>
          <t>DRHP</t>
        </is>
      </c>
      <c r="F180" s="15" t="inlineStr">
        <is>
          <t>Regular DRHP</t>
        </is>
      </c>
      <c r="G180" s="16" t="n"/>
      <c r="H180" s="15" t="inlineStr">
        <is>
          <t>DRHP filed — issue dates not announced</t>
        </is>
      </c>
      <c r="I180" s="17" t="n"/>
      <c r="J180" s="17" t="n"/>
      <c r="K180" s="17" t="n"/>
      <c r="L180" s="14" t="n"/>
      <c r="M180" s="14" t="n"/>
      <c r="N180" s="14" t="n"/>
      <c r="O180" s="15" t="inlineStr">
        <is>
          <t>Not read — see DRHP PDF</t>
        </is>
      </c>
      <c r="P180" s="15" t="inlineStr">
        <is>
          <t>Offer terms not extracted — open the DRHP PDF</t>
        </is>
      </c>
      <c r="Q180" s="18" t="inlineStr">
        <is>
          <t>https://www.sebi.gov.in/sebi_data/attachdocs/jul-2025/1751542207660_845.pdf</t>
        </is>
      </c>
      <c r="R180" s="18" t="inlineStr">
        <is>
          <t>https://www.sebi.gov.in/filings/public-issues/jul-2025/amir-chand-jagdish-kumar-exports-limited_95027.html</t>
        </is>
      </c>
      <c r="S180" s="15" t="n"/>
      <c r="T180" s="14" t="n">
        <v>0</v>
      </c>
      <c r="U180" s="19" t="n">
        <v>46105</v>
      </c>
      <c r="V180" s="19" t="n">
        <v>46108</v>
      </c>
      <c r="W180" s="19" t="n">
        <v>46114</v>
      </c>
      <c r="X180" s="20" t="inlineStr">
        <is>
          <t>Listed</t>
        </is>
      </c>
      <c r="Y180" s="15" t="inlineStr">
        <is>
          <t>Price band Rs201-212; issue price Rs212; Rs440cr</t>
        </is>
      </c>
      <c r="Z180" s="18" t="inlineStr">
        <is>
          <t>https://www.chittorgarh.com/ipo/amir-chand-jagdish-kumar-ipo/2501/</t>
        </is>
      </c>
    </row>
    <row r="181" ht="15" customHeight="1" s="12">
      <c r="A181" s="14" t="n">
        <v>180</v>
      </c>
      <c r="B181" s="15" t="inlineStr">
        <is>
          <t>Foodlink F&amp;B Holdings India Limited</t>
        </is>
      </c>
      <c r="C181" s="16" t="n">
        <v>45840</v>
      </c>
      <c r="D181" s="16" t="n">
        <v>45840</v>
      </c>
      <c r="E181" s="15" t="inlineStr">
        <is>
          <t>DRHP</t>
        </is>
      </c>
      <c r="F181" s="15" t="inlineStr">
        <is>
          <t>Regular DRHP</t>
        </is>
      </c>
      <c r="G181" s="16" t="n"/>
      <c r="H181" s="15" t="inlineStr">
        <is>
          <t>DRHP filed — issue dates not announced</t>
        </is>
      </c>
      <c r="I181" s="17" t="n"/>
      <c r="J181" s="17" t="n"/>
      <c r="K181" s="17" t="n"/>
      <c r="L181" s="14" t="n"/>
      <c r="M181" s="14" t="n"/>
      <c r="N181" s="14" t="n"/>
      <c r="O181" s="15" t="inlineStr">
        <is>
          <t>Not read — see DRHP PDF</t>
        </is>
      </c>
      <c r="P181" s="15" t="inlineStr">
        <is>
          <t>Offer terms not extracted — open the DRHP PDF</t>
        </is>
      </c>
      <c r="Q181" s="18" t="inlineStr">
        <is>
          <t>https://www.sebi.gov.in/sebi_data/attachdocs/jul-2025/1751455806758_838.pdf</t>
        </is>
      </c>
      <c r="R181" s="18" t="inlineStr">
        <is>
          <t>https://www.sebi.gov.in/filings/public-issues/jul-2025/foodlink-fandb-holdings-india-limited_94988.html</t>
        </is>
      </c>
      <c r="S181" s="15" t="n"/>
      <c r="T181" s="14" t="n">
        <v>0</v>
      </c>
      <c r="U181" s="16" t="n"/>
      <c r="V181" s="16" t="n"/>
      <c r="W181" s="16" t="n"/>
      <c r="X181" s="15" t="inlineStr">
        <is>
          <t>Dates not announced</t>
        </is>
      </c>
      <c r="Y181" s="15" t="inlineStr">
        <is>
          <t>SEBI nod 28-Nov-2025; dates not yet announced</t>
        </is>
      </c>
      <c r="Z181" s="18" t="inlineStr">
        <is>
          <t>https://www.chittorgarh.com/ipo/foodlink-fb-ipo/2493/</t>
        </is>
      </c>
    </row>
    <row r="182" ht="15" customHeight="1" s="12">
      <c r="A182" s="14" t="n">
        <v>181</v>
      </c>
      <c r="B182" s="15" t="inlineStr">
        <is>
          <t>Earthood Services Limited</t>
        </is>
      </c>
      <c r="C182" s="16" t="n">
        <v>45663</v>
      </c>
      <c r="D182" s="16" t="n">
        <v>45838</v>
      </c>
      <c r="E182" s="15" t="inlineStr">
        <is>
          <t>DRHP</t>
        </is>
      </c>
      <c r="F182" s="15" t="inlineStr">
        <is>
          <t>Regular DRHP</t>
        </is>
      </c>
      <c r="G182" s="16" t="n"/>
      <c r="H182" s="15" t="inlineStr">
        <is>
          <t>DRHP filed — issue dates not announced</t>
        </is>
      </c>
      <c r="I182" s="17" t="n"/>
      <c r="J182" s="17" t="n"/>
      <c r="K182" s="17" t="n"/>
      <c r="L182" s="14" t="n"/>
      <c r="M182" s="14" t="n"/>
      <c r="N182" s="14" t="n"/>
      <c r="O182" s="15" t="inlineStr">
        <is>
          <t>Not read — see DRHP PDF</t>
        </is>
      </c>
      <c r="P182" s="15" t="inlineStr">
        <is>
          <t>Offer terms not extracted — open the DRHP PDF</t>
        </is>
      </c>
      <c r="Q182" s="18" t="inlineStr">
        <is>
          <t>https://www.sebi.gov.in/sebi_data/attachdocs/jun-2025/1751268605601_824.pdf</t>
        </is>
      </c>
      <c r="R182" s="18" t="inlineStr">
        <is>
          <t>https://www.sebi.gov.in/filings/public-issues/jun-2025/earthood-services-limited_94857.html</t>
        </is>
      </c>
      <c r="S182" s="15" t="n"/>
      <c r="T182" s="14" t="n">
        <v>0</v>
      </c>
      <c r="U182" s="16" t="n"/>
      <c r="V182" s="16" t="n"/>
      <c r="W182" s="16" t="n"/>
      <c r="X182" s="15" t="inlineStr">
        <is>
          <t>DRHP withdrawn</t>
        </is>
      </c>
      <c r="Y182" s="15" t="inlineStr">
        <is>
          <t>DRHP withdrawn from SEBI on 2026-02-23</t>
        </is>
      </c>
      <c r="Z182" s="18" t="inlineStr">
        <is>
          <t>https://www.chittorgarh.com/ipo/earthood-services-ipo/2071/</t>
        </is>
      </c>
    </row>
    <row r="183" ht="15" customHeight="1" s="12">
      <c r="A183" s="14" t="n">
        <v>182</v>
      </c>
      <c r="B183" s="15" t="inlineStr">
        <is>
          <t>Credila Financial Services Limited</t>
        </is>
      </c>
      <c r="C183" s="16" t="n">
        <v>45835</v>
      </c>
      <c r="D183" s="16" t="n">
        <v>45835</v>
      </c>
      <c r="E183" s="15" t="inlineStr">
        <is>
          <t>UDRHP-I</t>
        </is>
      </c>
      <c r="F183" s="15" t="inlineStr">
        <is>
          <t>Confidential pre-filing (UDRHP-I published)</t>
        </is>
      </c>
      <c r="G183" s="16" t="n"/>
      <c r="H183" s="15" t="inlineStr">
        <is>
          <t>DRHP filed — issue dates not announced</t>
        </is>
      </c>
      <c r="I183" s="17" t="n"/>
      <c r="J183" s="17" t="n"/>
      <c r="K183" s="17" t="n"/>
      <c r="L183" s="14" t="n"/>
      <c r="M183" s="14" t="n"/>
      <c r="N183" s="14" t="n"/>
      <c r="O183" s="15" t="inlineStr">
        <is>
          <t>Not read — see DRHP PDF</t>
        </is>
      </c>
      <c r="P183" s="15" t="inlineStr">
        <is>
          <t>Offer terms not extracted — open the DRHP PDF</t>
        </is>
      </c>
      <c r="Q183" s="18" t="inlineStr">
        <is>
          <t>https://www.sebi.gov.in/sebi_data/attachdocs/jul-2025/1751348686934.pdf</t>
        </is>
      </c>
      <c r="R183" s="18" t="inlineStr">
        <is>
          <t>https://www.sebi.gov.in/filings/public-issues/jun-2025/credila-financial-services-limited-udrhp-1_94914.html</t>
        </is>
      </c>
      <c r="S183" s="15" t="n"/>
      <c r="T183" s="14" t="n">
        <v>0</v>
      </c>
      <c r="U183" s="16" t="n"/>
      <c r="V183" s="16" t="n"/>
      <c r="W183" s="16" t="n"/>
      <c r="X183" s="15" t="inlineStr">
        <is>
          <t>Dates not announced</t>
        </is>
      </c>
      <c r="Y183" s="15" t="inlineStr">
        <is>
          <t>SEBI nod 15-May-2025 (18-month validity); dates not announced</t>
        </is>
      </c>
      <c r="Z183" s="18" t="inlineStr">
        <is>
          <t>https://www.chittorgarh.com/ipo/credila-financial-services-ipo/2263/</t>
        </is>
      </c>
    </row>
    <row r="184" ht="15" customHeight="1" s="12">
      <c r="A184" s="14" t="n">
        <v>183</v>
      </c>
      <c r="B184" s="15" t="inlineStr">
        <is>
          <t>Tea Post Limited</t>
        </is>
      </c>
      <c r="C184" s="16" t="n">
        <v>45820</v>
      </c>
      <c r="D184" s="16" t="n">
        <v>45820</v>
      </c>
      <c r="E184" s="15" t="inlineStr">
        <is>
          <t>DRHP</t>
        </is>
      </c>
      <c r="F184" s="15" t="inlineStr">
        <is>
          <t>Regular DRHP</t>
        </is>
      </c>
      <c r="G184" s="16" t="n"/>
      <c r="H184" s="15" t="inlineStr">
        <is>
          <t>DRHP filed — issue dates not announced</t>
        </is>
      </c>
      <c r="I184" s="17" t="n"/>
      <c r="J184" s="17" t="n"/>
      <c r="K184" s="17" t="n"/>
      <c r="L184" s="14" t="n"/>
      <c r="M184" s="14" t="n"/>
      <c r="N184" s="14" t="n"/>
      <c r="O184" s="15" t="inlineStr">
        <is>
          <t>Not read — see DRHP PDF</t>
        </is>
      </c>
      <c r="P184" s="15" t="inlineStr">
        <is>
          <t>Offer terms not extracted — open the DRHP PDF</t>
        </is>
      </c>
      <c r="Q184" s="18" t="inlineStr">
        <is>
          <t>https://www.sebi.gov.in/sebi_data/attachdocs/jun-2025/1749727806894_815.pdf</t>
        </is>
      </c>
      <c r="R184" s="18" t="inlineStr">
        <is>
          <t>https://www.sebi.gov.in/filings/public-issues/jun-2025/tea-post-limited_94561.html</t>
        </is>
      </c>
      <c r="S184" s="15" t="n"/>
      <c r="T184" s="14" t="n">
        <v>0</v>
      </c>
      <c r="U184" s="16" t="n"/>
      <c r="V184" s="16" t="n"/>
      <c r="W184" s="16" t="n"/>
      <c r="X184" s="15" t="inlineStr">
        <is>
          <t>Dates not announced</t>
        </is>
      </c>
      <c r="Y184" s="15" t="inlineStr">
        <is>
          <t>SEBI nod 10-Mar-2026; dates not yet announced</t>
        </is>
      </c>
      <c r="Z184" s="18" t="inlineStr">
        <is>
          <t>https://www.chittorgarh.com/ipo/tea-post-ipo/2442/</t>
        </is>
      </c>
    </row>
    <row r="185" ht="15" customHeight="1" s="12">
      <c r="A185" s="14" t="n">
        <v>184</v>
      </c>
      <c r="B185" s="15" t="inlineStr">
        <is>
          <t>DRHP of Neilsoft Limited</t>
        </is>
      </c>
      <c r="C185" s="16" t="n">
        <v>45812</v>
      </c>
      <c r="D185" s="16" t="n">
        <v>45812</v>
      </c>
      <c r="E185" s="15" t="inlineStr">
        <is>
          <t>DRHP</t>
        </is>
      </c>
      <c r="F185" s="15" t="inlineStr">
        <is>
          <t>Regular DRHP</t>
        </is>
      </c>
      <c r="G185" s="16" t="n"/>
      <c r="H185" s="15" t="inlineStr">
        <is>
          <t>DRHP filed — issue dates not announced</t>
        </is>
      </c>
      <c r="I185" s="17" t="n"/>
      <c r="J185" s="17" t="n"/>
      <c r="K185" s="17" t="n"/>
      <c r="L185" s="14" t="n"/>
      <c r="M185" s="14" t="n"/>
      <c r="N185" s="14" t="n"/>
      <c r="O185" s="15" t="inlineStr">
        <is>
          <t>Not read — see DRHP PDF</t>
        </is>
      </c>
      <c r="P185" s="15" t="inlineStr">
        <is>
          <t>Offer terms not extracted — open the DRHP PDF</t>
        </is>
      </c>
      <c r="Q185" s="18" t="inlineStr">
        <is>
          <t>https://www.sebi.gov.in/sebi_data/attachdocs/jun-2025/1749024129717.PDF</t>
        </is>
      </c>
      <c r="R185" s="18" t="inlineStr">
        <is>
          <t>https://www.sebi.gov.in/filings/public-issues/jun-2025/drhp-of-neilsoft-limited_94392.html</t>
        </is>
      </c>
      <c r="S185" s="15" t="n"/>
      <c r="T185" s="14" t="n">
        <v>0</v>
      </c>
      <c r="U185" s="16" t="n"/>
      <c r="V185" s="16" t="n"/>
      <c r="W185" s="16" t="n"/>
      <c r="X185" s="15" t="inlineStr">
        <is>
          <t>SEBI approval lapsed — no IPO</t>
        </is>
      </c>
      <c r="Y185" s="15" t="inlineStr">
        <is>
          <t>Earlier draft returned Mar-2025; refiled, SEBI nod Sep-2025, approval expired Sep-2026 without IPO</t>
        </is>
      </c>
      <c r="Z185" s="18" t="inlineStr">
        <is>
          <t>https://www.chittorgarh.com/ipo/neilsoft-ipo/2056/</t>
        </is>
      </c>
    </row>
    <row r="186" ht="15" customHeight="1" s="12">
      <c r="A186" s="14" t="n">
        <v>185</v>
      </c>
      <c r="B186" s="15" t="inlineStr">
        <is>
          <t>FUSION CX LIMITED</t>
        </is>
      </c>
      <c r="C186" s="16" t="n">
        <v>45807</v>
      </c>
      <c r="D186" s="16" t="n">
        <v>45807</v>
      </c>
      <c r="E186" s="15" t="inlineStr">
        <is>
          <t>DRHP</t>
        </is>
      </c>
      <c r="F186" s="15" t="inlineStr">
        <is>
          <t>Regular DRHP</t>
        </is>
      </c>
      <c r="G186" s="16" t="n"/>
      <c r="H186" s="15" t="inlineStr">
        <is>
          <t>DRHP filed — issue dates not announced</t>
        </is>
      </c>
      <c r="I186" s="17" t="n"/>
      <c r="J186" s="17" t="n"/>
      <c r="K186" s="17" t="n"/>
      <c r="L186" s="14" t="n"/>
      <c r="M186" s="14" t="n"/>
      <c r="N186" s="14" t="n"/>
      <c r="O186" s="15" t="inlineStr">
        <is>
          <t>Not read — see DRHP PDF</t>
        </is>
      </c>
      <c r="P186" s="15" t="inlineStr">
        <is>
          <t>Offer terms not extracted — open the DRHP PDF</t>
        </is>
      </c>
      <c r="Q186" s="18" t="inlineStr">
        <is>
          <t>https://www.sebi.gov.in/sebi_data/attachdocs/may-2025/1748604604661_809.pdf</t>
        </is>
      </c>
      <c r="R186" s="18" t="inlineStr">
        <is>
          <t>https://www.sebi.gov.in/filings/public-issues/may-2025/fusion-cx-limited_94311.html</t>
        </is>
      </c>
      <c r="S186" s="15" t="n"/>
      <c r="T186" s="14" t="n">
        <v>1</v>
      </c>
      <c r="U186" s="16" t="n"/>
      <c r="V186" s="16" t="n"/>
      <c r="W186" s="16" t="n"/>
      <c r="X186" s="15" t="inlineStr">
        <is>
          <t>Dates not announced</t>
        </is>
      </c>
      <c r="Y186" s="15" t="inlineStr">
        <is>
          <t>SEBI nod 11-Dec-2025; dates not announced (Mar-2026 dates on some sites are template errors)</t>
        </is>
      </c>
      <c r="Z186" s="18" t="inlineStr">
        <is>
          <t>https://www.chittorgarh.com/ipo/fusion-cx-ipo/2455/</t>
        </is>
      </c>
    </row>
    <row r="187" ht="15" customHeight="1" s="12">
      <c r="A187" s="14" t="n">
        <v>186</v>
      </c>
      <c r="B187" s="15" t="inlineStr">
        <is>
          <t>Kanodia Cement Limited</t>
        </is>
      </c>
      <c r="C187" s="16" t="n">
        <v>45806</v>
      </c>
      <c r="D187" s="16" t="n">
        <v>45806</v>
      </c>
      <c r="E187" s="15" t="inlineStr">
        <is>
          <t>DRHP</t>
        </is>
      </c>
      <c r="F187" s="15" t="inlineStr">
        <is>
          <t>Regular DRHP</t>
        </is>
      </c>
      <c r="G187" s="16" t="n"/>
      <c r="H187" s="15" t="inlineStr">
        <is>
          <t>DRHP filed — issue dates not announced</t>
        </is>
      </c>
      <c r="I187" s="17" t="n"/>
      <c r="J187" s="17" t="n"/>
      <c r="K187" s="17" t="n"/>
      <c r="L187" s="14" t="n"/>
      <c r="M187" s="14" t="n"/>
      <c r="N187" s="14" t="n"/>
      <c r="O187" s="15" t="inlineStr">
        <is>
          <t>Not read — see DRHP PDF</t>
        </is>
      </c>
      <c r="P187" s="15" t="inlineStr">
        <is>
          <t>Offer terms not extracted — open the DRHP PDF</t>
        </is>
      </c>
      <c r="Q187" s="18" t="inlineStr">
        <is>
          <t>https://www.sebi.gov.in/sebi_data/attachdocs/may-2025/1748518220350_802.pdf</t>
        </is>
      </c>
      <c r="R187" s="18" t="inlineStr">
        <is>
          <t>https://www.sebi.gov.in/filings/public-issues/may-2025/kanodia-cement-limited_94269.html</t>
        </is>
      </c>
      <c r="S187" s="15" t="n"/>
      <c r="T187" s="14" t="n">
        <v>0</v>
      </c>
      <c r="U187" s="16" t="n"/>
      <c r="V187" s="16" t="n"/>
      <c r="W187" s="16" t="n"/>
      <c r="X187" s="15" t="inlineStr">
        <is>
          <t>Dates not announced</t>
        </is>
      </c>
      <c r="Y187" s="15" t="inlineStr">
        <is>
          <t>SEBI nod 20-Oct-2025 (valid to Oct-2026); dates not announced</t>
        </is>
      </c>
      <c r="Z187" s="18" t="inlineStr">
        <is>
          <t>https://www.chittorgarh.com/ipo/kanodia-cement-ipo/2452/</t>
        </is>
      </c>
    </row>
    <row r="188" ht="15" customHeight="1" s="12">
      <c r="A188" s="14" t="n">
        <v>187</v>
      </c>
      <c r="B188" s="15" t="inlineStr">
        <is>
          <t>RAVI INFRABUILD PROJECTS LIMITED</t>
        </is>
      </c>
      <c r="C188" s="16" t="n">
        <v>45796</v>
      </c>
      <c r="D188" s="16" t="n">
        <v>45796</v>
      </c>
      <c r="E188" s="15" t="inlineStr">
        <is>
          <t>DRHP</t>
        </is>
      </c>
      <c r="F188" s="15" t="inlineStr">
        <is>
          <t>Regular DRHP</t>
        </is>
      </c>
      <c r="G188" s="16" t="n"/>
      <c r="H188" s="15" t="inlineStr">
        <is>
          <t>DRHP filed — issue dates not announced</t>
        </is>
      </c>
      <c r="I188" s="17" t="n"/>
      <c r="J188" s="17" t="n"/>
      <c r="K188" s="17" t="n"/>
      <c r="L188" s="14" t="n"/>
      <c r="M188" s="14" t="n"/>
      <c r="N188" s="14" t="n"/>
      <c r="O188" s="15" t="inlineStr">
        <is>
          <t>Not read — see DRHP PDF</t>
        </is>
      </c>
      <c r="P188" s="15" t="inlineStr">
        <is>
          <t>Offer terms not extracted — open the DRHP PDF</t>
        </is>
      </c>
      <c r="Q188" s="18" t="inlineStr">
        <is>
          <t>https://www.sebi.gov.in/sebi_data/attachdocs/may-2025/1747654204318_791.pdf</t>
        </is>
      </c>
      <c r="R188" s="18" t="inlineStr">
        <is>
          <t>https://www.sebi.gov.in/filings/public-issues/may-2025/ravi-infrabuild-projects-limited_94029.html</t>
        </is>
      </c>
      <c r="S188" s="15" t="n"/>
      <c r="T188" s="14" t="n">
        <v>0</v>
      </c>
      <c r="U188" s="16" t="n"/>
      <c r="V188" s="16" t="n"/>
      <c r="W188" s="16" t="n"/>
      <c r="X188" s="15" t="inlineStr">
        <is>
          <t>SEBI approval lapsed — no IPO</t>
        </is>
      </c>
      <c r="Y188" s="15" t="inlineStr">
        <is>
          <t>SEBI nod 21-Aug-2025; 12-month validity expired Aug-2026, no IPO dates</t>
        </is>
      </c>
      <c r="Z188" s="18" t="inlineStr">
        <is>
          <t>https://www.chittorgarh.com/ipo/ravi-infrabuild-ipo/2436/</t>
        </is>
      </c>
    </row>
    <row r="189" ht="15" customHeight="1" s="12">
      <c r="A189" s="14" t="n">
        <v>188</v>
      </c>
      <c r="B189" s="15" t="inlineStr">
        <is>
          <t>DRHP of Mouri Tech Limited</t>
        </is>
      </c>
      <c r="C189" s="16" t="n">
        <v>45793</v>
      </c>
      <c r="D189" s="16" t="n">
        <v>45793</v>
      </c>
      <c r="E189" s="15" t="inlineStr">
        <is>
          <t>DRHP</t>
        </is>
      </c>
      <c r="F189" s="15" t="inlineStr">
        <is>
          <t>Regular DRHP</t>
        </is>
      </c>
      <c r="G189" s="16" t="n"/>
      <c r="H189" s="15" t="inlineStr">
        <is>
          <t>DRHP filed — issue dates not announced</t>
        </is>
      </c>
      <c r="I189" s="17" t="n"/>
      <c r="J189" s="17" t="n"/>
      <c r="K189" s="17" t="n"/>
      <c r="L189" s="14" t="n"/>
      <c r="M189" s="14" t="n"/>
      <c r="N189" s="14" t="n"/>
      <c r="O189" s="15" t="inlineStr">
        <is>
          <t>Not read — see DRHP PDF</t>
        </is>
      </c>
      <c r="P189" s="15" t="inlineStr">
        <is>
          <t>Offer terms not extracted — open the DRHP PDF</t>
        </is>
      </c>
      <c r="Q189" s="18" t="inlineStr">
        <is>
          <t>https://www.sebi.gov.in/sebi_data/attachdocs/may-2025/1747395399489.pdf</t>
        </is>
      </c>
      <c r="R189" s="18" t="inlineStr">
        <is>
          <t>https://www.sebi.gov.in/filings/public-issues/may-2025/drhp-of-mouri-tech-limited_93994.html</t>
        </is>
      </c>
      <c r="S189" s="15" t="n"/>
      <c r="T189" s="14" t="n">
        <v>0</v>
      </c>
      <c r="U189" s="16" t="n"/>
      <c r="V189" s="16" t="n"/>
      <c r="W189" s="16" t="n"/>
      <c r="X189" s="15" t="inlineStr">
        <is>
          <t>SEBI approval lapsed — no IPO</t>
        </is>
      </c>
      <c r="Y189" s="15" t="inlineStr">
        <is>
          <t>SEBI nod 29-Aug-2025; validity expired by 30-Sep-2026, no IPO dates</t>
        </is>
      </c>
      <c r="Z189" s="18" t="inlineStr">
        <is>
          <t>https://www.chittorgarh.com/ipo/mouri-tech-ipo/2151/</t>
        </is>
      </c>
    </row>
    <row r="190" ht="15" customHeight="1" s="12">
      <c r="A190" s="14" t="n">
        <v>189</v>
      </c>
      <c r="B190" s="15" t="inlineStr">
        <is>
          <t>Prestige Hospitality Ventures Limited</t>
        </is>
      </c>
      <c r="C190" s="16" t="n">
        <v>45775</v>
      </c>
      <c r="D190" s="16" t="n">
        <v>45775</v>
      </c>
      <c r="E190" s="15" t="inlineStr">
        <is>
          <t>DRHP</t>
        </is>
      </c>
      <c r="F190" s="15" t="inlineStr">
        <is>
          <t>Regular DRHP</t>
        </is>
      </c>
      <c r="G190" s="16" t="n"/>
      <c r="H190" s="15" t="inlineStr">
        <is>
          <t>DRHP filed — issue dates not announced</t>
        </is>
      </c>
      <c r="I190" s="17" t="n"/>
      <c r="J190" s="17" t="n"/>
      <c r="K190" s="17" t="n"/>
      <c r="L190" s="14" t="n"/>
      <c r="M190" s="14" t="n"/>
      <c r="N190" s="14" t="n"/>
      <c r="O190" s="15" t="inlineStr">
        <is>
          <t>Not read — see DRHP PDF</t>
        </is>
      </c>
      <c r="P190" s="15" t="inlineStr">
        <is>
          <t>Offer terms not extracted — open the DRHP PDF</t>
        </is>
      </c>
      <c r="Q190" s="18" t="inlineStr">
        <is>
          <t>https://www.sebi.gov.in/sebi_data/attachdocs/apr-2025/1745839805301_772.pdf</t>
        </is>
      </c>
      <c r="R190" s="18" t="inlineStr">
        <is>
          <t>https://www.sebi.gov.in/filings/public-issues/apr-2025/prestige-hospitality-ventures-limited_93682.html</t>
        </is>
      </c>
      <c r="S190" s="15" t="n"/>
      <c r="T190" s="14" t="n">
        <v>0</v>
      </c>
      <c r="U190" s="16" t="n"/>
      <c r="V190" s="16" t="n"/>
      <c r="W190" s="16" t="n"/>
      <c r="X190" s="15" t="inlineStr">
        <is>
          <t>SEBI approval lapsed — no IPO</t>
        </is>
      </c>
      <c r="Y190" s="15" t="inlineStr">
        <is>
          <t>SEBI nod 1-Aug-2025; validity expired Aug-2026, no IPO dates</t>
        </is>
      </c>
      <c r="Z190" s="18" t="inlineStr">
        <is>
          <t>https://www.chittorgarh.com/ipo/prestige-hospitality-ventures-ipo/2420/</t>
        </is>
      </c>
    </row>
    <row r="191" ht="15" customHeight="1" s="12">
      <c r="A191" s="14" t="n">
        <v>190</v>
      </c>
      <c r="B191" s="15" t="inlineStr">
        <is>
          <t>SIS CASH SERVICES LIMITED</t>
        </is>
      </c>
      <c r="C191" s="16" t="n">
        <v>45755</v>
      </c>
      <c r="D191" s="16" t="n">
        <v>45755</v>
      </c>
      <c r="E191" s="15" t="inlineStr">
        <is>
          <t>DRHP</t>
        </is>
      </c>
      <c r="F191" s="15" t="inlineStr">
        <is>
          <t>Regular DRHP</t>
        </is>
      </c>
      <c r="G191" s="16" t="n"/>
      <c r="H191" s="15" t="inlineStr">
        <is>
          <t>DRHP filed — issue dates not announced</t>
        </is>
      </c>
      <c r="I191" s="17" t="n"/>
      <c r="J191" s="17" t="n"/>
      <c r="K191" s="17" t="n"/>
      <c r="L191" s="14" t="n"/>
      <c r="M191" s="14" t="n"/>
      <c r="N191" s="14" t="n"/>
      <c r="O191" s="15" t="inlineStr">
        <is>
          <t>Not read — see DRHP PDF</t>
        </is>
      </c>
      <c r="P191" s="15" t="inlineStr">
        <is>
          <t>Offer terms not extracted — open the DRHP PDF</t>
        </is>
      </c>
      <c r="Q191" s="18" t="inlineStr">
        <is>
          <t>https://www.sebi.gov.in/sebi_data/attachdocs/apr-2025/1744097406765_766.pdf</t>
        </is>
      </c>
      <c r="R191" s="18" t="inlineStr">
        <is>
          <t>https://www.sebi.gov.in/filings/public-issues/apr-2025/sis-cash-services-limited_93365.html</t>
        </is>
      </c>
      <c r="S191" s="15" t="n"/>
      <c r="T191" s="14" t="n">
        <v>0</v>
      </c>
      <c r="U191" s="16" t="n"/>
      <c r="V191" s="16" t="n"/>
      <c r="W191" s="16" t="n"/>
      <c r="X191" s="15" t="inlineStr">
        <is>
          <t>SEBI approval lapsed — no IPO</t>
        </is>
      </c>
      <c r="Y191" s="15" t="inlineStr">
        <is>
          <t>SEBI nod 17-Jul-2025; 12-month validity expired Jul-2026, no IPO dates</t>
        </is>
      </c>
      <c r="Z191" s="18" t="inlineStr">
        <is>
          <t>https://www.chittorgarh.com/ipo/sis-prosegur-ipo/2316/</t>
        </is>
      </c>
    </row>
    <row r="192" ht="15" customHeight="1" s="12">
      <c r="A192" s="14" t="n">
        <v>191</v>
      </c>
      <c r="B192" s="15" t="inlineStr">
        <is>
          <t>Sai Infinium Limited</t>
        </is>
      </c>
      <c r="C192" s="16" t="n">
        <v>45750</v>
      </c>
      <c r="D192" s="16" t="n">
        <v>45750</v>
      </c>
      <c r="E192" s="15" t="inlineStr">
        <is>
          <t>DRHP</t>
        </is>
      </c>
      <c r="F192" s="15" t="inlineStr">
        <is>
          <t>Regular DRHP</t>
        </is>
      </c>
      <c r="G192" s="16" t="n"/>
      <c r="H192" s="15" t="inlineStr">
        <is>
          <t>DRHP filed — issue dates not announced</t>
        </is>
      </c>
      <c r="I192" s="17" t="n"/>
      <c r="J192" s="17" t="n"/>
      <c r="K192" s="17" t="n"/>
      <c r="L192" s="14" t="n"/>
      <c r="M192" s="14" t="n"/>
      <c r="N192" s="14" t="n"/>
      <c r="O192" s="15" t="inlineStr">
        <is>
          <t>Not read — see DRHP PDF</t>
        </is>
      </c>
      <c r="P192" s="15" t="inlineStr">
        <is>
          <t>Offer terms not extracted — open the DRHP PDF</t>
        </is>
      </c>
      <c r="Q192" s="18" t="inlineStr">
        <is>
          <t>https://www.sebi.gov.in/sebi_data/attachdocs/apr-2025/1743679807520_759.pdf</t>
        </is>
      </c>
      <c r="R192" s="18" t="inlineStr">
        <is>
          <t>https://www.sebi.gov.in/filings/public-issues/apr-2025/sai-infinium-limited_93289.html</t>
        </is>
      </c>
      <c r="S192" s="15" t="n"/>
      <c r="T192" s="14" t="n">
        <v>0</v>
      </c>
      <c r="U192" s="16" t="n"/>
      <c r="V192" s="16" t="n"/>
      <c r="W192" s="16" t="n"/>
      <c r="X192" s="15" t="inlineStr">
        <is>
          <t>DRHP withdrawn</t>
        </is>
      </c>
      <c r="Y192" s="15" t="inlineStr">
        <is>
          <t>DRHP withdrawn from SEBI on 2025-06-04</t>
        </is>
      </c>
      <c r="Z192" s="18" t="inlineStr">
        <is>
          <t>https://www.chittorgarh.com/ipo/sai-infinium-ipo/2299/</t>
        </is>
      </c>
    </row>
    <row r="193" ht="15" customHeight="1" s="12">
      <c r="A193" s="14" t="n">
        <v>192</v>
      </c>
      <c r="B193" s="15" t="inlineStr">
        <is>
          <t>Runwal Enterprises Limited</t>
        </is>
      </c>
      <c r="C193" s="16" t="n">
        <v>45750</v>
      </c>
      <c r="D193" s="16" t="n">
        <v>45750</v>
      </c>
      <c r="E193" s="15" t="inlineStr">
        <is>
          <t>DRHP</t>
        </is>
      </c>
      <c r="F193" s="15" t="inlineStr">
        <is>
          <t>Regular DRHP</t>
        </is>
      </c>
      <c r="G193" s="16" t="n"/>
      <c r="H193" s="15" t="inlineStr">
        <is>
          <t>DRHP filed — issue dates not announced</t>
        </is>
      </c>
      <c r="I193" s="17" t="n"/>
      <c r="J193" s="17" t="n"/>
      <c r="K193" s="17" t="n"/>
      <c r="L193" s="14" t="n"/>
      <c r="M193" s="14" t="n"/>
      <c r="N193" s="14" t="n"/>
      <c r="O193" s="15" t="inlineStr">
        <is>
          <t>Not read — see DRHP PDF</t>
        </is>
      </c>
      <c r="P193" s="15" t="inlineStr">
        <is>
          <t>Offer terms not extracted — open the DRHP PDF</t>
        </is>
      </c>
      <c r="Q193" s="18" t="inlineStr">
        <is>
          <t>https://www.sebi.gov.in/sebi_data/attachdocs/apr-2025/1743679807520_760.pdf</t>
        </is>
      </c>
      <c r="R193" s="18" t="inlineStr">
        <is>
          <t>https://www.sebi.gov.in/filings/public-issues/apr-2025/runwal-enterprises-limited_93291.html</t>
        </is>
      </c>
      <c r="S193" s="15" t="n"/>
      <c r="T193" s="14" t="n">
        <v>1</v>
      </c>
      <c r="U193" s="19" t="n">
        <v>46290</v>
      </c>
      <c r="V193" s="19" t="n">
        <v>46294</v>
      </c>
      <c r="W193" s="19" t="n">
        <v>46300</v>
      </c>
      <c r="X193" s="20" t="inlineStr">
        <is>
          <t>Issue closed — listing pending</t>
        </is>
      </c>
      <c r="Y193" s="15" t="inlineStr">
        <is>
          <t>Price band Rs290-305; Rs500 cr fresh issue; listing tentative</t>
        </is>
      </c>
      <c r="Z193" s="18" t="inlineStr">
        <is>
          <t>https://www.chittorgarh.com/ipo/runwal-enterprises-ipo/2298/</t>
        </is>
      </c>
    </row>
    <row r="194" ht="15" customHeight="1" s="12">
      <c r="A194" s="14" t="n">
        <v>193</v>
      </c>
      <c r="B194" s="15" t="inlineStr">
        <is>
          <t>Prozeal Green Energy Limited</t>
        </is>
      </c>
      <c r="C194" s="16" t="n">
        <v>45748</v>
      </c>
      <c r="D194" s="16" t="n">
        <v>45748</v>
      </c>
      <c r="E194" s="15" t="inlineStr">
        <is>
          <t>DRHP</t>
        </is>
      </c>
      <c r="F194" s="15" t="inlineStr">
        <is>
          <t>Regular DRHP</t>
        </is>
      </c>
      <c r="G194" s="16" t="n"/>
      <c r="H194" s="15" t="inlineStr">
        <is>
          <t>DRHP filed — issue dates not announced</t>
        </is>
      </c>
      <c r="I194" s="17" t="n"/>
      <c r="J194" s="17" t="n"/>
      <c r="K194" s="17" t="n"/>
      <c r="L194" s="14" t="n"/>
      <c r="M194" s="14" t="n"/>
      <c r="N194" s="14" t="n"/>
      <c r="O194" s="15" t="inlineStr">
        <is>
          <t>Not read — see DRHP PDF</t>
        </is>
      </c>
      <c r="P194" s="15" t="inlineStr">
        <is>
          <t>Offer terms not extracted — open the DRHP PDF</t>
        </is>
      </c>
      <c r="Q194" s="18" t="inlineStr">
        <is>
          <t>https://www.sebi.gov.in/sebi_data/attachdocs/apr-2025/1743507022624_750.pdf</t>
        </is>
      </c>
      <c r="R194" s="18" t="inlineStr">
        <is>
          <t>https://www.sebi.gov.in/filings/public-issues/apr-2025/prozeal-green-energy-limited_93174.html</t>
        </is>
      </c>
      <c r="S194" s="15" t="n"/>
      <c r="T194" s="14" t="n">
        <v>0</v>
      </c>
      <c r="U194" s="16" t="n"/>
      <c r="V194" s="16" t="n"/>
      <c r="W194" s="16" t="n"/>
      <c r="X194" s="15" t="inlineStr">
        <is>
          <t>SEBI approval lapsed — no IPO</t>
        </is>
      </c>
      <c r="Y194" s="15" t="inlineStr">
        <is>
          <t>SEBI nod 1-Sep-2025; validity expired by 30-Sep-2026, no IPO dates</t>
        </is>
      </c>
      <c r="Z194" s="18" t="inlineStr">
        <is>
          <t>https://www.chittorgarh.com/ipo/prozeal-green-energy-ipo/2288/</t>
        </is>
      </c>
    </row>
    <row r="195" ht="15" customHeight="1" s="12">
      <c r="A195" s="14" t="n">
        <v>194</v>
      </c>
      <c r="B195" s="15" t="inlineStr">
        <is>
          <t>Ardee Engineering Limited</t>
        </is>
      </c>
      <c r="C195" s="16" t="n">
        <v>45748</v>
      </c>
      <c r="D195" s="16" t="n">
        <v>45748</v>
      </c>
      <c r="E195" s="15" t="inlineStr">
        <is>
          <t>DRHP</t>
        </is>
      </c>
      <c r="F195" s="15" t="inlineStr">
        <is>
          <t>Regular DRHP</t>
        </is>
      </c>
      <c r="G195" s="16" t="n"/>
      <c r="H195" s="15" t="inlineStr">
        <is>
          <t>DRHP filed — issue dates not announced</t>
        </is>
      </c>
      <c r="I195" s="17" t="n"/>
      <c r="J195" s="17" t="n"/>
      <c r="K195" s="17" t="n"/>
      <c r="L195" s="14" t="n"/>
      <c r="M195" s="14" t="n"/>
      <c r="N195" s="14" t="n"/>
      <c r="O195" s="15" t="inlineStr">
        <is>
          <t>Not read — see DRHP PDF</t>
        </is>
      </c>
      <c r="P195" s="15" t="inlineStr">
        <is>
          <t>Offer terms not extracted — open the DRHP PDF</t>
        </is>
      </c>
      <c r="Q195" s="18" t="inlineStr">
        <is>
          <t>https://www.sebi.gov.in/sebi_data/attachdocs/apr-2025/1743492605814_747.pdf</t>
        </is>
      </c>
      <c r="R195" s="18" t="inlineStr">
        <is>
          <t>https://www.sebi.gov.in/filings/public-issues/apr-2025/ardee-engineering-limited_93160.html</t>
        </is>
      </c>
      <c r="S195" s="15" t="n"/>
      <c r="T195" s="14" t="n">
        <v>0</v>
      </c>
      <c r="U195" s="16" t="n"/>
      <c r="V195" s="16" t="n"/>
      <c r="W195" s="16" t="n"/>
      <c r="X195" s="15" t="inlineStr">
        <is>
          <t>SEBI approval lapsed — no IPO</t>
        </is>
      </c>
      <c r="Y195" s="15" t="inlineStr">
        <is>
          <t>SEBI nod 22-Aug-2025; validity expired Aug-2026, no IPO dates</t>
        </is>
      </c>
      <c r="Z195" s="18" t="inlineStr">
        <is>
          <t>https://www.chittorgarh.com/ipo/ardee-engineering-ipo/2283/</t>
        </is>
      </c>
    </row>
  </sheetData>
  <autoFilter ref="A1:Z195"/>
  <hyperlinks>
    <hyperlink xmlns:r="http://schemas.openxmlformats.org/officeDocument/2006/relationships" ref="Q2" display="https://www.sebi.gov.in/sebi_data/attachdocs/sep-2026/1790767812069_1376.pdf" r:id="rId1"/>
    <hyperlink xmlns:r="http://schemas.openxmlformats.org/officeDocument/2006/relationships" ref="R2" display="https://www.sebi.gov.in/filings/public-issues/sep-2026/s-d-international-limited_104826.html" r:id="rId2"/>
    <hyperlink xmlns:r="http://schemas.openxmlformats.org/officeDocument/2006/relationships" ref="Q3" display="https://www.sebi.gov.in/sebi_data/attachdocs/sep-2026/1790767812069_1377.pdf" r:id="rId3"/>
    <hyperlink xmlns:r="http://schemas.openxmlformats.org/officeDocument/2006/relationships" ref="R3" display="https://www.sebi.gov.in/filings/public-issues/sep-2026/s-g-encon-limited_104828.html" r:id="rId4"/>
    <hyperlink xmlns:r="http://schemas.openxmlformats.org/officeDocument/2006/relationships" ref="Q4" display="https://www.sebi.gov.in/sebi_data/attachdocs/sep-2026/1790767812069_1378.pdf" r:id="rId5"/>
    <hyperlink xmlns:r="http://schemas.openxmlformats.org/officeDocument/2006/relationships" ref="R4" display="https://www.sebi.gov.in/filings/public-issues/sep-2026/j-b-ecotex-limited_104830.html" r:id="rId6"/>
    <hyperlink xmlns:r="http://schemas.openxmlformats.org/officeDocument/2006/relationships" ref="Z4" r:id="rId7"/>
    <hyperlink xmlns:r="http://schemas.openxmlformats.org/officeDocument/2006/relationships" ref="Q5" display="https://www.sebi.gov.in/sebi_data/attachdocs/sep-2026/1790681405842_1375.pdf" r:id="rId8"/>
    <hyperlink xmlns:r="http://schemas.openxmlformats.org/officeDocument/2006/relationships" ref="R5" display="https://www.sebi.gov.in/filings/public-issues/sep-2026/ultravibrant-integrated-energy-limited_104809.html" r:id="rId9"/>
    <hyperlink xmlns:r="http://schemas.openxmlformats.org/officeDocument/2006/relationships" ref="Q6" display="https://www.sebi.gov.in/sebi_data/attachdocs/sep-2026/1790743844411.pdf" r:id="rId10"/>
    <hyperlink xmlns:r="http://schemas.openxmlformats.org/officeDocument/2006/relationships" ref="R6" display="https://www.sebi.gov.in/filings/public-issues/sep-2026/iris-global-services-limited-drhp_104746.html" r:id="rId11"/>
    <hyperlink xmlns:r="http://schemas.openxmlformats.org/officeDocument/2006/relationships" ref="S6" display="https://www.sebi.gov.in/sebi_data/commondocs/sep-2026/Iris%20Global%20Services%20Limited%20-%20DAP_p.pdf" r:id="rId12"/>
    <hyperlink xmlns:r="http://schemas.openxmlformats.org/officeDocument/2006/relationships" ref="Q7" display="https://www.sebi.gov.in/sebi_data/attachdocs/sep-2026/1790585630648.pdf" r:id="rId13"/>
    <hyperlink xmlns:r="http://schemas.openxmlformats.org/officeDocument/2006/relationships" ref="R7" display="https://www.sebi.gov.in/filings/public-issues/sep-2026/jsw-one-platforms-limited-drhp_104742.html" r:id="rId14"/>
    <hyperlink xmlns:r="http://schemas.openxmlformats.org/officeDocument/2006/relationships" ref="S7" display="https://www.sebi.gov.in/sebi_data/commondocs/sep-2026/JSW%20One%20Platforms%20Limited%20-%20Draft%20Abridged%20Prospectus_p.pdf" r:id="rId15"/>
    <hyperlink xmlns:r="http://schemas.openxmlformats.org/officeDocument/2006/relationships" ref="Z7" r:id="rId16"/>
    <hyperlink xmlns:r="http://schemas.openxmlformats.org/officeDocument/2006/relationships" ref="Q8" display="https://www.sebi.gov.in/sebi_data/attachdocs/sep-2026/1790320604407.pdf" r:id="rId17"/>
    <hyperlink xmlns:r="http://schemas.openxmlformats.org/officeDocument/2006/relationships" ref="R8" display="https://www.sebi.gov.in/filings/public-issues/sep-2026/anjali-labtech-limited-udrhp-i_104737.html" r:id="rId18"/>
    <hyperlink xmlns:r="http://schemas.openxmlformats.org/officeDocument/2006/relationships" ref="S8" display="https://www.sebi.gov.in/sebi_data/commondocs/sep-2026/Anjali%20Labtech%20Limited%20-%20DAP_p.pdf" r:id="rId19"/>
    <hyperlink xmlns:r="http://schemas.openxmlformats.org/officeDocument/2006/relationships" ref="Z8" r:id="rId20"/>
    <hyperlink xmlns:r="http://schemas.openxmlformats.org/officeDocument/2006/relationships" ref="Q9" display="https://www.sebi.gov.in/sebi_data/attachdocs/sep-2026/1790076604769_1355.pdf" r:id="rId21"/>
    <hyperlink xmlns:r="http://schemas.openxmlformats.org/officeDocument/2006/relationships" ref="R9" display="https://www.sebi.gov.in/filings/public-issues/sep-2026/vardaan-biotech-limited-drhp_104652.html" r:id="rId22"/>
    <hyperlink xmlns:r="http://schemas.openxmlformats.org/officeDocument/2006/relationships" ref="S9" display="https://www.sebi.gov.in/sebi_data/commondocs/sep-2026/VARDAAN%20BIOTECH%20LIMITED_p.pdf" r:id="rId23"/>
    <hyperlink xmlns:r="http://schemas.openxmlformats.org/officeDocument/2006/relationships" ref="Z9" r:id="rId24"/>
    <hyperlink xmlns:r="http://schemas.openxmlformats.org/officeDocument/2006/relationships" ref="Q10" display="https://www.sebi.gov.in/sebi_data/attachdocs/sep-2026/1790058959002.pdf" r:id="rId25"/>
    <hyperlink xmlns:r="http://schemas.openxmlformats.org/officeDocument/2006/relationships" ref="R10" display="https://www.sebi.gov.in/filings/public-issues/sep-2026/hi-tech-flow-solutions-limited-drhp_104635.html" r:id="rId26"/>
    <hyperlink xmlns:r="http://schemas.openxmlformats.org/officeDocument/2006/relationships" ref="S10" display="https://www.sebi.gov.in/sebi_data/commondocs/sep-2026/HitechFlowSolutionsDAP_p.pdf" r:id="rId27"/>
    <hyperlink xmlns:r="http://schemas.openxmlformats.org/officeDocument/2006/relationships" ref="Q11" display="https://www.sebi.gov.in/sebi_data/attachdocs/sep-2026/1789720399852.pdf" r:id="rId28"/>
    <hyperlink xmlns:r="http://schemas.openxmlformats.org/officeDocument/2006/relationships" ref="R11" display="https://www.sebi.gov.in/filings/public-issues/sep-2026/madhur-iron-and-steel-india-limited-drhp_104575.html" r:id="rId29"/>
    <hyperlink xmlns:r="http://schemas.openxmlformats.org/officeDocument/2006/relationships" ref="S11" display="https://www.sebi.gov.in/sebi_data/commondocs/sep-2026/Madhur%20Iron%20And%20Steel%20India%20Limited%20-%20Draft%20AP_p.pdf" r:id="rId30"/>
    <hyperlink xmlns:r="http://schemas.openxmlformats.org/officeDocument/2006/relationships" ref="Z11" r:id="rId31"/>
    <hyperlink xmlns:r="http://schemas.openxmlformats.org/officeDocument/2006/relationships" ref="Q12" display="https://www.sebi.gov.in/sebi_data/attachdocs/sep-2026/1789731006415_1354.pdf" r:id="rId32"/>
    <hyperlink xmlns:r="http://schemas.openxmlformats.org/officeDocument/2006/relationships" ref="R12" display="https://www.sebi.gov.in/filings/public-issues/sep-2026/anchor-offshore-services-limited-drhp_104580.html" r:id="rId33"/>
    <hyperlink xmlns:r="http://schemas.openxmlformats.org/officeDocument/2006/relationships" ref="S12" display="https://www.sebi.gov.in/sebi_data/commondocs/sep-2026/Anchor%20Offshore%20Services%20Limited-DA_p.pdf" r:id="rId34"/>
    <hyperlink xmlns:r="http://schemas.openxmlformats.org/officeDocument/2006/relationships" ref="Q13" display="https://www.sebi.gov.in/sebi_data/attachdocs/sep-2026/1789635115853.pdf" r:id="rId35"/>
    <hyperlink xmlns:r="http://schemas.openxmlformats.org/officeDocument/2006/relationships" ref="R13" display="https://www.sebi.gov.in/filings/public-issues/sep-2026/iberia-pharmaceuticals-india-limited-drhp_104542.html" r:id="rId36"/>
    <hyperlink xmlns:r="http://schemas.openxmlformats.org/officeDocument/2006/relationships" ref="S13" display="https://www.sebi.gov.in/sebi_data/commondocs/sep-2026/IBERIA%20PHARMACEUTICALS%20INDIA%20LIMITED_p.pdf" r:id="rId37"/>
    <hyperlink xmlns:r="http://schemas.openxmlformats.org/officeDocument/2006/relationships" ref="Q14" display="https://www.sebi.gov.in/sebi_data/attachdocs/sep-2026/1789531323564.pdf" r:id="rId38"/>
    <hyperlink xmlns:r="http://schemas.openxmlformats.org/officeDocument/2006/relationships" ref="R14" display="https://www.sebi.gov.in/filings/public-issues/sep-2026/maharashtra-oil-extractions-limited-drhp_104503.html" r:id="rId39"/>
    <hyperlink xmlns:r="http://schemas.openxmlformats.org/officeDocument/2006/relationships" ref="S14" display="https://www.sebi.gov.in/sebi_data/commondocs/sep-2026/Maharashtra%20Oil%20Extractions%20Limited%20-%20DAP_p.pdf" r:id="rId40"/>
    <hyperlink xmlns:r="http://schemas.openxmlformats.org/officeDocument/2006/relationships" ref="Q15" display="https://www.sebi.gov.in/sebi_data/attachdocs/sep-2026/1789104761658.pdf" r:id="rId41"/>
    <hyperlink xmlns:r="http://schemas.openxmlformats.org/officeDocument/2006/relationships" ref="R15" display="https://www.sebi.gov.in/filings/public-issues/sep-2026/nopaperforms-solutions-limited-udrhp-1_104427.html" r:id="rId42"/>
    <hyperlink xmlns:r="http://schemas.openxmlformats.org/officeDocument/2006/relationships" ref="S15" display="https://www.sebi.gov.in/sebi_data/commondocs/sep-2026/NOPAPERFORMS%20SOLUTIONS%20LIMITED%20-%20DAP_p.pdf" r:id="rId43"/>
    <hyperlink xmlns:r="http://schemas.openxmlformats.org/officeDocument/2006/relationships" ref="Z15" r:id="rId44"/>
    <hyperlink xmlns:r="http://schemas.openxmlformats.org/officeDocument/2006/relationships" ref="Q16" display="https://www.sebi.gov.in/sebi_data/attachdocs/sep-2026/1789111806400_1350.pdf" r:id="rId45"/>
    <hyperlink xmlns:r="http://schemas.openxmlformats.org/officeDocument/2006/relationships" ref="R16" display="https://www.sebi.gov.in/filings/public-issues/sep-2026/m-k-c-agro-fresh-limited-drhp_104430.html" r:id="rId46"/>
    <hyperlink xmlns:r="http://schemas.openxmlformats.org/officeDocument/2006/relationships" ref="S16" display="https://www.sebi.gov.in/sebi_data/commondocs/sep-2026/M%20K%20C%20AGRO%20FRESH%20LIMITED%20-%20DAP_p.pdf" r:id="rId47"/>
    <hyperlink xmlns:r="http://schemas.openxmlformats.org/officeDocument/2006/relationships" ref="Q17" display="https://www.sebi.gov.in/sebi_data/attachdocs/sep-2026/1788937260208.PDF" r:id="rId48"/>
    <hyperlink xmlns:r="http://schemas.openxmlformats.org/officeDocument/2006/relationships" ref="R17" display="https://www.sebi.gov.in/filings/public-issues/sep-2026/torrent-gas-limited-udrhp-i_104350.html" r:id="rId49"/>
    <hyperlink xmlns:r="http://schemas.openxmlformats.org/officeDocument/2006/relationships" ref="S17" display="https://www.sebi.gov.in/sebi_data/commondocs/sep-2026/Torrent%20Gas%20Limited%20-%20DAP_p.pdf" r:id="rId50"/>
    <hyperlink xmlns:r="http://schemas.openxmlformats.org/officeDocument/2006/relationships" ref="Z17" r:id="rId51"/>
    <hyperlink xmlns:r="http://schemas.openxmlformats.org/officeDocument/2006/relationships" ref="Q18" display="https://www.sebi.gov.in/sebi_data/attachdocs/sep-2026/1788761365481.pdf" r:id="rId52"/>
    <hyperlink xmlns:r="http://schemas.openxmlformats.org/officeDocument/2006/relationships" ref="R18" display="https://www.sebi.gov.in/filings/public-issues/sep-2026/mahanadi-coalfields-ltd-drhp_104290.html" r:id="rId53"/>
    <hyperlink xmlns:r="http://schemas.openxmlformats.org/officeDocument/2006/relationships" ref="S18" display="https://www.sebi.gov.in/sebi_data/commondocs/sep-2026/Mahanadi%20Coalfields%20Limited%20_Draft%20Abridged%20Prospectus_p.pdf" r:id="rId54"/>
    <hyperlink xmlns:r="http://schemas.openxmlformats.org/officeDocument/2006/relationships" ref="Z18" r:id="rId55"/>
    <hyperlink xmlns:r="http://schemas.openxmlformats.org/officeDocument/2006/relationships" ref="Q19" display="https://www.sebi.gov.in/sebi_data/attachdocs/sep-2026/1788507005445_1348.pdf" r:id="rId56"/>
    <hyperlink xmlns:r="http://schemas.openxmlformats.org/officeDocument/2006/relationships" ref="R19" display="https://www.sebi.gov.in/filings/public-issues/sep-2026/india-exposition-mart-limited_104273.html" r:id="rId57"/>
    <hyperlink xmlns:r="http://schemas.openxmlformats.org/officeDocument/2006/relationships" ref="Z19" r:id="rId58"/>
    <hyperlink xmlns:r="http://schemas.openxmlformats.org/officeDocument/2006/relationships" ref="Q20" display="https://www.sebi.gov.in/sebi_data/attachdocs/sep-2026/1788245484072.pdf" r:id="rId59"/>
    <hyperlink xmlns:r="http://schemas.openxmlformats.org/officeDocument/2006/relationships" ref="R20" display="https://www.sebi.gov.in/filings/public-issues/sep-2026/sembcorp-green-infra-limited-drhp_104162.html" r:id="rId60"/>
    <hyperlink xmlns:r="http://schemas.openxmlformats.org/officeDocument/2006/relationships" ref="S20" display="https://www.sebi.gov.in/sebi_data/commondocs/sep-2026/Sembcorp%20Green%20Infra%20Limited%20-%20Draft%20Abridged%20Prospectus_p.pdf" r:id="rId61"/>
    <hyperlink xmlns:r="http://schemas.openxmlformats.org/officeDocument/2006/relationships" ref="Z20" r:id="rId62"/>
    <hyperlink xmlns:r="http://schemas.openxmlformats.org/officeDocument/2006/relationships" ref="Q21" display="https://www.sebi.gov.in/sebi_data/attachdocs/sep-2026/1788262207109_1345.pdf" r:id="rId63"/>
    <hyperlink xmlns:r="http://schemas.openxmlformats.org/officeDocument/2006/relationships" ref="R21" display="https://www.sebi.gov.in/filings/public-issues/sep-2026/kataria-dhulchand-pannalal-jewellers-limited-drhp_104178.html" r:id="rId64"/>
    <hyperlink xmlns:r="http://schemas.openxmlformats.org/officeDocument/2006/relationships" ref="S21" display="https://www.sebi.gov.in/sebi_data/commondocs/sep-2026/Kataria%20Dhulchand%20Pannalal%20Jewellers%20Ltd%20-%20DAP_p.pdf" r:id="rId65"/>
    <hyperlink xmlns:r="http://schemas.openxmlformats.org/officeDocument/2006/relationships" ref="Q22" display="https://www.sebi.gov.in/sebi_data/attachdocs/sep-2026/1788238496589.pdf" r:id="rId66"/>
    <hyperlink xmlns:r="http://schemas.openxmlformats.org/officeDocument/2006/relationships" ref="R22" display="https://www.sebi.gov.in/filings/public-issues/sep-2026/aragen-life-sciences-limited-drhp_104157.html" r:id="rId67"/>
    <hyperlink xmlns:r="http://schemas.openxmlformats.org/officeDocument/2006/relationships" ref="S22" display="https://www.sebi.gov.in/sebi_data/commondocs/sep-2026/ARAGEN%20LIFE%20SCIENCES%20LIMITED%20-%20DAP_p.pdf" r:id="rId68"/>
    <hyperlink xmlns:r="http://schemas.openxmlformats.org/officeDocument/2006/relationships" ref="Z22" r:id="rId69"/>
    <hyperlink xmlns:r="http://schemas.openxmlformats.org/officeDocument/2006/relationships" ref="Q23" display="https://www.sebi.gov.in/sebi_data/attachdocs/aug-2026/1787809930622.pdf" r:id="rId70"/>
    <hyperlink xmlns:r="http://schemas.openxmlformats.org/officeDocument/2006/relationships" ref="R23" display="https://www.sebi.gov.in/filings/public-issues/aug-2026/atomberg-technologies-limited-drhp_104037.html" r:id="rId71"/>
    <hyperlink xmlns:r="http://schemas.openxmlformats.org/officeDocument/2006/relationships" ref="S23" display="https://www.sebi.gov.in/sebi_data/commondocs/aug-2026/ATOMBERG%20TECHNOLOGIES%20LIMITED%20-%20AP_p.pdf" r:id="rId72"/>
    <hyperlink xmlns:r="http://schemas.openxmlformats.org/officeDocument/2006/relationships" ref="Z23" r:id="rId73"/>
    <hyperlink xmlns:r="http://schemas.openxmlformats.org/officeDocument/2006/relationships" ref="Q24" display="https://www.sebi.gov.in/sebi_data/attachdocs/aug-2026/1787650339639.pdf" r:id="rId74"/>
    <hyperlink xmlns:r="http://schemas.openxmlformats.org/officeDocument/2006/relationships" ref="R24" display="https://www.sebi.gov.in/filings/public-issues/aug-2026/nobel-hygiene-limited-drhp_103938.html" r:id="rId75"/>
    <hyperlink xmlns:r="http://schemas.openxmlformats.org/officeDocument/2006/relationships" ref="S24" display="https://www.sebi.gov.in/sebi_data/commondocs/aug-2026/Nobel%20Hygiene%20Limited%20-%20Draft%20Abridged%20Prospectus_p.pdf" r:id="rId76"/>
    <hyperlink xmlns:r="http://schemas.openxmlformats.org/officeDocument/2006/relationships" ref="Z24" r:id="rId77"/>
    <hyperlink xmlns:r="http://schemas.openxmlformats.org/officeDocument/2006/relationships" ref="Q25" display="https://www.sebi.gov.in/sebi_data/attachdocs/aug-2026/1787653298920.pdf" r:id="rId78"/>
    <hyperlink xmlns:r="http://schemas.openxmlformats.org/officeDocument/2006/relationships" ref="R25" display="https://www.sebi.gov.in/filings/public-issues/aug-2026/m-p-steel-india-limited-drhp_103990.html" r:id="rId79"/>
    <hyperlink xmlns:r="http://schemas.openxmlformats.org/officeDocument/2006/relationships" ref="S25" display="https://www.sebi.gov.in/sebi_data/commondocs/aug-2026/MPSteel-Draft%20Abridged%20Prospectus_p.pdf" r:id="rId80"/>
    <hyperlink xmlns:r="http://schemas.openxmlformats.org/officeDocument/2006/relationships" ref="Z25" r:id="rId81"/>
    <hyperlink xmlns:r="http://schemas.openxmlformats.org/officeDocument/2006/relationships" ref="Q26" display="https://www.sebi.gov.in/sebi_data/attachdocs/aug-2026/1787637173016.pdf" r:id="rId82"/>
    <hyperlink xmlns:r="http://schemas.openxmlformats.org/officeDocument/2006/relationships" ref="R26" display="https://www.sebi.gov.in/filings/public-issues/aug-2026/jay-jagdamba-limited-udrhp_103937.html" r:id="rId83"/>
    <hyperlink xmlns:r="http://schemas.openxmlformats.org/officeDocument/2006/relationships" ref="S26" display="https://www.sebi.gov.in/sebi_data/commondocs/aug-2026/Jay%20Jagdamba%20Limited%20Draft%20Abridged%20Prospectus_p.pdf" r:id="rId84"/>
    <hyperlink xmlns:r="http://schemas.openxmlformats.org/officeDocument/2006/relationships" ref="Z26" r:id="rId85"/>
    <hyperlink xmlns:r="http://schemas.openxmlformats.org/officeDocument/2006/relationships" ref="Q27" display="https://www.sebi.gov.in/sebi_data/attachdocs/aug-2026/1787804677669.pdf" r:id="rId86"/>
    <hyperlink xmlns:r="http://schemas.openxmlformats.org/officeDocument/2006/relationships" ref="R27" display="https://www.sebi.gov.in/filings/public-issues/aug-2026/avaada-electro-limited-udrhp_104034.html" r:id="rId87"/>
    <hyperlink xmlns:r="http://schemas.openxmlformats.org/officeDocument/2006/relationships" ref="S27" display="https://www.sebi.gov.in/sebi_data/commondocs/aug-2026/Avaada%20Electro%20Limited%20-%20Draft%20Abridged%20Prospectus_p.pdf" r:id="rId88"/>
    <hyperlink xmlns:r="http://schemas.openxmlformats.org/officeDocument/2006/relationships" ref="Z27" r:id="rId89"/>
    <hyperlink xmlns:r="http://schemas.openxmlformats.org/officeDocument/2006/relationships" ref="Q28" display="https://www.sebi.gov.in/sebi_data/attachdocs/aug-2026/1787803545833.pdf" r:id="rId90"/>
    <hyperlink xmlns:r="http://schemas.openxmlformats.org/officeDocument/2006/relationships" ref="R28" display="https://www.sebi.gov.in/filings/public-issues/aug-2026/gemini-edibles-and-fats-india-limited-drhp_104032.html" r:id="rId91"/>
    <hyperlink xmlns:r="http://schemas.openxmlformats.org/officeDocument/2006/relationships" ref="S28" display="https://www.sebi.gov.in/sebi_data/commondocs/aug-2026/Gemini%20Edibles%20&amp;%20Fats%20India%20Ltd.%20-%20Draft%20Abridged%20Prospectus_p.pdf" r:id="rId92"/>
    <hyperlink xmlns:r="http://schemas.openxmlformats.org/officeDocument/2006/relationships" ref="Z28" r:id="rId93"/>
    <hyperlink xmlns:r="http://schemas.openxmlformats.org/officeDocument/2006/relationships" ref="Q29" display="https://www.sebi.gov.in/sebi_data/attachdocs/aug-2026/1787311805039_1343.pdf" r:id="rId94"/>
    <hyperlink xmlns:r="http://schemas.openxmlformats.org/officeDocument/2006/relationships" ref="R29" display="https://www.sebi.gov.in/filings/public-issues/aug-2026/avtar-steel-limited-drhp_103867.html" r:id="rId95"/>
    <hyperlink xmlns:r="http://schemas.openxmlformats.org/officeDocument/2006/relationships" ref="S29" display="https://www.sebi.gov.in/sebi_data/commondocs/aug-2026/Avtar%20Steel%20Limited%20-%20Draft%20Abridged%20Prospectus_p.pdf" r:id="rId96"/>
    <hyperlink xmlns:r="http://schemas.openxmlformats.org/officeDocument/2006/relationships" ref="Z29" r:id="rId97"/>
    <hyperlink xmlns:r="http://schemas.openxmlformats.org/officeDocument/2006/relationships" ref="Q30" display="https://www.sebi.gov.in/sebi_data/attachdocs/aug-2026/1787037217420.pdf" r:id="rId98"/>
    <hyperlink xmlns:r="http://schemas.openxmlformats.org/officeDocument/2006/relationships" ref="R30" display="https://www.sebi.gov.in/filings/public-issues/aug-2026/tablespace-technologies-limited-drhp_103710.html" r:id="rId99"/>
    <hyperlink xmlns:r="http://schemas.openxmlformats.org/officeDocument/2006/relationships" ref="S30" display="https://www.sebi.gov.in/sebi_data/commondocs/aug-2026/TABLESPACE%20TECHNOLOGIES%20LIMITED%20-%20DAP_p.pdf" r:id="rId100"/>
    <hyperlink xmlns:r="http://schemas.openxmlformats.org/officeDocument/2006/relationships" ref="Z30" r:id="rId101"/>
    <hyperlink xmlns:r="http://schemas.openxmlformats.org/officeDocument/2006/relationships" ref="Q31" display="https://www.sebi.gov.in/sebi_data/attachdocs/aug-2026/1787135219223.pdf" r:id="rId102"/>
    <hyperlink xmlns:r="http://schemas.openxmlformats.org/officeDocument/2006/relationships" ref="R31" display="https://www.sebi.gov.in/filings/public-issues/aug-2026/svatantra-microfin-limited-drhp_103765.html" r:id="rId103"/>
    <hyperlink xmlns:r="http://schemas.openxmlformats.org/officeDocument/2006/relationships" ref="S31" display="https://www.sebi.gov.in/sebi_data/commondocs/aug-2026/Svatantra%20Microfin%20Limited%20%20-%20DAP_p.pdf" r:id="rId104"/>
    <hyperlink xmlns:r="http://schemas.openxmlformats.org/officeDocument/2006/relationships" ref="Z31" r:id="rId105"/>
    <hyperlink xmlns:r="http://schemas.openxmlformats.org/officeDocument/2006/relationships" ref="Q32" display="https://www.sebi.gov.in/sebi_data/attachdocs/aug-2026/1787032236785.pdf" r:id="rId106"/>
    <hyperlink xmlns:r="http://schemas.openxmlformats.org/officeDocument/2006/relationships" ref="R32" display="https://www.sebi.gov.in/filings/public-issues/aug-2026/muthoot-fincorp-limited-drhp_103697.html" r:id="rId107"/>
    <hyperlink xmlns:r="http://schemas.openxmlformats.org/officeDocument/2006/relationships" ref="S32" display="https://www.sebi.gov.in/sebi_data/commondocs/aug-2026/Muthoot%20Fincorp%20DAP_p.pdf" r:id="rId108"/>
    <hyperlink xmlns:r="http://schemas.openxmlformats.org/officeDocument/2006/relationships" ref="Z32" r:id="rId109"/>
    <hyperlink xmlns:r="http://schemas.openxmlformats.org/officeDocument/2006/relationships" ref="Q33" display="https://www.sebi.gov.in/sebi_data/attachdocs/aug-2026/1786705255144.pdf" r:id="rId110"/>
    <hyperlink xmlns:r="http://schemas.openxmlformats.org/officeDocument/2006/relationships" ref="R33" display="https://www.sebi.gov.in/filings/public-issues/aug-2026/zetwerk-manufacturing-businesses-limited-udrhp_103643.html" r:id="rId111"/>
    <hyperlink xmlns:r="http://schemas.openxmlformats.org/officeDocument/2006/relationships" ref="S33" display="https://www.sebi.gov.in/sebi_data/commondocs/aug-2026/Zetwerk%20Manufacturing%20Businesses%20Limited%20-%20DAP_p.pdf" r:id="rId112"/>
    <hyperlink xmlns:r="http://schemas.openxmlformats.org/officeDocument/2006/relationships" ref="Z33" r:id="rId113"/>
    <hyperlink xmlns:r="http://schemas.openxmlformats.org/officeDocument/2006/relationships" ref="Q34" display="https://www.sebi.gov.in/sebi_data/attachdocs/aug-2026/1786692605529_1339.pdf" r:id="rId114"/>
    <hyperlink xmlns:r="http://schemas.openxmlformats.org/officeDocument/2006/relationships" ref="R34" display="https://www.sebi.gov.in/filings/public-issues/aug-2026/tonbo-imaging-india-limited-drhp_103625.html" r:id="rId115"/>
    <hyperlink xmlns:r="http://schemas.openxmlformats.org/officeDocument/2006/relationships" ref="S34" display="https://www.sebi.gov.in/sebi_data/commondocs/aug-2026/Tonbo%20Imaging%20India%20Limited%20-%20DAP_p.pdf" r:id="rId116"/>
    <hyperlink xmlns:r="http://schemas.openxmlformats.org/officeDocument/2006/relationships" ref="Z34" r:id="rId117"/>
    <hyperlink xmlns:r="http://schemas.openxmlformats.org/officeDocument/2006/relationships" ref="Q35" display="https://www.sebi.gov.in/sebi_data/attachdocs/aug-2026/1786684492213.pdf" r:id="rId118"/>
    <hyperlink xmlns:r="http://schemas.openxmlformats.org/officeDocument/2006/relationships" ref="R35" display="https://www.sebi.gov.in/filings/public-issues/aug-2026/ags-health-limited-udrhp_103617.html" r:id="rId119"/>
    <hyperlink xmlns:r="http://schemas.openxmlformats.org/officeDocument/2006/relationships" ref="S35" display="https://www.sebi.gov.in/sebi_data/commondocs/aug-2026/AGS%20Health%20Limited%20-%20AP_p.pdf" r:id="rId120"/>
    <hyperlink xmlns:r="http://schemas.openxmlformats.org/officeDocument/2006/relationships" ref="Z35" r:id="rId121"/>
    <hyperlink xmlns:r="http://schemas.openxmlformats.org/officeDocument/2006/relationships" ref="Q36" display="https://www.sebi.gov.in/sebi_data/attachdocs/sep-2026/1789018300594.pdf" r:id="rId122"/>
    <hyperlink xmlns:r="http://schemas.openxmlformats.org/officeDocument/2006/relationships" ref="R36" display="https://www.sebi.gov.in/filings/public-issues/aug-2026/eaaa-india-alternatives-limited_104397.html" r:id="rId123"/>
    <hyperlink xmlns:r="http://schemas.openxmlformats.org/officeDocument/2006/relationships" ref="Z36" r:id="rId124"/>
    <hyperlink xmlns:r="http://schemas.openxmlformats.org/officeDocument/2006/relationships" ref="Q37" display="https://www.sebi.gov.in/sebi_data/attachdocs/aug-2026/1786519804294_1338.pdf" r:id="rId125"/>
    <hyperlink xmlns:r="http://schemas.openxmlformats.org/officeDocument/2006/relationships" ref="R37" display="https://www.sebi.gov.in/filings/public-issues/aug-2026/j-pan-tubular-components-limited-drhp_103499.html" r:id="rId126"/>
    <hyperlink xmlns:r="http://schemas.openxmlformats.org/officeDocument/2006/relationships" ref="S37" display="https://www.sebi.gov.in/sebi_data/commondocs/aug-2026/J%20PAN%20TUBULAR%20COMPONENTS%20LIMITED%20-%20DAP_p.pdf" r:id="rId127"/>
    <hyperlink xmlns:r="http://schemas.openxmlformats.org/officeDocument/2006/relationships" ref="Z37" r:id="rId128"/>
    <hyperlink xmlns:r="http://schemas.openxmlformats.org/officeDocument/2006/relationships" ref="Q38" display="https://www.sebi.gov.in/sebi_data/attachdocs/aug-2026/1786439399725.pdf" r:id="rId129"/>
    <hyperlink xmlns:r="http://schemas.openxmlformats.org/officeDocument/2006/relationships" ref="R38" display="https://www.sebi.gov.in/filings/public-issues/aug-2026/beauty-garage-limited-drhp_103479.html" r:id="rId130"/>
    <hyperlink xmlns:r="http://schemas.openxmlformats.org/officeDocument/2006/relationships" ref="S38" display="https://www.sebi.gov.in/sebi_data/commondocs/aug-2026/BEAUTY%20GARAGE%20LIMITED%20-%20AP_p.pdf" r:id="rId131"/>
    <hyperlink xmlns:r="http://schemas.openxmlformats.org/officeDocument/2006/relationships" ref="Z38" r:id="rId132"/>
    <hyperlink xmlns:r="http://schemas.openxmlformats.org/officeDocument/2006/relationships" ref="Q39" display="https://www.sebi.gov.in/sebi_data/attachdocs/aug-2026/1786357330303.pdf" r:id="rId133"/>
    <hyperlink xmlns:r="http://schemas.openxmlformats.org/officeDocument/2006/relationships" ref="R39" display="https://www.sebi.gov.in/filings/public-issues/aug-2026/arjun-jewellers-limited-drhp_103462.html" r:id="rId134"/>
    <hyperlink xmlns:r="http://schemas.openxmlformats.org/officeDocument/2006/relationships" ref="S39" display="https://www.sebi.gov.in/sebi_data/commondocs/aug-2026/Arjun%20Jewellers%20Limited%20-%20DAP_p.pdf" r:id="rId135"/>
    <hyperlink xmlns:r="http://schemas.openxmlformats.org/officeDocument/2006/relationships" ref="Z39" r:id="rId136"/>
    <hyperlink xmlns:r="http://schemas.openxmlformats.org/officeDocument/2006/relationships" ref="Q40" display="https://www.sebi.gov.in/sebi_data/attachdocs/aug-2026/1785994501228.pdf" r:id="rId137"/>
    <hyperlink xmlns:r="http://schemas.openxmlformats.org/officeDocument/2006/relationships" ref="R40" display="https://www.sebi.gov.in/filings/public-issues/aug-2026/encube-ethicals-limited-drhp_103383.html" r:id="rId138"/>
    <hyperlink xmlns:r="http://schemas.openxmlformats.org/officeDocument/2006/relationships" ref="S40" display="https://www.sebi.gov.in/sebi_data/commondocs/aug-2026/Encube%20Ethicals%20Limited%20-%20AP_p.pdf" r:id="rId139"/>
    <hyperlink xmlns:r="http://schemas.openxmlformats.org/officeDocument/2006/relationships" ref="Z40" r:id="rId140"/>
    <hyperlink xmlns:r="http://schemas.openxmlformats.org/officeDocument/2006/relationships" ref="Q41" display="https://www.sebi.gov.in/sebi_data/attachdocs/aug-2026/1785915007745_1334.pdf" r:id="rId141"/>
    <hyperlink xmlns:r="http://schemas.openxmlformats.org/officeDocument/2006/relationships" ref="R41" display="https://www.sebi.gov.in/filings/public-issues/aug-2026/advanced-sys-tek-limited-drhp_103353.html" r:id="rId142"/>
    <hyperlink xmlns:r="http://schemas.openxmlformats.org/officeDocument/2006/relationships" ref="S41" display="https://www.sebi.gov.in/sebi_data/commondocs/aug-2026/Advanced%20Sys-Tek%20Limited%20%20-%20DAP_p.pdf" r:id="rId143"/>
    <hyperlink xmlns:r="http://schemas.openxmlformats.org/officeDocument/2006/relationships" ref="Z41" r:id="rId144"/>
    <hyperlink xmlns:r="http://schemas.openxmlformats.org/officeDocument/2006/relationships" ref="Q42" display="https://www.sebi.gov.in/sebi_data/attachdocs/jul-2026/1785497407202_1315.pdf" r:id="rId145"/>
    <hyperlink xmlns:r="http://schemas.openxmlformats.org/officeDocument/2006/relationships" ref="R42" display="https://www.sebi.gov.in/filings/public-issues/jul-2026/master-chains-n-jewels-limited-drhp_103287.html" r:id="rId146"/>
    <hyperlink xmlns:r="http://schemas.openxmlformats.org/officeDocument/2006/relationships" ref="S42" display="https://www.sebi.gov.in/sebi_data/commondocs/aug-2026/Master%20Chains%20N%20Jewels%20Limited%20-%20AP_p.pdf" r:id="rId147"/>
    <hyperlink xmlns:r="http://schemas.openxmlformats.org/officeDocument/2006/relationships" ref="Z42" r:id="rId148"/>
    <hyperlink xmlns:r="http://schemas.openxmlformats.org/officeDocument/2006/relationships" ref="Q43" display="https://www.sebi.gov.in/sebi_data/attachdocs/jul-2026/1785375006183_1314.pdf" r:id="rId149"/>
    <hyperlink xmlns:r="http://schemas.openxmlformats.org/officeDocument/2006/relationships" ref="R43" display="https://www.sebi.gov.in/filings/public-issues/jul-2026/yogiji-digi-limited-drhp_103106.html" r:id="rId150"/>
    <hyperlink xmlns:r="http://schemas.openxmlformats.org/officeDocument/2006/relationships" ref="S43" display="https://www.sebi.gov.in/sebi_data/commondocs/jul-2026/YOGIJI%20DIGI%20LIMITED_p.pdf" r:id="rId151"/>
    <hyperlink xmlns:r="http://schemas.openxmlformats.org/officeDocument/2006/relationships" ref="Z43" r:id="rId152"/>
    <hyperlink xmlns:r="http://schemas.openxmlformats.org/officeDocument/2006/relationships" ref="Q44" display="https://www.sebi.gov.in/sebi_data/attachdocs/jul-2026/1785315631246.pdf" r:id="rId153"/>
    <hyperlink xmlns:r="http://schemas.openxmlformats.org/officeDocument/2006/relationships" ref="R44" display="https://www.sebi.gov.in/filings/public-issues/jul-2026/indian-gas-exchange-limited-drhp_102988.html" r:id="rId154"/>
    <hyperlink xmlns:r="http://schemas.openxmlformats.org/officeDocument/2006/relationships" ref="S44" display="https://www.sebi.gov.in/sebi_data/commondocs/jul-2026/Indian%20Gas%20Exchange%20Limited_p.pdf" r:id="rId155"/>
    <hyperlink xmlns:r="http://schemas.openxmlformats.org/officeDocument/2006/relationships" ref="Z44" r:id="rId156"/>
    <hyperlink xmlns:r="http://schemas.openxmlformats.org/officeDocument/2006/relationships" ref="Q45" display="https://www.sebi.gov.in/sebi_data/attachdocs/aug-2026/1786343435455.pdf" r:id="rId157"/>
    <hyperlink xmlns:r="http://schemas.openxmlformats.org/officeDocument/2006/relationships" ref="R45" display="https://www.sebi.gov.in/filings/public-issues/jul-2026/ifl-finance-ltd-drhp_103313.html" r:id="rId158"/>
    <hyperlink xmlns:r="http://schemas.openxmlformats.org/officeDocument/2006/relationships" ref="S45" display="https://www.sebi.gov.in/sebi_data/commondocs/aug-2026/IFL%20Finance%20Ltd-%20DAP_p.pdf" r:id="rId159"/>
    <hyperlink xmlns:r="http://schemas.openxmlformats.org/officeDocument/2006/relationships" ref="Z45" r:id="rId160"/>
    <hyperlink xmlns:r="http://schemas.openxmlformats.org/officeDocument/2006/relationships" ref="Q46" display="https://www.sebi.gov.in/sebi_data/attachdocs/jul-2026/1784187006424_1304.pdf" r:id="rId161"/>
    <hyperlink xmlns:r="http://schemas.openxmlformats.org/officeDocument/2006/relationships" ref="R46" display="https://www.sebi.gov.in/filings/public-issues/jul-2026/gni-infrastructure-limited-drhp_102874.html" r:id="rId162"/>
    <hyperlink xmlns:r="http://schemas.openxmlformats.org/officeDocument/2006/relationships" ref="S46" display="https://www.sebi.gov.in/sebi_data/commondocs/jul-2026/GNI%20INFRASTRUCTURE%20LIMITED%20-%20DA_p.pdf" r:id="rId163"/>
    <hyperlink xmlns:r="http://schemas.openxmlformats.org/officeDocument/2006/relationships" ref="Z46" r:id="rId164"/>
    <hyperlink xmlns:r="http://schemas.openxmlformats.org/officeDocument/2006/relationships" ref="Q47" display="https://www.sebi.gov.in/sebi_data/attachdocs/jul-2026/1783588088633.pdf" r:id="rId165"/>
    <hyperlink xmlns:r="http://schemas.openxmlformats.org/officeDocument/2006/relationships" ref="R47" display="https://www.sebi.gov.in/filings/public-issues/jul-2026/ratnadeep-retail-limited-drhp_102720.html" r:id="rId166"/>
    <hyperlink xmlns:r="http://schemas.openxmlformats.org/officeDocument/2006/relationships" ref="S47" display="https://www.sebi.gov.in/sebi_data/commondocs/jul-2026/Ratnadeep%20Retail%20Limited%20-%20DAP_p.pdf" r:id="rId167"/>
    <hyperlink xmlns:r="http://schemas.openxmlformats.org/officeDocument/2006/relationships" ref="Z47" r:id="rId168"/>
    <hyperlink xmlns:r="http://schemas.openxmlformats.org/officeDocument/2006/relationships" ref="Q48" display="https://www.sebi.gov.in/sebi_data/attachdocs/jul-2026/1783572277499.pdf" r:id="rId169"/>
    <hyperlink xmlns:r="http://schemas.openxmlformats.org/officeDocument/2006/relationships" ref="R48" display="https://www.sebi.gov.in/filings/public-issues/jul-2026/cult-fit-limited-drhp_102714.html" r:id="rId170"/>
    <hyperlink xmlns:r="http://schemas.openxmlformats.org/officeDocument/2006/relationships" ref="S48" display="https://www.sebi.gov.in/sebi_data/commondocs/jul-2026/CULT.FIT%20Limited%20-%20AP_p.pdf" r:id="rId171"/>
    <hyperlink xmlns:r="http://schemas.openxmlformats.org/officeDocument/2006/relationships" ref="Z48" r:id="rId172"/>
    <hyperlink xmlns:r="http://schemas.openxmlformats.org/officeDocument/2006/relationships" ref="Q49" display="https://www.sebi.gov.in/sebi_data/attachdocs/jul-2026/1783495804607_1303.pdf" r:id="rId173"/>
    <hyperlink xmlns:r="http://schemas.openxmlformats.org/officeDocument/2006/relationships" ref="R49" display="https://www.sebi.gov.in/filings/public-issues/jul-2026/tmc-transformers-india-limited-drhp_102680.html" r:id="rId174"/>
    <hyperlink xmlns:r="http://schemas.openxmlformats.org/officeDocument/2006/relationships" ref="S49" display="https://www.sebi.gov.in/sebi_data/commondocs/jul-2026/TMC%20Transformers%20India%20Limited%20-%20Abri_p.pdf" r:id="rId175"/>
    <hyperlink xmlns:r="http://schemas.openxmlformats.org/officeDocument/2006/relationships" ref="Z49" r:id="rId176"/>
    <hyperlink xmlns:r="http://schemas.openxmlformats.org/officeDocument/2006/relationships" ref="Q50" display="https://www.sebi.gov.in/sebi_data/attachdocs/jul-2026/1783492351929.pdf" r:id="rId177"/>
    <hyperlink xmlns:r="http://schemas.openxmlformats.org/officeDocument/2006/relationships" ref="R50" display="https://www.sebi.gov.in/filings/public-issues/jul-2026/innoterra-limited-drhp_102678.html" r:id="rId178"/>
    <hyperlink xmlns:r="http://schemas.openxmlformats.org/officeDocument/2006/relationships" ref="S50" display="https://www.sebi.gov.in/sebi_data/commondocs/jul-2026/INNOTERRA%20LIMITED%20-%20Abri_p.pdf" r:id="rId179"/>
    <hyperlink xmlns:r="http://schemas.openxmlformats.org/officeDocument/2006/relationships" ref="Z50" r:id="rId180"/>
    <hyperlink xmlns:r="http://schemas.openxmlformats.org/officeDocument/2006/relationships" ref="Q51" display="https://www.sebi.gov.in/sebi_data/attachdocs/jul-2026/1783337424176_1299.pdf" r:id="rId181"/>
    <hyperlink xmlns:r="http://schemas.openxmlformats.org/officeDocument/2006/relationships" ref="R51" display="https://www.sebi.gov.in/filings/public-issues/jul-2026/swara-baby-products-limited-drhp_102609.html" r:id="rId182"/>
    <hyperlink xmlns:r="http://schemas.openxmlformats.org/officeDocument/2006/relationships" ref="S51" display="https://www.sebi.gov.in/sebi_data/commondocs/jul-2026/SWARA%20Baby%20Products%20Limited%20-%20DAP_p.pdf" r:id="rId183"/>
    <hyperlink xmlns:r="http://schemas.openxmlformats.org/officeDocument/2006/relationships" ref="Z51" r:id="rId184"/>
    <hyperlink xmlns:r="http://schemas.openxmlformats.org/officeDocument/2006/relationships" ref="Q52" display="https://www.sebi.gov.in/sebi_data/attachdocs/jul-2026/1783418315173.pdf" r:id="rId185"/>
    <hyperlink xmlns:r="http://schemas.openxmlformats.org/officeDocument/2006/relationships" ref="R52" display="https://www.sebi.gov.in/filings/public-issues/jul-2026/stalwart-people-services-india-limited-drhp_102607.html" r:id="rId186"/>
    <hyperlink xmlns:r="http://schemas.openxmlformats.org/officeDocument/2006/relationships" ref="S52" display="https://www.sebi.gov.in/sebi_data/commondocs/jul-2026/Stalwart%20People%20Services%20India%20Limited%20-%20Abri_p.pdf" r:id="rId187"/>
    <hyperlink xmlns:r="http://schemas.openxmlformats.org/officeDocument/2006/relationships" ref="Z52" r:id="rId188"/>
    <hyperlink xmlns:r="http://schemas.openxmlformats.org/officeDocument/2006/relationships" ref="Q53" display="https://www.sebi.gov.in/sebi_data/attachdocs/jul-2026/1783337424176_1300.pdf" r:id="rId189"/>
    <hyperlink xmlns:r="http://schemas.openxmlformats.org/officeDocument/2006/relationships" ref="R53" display="https://www.sebi.gov.in/filings/public-issues/jul-2026/pragyawan-technologies-limited-drhp_102611.html" r:id="rId190"/>
    <hyperlink xmlns:r="http://schemas.openxmlformats.org/officeDocument/2006/relationships" ref="S53" display="https://www.sebi.gov.in/sebi_data/commondocs/jul-2026/Pragyawan%20Technologies%20Limited%20-%20Abriged_p.PDF" r:id="rId191"/>
    <hyperlink xmlns:r="http://schemas.openxmlformats.org/officeDocument/2006/relationships" ref="Z53" r:id="rId192"/>
    <hyperlink xmlns:r="http://schemas.openxmlformats.org/officeDocument/2006/relationships" ref="Q54" display="https://www.sebi.gov.in/sebi_data/attachdocs/jul-2026/1783323004810_1297.pdf" r:id="rId193"/>
    <hyperlink xmlns:r="http://schemas.openxmlformats.org/officeDocument/2006/relationships" ref="R54" display="https://www.sebi.gov.in/filings/public-issues/jul-2026/functional-and-innovative-foods-limited-drhp_102603.html" r:id="rId194"/>
    <hyperlink xmlns:r="http://schemas.openxmlformats.org/officeDocument/2006/relationships" ref="S54" display="https://www.sebi.gov.in/sebi_data/commondocs/jul-2026/Functional%20&amp;%20Innovative%20Foods%20Limited-%20Abri_p.pdf" r:id="rId195"/>
    <hyperlink xmlns:r="http://schemas.openxmlformats.org/officeDocument/2006/relationships" ref="Z54" r:id="rId196"/>
    <hyperlink xmlns:r="http://schemas.openxmlformats.org/officeDocument/2006/relationships" ref="Q55" display="https://www.sebi.gov.in/sebi_data/attachdocs/jul-2026/1782991807154_1296.pdf" r:id="rId197"/>
    <hyperlink xmlns:r="http://schemas.openxmlformats.org/officeDocument/2006/relationships" ref="R55" display="https://www.sebi.gov.in/filings/public-issues/jul-2026/eswari-global-metal-industries-limited-drhp_102541.html" r:id="rId198"/>
    <hyperlink xmlns:r="http://schemas.openxmlformats.org/officeDocument/2006/relationships" ref="S55" display="https://www.sebi.gov.in/sebi_data/commondocs/jul-2026/GLOBAL%20-%20DAP_p.pdf" r:id="rId199"/>
    <hyperlink xmlns:r="http://schemas.openxmlformats.org/officeDocument/2006/relationships" ref="Z55" r:id="rId200"/>
    <hyperlink xmlns:r="http://schemas.openxmlformats.org/officeDocument/2006/relationships" ref="Q56" display="https://www.sebi.gov.in/sebi_data/attachdocs/jul-2026/1782889460153.pdf" r:id="rId201"/>
    <hyperlink xmlns:r="http://schemas.openxmlformats.org/officeDocument/2006/relationships" ref="R56" display="https://www.sebi.gov.in/filings/public-issues/jul-2026/social-worth-technologies-limited-drhp_102477.html" r:id="rId202"/>
    <hyperlink xmlns:r="http://schemas.openxmlformats.org/officeDocument/2006/relationships" ref="S56" display="https://www.sebi.gov.in/sebi_data/commondocs/jul-2026/Social%20Worth%20Technologies%20-%20DA_p.pdf" r:id="rId203"/>
    <hyperlink xmlns:r="http://schemas.openxmlformats.org/officeDocument/2006/relationships" ref="Z56" r:id="rId204"/>
    <hyperlink xmlns:r="http://schemas.openxmlformats.org/officeDocument/2006/relationships" ref="Q57" display="https://www.sebi.gov.in/sebi_data/attachdocs/jul-2026/1783322148504.pdf" r:id="rId205"/>
    <hyperlink xmlns:r="http://schemas.openxmlformats.org/officeDocument/2006/relationships" ref="R57" display="https://www.sebi.gov.in/filings/public-issues/jul-2026/renfra-energy-india-ltd-drhp_102601.html" r:id="rId206"/>
    <hyperlink xmlns:r="http://schemas.openxmlformats.org/officeDocument/2006/relationships" ref="S57" display="https://www.sebi.gov.in/sebi_data/commondocs/jul-2026/REIL%20Abridged_p.pdf" r:id="rId207"/>
    <hyperlink xmlns:r="http://schemas.openxmlformats.org/officeDocument/2006/relationships" ref="Z57" r:id="rId208"/>
    <hyperlink xmlns:r="http://schemas.openxmlformats.org/officeDocument/2006/relationships" ref="Q58" display="https://www.sebi.gov.in/sebi_data/attachdocs/jul-2026/1782887237115.pdf" r:id="rId209"/>
    <hyperlink xmlns:r="http://schemas.openxmlformats.org/officeDocument/2006/relationships" ref="R58" display="https://www.sebi.gov.in/filings/public-issues/jul-2026/mann-fleet-partners-limited-drhp_102474.html" r:id="rId210"/>
    <hyperlink xmlns:r="http://schemas.openxmlformats.org/officeDocument/2006/relationships" ref="S58" display="https://www.sebi.gov.in/sebi_data/commondocs/jul-2026/Maan%20Fleet%20Partners%20Limited%20-%20DRPH_p.pdf" r:id="rId211"/>
    <hyperlink xmlns:r="http://schemas.openxmlformats.org/officeDocument/2006/relationships" ref="Z58" r:id="rId212"/>
    <hyperlink xmlns:r="http://schemas.openxmlformats.org/officeDocument/2006/relationships" ref="Q59" display="https://www.sebi.gov.in/sebi_data/attachdocs/jun-2026/1782797745198.pdf" r:id="rId213"/>
    <hyperlink xmlns:r="http://schemas.openxmlformats.org/officeDocument/2006/relationships" ref="R59" display="https://www.sebi.gov.in/filings/public-issues/jun-2026/oravel-stays-limited-udrhp-i_102455.html" r:id="rId214"/>
    <hyperlink xmlns:r="http://schemas.openxmlformats.org/officeDocument/2006/relationships" ref="S59" display="https://www.sebi.gov.in/sebi_data/commondocs/jun-2026/ORAVEL%20STAYS%20LIMITED%20-%20Abridged_p.pdf" r:id="rId215"/>
    <hyperlink xmlns:r="http://schemas.openxmlformats.org/officeDocument/2006/relationships" ref="Z59" r:id="rId216"/>
    <hyperlink xmlns:r="http://schemas.openxmlformats.org/officeDocument/2006/relationships" ref="Q60" display="https://www.sebi.gov.in/sebi_data/attachdocs/jun-2026/1782706923073.pdf" r:id="rId217"/>
    <hyperlink xmlns:r="http://schemas.openxmlformats.org/officeDocument/2006/relationships" ref="R60" display="https://www.sebi.gov.in/filings/public-issues/jun-2026/ujin-pharma-ltd-drhp_102424.html" r:id="rId218"/>
    <hyperlink xmlns:r="http://schemas.openxmlformats.org/officeDocument/2006/relationships" ref="S60" display="https://www.sebi.gov.in/sebi_data/commondocs/jun-2026/Ujin%20Pharma%20Ltd.%20-%20Draft%20Abridged%20Prospectus_p.pdf" r:id="rId219"/>
    <hyperlink xmlns:r="http://schemas.openxmlformats.org/officeDocument/2006/relationships" ref="Z60" r:id="rId220"/>
    <hyperlink xmlns:r="http://schemas.openxmlformats.org/officeDocument/2006/relationships" ref="Q61" display="https://www.sebi.gov.in/sebi_data/attachdocs/jun-2026/1782383217036.pdf" r:id="rId221"/>
    <hyperlink xmlns:r="http://schemas.openxmlformats.org/officeDocument/2006/relationships" ref="R61" display="https://www.sebi.gov.in/filings/public-issues/jun-2026/sky-alloys-and-power-limited-drhp_102415.html" r:id="rId222"/>
    <hyperlink xmlns:r="http://schemas.openxmlformats.org/officeDocument/2006/relationships" ref="S61" display="https://www.sebi.gov.in/sebi_data/commondocs/jun-2026/Sky%20Alloys%20and%20Power%20Limited%20-%20Abri_p.pdf" r:id="rId223"/>
    <hyperlink xmlns:r="http://schemas.openxmlformats.org/officeDocument/2006/relationships" ref="Z61" r:id="rId224"/>
    <hyperlink xmlns:r="http://schemas.openxmlformats.org/officeDocument/2006/relationships" ref="Q62" display="https://www.sebi.gov.in/sebi_data/attachdocs/jun-2026/1781870482419.PDF" r:id="rId225"/>
    <hyperlink xmlns:r="http://schemas.openxmlformats.org/officeDocument/2006/relationships" ref="R62" display="https://www.sebi.gov.in/filings/public-issues/jun-2026/jio-platforms-ltd-drhp_102248.html" r:id="rId226"/>
    <hyperlink xmlns:r="http://schemas.openxmlformats.org/officeDocument/2006/relationships" ref="S62" display="https://www.sebi.gov.in/sebi_data/commondocs/jun-2026/Jio%20Platforms%20Ltd_p.PDF" r:id="rId227"/>
    <hyperlink xmlns:r="http://schemas.openxmlformats.org/officeDocument/2006/relationships" ref="Z62" r:id="rId228"/>
    <hyperlink xmlns:r="http://schemas.openxmlformats.org/officeDocument/2006/relationships" ref="Q63" display="https://www.sebi.gov.in/sebi_data/attachdocs/jun-2026/1781761057174.pdf" r:id="rId229"/>
    <hyperlink xmlns:r="http://schemas.openxmlformats.org/officeDocument/2006/relationships" ref="R63" display="https://www.sebi.gov.in/filings/public-issues/jun-2026/paras-healthcare-limited-drhp_102187.html" r:id="rId230"/>
    <hyperlink xmlns:r="http://schemas.openxmlformats.org/officeDocument/2006/relationships" ref="S63" display="https://www.sebi.gov.in/sebi_data/commondocs/jun-2026/Paras%20Healthcare%20Limited%20-%20Abridged_p.pdf" r:id="rId231"/>
    <hyperlink xmlns:r="http://schemas.openxmlformats.org/officeDocument/2006/relationships" ref="Z63" r:id="rId232"/>
    <hyperlink xmlns:r="http://schemas.openxmlformats.org/officeDocument/2006/relationships" ref="Q64" display="https://www.sebi.gov.in/sebi_data/attachdocs/jun-2026/1780983427091.pdf" r:id="rId233"/>
    <hyperlink xmlns:r="http://schemas.openxmlformats.org/officeDocument/2006/relationships" ref="R64" display="https://www.sebi.gov.in/filings/public-issues/jun-2026/zepto-limited-udrhp1_101929.html" r:id="rId234"/>
    <hyperlink xmlns:r="http://schemas.openxmlformats.org/officeDocument/2006/relationships" ref="S64" display="https://www.sebi.gov.in/sebi_data/commondocs/jun-2026/Zepto%20Limited%20-%20abridged_p.pdf" r:id="rId235"/>
    <hyperlink xmlns:r="http://schemas.openxmlformats.org/officeDocument/2006/relationships" ref="Z64" r:id="rId236"/>
    <hyperlink xmlns:r="http://schemas.openxmlformats.org/officeDocument/2006/relationships" ref="Q65" display="https://www.sebi.gov.in/sebi_data/attachdocs/jun-2026/1780558204915_1257.pdf" r:id="rId237"/>
    <hyperlink xmlns:r="http://schemas.openxmlformats.org/officeDocument/2006/relationships" ref="R65" display="https://www.sebi.gov.in/filings/public-issues/jun-2026/pushp-brand-india-limited_101826.html" r:id="rId238"/>
    <hyperlink xmlns:r="http://schemas.openxmlformats.org/officeDocument/2006/relationships" ref="S65" display="https://www.sebi.gov.in/sebi_data/commondocs/jun-2026/Pushp%20Brand%20India%20Limited%20-%20DAP_p.pdf" r:id="rId239"/>
    <hyperlink xmlns:r="http://schemas.openxmlformats.org/officeDocument/2006/relationships" ref="Z65" r:id="rId240"/>
    <hyperlink xmlns:r="http://schemas.openxmlformats.org/officeDocument/2006/relationships" ref="Q66" display="https://www.sebi.gov.in/sebi_data/attachdocs/jun-2026/1780389306989.pdf" r:id="rId241"/>
    <hyperlink xmlns:r="http://schemas.openxmlformats.org/officeDocument/2006/relationships" ref="R66" display="https://www.sebi.gov.in/filings/public-issues/jun-2026/matangi-rubber-limited-drhp_101764.html" r:id="rId242"/>
    <hyperlink xmlns:r="http://schemas.openxmlformats.org/officeDocument/2006/relationships" ref="S66" display="https://www.sebi.gov.in/sebi_data/commondocs/jun-2026/Matangi%20Rubber%20Limited%20-%20Abridged_p.pdf" r:id="rId243"/>
    <hyperlink xmlns:r="http://schemas.openxmlformats.org/officeDocument/2006/relationships" ref="Q67" display="https://www.sebi.gov.in/sebi_data/attachdocs/jun-2026/1780373627534.pdf" r:id="rId244"/>
    <hyperlink xmlns:r="http://schemas.openxmlformats.org/officeDocument/2006/relationships" ref="R67" display="https://www.sebi.gov.in/filings/public-issues/jun-2026/arohan-financial-services-limited-drhp_101753.html" r:id="rId245"/>
    <hyperlink xmlns:r="http://schemas.openxmlformats.org/officeDocument/2006/relationships" ref="S67" display="https://www.sebi.gov.in/sebi_data/commondocs/jun-2026/Arohan%20Financial%20Services%20Limited%20-%20DRHP_p.pdf" r:id="rId246"/>
    <hyperlink xmlns:r="http://schemas.openxmlformats.org/officeDocument/2006/relationships" ref="Z67" r:id="rId247"/>
    <hyperlink xmlns:r="http://schemas.openxmlformats.org/officeDocument/2006/relationships" ref="Q68" display="https://www.sebi.gov.in/sebi_data/attachdocs/may-2026/1779262204888_1256.pdf" r:id="rId248"/>
    <hyperlink xmlns:r="http://schemas.openxmlformats.org/officeDocument/2006/relationships" ref="R68" display="https://www.sebi.gov.in/filings/public-issues/may-2026/m-k-sons-fine-jewels-limited_101528.html" r:id="rId249"/>
    <hyperlink xmlns:r="http://schemas.openxmlformats.org/officeDocument/2006/relationships" ref="S68" display="https://www.sebi.gov.in/sebi_data/commondocs/jun-2026/M%20K%20SONS%20-%20Draft%20Abridged%20Prospectus_p.pdf" r:id="rId250"/>
    <hyperlink xmlns:r="http://schemas.openxmlformats.org/officeDocument/2006/relationships" ref="Z68" r:id="rId251"/>
    <hyperlink xmlns:r="http://schemas.openxmlformats.org/officeDocument/2006/relationships" ref="Q69" display="https://www.sebi.gov.in/sebi_data/attachdocs/may-2026/1778844606056_1254.pdf" r:id="rId252"/>
    <hyperlink xmlns:r="http://schemas.openxmlformats.org/officeDocument/2006/relationships" ref="R69" display="https://www.sebi.gov.in/filings/public-issues/may-2026/gaurik-fashions-limited-drhp_101469.html" r:id="rId253"/>
    <hyperlink xmlns:r="http://schemas.openxmlformats.org/officeDocument/2006/relationships" ref="S69" display="https://www.sebi.gov.in/sebi_data/commondocs/sep-2026/Gaurik%20Fashions%20Limited%20-%20DAP_p.pdf" r:id="rId254"/>
    <hyperlink xmlns:r="http://schemas.openxmlformats.org/officeDocument/2006/relationships" ref="Z69" r:id="rId255"/>
    <hyperlink xmlns:r="http://schemas.openxmlformats.org/officeDocument/2006/relationships" ref="Q70" display="https://www.sebi.gov.in/sebi_data/attachdocs/may-2026/1778754857352.pdf" r:id="rId256"/>
    <hyperlink xmlns:r="http://schemas.openxmlformats.org/officeDocument/2006/relationships" ref="R70" display="https://www.sebi.gov.in/filings/public-issues/may-2026/online-instruments-india-limited-drhp_101429.html" r:id="rId257"/>
    <hyperlink xmlns:r="http://schemas.openxmlformats.org/officeDocument/2006/relationships" ref="S70" display="https://www.sebi.gov.in/sebi_data/commondocs/may-2026/Online%20Instruments%20india%20Limite-AP_p.pdf" r:id="rId258"/>
    <hyperlink xmlns:r="http://schemas.openxmlformats.org/officeDocument/2006/relationships" ref="Z70" r:id="rId259"/>
    <hyperlink xmlns:r="http://schemas.openxmlformats.org/officeDocument/2006/relationships" ref="Q71" display="https://www.sebi.gov.in/sebi_data/attachdocs/may-2026/1778757509849.pdf" r:id="rId260"/>
    <hyperlink xmlns:r="http://schemas.openxmlformats.org/officeDocument/2006/relationships" ref="R71" display="https://www.sebi.gov.in/filings/public-issues/may-2026/incred-holdings-limited-udrhp-1_101433.html" r:id="rId261"/>
    <hyperlink xmlns:r="http://schemas.openxmlformats.org/officeDocument/2006/relationships" ref="S71" display="https://www.sebi.gov.in/sebi_data/commondocs/may-2026/Incred%20Holdings%20Limited-Abridged%20prospectus_p.pdf" r:id="rId262"/>
    <hyperlink xmlns:r="http://schemas.openxmlformats.org/officeDocument/2006/relationships" ref="Z71" r:id="rId263"/>
    <hyperlink xmlns:r="http://schemas.openxmlformats.org/officeDocument/2006/relationships" ref="Q72" display="https://www.sebi.gov.in/sebi_data/attachdocs/apr-2026/1777447805864_1234.pdf" r:id="rId264"/>
    <hyperlink xmlns:r="http://schemas.openxmlformats.org/officeDocument/2006/relationships" ref="R72" display="https://www.sebi.gov.in/filings/public-issues/apr-2026/playsimple-games-limited-drhp_101159.html" r:id="rId265"/>
    <hyperlink xmlns:r="http://schemas.openxmlformats.org/officeDocument/2006/relationships" ref="S72" display="https://www.sebi.gov.in/sebi_data/commondocs/may-2026/Playsimple%20Games%20Limited_p.pdf" r:id="rId266"/>
    <hyperlink xmlns:r="http://schemas.openxmlformats.org/officeDocument/2006/relationships" ref="Z72" r:id="rId267"/>
    <hyperlink xmlns:r="http://schemas.openxmlformats.org/officeDocument/2006/relationships" ref="Q73" display="https://www.sebi.gov.in/sebi_data/attachdocs/apr-2026/1776843005609_1228.pdf" r:id="rId268"/>
    <hyperlink xmlns:r="http://schemas.openxmlformats.org/officeDocument/2006/relationships" ref="R73" display="https://www.sebi.gov.in/filings/public-issues/apr-2026/punjab-carbonic-limited-drhp_101039.html" r:id="rId269"/>
    <hyperlink xmlns:r="http://schemas.openxmlformats.org/officeDocument/2006/relationships" ref="S73" display="https://www.sebi.gov.in/sebi_data/commondocs/may-2026/Draft_Abridged_Prospectus_PCL_p.pdf" r:id="rId270"/>
    <hyperlink xmlns:r="http://schemas.openxmlformats.org/officeDocument/2006/relationships" ref="Z73" r:id="rId271"/>
    <hyperlink xmlns:r="http://schemas.openxmlformats.org/officeDocument/2006/relationships" ref="Q74" display="https://www.sebi.gov.in/sebi_data/attachdocs/apr-2026/1776339007769_1226.pdf" r:id="rId272"/>
    <hyperlink xmlns:r="http://schemas.openxmlformats.org/officeDocument/2006/relationships" ref="R74" display="https://www.sebi.gov.in/filings/public-issues/apr-2026/monomark-engineering-india-limited-drhp_100945.html" r:id="rId273"/>
    <hyperlink xmlns:r="http://schemas.openxmlformats.org/officeDocument/2006/relationships" ref="S74" display="https://www.sebi.gov.in/sebi_data/commondocs/aug-2026/Monomark%20Engineering%20-%20AP_p.pdf" r:id="rId274"/>
    <hyperlink xmlns:r="http://schemas.openxmlformats.org/officeDocument/2006/relationships" ref="Z74" r:id="rId275"/>
    <hyperlink xmlns:r="http://schemas.openxmlformats.org/officeDocument/2006/relationships" ref="Q75" display="https://www.sebi.gov.in/sebi_data/attachdocs/apr-2026/1776339007769_1227.pdf" r:id="rId276"/>
    <hyperlink xmlns:r="http://schemas.openxmlformats.org/officeDocument/2006/relationships" ref="R75" display="https://www.sebi.gov.in/filings/public-issues/apr-2026/absolute-projects-india-limited-drhp_100947.html" r:id="rId277"/>
    <hyperlink xmlns:r="http://schemas.openxmlformats.org/officeDocument/2006/relationships" ref="S75" display="https://www.sebi.gov.in/sebi_data/commondocs/jul-2026/Absolute%20Projects%20India%20Limited%20-%20DAP_p.pdf" r:id="rId278"/>
    <hyperlink xmlns:r="http://schemas.openxmlformats.org/officeDocument/2006/relationships" ref="Z75" r:id="rId279"/>
    <hyperlink xmlns:r="http://schemas.openxmlformats.org/officeDocument/2006/relationships" ref="Q76" display="https://www.sebi.gov.in/sebi_data/attachdocs/apr-2026/1775806206718_1224.pdf" r:id="rId280"/>
    <hyperlink xmlns:r="http://schemas.openxmlformats.org/officeDocument/2006/relationships" ref="R76" display="https://www.sebi.gov.in/filings/public-issues/apr-2026/t-c-terrytex-limited-drhp_100856.html" r:id="rId281"/>
    <hyperlink xmlns:r="http://schemas.openxmlformats.org/officeDocument/2006/relationships" ref="S76" display="https://www.sebi.gov.in/sebi_data/commondocs/apr-2026/TC%20TERRYTEX%20LIMITED-Abridged%20Prospectus_p.pdf" r:id="rId282"/>
    <hyperlink xmlns:r="http://schemas.openxmlformats.org/officeDocument/2006/relationships" ref="Z76" r:id="rId283"/>
    <hyperlink xmlns:r="http://schemas.openxmlformats.org/officeDocument/2006/relationships" ref="Q77" display="https://www.sebi.gov.in/sebi_data/attachdocs/apr-2026/1775819035932.pdf" r:id="rId284"/>
    <hyperlink xmlns:r="http://schemas.openxmlformats.org/officeDocument/2006/relationships" ref="R77" display="https://www.sebi.gov.in/filings/public-issues/apr-2026/expression-360-services-india-limited-drhp_100861.html" r:id="rId285"/>
    <hyperlink xmlns:r="http://schemas.openxmlformats.org/officeDocument/2006/relationships" ref="S77" display="https://www.sebi.gov.in/sebi_data/commondocs/apr-2026/Expression%20360%20Services%20India%20Limited-Abridged%20Prospectus_p.pdf" r:id="rId286"/>
    <hyperlink xmlns:r="http://schemas.openxmlformats.org/officeDocument/2006/relationships" ref="Z77" r:id="rId287"/>
    <hyperlink xmlns:r="http://schemas.openxmlformats.org/officeDocument/2006/relationships" ref="Q78" display="https://www.sebi.gov.in/sebi_data/attachdocs/apr-2026/1775633415124_1218.pdf" r:id="rId288"/>
    <hyperlink xmlns:r="http://schemas.openxmlformats.org/officeDocument/2006/relationships" ref="R78" display="https://www.sebi.gov.in/filings/public-issues/apr-2026/sathya-agencies-limited-drhp_100796.html" r:id="rId289"/>
    <hyperlink xmlns:r="http://schemas.openxmlformats.org/officeDocument/2006/relationships" ref="S78" display="https://www.sebi.gov.in/sebi_data/commondocs/apr-2026/Sathya%20Agencies%20Limited-Abridged%20Prospectus_p.pdf" r:id="rId290"/>
    <hyperlink xmlns:r="http://schemas.openxmlformats.org/officeDocument/2006/relationships" ref="Z78" r:id="rId291"/>
    <hyperlink xmlns:r="http://schemas.openxmlformats.org/officeDocument/2006/relationships" ref="Q79" display="https://www.sebi.gov.in/sebi_data/attachdocs/apr-2026/1775633415124_1221.pdf" r:id="rId292"/>
    <hyperlink xmlns:r="http://schemas.openxmlformats.org/officeDocument/2006/relationships" ref="R79" display="https://www.sebi.gov.in/filings/public-issues/apr-2026/nityas-gems-and-jewellery-limited-drhp_100802.html" r:id="rId293"/>
    <hyperlink xmlns:r="http://schemas.openxmlformats.org/officeDocument/2006/relationships" ref="S79" display="https://www.sebi.gov.in/sebi_data/commondocs/apr-2026/Nityas%20Gems%20and%20Jewellery%20Limited-Abridged%20Prospectus_p.pdf" r:id="rId294"/>
    <hyperlink xmlns:r="http://schemas.openxmlformats.org/officeDocument/2006/relationships" ref="Z79" r:id="rId295"/>
    <hyperlink xmlns:r="http://schemas.openxmlformats.org/officeDocument/2006/relationships" ref="Q80" display="https://www.sebi.gov.in/sebi_data/attachdocs/apr-2026/1775633415124_1222.pdf" r:id="rId296"/>
    <hyperlink xmlns:r="http://schemas.openxmlformats.org/officeDocument/2006/relationships" ref="R80" display="https://www.sebi.gov.in/filings/public-issues/apr-2026/gujarat-victory-forgings-limited-drhp_100804.html" r:id="rId297"/>
    <hyperlink xmlns:r="http://schemas.openxmlformats.org/officeDocument/2006/relationships" ref="S80" display="https://www.sebi.gov.in/sebi_data/commondocs/apr-2026/GUJARAT%20VICTORY%20FORGINGS%20LIMITED-Abridged%20Prospectus_p.pdf" r:id="rId298"/>
    <hyperlink xmlns:r="http://schemas.openxmlformats.org/officeDocument/2006/relationships" ref="Z80" r:id="rId299"/>
    <hyperlink xmlns:r="http://schemas.openxmlformats.org/officeDocument/2006/relationships" ref="Q81" display="https://www.sebi.gov.in/sebi_data/attachdocs/apr-2026/1775633415124_1219.pdf" r:id="rId300"/>
    <hyperlink xmlns:r="http://schemas.openxmlformats.org/officeDocument/2006/relationships" ref="R81" display="https://www.sebi.gov.in/filings/public-issues/apr-2026/bvishal-oil-and-energy-limited-drhp_100798.html" r:id="rId301"/>
    <hyperlink xmlns:r="http://schemas.openxmlformats.org/officeDocument/2006/relationships" ref="S81" display="https://www.sebi.gov.in/sebi_data/commondocs/apr-2026/Bvishal%20Oil%20and%20Energy%20Limited-Abridged%20Prospectus_p.pdf" r:id="rId302"/>
    <hyperlink xmlns:r="http://schemas.openxmlformats.org/officeDocument/2006/relationships" ref="Z81" r:id="rId303"/>
    <hyperlink xmlns:r="http://schemas.openxmlformats.org/officeDocument/2006/relationships" ref="Q82" display="https://www.sebi.gov.in/sebi_data/attachdocs/apr-2026/1775547017596_1205.pdf" r:id="rId304"/>
    <hyperlink xmlns:r="http://schemas.openxmlformats.org/officeDocument/2006/relationships" ref="R82" display="https://www.sebi.gov.in/filings/public-issues/apr-2026/sadbhav-futuretech-limited_100753.html" r:id="rId305"/>
    <hyperlink xmlns:r="http://schemas.openxmlformats.org/officeDocument/2006/relationships" ref="Z82" r:id="rId306"/>
    <hyperlink xmlns:r="http://schemas.openxmlformats.org/officeDocument/2006/relationships" ref="Q83" display="https://www.sebi.gov.in/sebi_data/attachdocs/apr-2026/1776677194481.pdf" r:id="rId307"/>
    <hyperlink xmlns:r="http://schemas.openxmlformats.org/officeDocument/2006/relationships" ref="R83" display="https://www.sebi.gov.in/filings/public-issues/apr-2026/kay-jay-forgings-limited-drhp_100975.html" r:id="rId308"/>
    <hyperlink xmlns:r="http://schemas.openxmlformats.org/officeDocument/2006/relationships" ref="S83" display="https://www.sebi.gov.in/sebi_data/commondocs/apr-2026/Kay%20Jay%20Forgings%20Limited-Abridged%20Prospectus_p.pdf" r:id="rId309"/>
    <hyperlink xmlns:r="http://schemas.openxmlformats.org/officeDocument/2006/relationships" ref="Z83" r:id="rId310"/>
    <hyperlink xmlns:r="http://schemas.openxmlformats.org/officeDocument/2006/relationships" ref="Q84" display="https://www.sebi.gov.in/sebi_data/attachdocs/apr-2026/1775547017596_1211.pdf" r:id="rId311"/>
    <hyperlink xmlns:r="http://schemas.openxmlformats.org/officeDocument/2006/relationships" ref="R84" display="https://www.sebi.gov.in/filings/public-issues/apr-2026/intellius-recode-limited-drhp_100765.html" r:id="rId312"/>
    <hyperlink xmlns:r="http://schemas.openxmlformats.org/officeDocument/2006/relationships" ref="S84" display="https://www.sebi.gov.in/sebi_data/commondocs/apr-2026/Intellius%20Recode%20Ltd%20-%20Abridged%20Prospectus_p.pdf" r:id="rId313"/>
    <hyperlink xmlns:r="http://schemas.openxmlformats.org/officeDocument/2006/relationships" ref="Z84" r:id="rId314"/>
    <hyperlink xmlns:r="http://schemas.openxmlformats.org/officeDocument/2006/relationships" ref="Q85" display="https://www.sebi.gov.in/sebi_data/attachdocs/apr-2026/1775105578692.pdf" r:id="rId315"/>
    <hyperlink xmlns:r="http://schemas.openxmlformats.org/officeDocument/2006/relationships" ref="R85" display="https://www.sebi.gov.in/filings/public-issues/apr-2026/rkb-global-limited-drhp_100702.html" r:id="rId316"/>
    <hyperlink xmlns:r="http://schemas.openxmlformats.org/officeDocument/2006/relationships" ref="S85" display="https://www.sebi.gov.in/sebi_data/commondocs/apr-2026/RKB%20Global%20Limited%20-%20Abridged%20prospectus_p.pdf" r:id="rId317"/>
    <hyperlink xmlns:r="http://schemas.openxmlformats.org/officeDocument/2006/relationships" ref="Z85" r:id="rId318"/>
    <hyperlink xmlns:r="http://schemas.openxmlformats.org/officeDocument/2006/relationships" ref="Q86" display="https://www.sebi.gov.in/sebi_data/attachdocs/apr-2026/1775115013296_1202.pdf" r:id="rId319"/>
    <hyperlink xmlns:r="http://schemas.openxmlformats.org/officeDocument/2006/relationships" ref="R86" display="https://www.sebi.gov.in/filings/public-issues/apr-2026/pioneer-fil-med-limited-drhp_100715.html" r:id="rId320"/>
    <hyperlink xmlns:r="http://schemas.openxmlformats.org/officeDocument/2006/relationships" ref="S86" display="https://www.sebi.gov.in/sebi_data/commondocs/apr-2026/Pioneer%20Fil-Med%20Limited-Draft%20Abridged%20Prospectus_p.pdf" r:id="rId321"/>
    <hyperlink xmlns:r="http://schemas.openxmlformats.org/officeDocument/2006/relationships" ref="Z86" r:id="rId322"/>
    <hyperlink xmlns:r="http://schemas.openxmlformats.org/officeDocument/2006/relationships" ref="Q87" display="https://www.sebi.gov.in/sebi_data/attachdocs/apr-2026/1775129403770_1203.pdf" r:id="rId323"/>
    <hyperlink xmlns:r="http://schemas.openxmlformats.org/officeDocument/2006/relationships" ref="R87" display="https://www.sebi.gov.in/filings/public-issues/apr-2026/cosmic-pv-power-limited-drhp_100718.html" r:id="rId324"/>
    <hyperlink xmlns:r="http://schemas.openxmlformats.org/officeDocument/2006/relationships" ref="S87" display="https://www.sebi.gov.in/sebi_data/commondocs/apr-2026/COSMIC%20PV%20POWER%20LIMITED-Abridged%20prospectus_p.pdf" r:id="rId325"/>
    <hyperlink xmlns:r="http://schemas.openxmlformats.org/officeDocument/2006/relationships" ref="Z87" r:id="rId326"/>
    <hyperlink xmlns:r="http://schemas.openxmlformats.org/officeDocument/2006/relationships" ref="Q88" display="https://www.sebi.gov.in/sebi_data/attachdocs/apr-2026/1775120802263.pdf" r:id="rId327"/>
    <hyperlink xmlns:r="http://schemas.openxmlformats.org/officeDocument/2006/relationships" ref="R88" display="https://www.sebi.gov.in/filings/public-issues/mar-2026/laxyo-limited-drhp_100686.html" r:id="rId328"/>
    <hyperlink xmlns:r="http://schemas.openxmlformats.org/officeDocument/2006/relationships" ref="S88" display="https://www.sebi.gov.in/sebi_data/commondocs/apr-2026/Laxyo%20Limited-Draft%20Abridged%20Prospectus_p.pdf" r:id="rId329"/>
    <hyperlink xmlns:r="http://schemas.openxmlformats.org/officeDocument/2006/relationships" ref="Z88" r:id="rId330"/>
    <hyperlink xmlns:r="http://schemas.openxmlformats.org/officeDocument/2006/relationships" ref="Q89" display="https://www.sebi.gov.in/sebi_data/attachdocs/apr-2026/1775016379965.pdf" r:id="rId331"/>
    <hyperlink xmlns:r="http://schemas.openxmlformats.org/officeDocument/2006/relationships" ref="R89" display="https://www.sebi.gov.in/filings/public-issues/mar-2026/bharat-pet-limited-drhp_100673.html" r:id="rId332"/>
    <hyperlink xmlns:r="http://schemas.openxmlformats.org/officeDocument/2006/relationships" ref="S89" display="https://www.sebi.gov.in/sebi_data/commondocs/apr-2026/Bharat%20PET%20Limited-Abridged%20Prospectus_p.pdf" r:id="rId333"/>
    <hyperlink xmlns:r="http://schemas.openxmlformats.org/officeDocument/2006/relationships" ref="Z89" r:id="rId334"/>
    <hyperlink xmlns:r="http://schemas.openxmlformats.org/officeDocument/2006/relationships" ref="Q90" display="https://www.sebi.gov.in/sebi_data/attachdocs/mar-2026/1774596605715_1174.pdf" r:id="rId335"/>
    <hyperlink xmlns:r="http://schemas.openxmlformats.org/officeDocument/2006/relationships" ref="R90" display="https://www.sebi.gov.in/filings/public-issues/mar-2026/polite-powertech-limited_100624.html" r:id="rId336"/>
    <hyperlink xmlns:r="http://schemas.openxmlformats.org/officeDocument/2006/relationships" ref="Z90" r:id="rId337"/>
    <hyperlink xmlns:r="http://schemas.openxmlformats.org/officeDocument/2006/relationships" ref="Q91" display="https://www.sebi.gov.in/sebi_data/attachdocs/mar-2026/1774421203748.pdf" r:id="rId338"/>
    <hyperlink xmlns:r="http://schemas.openxmlformats.org/officeDocument/2006/relationships" ref="R91" display="https://www.sebi.gov.in/filings/public-issues/mar-2026/trenzet-infra-limited-drhp_100553.html" r:id="rId339"/>
    <hyperlink xmlns:r="http://schemas.openxmlformats.org/officeDocument/2006/relationships" ref="S91" display="https://www.sebi.gov.in/sebi_data/commondocs/apr-2026/Trenzet%20Infra%20Limited-Abridged%20Prospectus_p.pdf" r:id="rId340"/>
    <hyperlink xmlns:r="http://schemas.openxmlformats.org/officeDocument/2006/relationships" ref="Z91" r:id="rId341"/>
    <hyperlink xmlns:r="http://schemas.openxmlformats.org/officeDocument/2006/relationships" ref="Q92" display="https://www.sebi.gov.in/sebi_data/attachdocs/mar-2026/1774337405679_1155.pdf" r:id="rId342"/>
    <hyperlink xmlns:r="http://schemas.openxmlformats.org/officeDocument/2006/relationships" ref="R92" display="https://www.sebi.gov.in/filings/public-issues/mar-2026/truhome-finance-limited_100519.html" r:id="rId343"/>
    <hyperlink xmlns:r="http://schemas.openxmlformats.org/officeDocument/2006/relationships" ref="Z92" r:id="rId344"/>
    <hyperlink xmlns:r="http://schemas.openxmlformats.org/officeDocument/2006/relationships" ref="Q93" display="https://www.sebi.gov.in/sebi_data/attachdocs/mar-2026/1773055805156_1135.pdf" r:id="rId345"/>
    <hyperlink xmlns:r="http://schemas.openxmlformats.org/officeDocument/2006/relationships" ref="R93" display="https://www.sebi.gov.in/filings/public-issues/mar-2026/sunil-gold-india-limited_100202.html" r:id="rId346"/>
    <hyperlink xmlns:r="http://schemas.openxmlformats.org/officeDocument/2006/relationships" ref="Z93" r:id="rId347"/>
    <hyperlink xmlns:r="http://schemas.openxmlformats.org/officeDocument/2006/relationships" ref="Q94" display="https://www.sebi.gov.in/sebi_data/attachdocs/mar-2026/1773106204965_1136.pdf" r:id="rId348"/>
    <hyperlink xmlns:r="http://schemas.openxmlformats.org/officeDocument/2006/relationships" ref="R94" display="https://www.sebi.gov.in/filings/public-issues/mar-2026/shreni-shares-limited_100212.html" r:id="rId349"/>
    <hyperlink xmlns:r="http://schemas.openxmlformats.org/officeDocument/2006/relationships" ref="Z94" r:id="rId350"/>
    <hyperlink xmlns:r="http://schemas.openxmlformats.org/officeDocument/2006/relationships" ref="Q95" display="https://www.sebi.gov.in/sebi_data/attachdocs/feb-2026/1771241407162_1117.pdf" r:id="rId351"/>
    <hyperlink xmlns:r="http://schemas.openxmlformats.org/officeDocument/2006/relationships" ref="R95" display="https://www.sebi.gov.in/filings/public-issues/feb-2026/bonfiglioli-transmissions-limited_99781.html" r:id="rId352"/>
    <hyperlink xmlns:r="http://schemas.openxmlformats.org/officeDocument/2006/relationships" ref="Z95" r:id="rId353"/>
    <hyperlink xmlns:r="http://schemas.openxmlformats.org/officeDocument/2006/relationships" ref="Q96" display="https://www.sebi.gov.in/sebi_data/attachdocs/feb-2026/1770358047774.pdf" r:id="rId354"/>
    <hyperlink xmlns:r="http://schemas.openxmlformats.org/officeDocument/2006/relationships" ref="R96" display="https://www.sebi.gov.in/filings/public-issues/feb-2026/srit-india-limited-drhp_99558.html" r:id="rId355"/>
    <hyperlink xmlns:r="http://schemas.openxmlformats.org/officeDocument/2006/relationships" ref="Z96" r:id="rId356"/>
    <hyperlink xmlns:r="http://schemas.openxmlformats.org/officeDocument/2006/relationships" ref="Q97" display="https://www.sebi.gov.in/sebi_data/attachdocs/feb-2026/1770183523459.pdf" r:id="rId357"/>
    <hyperlink xmlns:r="http://schemas.openxmlformats.org/officeDocument/2006/relationships" ref="R97" display="https://www.sebi.gov.in/filings/public-issues/feb-2026/marri-retail-limited-drhp_99483.html" r:id="rId358"/>
    <hyperlink xmlns:r="http://schemas.openxmlformats.org/officeDocument/2006/relationships" ref="Z97" r:id="rId359"/>
    <hyperlink xmlns:r="http://schemas.openxmlformats.org/officeDocument/2006/relationships" ref="Q98" display="https://www.sebi.gov.in/sebi_data/attachdocs/feb-2026/1770114408329.pdf" r:id="rId360"/>
    <hyperlink xmlns:r="http://schemas.openxmlformats.org/officeDocument/2006/relationships" ref="R98" display="https://www.sebi.gov.in/filings/public-issues/jan-2026/bombay-coated-and-special-steels-limited_99471.html" r:id="rId361"/>
    <hyperlink xmlns:r="http://schemas.openxmlformats.org/officeDocument/2006/relationships" ref="Z98" r:id="rId362"/>
    <hyperlink xmlns:r="http://schemas.openxmlformats.org/officeDocument/2006/relationships" ref="Q99" display="https://www.sebi.gov.in/sebi_data/attachdocs/jan-2026/1769161833282.pdf" r:id="rId363"/>
    <hyperlink xmlns:r="http://schemas.openxmlformats.org/officeDocument/2006/relationships" ref="R99" display="https://www.sebi.gov.in/filings/public-issues/jan-2026/phonepe-limited-udrhp-i_99285.html" r:id="rId364"/>
    <hyperlink xmlns:r="http://schemas.openxmlformats.org/officeDocument/2006/relationships" ref="Z99" r:id="rId365"/>
    <hyperlink xmlns:r="http://schemas.openxmlformats.org/officeDocument/2006/relationships" ref="Q100" display="https://www.sebi.gov.in/sebi_data/attachdocs/jan-2026/1769065345546.pdf" r:id="rId366"/>
    <hyperlink xmlns:r="http://schemas.openxmlformats.org/officeDocument/2006/relationships" ref="R100" display="https://www.sebi.gov.in/filings/public-issues/jan-2026/advanta-enterprises-limited-drhp_99228.html" r:id="rId367"/>
    <hyperlink xmlns:r="http://schemas.openxmlformats.org/officeDocument/2006/relationships" ref="Z100" r:id="rId368"/>
    <hyperlink xmlns:r="http://schemas.openxmlformats.org/officeDocument/2006/relationships" ref="Q101" display="https://www.sebi.gov.in/sebi_data/attachdocs/jan-2026/1768908606102_1097.pdf" r:id="rId369"/>
    <hyperlink xmlns:r="http://schemas.openxmlformats.org/officeDocument/2006/relationships" ref="R101" display="https://www.sebi.gov.in/filings/public-issues/jan-2026/rodec-pharma-limited_99167.html" r:id="rId370"/>
    <hyperlink xmlns:r="http://schemas.openxmlformats.org/officeDocument/2006/relationships" ref="Z101" r:id="rId371"/>
    <hyperlink xmlns:r="http://schemas.openxmlformats.org/officeDocument/2006/relationships" ref="Q102" display="https://www.sebi.gov.in/sebi_data/attachdocs/jan-2026/1768303804000_1096.pdf" r:id="rId372"/>
    <hyperlink xmlns:r="http://schemas.openxmlformats.org/officeDocument/2006/relationships" ref="R102" display="https://www.sebi.gov.in/filings/public-issues/jan-2026/hindustan-laboratories-limited_99041.html" r:id="rId373"/>
    <hyperlink xmlns:r="http://schemas.openxmlformats.org/officeDocument/2006/relationships" ref="Z102" r:id="rId374"/>
    <hyperlink xmlns:r="http://schemas.openxmlformats.org/officeDocument/2006/relationships" ref="Q103" display="https://www.sebi.gov.in/sebi_data/attachdocs/jan-2026/1768202159183.pdf" r:id="rId375"/>
    <hyperlink xmlns:r="http://schemas.openxmlformats.org/officeDocument/2006/relationships" ref="R103" display="https://www.sebi.gov.in/filings/public-issues/jan-2026/vishal-nirmiti-limited_98883.html" r:id="rId376"/>
    <hyperlink xmlns:r="http://schemas.openxmlformats.org/officeDocument/2006/relationships" ref="Z103" r:id="rId377"/>
    <hyperlink xmlns:r="http://schemas.openxmlformats.org/officeDocument/2006/relationships" ref="Q104" display="https://www.sebi.gov.in/sebi_data/attachdocs/jan-2026/1767762940433.pdf" r:id="rId378"/>
    <hyperlink xmlns:r="http://schemas.openxmlformats.org/officeDocument/2006/relationships" ref="R104" display="https://www.sebi.gov.in/filings/public-issues/jan-2026/surgiwear-limited_98949.html" r:id="rId379"/>
    <hyperlink xmlns:r="http://schemas.openxmlformats.org/officeDocument/2006/relationships" ref="Z104" r:id="rId380"/>
    <hyperlink xmlns:r="http://schemas.openxmlformats.org/officeDocument/2006/relationships" ref="Q105" display="https://www.sebi.gov.in/sebi_data/attachdocs/jan-2026/1767339026316_1046.pdf" r:id="rId381"/>
    <hyperlink xmlns:r="http://schemas.openxmlformats.org/officeDocument/2006/relationships" ref="R105" display="https://www.sebi.gov.in/filings/public-issues/jan-2026/travelstack-tech-limited_98786.html" r:id="rId382"/>
    <hyperlink xmlns:r="http://schemas.openxmlformats.org/officeDocument/2006/relationships" ref="Z105" r:id="rId383"/>
    <hyperlink xmlns:r="http://schemas.openxmlformats.org/officeDocument/2006/relationships" ref="Q106" display="https://www.sebi.gov.in/sebi_data/attachdocs/jan-2026/1767339026316_1047.pdf" r:id="rId384"/>
    <hyperlink xmlns:r="http://schemas.openxmlformats.org/officeDocument/2006/relationships" ref="R106" display="https://www.sebi.gov.in/filings/public-issues/jan-2026/neolite-zkw-lightings-limited_98788.html" r:id="rId385"/>
    <hyperlink xmlns:r="http://schemas.openxmlformats.org/officeDocument/2006/relationships" ref="Z106" r:id="rId386"/>
    <hyperlink xmlns:r="http://schemas.openxmlformats.org/officeDocument/2006/relationships" ref="Q107" display="https://www.sebi.gov.in/sebi_data/attachdocs/jan-2026/1767339026316_1048.pdf" r:id="rId387"/>
    <hyperlink xmlns:r="http://schemas.openxmlformats.org/officeDocument/2006/relationships" ref="R107" display="https://www.sebi.gov.in/filings/public-issues/jan-2026/mehta-hitech-industries-limited_98790.html" r:id="rId388"/>
    <hyperlink xmlns:r="http://schemas.openxmlformats.org/officeDocument/2006/relationships" ref="Z107" r:id="rId389"/>
    <hyperlink xmlns:r="http://schemas.openxmlformats.org/officeDocument/2006/relationships" ref="Q108" display="https://www.sebi.gov.in/sebi_data/attachdocs/jan-2026/1767353409824_1050.pdf" r:id="rId390"/>
    <hyperlink xmlns:r="http://schemas.openxmlformats.org/officeDocument/2006/relationships" ref="R108" display="https://www.sebi.gov.in/filings/public-issues/jan-2026/krishna-buildspace-limited_98809.html" r:id="rId391"/>
    <hyperlink xmlns:r="http://schemas.openxmlformats.org/officeDocument/2006/relationships" ref="Z108" r:id="rId392"/>
    <hyperlink xmlns:r="http://schemas.openxmlformats.org/officeDocument/2006/relationships" ref="Q109" display="https://www.sebi.gov.in/sebi_data/attachdocs/dec-2025/1767161602994.pdf" r:id="rId393"/>
    <hyperlink xmlns:r="http://schemas.openxmlformats.org/officeDocument/2006/relationships" ref="R109" display="https://www.sebi.gov.in/filings/public-issues/dec-2025/casagrand-premier-builder-limited-drhp_98765.html" r:id="rId394"/>
    <hyperlink xmlns:r="http://schemas.openxmlformats.org/officeDocument/2006/relationships" ref="Z109" r:id="rId395"/>
    <hyperlink xmlns:r="http://schemas.openxmlformats.org/officeDocument/2006/relationships" ref="Q110" display="https://www.sebi.gov.in/sebi_data/attachdocs/dec-2025/1767007811746_1043.pdf" r:id="rId396"/>
    <hyperlink xmlns:r="http://schemas.openxmlformats.org/officeDocument/2006/relationships" ref="R110" display="https://www.sebi.gov.in/filings/public-issues/dec-2025/yatayat-corporation-india-limited_98716.html" r:id="rId397"/>
    <hyperlink xmlns:r="http://schemas.openxmlformats.org/officeDocument/2006/relationships" ref="Z110" r:id="rId398"/>
    <hyperlink xmlns:r="http://schemas.openxmlformats.org/officeDocument/2006/relationships" ref="Q111" display="https://www.sebi.gov.in/sebi_data/attachdocs/dec-2025/1766991289537.pdf" r:id="rId399"/>
    <hyperlink xmlns:r="http://schemas.openxmlformats.org/officeDocument/2006/relationships" ref="R111" display="https://www.sebi.gov.in/filings/public-issues/dec-2025/wog-technologies-limited-drhp_98710.html" r:id="rId400"/>
    <hyperlink xmlns:r="http://schemas.openxmlformats.org/officeDocument/2006/relationships" ref="Z111" r:id="rId401"/>
    <hyperlink xmlns:r="http://schemas.openxmlformats.org/officeDocument/2006/relationships" ref="Q112" display="https://www.sebi.gov.in/sebi_data/attachdocs/dec-2025/1766375089872.pdf" r:id="rId402"/>
    <hyperlink xmlns:r="http://schemas.openxmlformats.org/officeDocument/2006/relationships" ref="R112" display="https://www.sebi.gov.in/filings/public-issues/dec-2025/crystal-crop-protection-limited-drhp_98530.html" r:id="rId403"/>
    <hyperlink xmlns:r="http://schemas.openxmlformats.org/officeDocument/2006/relationships" ref="Z112" r:id="rId404"/>
    <hyperlink xmlns:r="http://schemas.openxmlformats.org/officeDocument/2006/relationships" ref="Q113" display="https://www.sebi.gov.in/sebi_data/attachdocs/dec-2025/1766142033748.pdf" r:id="rId405"/>
    <hyperlink xmlns:r="http://schemas.openxmlformats.org/officeDocument/2006/relationships" ref="R113" display="https://www.sebi.gov.in/filings/public-issues/dec-2025/shivganga-drillers-limited-drhp_98515.html" r:id="rId406"/>
    <hyperlink xmlns:r="http://schemas.openxmlformats.org/officeDocument/2006/relationships" ref="Z113" r:id="rId407"/>
    <hyperlink xmlns:r="http://schemas.openxmlformats.org/officeDocument/2006/relationships" ref="Q114" display="https://www.sebi.gov.in/sebi_data/attachdocs/dec-2025/1766129404848_1041.pdf" r:id="rId408"/>
    <hyperlink xmlns:r="http://schemas.openxmlformats.org/officeDocument/2006/relationships" ref="R114" display="https://www.sebi.gov.in/filings/public-issues/dec-2025/renny-strips-limited_98494.html" r:id="rId409"/>
    <hyperlink xmlns:r="http://schemas.openxmlformats.org/officeDocument/2006/relationships" ref="Z114" r:id="rId410"/>
    <hyperlink xmlns:r="http://schemas.openxmlformats.org/officeDocument/2006/relationships" ref="Q115" display="https://www.sebi.gov.in/sebi_data/attachdocs/dec-2025/1766107805579_1040.pdf" r:id="rId411"/>
    <hyperlink xmlns:r="http://schemas.openxmlformats.org/officeDocument/2006/relationships" ref="R115" display="https://www.sebi.gov.in/filings/public-issues/dec-2025/aspri-spirits-limited_98473.html" r:id="rId412"/>
    <hyperlink xmlns:r="http://schemas.openxmlformats.org/officeDocument/2006/relationships" ref="Z115" r:id="rId413"/>
    <hyperlink xmlns:r="http://schemas.openxmlformats.org/officeDocument/2006/relationships" ref="Q116" display="https://www.sebi.gov.in/sebi_data/attachdocs/dec-2025/1765261442709.pdf" r:id="rId414"/>
    <hyperlink xmlns:r="http://schemas.openxmlformats.org/officeDocument/2006/relationships" ref="R116" display="https://www.sebi.gov.in/filings/public-issues/dec-2025/acevector-limited-udrhp_98252.html" r:id="rId415"/>
    <hyperlink xmlns:r="http://schemas.openxmlformats.org/officeDocument/2006/relationships" ref="Z116" r:id="rId416"/>
    <hyperlink xmlns:r="http://schemas.openxmlformats.org/officeDocument/2006/relationships" ref="Q117" display="https://www.sebi.gov.in/sebi_data/attachdocs/nov-2025/1764331093856.pdf" r:id="rId417"/>
    <hyperlink xmlns:r="http://schemas.openxmlformats.org/officeDocument/2006/relationships" ref="R117" display="https://www.sebi.gov.in/filings/public-issues/nov-2025/hero-fincorp-limited-drhp_98032.html" r:id="rId418"/>
    <hyperlink xmlns:r="http://schemas.openxmlformats.org/officeDocument/2006/relationships" ref="Z117" r:id="rId419"/>
    <hyperlink xmlns:r="http://schemas.openxmlformats.org/officeDocument/2006/relationships" ref="Q118" display="https://www.sebi.gov.in/sebi_data/attachdocs/nov-2025/1764232197013.pdf" r:id="rId420"/>
    <hyperlink xmlns:r="http://schemas.openxmlformats.org/officeDocument/2006/relationships" ref="R118" display="https://www.sebi.gov.in/filings/public-issues/nov-2025/milestone-gears-limited-drhp_97973.html" r:id="rId421"/>
    <hyperlink xmlns:r="http://schemas.openxmlformats.org/officeDocument/2006/relationships" ref="Z118" r:id="rId422"/>
    <hyperlink xmlns:r="http://schemas.openxmlformats.org/officeDocument/2006/relationships" ref="Q119" display="https://www.sebi.gov.in/sebi_data/attachdocs/nov-2025/1762508222639.pdf" r:id="rId423"/>
    <hyperlink xmlns:r="http://schemas.openxmlformats.org/officeDocument/2006/relationships" ref="R119" display="https://www.sebi.gov.in/filings/public-issues/nov-2025/sael-industries-limited_97667.html" r:id="rId424"/>
    <hyperlink xmlns:r="http://schemas.openxmlformats.org/officeDocument/2006/relationships" ref="Z119" r:id="rId425"/>
    <hyperlink xmlns:r="http://schemas.openxmlformats.org/officeDocument/2006/relationships" ref="Q120" display="https://www.sebi.gov.in/sebi_data/attachdocs/oct-2025/1761711834836.pdf" r:id="rId426"/>
    <hyperlink xmlns:r="http://schemas.openxmlformats.org/officeDocument/2006/relationships" ref="R120" display="https://www.sebi.gov.in/filings/public-issues/oct-2025/imagine-marketing-limited-udrhp_97510.html" r:id="rId427"/>
    <hyperlink xmlns:r="http://schemas.openxmlformats.org/officeDocument/2006/relationships" ref="Z120" r:id="rId428"/>
    <hyperlink xmlns:r="http://schemas.openxmlformats.org/officeDocument/2006/relationships" ref="Q121" display="https://www.sebi.gov.in/sebi_data/attachdocs/oct-2025/1761204614130_1020.pdf" r:id="rId429"/>
    <hyperlink xmlns:r="http://schemas.openxmlformats.org/officeDocument/2006/relationships" ref="R121" display="https://www.sebi.gov.in/filings/public-issues/oct-2025/integris-medtech-limited_97425.html" r:id="rId430"/>
    <hyperlink xmlns:r="http://schemas.openxmlformats.org/officeDocument/2006/relationships" ref="Z121" r:id="rId431"/>
    <hyperlink xmlns:r="http://schemas.openxmlformats.org/officeDocument/2006/relationships" ref="Q122" display="https://www.sebi.gov.in/sebi_data/attachdocs/oct-2025/1761219007321_1021.pdf" r:id="rId432"/>
    <hyperlink xmlns:r="http://schemas.openxmlformats.org/officeDocument/2006/relationships" ref="R122" display="https://www.sebi.gov.in/filings/public-issues/oct-2025/duroflex-limited_97438.html" r:id="rId433"/>
    <hyperlink xmlns:r="http://schemas.openxmlformats.org/officeDocument/2006/relationships" ref="Z122" r:id="rId434"/>
    <hyperlink xmlns:r="http://schemas.openxmlformats.org/officeDocument/2006/relationships" ref="Q123" display="https://www.sebi.gov.in/sebi_data/attachdocs/oct-2025/1761628612556.pdf" r:id="rId435"/>
    <hyperlink xmlns:r="http://schemas.openxmlformats.org/officeDocument/2006/relationships" ref="R123" display="https://www.sebi.gov.in/filings/public-issues/oct-2025/sify-infinit-spaces-limited-drhp_97481.html" r:id="rId436"/>
    <hyperlink xmlns:r="http://schemas.openxmlformats.org/officeDocument/2006/relationships" ref="Z123" r:id="rId437"/>
    <hyperlink xmlns:r="http://schemas.openxmlformats.org/officeDocument/2006/relationships" ref="Q124" display="https://www.sebi.gov.in/sebi_data/attachdocs/oct-2025/1760605051795.pdf" r:id="rId438"/>
    <hyperlink xmlns:r="http://schemas.openxmlformats.org/officeDocument/2006/relationships" ref="R124" display="https://www.sebi.gov.in/filings/public-issues/oct-2025/rays-power-infra-limited-drhp_97355.html" r:id="rId439"/>
    <hyperlink xmlns:r="http://schemas.openxmlformats.org/officeDocument/2006/relationships" ref="Z124" r:id="rId440"/>
    <hyperlink xmlns:r="http://schemas.openxmlformats.org/officeDocument/2006/relationships" ref="Q125" display="https://www.sebi.gov.in/sebi_data/attachdocs/oct-2025/1760076891744.pdf" r:id="rId441"/>
    <hyperlink xmlns:r="http://schemas.openxmlformats.org/officeDocument/2006/relationships" ref="R125" display="https://www.sebi.gov.in/filings/public-issues/oct-2025/hotel-polo-towers-limited-drhp_97223.html" r:id="rId442"/>
    <hyperlink xmlns:r="http://schemas.openxmlformats.org/officeDocument/2006/relationships" ref="Z125" r:id="rId443"/>
    <hyperlink xmlns:r="http://schemas.openxmlformats.org/officeDocument/2006/relationships" ref="Q126" display="https://www.sebi.gov.in/sebi_data/attachdocs/oct-2025/1760081406764_1011.pdf" r:id="rId444"/>
    <hyperlink xmlns:r="http://schemas.openxmlformats.org/officeDocument/2006/relationships" ref="R126" display="https://www.sebi.gov.in/filings/public-issues/oct-2025/bvg-india-limited_97227.html" r:id="rId445"/>
    <hyperlink xmlns:r="http://schemas.openxmlformats.org/officeDocument/2006/relationships" ref="Z126" r:id="rId446"/>
    <hyperlink xmlns:r="http://schemas.openxmlformats.org/officeDocument/2006/relationships" ref="Q127" display="https://www.sebi.gov.in/sebi_data/attachdocs/oct-2025/1760002256727.pdf" r:id="rId447"/>
    <hyperlink xmlns:r="http://schemas.openxmlformats.org/officeDocument/2006/relationships" ref="R127" display="https://www.sebi.gov.in/filings/public-issues/oct-2025/vishvaraj-environment-limited-drhp_97182.html" r:id="rId448"/>
    <hyperlink xmlns:r="http://schemas.openxmlformats.org/officeDocument/2006/relationships" ref="Z127" r:id="rId449"/>
    <hyperlink xmlns:r="http://schemas.openxmlformats.org/officeDocument/2006/relationships" ref="Q128" display="https://www.sebi.gov.in/sebi_data/attachdocs/oct-2025/1760000743042.pdf" r:id="rId450"/>
    <hyperlink xmlns:r="http://schemas.openxmlformats.org/officeDocument/2006/relationships" ref="R128" display="https://www.sebi.gov.in/filings/public-issues/oct-2025/sterlite-electric-limited-drhp_97181.html" r:id="rId451"/>
    <hyperlink xmlns:r="http://schemas.openxmlformats.org/officeDocument/2006/relationships" ref="Z128" r:id="rId452"/>
    <hyperlink xmlns:r="http://schemas.openxmlformats.org/officeDocument/2006/relationships" ref="Q129" display="https://www.sebi.gov.in/sebi_data/attachdocs/oct-2025/1759988098283.pdf" r:id="rId453"/>
    <hyperlink xmlns:r="http://schemas.openxmlformats.org/officeDocument/2006/relationships" ref="R129" display="https://www.sebi.gov.in/filings/public-issues/oct-2025/runwal-developers-limited-drhp_97161.html" r:id="rId454"/>
    <hyperlink xmlns:r="http://schemas.openxmlformats.org/officeDocument/2006/relationships" ref="Z129" r:id="rId455"/>
    <hyperlink xmlns:r="http://schemas.openxmlformats.org/officeDocument/2006/relationships" ref="Q130" display="https://www.sebi.gov.in/sebi_data/attachdocs/oct-2025/1760009417606_1002.pdf" r:id="rId456"/>
    <hyperlink xmlns:r="http://schemas.openxmlformats.org/officeDocument/2006/relationships" ref="R130" display="https://www.sebi.gov.in/filings/public-issues/oct-2025/r-k-steel-manufacturing-company-limited_97187.html" r:id="rId457"/>
    <hyperlink xmlns:r="http://schemas.openxmlformats.org/officeDocument/2006/relationships" ref="Z130" r:id="rId458"/>
    <hyperlink xmlns:r="http://schemas.openxmlformats.org/officeDocument/2006/relationships" ref="Q131" display="https://www.sebi.gov.in/sebi_data/attachdocs/oct-2025/1759995019453_998.pdf" r:id="rId459"/>
    <hyperlink xmlns:r="http://schemas.openxmlformats.org/officeDocument/2006/relationships" ref="R131" display="https://www.sebi.gov.in/filings/public-issues/oct-2025/pride-hotels-limited_97173.html" r:id="rId460"/>
    <hyperlink xmlns:r="http://schemas.openxmlformats.org/officeDocument/2006/relationships" ref="Z131" r:id="rId461"/>
    <hyperlink xmlns:r="http://schemas.openxmlformats.org/officeDocument/2006/relationships" ref="Q132" display="https://www.sebi.gov.in/sebi_data/attachdocs/oct-2025/1760009417606_1007.pdf" r:id="rId462"/>
    <hyperlink xmlns:r="http://schemas.openxmlformats.org/officeDocument/2006/relationships" ref="R132" display="https://www.sebi.gov.in/filings/public-issues/oct-2025/learnfluence-education-limited_97197.html" r:id="rId463"/>
    <hyperlink xmlns:r="http://schemas.openxmlformats.org/officeDocument/2006/relationships" ref="Z132" r:id="rId464"/>
    <hyperlink xmlns:r="http://schemas.openxmlformats.org/officeDocument/2006/relationships" ref="Q133" display="https://www.sebi.gov.in/sebi_data/attachdocs/oct-2025/1759985997171.pdf" r:id="rId465"/>
    <hyperlink xmlns:r="http://schemas.openxmlformats.org/officeDocument/2006/relationships" ref="R133" display="https://www.sebi.gov.in/filings/public-issues/oct-2025/lalbaba-engineering-limited-drhp_97160.html" r:id="rId466"/>
    <hyperlink xmlns:r="http://schemas.openxmlformats.org/officeDocument/2006/relationships" ref="Z133" r:id="rId467"/>
    <hyperlink xmlns:r="http://schemas.openxmlformats.org/officeDocument/2006/relationships" ref="Q134" display="https://www.sebi.gov.in/sebi_data/attachdocs/oct-2025/1760009417606_1008.pdf" r:id="rId468"/>
    <hyperlink xmlns:r="http://schemas.openxmlformats.org/officeDocument/2006/relationships" ref="R134" display="https://www.sebi.gov.in/filings/public-issues/oct-2025/jerai-fitness-limited_97199.html" r:id="rId469"/>
    <hyperlink xmlns:r="http://schemas.openxmlformats.org/officeDocument/2006/relationships" ref="Z134" r:id="rId470"/>
    <hyperlink xmlns:r="http://schemas.openxmlformats.org/officeDocument/2006/relationships" ref="Q135" display="https://www.sebi.gov.in/sebi_data/attachdocs/oct-2025/1759993428893.pdf" r:id="rId471"/>
    <hyperlink xmlns:r="http://schemas.openxmlformats.org/officeDocument/2006/relationships" ref="R135" display="https://www.sebi.gov.in/filings/public-issues/oct-2025/cj-darcl-logistics-limited-drhp_97166.html" r:id="rId472"/>
    <hyperlink xmlns:r="http://schemas.openxmlformats.org/officeDocument/2006/relationships" ref="S135" display="https://www.sebi.gov.in/sebi_data/commondocs/sep-2026/CJ%20Darcl%20-%20Addendum%20to%20DRHP%20-%20Final%20Layout_p.pdf" r:id="rId473"/>
    <hyperlink xmlns:r="http://schemas.openxmlformats.org/officeDocument/2006/relationships" ref="Z135" r:id="rId474"/>
    <hyperlink xmlns:r="http://schemas.openxmlformats.org/officeDocument/2006/relationships" ref="Q136" display="https://www.sebi.gov.in/sebi_data/attachdocs/oct-2025/1759995019453_1001.pdf" r:id="rId475"/>
    <hyperlink xmlns:r="http://schemas.openxmlformats.org/officeDocument/2006/relationships" ref="R136" display="https://www.sebi.gov.in/filings/public-issues/oct-2025/associated-power-structures-limited_97179.html" r:id="rId476"/>
    <hyperlink xmlns:r="http://schemas.openxmlformats.org/officeDocument/2006/relationships" ref="Z136" r:id="rId477"/>
    <hyperlink xmlns:r="http://schemas.openxmlformats.org/officeDocument/2006/relationships" ref="Q137" display="https://www.sebi.gov.in/sebi_data/attachdocs/oct-2025/1759995019453_999.pdf" r:id="rId478"/>
    <hyperlink xmlns:r="http://schemas.openxmlformats.org/officeDocument/2006/relationships" ref="R137" display="https://www.sebi.gov.in/filings/public-issues/oct-2025/aarvee-engineering-consultants-limited_97175.html" r:id="rId479"/>
    <hyperlink xmlns:r="http://schemas.openxmlformats.org/officeDocument/2006/relationships" ref="Z137" r:id="rId480"/>
    <hyperlink xmlns:r="http://schemas.openxmlformats.org/officeDocument/2006/relationships" ref="Q138" display="https://www.sebi.gov.in/sebi_data/attachdocs/oct-2025/1759906912149.pdf" r:id="rId481"/>
    <hyperlink xmlns:r="http://schemas.openxmlformats.org/officeDocument/2006/relationships" ref="R138" display="https://www.sebi.gov.in/filings/public-issues/oct-2025/virupaksha-organics-limited-drhp_97120.html" r:id="rId482"/>
    <hyperlink xmlns:r="http://schemas.openxmlformats.org/officeDocument/2006/relationships" ref="Z138" r:id="rId483"/>
    <hyperlink xmlns:r="http://schemas.openxmlformats.org/officeDocument/2006/relationships" ref="Q139" display="https://www.sebi.gov.in/sebi_data/attachdocs/oct-2025/1759918079758.pdf" r:id="rId484"/>
    <hyperlink xmlns:r="http://schemas.openxmlformats.org/officeDocument/2006/relationships" ref="R139" display="https://www.sebi.gov.in/filings/public-issues/oct-2025/shah-investor-s-home-limited-drhp_97135.html" r:id="rId485"/>
    <hyperlink xmlns:r="http://schemas.openxmlformats.org/officeDocument/2006/relationships" ref="Z139" r:id="rId486"/>
    <hyperlink xmlns:r="http://schemas.openxmlformats.org/officeDocument/2006/relationships" ref="Q140" display="https://www.sebi.gov.in/sebi_data/attachdocs/oct-2025/1759921908126.pdf" r:id="rId487"/>
    <hyperlink xmlns:r="http://schemas.openxmlformats.org/officeDocument/2006/relationships" ref="R140" display="https://www.sebi.gov.in/filings/public-issues/oct-2025/rkcpl-limited-drhp_97140.html" r:id="rId488"/>
    <hyperlink xmlns:r="http://schemas.openxmlformats.org/officeDocument/2006/relationships" ref="Z140" r:id="rId489"/>
    <hyperlink xmlns:r="http://schemas.openxmlformats.org/officeDocument/2006/relationships" ref="Q141" display="https://www.sebi.gov.in/sebi_data/attachdocs/oct-2025/1759925748914.pdf" r:id="rId490"/>
    <hyperlink xmlns:r="http://schemas.openxmlformats.org/officeDocument/2006/relationships" ref="R141" display="https://www.sebi.gov.in/filings/public-issues/oct-2025/hd-fire-protect-limited-drhp_97144.html" r:id="rId491"/>
    <hyperlink xmlns:r="http://schemas.openxmlformats.org/officeDocument/2006/relationships" ref="Z141" r:id="rId492"/>
    <hyperlink xmlns:r="http://schemas.openxmlformats.org/officeDocument/2006/relationships" ref="Q142" display="https://www.sebi.gov.in/sebi_data/attachdocs/oct-2025/1759901381010.pdf" r:id="rId493"/>
    <hyperlink xmlns:r="http://schemas.openxmlformats.org/officeDocument/2006/relationships" ref="R142" display="https://www.sebi.gov.in/filings/public-issues/oct-2025/grand-housing-limited-drhp_97117.html" r:id="rId494"/>
    <hyperlink xmlns:r="http://schemas.openxmlformats.org/officeDocument/2006/relationships" ref="Z142" r:id="rId495"/>
    <hyperlink xmlns:r="http://schemas.openxmlformats.org/officeDocument/2006/relationships" ref="Q143" display="https://www.sebi.gov.in/sebi_data/attachdocs/oct-2025/1759921018406.pdf" r:id="rId496"/>
    <hyperlink xmlns:r="http://schemas.openxmlformats.org/officeDocument/2006/relationships" ref="R143" display="https://www.sebi.gov.in/filings/public-issues/oct-2025/deon-energy-limited-drhp_97139.html" r:id="rId497"/>
    <hyperlink xmlns:r="http://schemas.openxmlformats.org/officeDocument/2006/relationships" ref="Z143" r:id="rId498"/>
    <hyperlink xmlns:r="http://schemas.openxmlformats.org/officeDocument/2006/relationships" ref="Q144" display="https://www.sebi.gov.in/sebi_data/attachdocs/oct-2025/1759918220979.pdf" r:id="rId499"/>
    <hyperlink xmlns:r="http://schemas.openxmlformats.org/officeDocument/2006/relationships" ref="R144" display="https://www.sebi.gov.in/filings/public-issues/oct-2025/commtel-networks-limited-drhp_97138.html" r:id="rId500"/>
    <hyperlink xmlns:r="http://schemas.openxmlformats.org/officeDocument/2006/relationships" ref="Z144" r:id="rId501"/>
    <hyperlink xmlns:r="http://schemas.openxmlformats.org/officeDocument/2006/relationships" ref="Q145" display="https://www.sebi.gov.in/sebi_data/attachdocs/oct-2025/1759923004723_994.pdf" r:id="rId502"/>
    <hyperlink xmlns:r="http://schemas.openxmlformats.org/officeDocument/2006/relationships" ref="R145" display="https://www.sebi.gov.in/filings/public-issues/oct-2025/bonbloc-technologies-limited_97141.html" r:id="rId503"/>
    <hyperlink xmlns:r="http://schemas.openxmlformats.org/officeDocument/2006/relationships" ref="Z145" r:id="rId504"/>
    <hyperlink xmlns:r="http://schemas.openxmlformats.org/officeDocument/2006/relationships" ref="Q146" display="https://www.sebi.gov.in/sebi_data/attachdocs/oct-2025/1759918166128.pdf" r:id="rId505"/>
    <hyperlink xmlns:r="http://schemas.openxmlformats.org/officeDocument/2006/relationships" ref="R146" display="https://www.sebi.gov.in/filings/public-issues/oct-2025/appl-containers-limited-drhp_97137.html" r:id="rId506"/>
    <hyperlink xmlns:r="http://schemas.openxmlformats.org/officeDocument/2006/relationships" ref="Z146" r:id="rId507"/>
    <hyperlink xmlns:r="http://schemas.openxmlformats.org/officeDocument/2006/relationships" ref="Q147" display="https://www.sebi.gov.in/sebi_data/attachdocs/oct-2025/1759820241318.PDF" r:id="rId508"/>
    <hyperlink xmlns:r="http://schemas.openxmlformats.org/officeDocument/2006/relationships" ref="R147" display="https://www.sebi.gov.in/filings/public-issues/oct-2025/dhariwal-buildtech-limited-drhp_97090.html" r:id="rId509"/>
    <hyperlink xmlns:r="http://schemas.openxmlformats.org/officeDocument/2006/relationships" ref="Z147" r:id="rId510"/>
    <hyperlink xmlns:r="http://schemas.openxmlformats.org/officeDocument/2006/relationships" ref="Q148" display="https://www.sebi.gov.in/sebi_data/attachdocs/oct-2025/1759750210525_990.pdf" r:id="rId511"/>
    <hyperlink xmlns:r="http://schemas.openxmlformats.org/officeDocument/2006/relationships" ref="R148" display="https://www.sebi.gov.in/filings/public-issues/oct-2025/eldeco-infrastructure-and-properties-limited_97071.html" r:id="rId512"/>
    <hyperlink xmlns:r="http://schemas.openxmlformats.org/officeDocument/2006/relationships" ref="Z148" r:id="rId513"/>
    <hyperlink xmlns:r="http://schemas.openxmlformats.org/officeDocument/2006/relationships" ref="Q149" display="https://www.sebi.gov.in/sebi_data/attachdocs/oct-2025/1759476612614_982.pdf" r:id="rId514"/>
    <hyperlink xmlns:r="http://schemas.openxmlformats.org/officeDocument/2006/relationships" ref="R149" display="https://www.sebi.gov.in/filings/public-issues/oct-2025/premier-industrial-corporation-limited_97037.html" r:id="rId515"/>
    <hyperlink xmlns:r="http://schemas.openxmlformats.org/officeDocument/2006/relationships" ref="Z149" r:id="rId516"/>
    <hyperlink xmlns:r="http://schemas.openxmlformats.org/officeDocument/2006/relationships" ref="Q150" display="https://www.sebi.gov.in/sebi_data/attachdocs/oct-2025/1759368606185_979.pdf" r:id="rId517"/>
    <hyperlink xmlns:r="http://schemas.openxmlformats.org/officeDocument/2006/relationships" ref="R150" display="https://www.sebi.gov.in/filings/public-issues/oct-2025/rotomag-enertec-limited_97024.html" r:id="rId518"/>
    <hyperlink xmlns:r="http://schemas.openxmlformats.org/officeDocument/2006/relationships" ref="Z150" r:id="rId519"/>
    <hyperlink xmlns:r="http://schemas.openxmlformats.org/officeDocument/2006/relationships" ref="Q151" display="https://www.sebi.gov.in/sebi_data/attachdocs/oct-2025/1760415698411.PDF" r:id="rId520"/>
    <hyperlink xmlns:r="http://schemas.openxmlformats.org/officeDocument/2006/relationships" ref="R151" display="https://www.sebi.gov.in/filings/public-issues/oct-2025/oswal-cables-drhp_97284.html" r:id="rId521"/>
    <hyperlink xmlns:r="http://schemas.openxmlformats.org/officeDocument/2006/relationships" ref="Z151" r:id="rId522"/>
    <hyperlink xmlns:r="http://schemas.openxmlformats.org/officeDocument/2006/relationships" ref="Q152" display="https://www.sebi.gov.in/sebi_data/attachdocs/oct-2025/1759318215777_973.pdf" r:id="rId523"/>
    <hyperlink xmlns:r="http://schemas.openxmlformats.org/officeDocument/2006/relationships" ref="R152" display="https://www.sebi.gov.in/filings/public-issues/oct-2025/alcobrew-distilleries-india-limited_97005.html" r:id="rId524"/>
    <hyperlink xmlns:r="http://schemas.openxmlformats.org/officeDocument/2006/relationships" ref="Z152" r:id="rId525"/>
    <hyperlink xmlns:r="http://schemas.openxmlformats.org/officeDocument/2006/relationships" ref="Q153" display="https://www.sebi.gov.in/sebi_data/attachdocs/sep-2025/1759217407843_966.pdf" r:id="rId526"/>
    <hyperlink xmlns:r="http://schemas.openxmlformats.org/officeDocument/2006/relationships" ref="R153" display="https://www.sebi.gov.in/filings/public-issues/sep-2025/parijat-industries-india-limited_96966.html" r:id="rId527"/>
    <hyperlink xmlns:r="http://schemas.openxmlformats.org/officeDocument/2006/relationships" ref="Z153" r:id="rId528"/>
    <hyperlink xmlns:r="http://schemas.openxmlformats.org/officeDocument/2006/relationships" ref="Q154" display="https://www.sebi.gov.in/sebi_data/attachdocs/sep-2025/1758936615167_957.pdf" r:id="rId529"/>
    <hyperlink xmlns:r="http://schemas.openxmlformats.org/officeDocument/2006/relationships" ref="R154" display="https://www.sebi.gov.in/filings/public-issues/sep-2025/medicap-healthcare-limited_96876.html" r:id="rId530"/>
    <hyperlink xmlns:r="http://schemas.openxmlformats.org/officeDocument/2006/relationships" ref="Z154" r:id="rId531"/>
    <hyperlink xmlns:r="http://schemas.openxmlformats.org/officeDocument/2006/relationships" ref="Q155" display="https://www.sebi.gov.in/sebi_data/attachdocs/sep-2025/1758612610710_953.pdf" r:id="rId532"/>
    <hyperlink xmlns:r="http://schemas.openxmlformats.org/officeDocument/2006/relationships" ref="R155" display="https://www.sebi.gov.in/filings/public-issues/sep-2025/shriram-food-industry-limited_96783.html" r:id="rId533"/>
    <hyperlink xmlns:r="http://schemas.openxmlformats.org/officeDocument/2006/relationships" ref="Z155" r:id="rId534"/>
    <hyperlink xmlns:r="http://schemas.openxmlformats.org/officeDocument/2006/relationships" ref="Q156" display="https://www.sebi.gov.in/sebi_data/attachdocs/sep-2025/1758279614350.pdf" r:id="rId535"/>
    <hyperlink xmlns:r="http://schemas.openxmlformats.org/officeDocument/2006/relationships" ref="R156" display="https://www.sebi.gov.in/filings/public-issues/sep-2025/cotec-healthcare-limited-drhp_96701.html" r:id="rId536"/>
    <hyperlink xmlns:r="http://schemas.openxmlformats.org/officeDocument/2006/relationships" ref="Z156" r:id="rId537"/>
    <hyperlink xmlns:r="http://schemas.openxmlformats.org/officeDocument/2006/relationships" ref="Q157" display="https://www.sebi.gov.in/sebi_data/attachdocs/sep-2025/1757932215749.pdf" r:id="rId538"/>
    <hyperlink xmlns:r="http://schemas.openxmlformats.org/officeDocument/2006/relationships" ref="R157" display="https://www.sebi.gov.in/filings/public-issues/sep-2025/chartered-speed-limited-drhp_96608.html" r:id="rId539"/>
    <hyperlink xmlns:r="http://schemas.openxmlformats.org/officeDocument/2006/relationships" ref="Z157" r:id="rId540"/>
    <hyperlink xmlns:r="http://schemas.openxmlformats.org/officeDocument/2006/relationships" ref="Q158" display="https://www.sebi.gov.in/sebi_data/attachdocs/sep-2025/1757668063664.pdf" r:id="rId541"/>
    <hyperlink xmlns:r="http://schemas.openxmlformats.org/officeDocument/2006/relationships" ref="R158" display="https://www.sebi.gov.in/filings/public-issues/sep-2025/eldorado-agritech-limited-drhp_96600.html" r:id="rId542"/>
    <hyperlink xmlns:r="http://schemas.openxmlformats.org/officeDocument/2006/relationships" ref="Z158" r:id="rId543"/>
    <hyperlink xmlns:r="http://schemas.openxmlformats.org/officeDocument/2006/relationships" ref="Q159" display="https://www.sebi.gov.in/sebi_data/attachdocs/sep-2025/1757417405397_945.pdf" r:id="rId544"/>
    <hyperlink xmlns:r="http://schemas.openxmlformats.org/officeDocument/2006/relationships" ref="R159" display="https://www.sebi.gov.in/filings/public-issues/sep-2025/shivalaya-construction-limited_96495.html" r:id="rId545"/>
    <hyperlink xmlns:r="http://schemas.openxmlformats.org/officeDocument/2006/relationships" ref="Z159" r:id="rId546"/>
    <hyperlink xmlns:r="http://schemas.openxmlformats.org/officeDocument/2006/relationships" ref="Q160" display="https://www.sebi.gov.in/sebi_data/attachdocs/sep-2025/1757403007624_943.pdf" r:id="rId547"/>
    <hyperlink xmlns:r="http://schemas.openxmlformats.org/officeDocument/2006/relationships" ref="R160" display="https://www.sebi.gov.in/filings/public-issues/sep-2025/sfc-environmental-technologies-limited_96473.html" r:id="rId548"/>
    <hyperlink xmlns:r="http://schemas.openxmlformats.org/officeDocument/2006/relationships" ref="Z160" r:id="rId549"/>
    <hyperlink xmlns:r="http://schemas.openxmlformats.org/officeDocument/2006/relationships" ref="Q161" display="https://www.sebi.gov.in/sebi_data/attachdocs/sep-2025/1757122205056_940.pdf" r:id="rId550"/>
    <hyperlink xmlns:r="http://schemas.openxmlformats.org/officeDocument/2006/relationships" ref="R161" display="https://www.sebi.gov.in/filings/public-issues/sep-2025/ukb-electronis-limited_96456.html" r:id="rId551"/>
    <hyperlink xmlns:r="http://schemas.openxmlformats.org/officeDocument/2006/relationships" ref="Z161" r:id="rId552"/>
    <hyperlink xmlns:r="http://schemas.openxmlformats.org/officeDocument/2006/relationships" ref="Q162" display="https://www.sebi.gov.in/sebi_data/attachdocs/sep-2025/1758514124562.pdf" r:id="rId553"/>
    <hyperlink xmlns:r="http://schemas.openxmlformats.org/officeDocument/2006/relationships" ref="R162" display="https://www.sebi.gov.in/filings/public-issues/sep-2025/supreet-chemicals-limited-drhp_96737.html" r:id="rId554"/>
    <hyperlink xmlns:r="http://schemas.openxmlformats.org/officeDocument/2006/relationships" ref="Z162" r:id="rId555"/>
    <hyperlink xmlns:r="http://schemas.openxmlformats.org/officeDocument/2006/relationships" ref="Q163" display="https://www.sebi.gov.in/sebi_data/attachdocs/aug-2025/1756107066531_928.pdf" r:id="rId556"/>
    <hyperlink xmlns:r="http://schemas.openxmlformats.org/officeDocument/2006/relationships" ref="R163" display="https://www.sebi.gov.in/filings/public-issues/aug-2025/rsb-retail-india-limited_96283.html" r:id="rId557"/>
    <hyperlink xmlns:r="http://schemas.openxmlformats.org/officeDocument/2006/relationships" ref="Z163" r:id="rId558"/>
    <hyperlink xmlns:r="http://schemas.openxmlformats.org/officeDocument/2006/relationships" ref="Q164" display="https://www.sebi.gov.in/sebi_data/attachdocs/aug-2025/1755070204199_915.pdf" r:id="rId559"/>
    <hyperlink xmlns:r="http://schemas.openxmlformats.org/officeDocument/2006/relationships" ref="R164" display="https://www.sebi.gov.in/filings/public-issues/aug-2025/transline-technologies-limited_96056.html" r:id="rId560"/>
    <hyperlink xmlns:r="http://schemas.openxmlformats.org/officeDocument/2006/relationships" ref="Z164" r:id="rId561"/>
    <hyperlink xmlns:r="http://schemas.openxmlformats.org/officeDocument/2006/relationships" ref="Q165" display="https://www.sebi.gov.in/sebi_data/attachdocs/aug-2025/1754998206920_914.pdf" r:id="rId562"/>
    <hyperlink xmlns:r="http://schemas.openxmlformats.org/officeDocument/2006/relationships" ref="R165" display="https://www.sebi.gov.in/filings/public-issues/aug-2025/bls-polymers-limited_96028.html" r:id="rId563"/>
    <hyperlink xmlns:r="http://schemas.openxmlformats.org/officeDocument/2006/relationships" ref="Z165" r:id="rId564"/>
    <hyperlink xmlns:r="http://schemas.openxmlformats.org/officeDocument/2006/relationships" ref="Q166" display="https://www.sebi.gov.in/sebi_data/attachdocs/aug-2025/1754887182581.pdf" r:id="rId565"/>
    <hyperlink xmlns:r="http://schemas.openxmlformats.org/officeDocument/2006/relationships" ref="R166" display="https://www.sebi.gov.in/filings/public-issues/aug-2025/steel-infra-solutions-company-limited-drhp_95961.html" r:id="rId566"/>
    <hyperlink xmlns:r="http://schemas.openxmlformats.org/officeDocument/2006/relationships" ref="Z166" r:id="rId567"/>
    <hyperlink xmlns:r="http://schemas.openxmlformats.org/officeDocument/2006/relationships" ref="Q167" display="https://www.sebi.gov.in/sebi_data/attachdocs/aug-2025/1754887054517.pdf" r:id="rId568"/>
    <hyperlink xmlns:r="http://schemas.openxmlformats.org/officeDocument/2006/relationships" ref="R167" display="https://www.sebi.gov.in/filings/public-issues/aug-2025/silver-consumers-electricals-limited-drhp_95959.html" r:id="rId569"/>
    <hyperlink xmlns:r="http://schemas.openxmlformats.org/officeDocument/2006/relationships" ref="Z167" r:id="rId570"/>
    <hyperlink xmlns:r="http://schemas.openxmlformats.org/officeDocument/2006/relationships" ref="Q168" display="https://www.sebi.gov.in/sebi_data/attachdocs/aug-2025/1754031254931.pdf" r:id="rId571"/>
    <hyperlink xmlns:r="http://schemas.openxmlformats.org/officeDocument/2006/relationships" ref="R168" display="https://www.sebi.gov.in/filings/public-issues/aug-2025/lamtuf-limited_95754.html" r:id="rId572"/>
    <hyperlink xmlns:r="http://schemas.openxmlformats.org/officeDocument/2006/relationships" ref="Z168" r:id="rId573"/>
    <hyperlink xmlns:r="http://schemas.openxmlformats.org/officeDocument/2006/relationships" ref="Q169" display="https://www.sebi.gov.in/sebi_data/attachdocs/jul-2025/1753961405691_889.pdf" r:id="rId574"/>
    <hyperlink xmlns:r="http://schemas.openxmlformats.org/officeDocument/2006/relationships" ref="R169" display="https://www.sebi.gov.in/filings/public-issues/jul-2025/sahajanand-medical-technologies-limited_95741.html" r:id="rId575"/>
    <hyperlink xmlns:r="http://schemas.openxmlformats.org/officeDocument/2006/relationships" ref="Z169" r:id="rId576"/>
    <hyperlink xmlns:r="http://schemas.openxmlformats.org/officeDocument/2006/relationships" ref="Q170" display="https://www.sebi.gov.in/sebi_data/attachdocs/jul-2025/1753925406298_885.pdf" r:id="rId577"/>
    <hyperlink xmlns:r="http://schemas.openxmlformats.org/officeDocument/2006/relationships" ref="R170" display="https://www.sebi.gov.in/filings/public-issues/jul-2025/executive-centre-india-limited_95722.html" r:id="rId578"/>
    <hyperlink xmlns:r="http://schemas.openxmlformats.org/officeDocument/2006/relationships" ref="Z170" r:id="rId579"/>
    <hyperlink xmlns:r="http://schemas.openxmlformats.org/officeDocument/2006/relationships" ref="Q171" display="https://www.sebi.gov.in/sebi_data/attachdocs/jul-2025/1753270215879_878.pdf" r:id="rId580"/>
    <hyperlink xmlns:r="http://schemas.openxmlformats.org/officeDocument/2006/relationships" ref="R171" display="https://www.sebi.gov.in/filings/public-issues/jul-2025/oswal-energies-limited_95557.html" r:id="rId581"/>
    <hyperlink xmlns:r="http://schemas.openxmlformats.org/officeDocument/2006/relationships" ref="Z171" r:id="rId582"/>
    <hyperlink xmlns:r="http://schemas.openxmlformats.org/officeDocument/2006/relationships" ref="Q172" display="https://www.sebi.gov.in/sebi_data/attachdocs/jul-2025/1753171926581.pdf" r:id="rId583"/>
    <hyperlink xmlns:r="http://schemas.openxmlformats.org/officeDocument/2006/relationships" ref="R172" display="https://www.sebi.gov.in/filings/public-issues/jul-2025/orient-cables-limited-drhp_95503.html" r:id="rId584"/>
    <hyperlink xmlns:r="http://schemas.openxmlformats.org/officeDocument/2006/relationships" ref="Z172" r:id="rId585"/>
    <hyperlink xmlns:r="http://schemas.openxmlformats.org/officeDocument/2006/relationships" ref="Q173" display="https://www.sebi.gov.in/sebi_data/attachdocs/jul-2025/1752665404329_867.pdf" r:id="rId586"/>
    <hyperlink xmlns:r="http://schemas.openxmlformats.org/officeDocument/2006/relationships" ref="R173" display="https://www.sebi.gov.in/filings/public-issues/jul-2025/aggcon-equipments-international-limited_95349.html" r:id="rId587"/>
    <hyperlink xmlns:r="http://schemas.openxmlformats.org/officeDocument/2006/relationships" ref="Z173" r:id="rId588"/>
    <hyperlink xmlns:r="http://schemas.openxmlformats.org/officeDocument/2006/relationships" ref="Q174" display="https://www.sebi.gov.in/sebi_data/attachdocs/jul-2025/1752219016712_862.pdf" r:id="rId589"/>
    <hyperlink xmlns:r="http://schemas.openxmlformats.org/officeDocument/2006/relationships" ref="R174" display="https://www.sebi.gov.in/filings/public-issues/jul-2025/allied-engineering-works-limited_95201.html" r:id="rId590"/>
    <hyperlink xmlns:r="http://schemas.openxmlformats.org/officeDocument/2006/relationships" ref="Z174" r:id="rId591"/>
    <hyperlink xmlns:r="http://schemas.openxmlformats.org/officeDocument/2006/relationships" ref="Q175" display="https://www.sebi.gov.in/sebi_data/attachdocs/jul-2025/1751959819550_855.pdf" r:id="rId592"/>
    <hyperlink xmlns:r="http://schemas.openxmlformats.org/officeDocument/2006/relationships" ref="R175" display="https://www.sebi.gov.in/filings/public-issues/jul-2025/safex-chemicals-india-limited_95115.html" r:id="rId593"/>
    <hyperlink xmlns:r="http://schemas.openxmlformats.org/officeDocument/2006/relationships" ref="Z175" r:id="rId594"/>
    <hyperlink xmlns:r="http://schemas.openxmlformats.org/officeDocument/2006/relationships" ref="Q176" display="https://www.sebi.gov.in/sebi_data/attachdocs/aug-2026/1787315835585.pdf" r:id="rId595"/>
    <hyperlink xmlns:r="http://schemas.openxmlformats.org/officeDocument/2006/relationships" ref="R176" display="https://www.sebi.gov.in/filings/public-issues/jul-2025/german-green-steel-and-power-limited-drhp_95113.html" r:id="rId596"/>
    <hyperlink xmlns:r="http://schemas.openxmlformats.org/officeDocument/2006/relationships" ref="Z176" r:id="rId597"/>
    <hyperlink xmlns:r="http://schemas.openxmlformats.org/officeDocument/2006/relationships" ref="Q177" display="https://www.sebi.gov.in/sebi_data/attachdocs/jul-2025/1751542207660_843.pdf" r:id="rId598"/>
    <hyperlink xmlns:r="http://schemas.openxmlformats.org/officeDocument/2006/relationships" ref="R177" display="https://www.sebi.gov.in/filings/public-issues/jul-2025/sillverton-industries-limited_95023.html" r:id="rId599"/>
    <hyperlink xmlns:r="http://schemas.openxmlformats.org/officeDocument/2006/relationships" ref="Z177" r:id="rId600"/>
    <hyperlink xmlns:r="http://schemas.openxmlformats.org/officeDocument/2006/relationships" ref="Q178" display="https://www.sebi.gov.in/sebi_data/attachdocs/jul-2025/1751527808198_840.pdf" r:id="rId601"/>
    <hyperlink xmlns:r="http://schemas.openxmlformats.org/officeDocument/2006/relationships" ref="R178" display="https://www.sebi.gov.in/filings/public-issues/jul-2025/rayzon-solar-limited_95011.html" r:id="rId602"/>
    <hyperlink xmlns:r="http://schemas.openxmlformats.org/officeDocument/2006/relationships" ref="Z178" r:id="rId603"/>
    <hyperlink xmlns:r="http://schemas.openxmlformats.org/officeDocument/2006/relationships" ref="Q179" display="https://www.sebi.gov.in/sebi_data/attachdocs/jul-2025/1751527808198_841.pdf" r:id="rId604"/>
    <hyperlink xmlns:r="http://schemas.openxmlformats.org/officeDocument/2006/relationships" ref="R179" display="https://www.sebi.gov.in/filings/public-issues/jul-2025/curefoods-india-limited_95013.html" r:id="rId605"/>
    <hyperlink xmlns:r="http://schemas.openxmlformats.org/officeDocument/2006/relationships" ref="Z179" r:id="rId606"/>
    <hyperlink xmlns:r="http://schemas.openxmlformats.org/officeDocument/2006/relationships" ref="Q180" display="https://www.sebi.gov.in/sebi_data/attachdocs/jul-2025/1751542207660_845.pdf" r:id="rId607"/>
    <hyperlink xmlns:r="http://schemas.openxmlformats.org/officeDocument/2006/relationships" ref="R180" display="https://www.sebi.gov.in/filings/public-issues/jul-2025/amir-chand-jagdish-kumar-exports-limited_95027.html" r:id="rId608"/>
    <hyperlink xmlns:r="http://schemas.openxmlformats.org/officeDocument/2006/relationships" ref="Z180" r:id="rId609"/>
    <hyperlink xmlns:r="http://schemas.openxmlformats.org/officeDocument/2006/relationships" ref="Q181" display="https://www.sebi.gov.in/sebi_data/attachdocs/jul-2025/1751455806758_838.pdf" r:id="rId610"/>
    <hyperlink xmlns:r="http://schemas.openxmlformats.org/officeDocument/2006/relationships" ref="R181" display="https://www.sebi.gov.in/filings/public-issues/jul-2025/foodlink-fandb-holdings-india-limited_94988.html" r:id="rId611"/>
    <hyperlink xmlns:r="http://schemas.openxmlformats.org/officeDocument/2006/relationships" ref="Z181" r:id="rId612"/>
    <hyperlink xmlns:r="http://schemas.openxmlformats.org/officeDocument/2006/relationships" ref="Q182" display="https://www.sebi.gov.in/sebi_data/attachdocs/jun-2025/1751268605601_824.pdf" r:id="rId613"/>
    <hyperlink xmlns:r="http://schemas.openxmlformats.org/officeDocument/2006/relationships" ref="R182" display="https://www.sebi.gov.in/filings/public-issues/jun-2025/earthood-services-limited_94857.html" r:id="rId614"/>
    <hyperlink xmlns:r="http://schemas.openxmlformats.org/officeDocument/2006/relationships" ref="Z182" r:id="rId615"/>
    <hyperlink xmlns:r="http://schemas.openxmlformats.org/officeDocument/2006/relationships" ref="Q183" display="https://www.sebi.gov.in/sebi_data/attachdocs/jul-2025/1751348686934.pdf" r:id="rId616"/>
    <hyperlink xmlns:r="http://schemas.openxmlformats.org/officeDocument/2006/relationships" ref="R183" display="https://www.sebi.gov.in/filings/public-issues/jun-2025/credila-financial-services-limited-udrhp-1_94914.html" r:id="rId617"/>
    <hyperlink xmlns:r="http://schemas.openxmlformats.org/officeDocument/2006/relationships" ref="Z183" r:id="rId618"/>
    <hyperlink xmlns:r="http://schemas.openxmlformats.org/officeDocument/2006/relationships" ref="Q184" display="https://www.sebi.gov.in/sebi_data/attachdocs/jun-2025/1749727806894_815.pdf" r:id="rId619"/>
    <hyperlink xmlns:r="http://schemas.openxmlformats.org/officeDocument/2006/relationships" ref="R184" display="https://www.sebi.gov.in/filings/public-issues/jun-2025/tea-post-limited_94561.html" r:id="rId620"/>
    <hyperlink xmlns:r="http://schemas.openxmlformats.org/officeDocument/2006/relationships" ref="Z184" r:id="rId621"/>
    <hyperlink xmlns:r="http://schemas.openxmlformats.org/officeDocument/2006/relationships" ref="Q185" display="https://www.sebi.gov.in/sebi_data/attachdocs/jun-2025/1749024129717.PDF" r:id="rId622"/>
    <hyperlink xmlns:r="http://schemas.openxmlformats.org/officeDocument/2006/relationships" ref="R185" display="https://www.sebi.gov.in/filings/public-issues/jun-2025/drhp-of-neilsoft-limited_94392.html" r:id="rId623"/>
    <hyperlink xmlns:r="http://schemas.openxmlformats.org/officeDocument/2006/relationships" ref="Z185" r:id="rId624"/>
    <hyperlink xmlns:r="http://schemas.openxmlformats.org/officeDocument/2006/relationships" ref="Q186" display="https://www.sebi.gov.in/sebi_data/attachdocs/may-2025/1748604604661_809.pdf" r:id="rId625"/>
    <hyperlink xmlns:r="http://schemas.openxmlformats.org/officeDocument/2006/relationships" ref="R186" display="https://www.sebi.gov.in/filings/public-issues/may-2025/fusion-cx-limited_94311.html" r:id="rId626"/>
    <hyperlink xmlns:r="http://schemas.openxmlformats.org/officeDocument/2006/relationships" ref="Z186" r:id="rId627"/>
    <hyperlink xmlns:r="http://schemas.openxmlformats.org/officeDocument/2006/relationships" ref="Q187" display="https://www.sebi.gov.in/sebi_data/attachdocs/may-2025/1748518220350_802.pdf" r:id="rId628"/>
    <hyperlink xmlns:r="http://schemas.openxmlformats.org/officeDocument/2006/relationships" ref="R187" display="https://www.sebi.gov.in/filings/public-issues/may-2025/kanodia-cement-limited_94269.html" r:id="rId629"/>
    <hyperlink xmlns:r="http://schemas.openxmlformats.org/officeDocument/2006/relationships" ref="Z187" r:id="rId630"/>
    <hyperlink xmlns:r="http://schemas.openxmlformats.org/officeDocument/2006/relationships" ref="Q188" display="https://www.sebi.gov.in/sebi_data/attachdocs/may-2025/1747654204318_791.pdf" r:id="rId631"/>
    <hyperlink xmlns:r="http://schemas.openxmlformats.org/officeDocument/2006/relationships" ref="R188" display="https://www.sebi.gov.in/filings/public-issues/may-2025/ravi-infrabuild-projects-limited_94029.html" r:id="rId632"/>
    <hyperlink xmlns:r="http://schemas.openxmlformats.org/officeDocument/2006/relationships" ref="Z188" r:id="rId633"/>
    <hyperlink xmlns:r="http://schemas.openxmlformats.org/officeDocument/2006/relationships" ref="Q189" display="https://www.sebi.gov.in/sebi_data/attachdocs/may-2025/1747395399489.pdf" r:id="rId634"/>
    <hyperlink xmlns:r="http://schemas.openxmlformats.org/officeDocument/2006/relationships" ref="R189" display="https://www.sebi.gov.in/filings/public-issues/may-2025/drhp-of-mouri-tech-limited_93994.html" r:id="rId635"/>
    <hyperlink xmlns:r="http://schemas.openxmlformats.org/officeDocument/2006/relationships" ref="Z189" r:id="rId636"/>
    <hyperlink xmlns:r="http://schemas.openxmlformats.org/officeDocument/2006/relationships" ref="Q190" display="https://www.sebi.gov.in/sebi_data/attachdocs/apr-2025/1745839805301_772.pdf" r:id="rId637"/>
    <hyperlink xmlns:r="http://schemas.openxmlformats.org/officeDocument/2006/relationships" ref="R190" display="https://www.sebi.gov.in/filings/public-issues/apr-2025/prestige-hospitality-ventures-limited_93682.html" r:id="rId638"/>
    <hyperlink xmlns:r="http://schemas.openxmlformats.org/officeDocument/2006/relationships" ref="Z190" r:id="rId639"/>
    <hyperlink xmlns:r="http://schemas.openxmlformats.org/officeDocument/2006/relationships" ref="Q191" display="https://www.sebi.gov.in/sebi_data/attachdocs/apr-2025/1744097406765_766.pdf" r:id="rId640"/>
    <hyperlink xmlns:r="http://schemas.openxmlformats.org/officeDocument/2006/relationships" ref="R191" display="https://www.sebi.gov.in/filings/public-issues/apr-2025/sis-cash-services-limited_93365.html" r:id="rId641"/>
    <hyperlink xmlns:r="http://schemas.openxmlformats.org/officeDocument/2006/relationships" ref="Z191" r:id="rId642"/>
    <hyperlink xmlns:r="http://schemas.openxmlformats.org/officeDocument/2006/relationships" ref="Q192" display="https://www.sebi.gov.in/sebi_data/attachdocs/apr-2025/1743679807520_759.pdf" r:id="rId643"/>
    <hyperlink xmlns:r="http://schemas.openxmlformats.org/officeDocument/2006/relationships" ref="R192" display="https://www.sebi.gov.in/filings/public-issues/apr-2025/sai-infinium-limited_93289.html" r:id="rId644"/>
    <hyperlink xmlns:r="http://schemas.openxmlformats.org/officeDocument/2006/relationships" ref="Z192" r:id="rId645"/>
    <hyperlink xmlns:r="http://schemas.openxmlformats.org/officeDocument/2006/relationships" ref="Q193" display="https://www.sebi.gov.in/sebi_data/attachdocs/apr-2025/1743679807520_760.pdf" r:id="rId646"/>
    <hyperlink xmlns:r="http://schemas.openxmlformats.org/officeDocument/2006/relationships" ref="R193" display="https://www.sebi.gov.in/filings/public-issues/apr-2025/runwal-enterprises-limited_93291.html" r:id="rId647"/>
    <hyperlink xmlns:r="http://schemas.openxmlformats.org/officeDocument/2006/relationships" ref="Z193" r:id="rId648"/>
    <hyperlink xmlns:r="http://schemas.openxmlformats.org/officeDocument/2006/relationships" ref="Q194" display="https://www.sebi.gov.in/sebi_data/attachdocs/apr-2025/1743507022624_750.pdf" r:id="rId649"/>
    <hyperlink xmlns:r="http://schemas.openxmlformats.org/officeDocument/2006/relationships" ref="R194" display="https://www.sebi.gov.in/filings/public-issues/apr-2025/prozeal-green-energy-limited_93174.html" r:id="rId650"/>
    <hyperlink xmlns:r="http://schemas.openxmlformats.org/officeDocument/2006/relationships" ref="Z194" r:id="rId651"/>
    <hyperlink xmlns:r="http://schemas.openxmlformats.org/officeDocument/2006/relationships" ref="Q195" display="https://www.sebi.gov.in/sebi_data/attachdocs/apr-2025/1743492605814_747.pdf" r:id="rId652"/>
    <hyperlink xmlns:r="http://schemas.openxmlformats.org/officeDocument/2006/relationships" ref="R195" display="https://www.sebi.gov.in/filings/public-issues/apr-2025/ardee-engineering-limited_93160.html" r:id="rId653"/>
    <hyperlink xmlns:r="http://schemas.openxmlformats.org/officeDocument/2006/relationships" ref="Z195" r:id="rId654"/>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B2221"/>
  <sheetViews>
    <sheetView showFormulas="0" showGridLines="0" showRowColHeaders="1" showZeros="1" rightToLeft="0" tabSelected="0" showOutlineSymbols="1" defaultGridColor="1"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baseColWidth="8" defaultColWidth="8.6796875" defaultRowHeight="15" customHeight="0" zeroHeight="0" outlineLevelRow="0"/>
  <cols>
    <col width="6" customWidth="1" style="11" min="1" max="1"/>
    <col width="13" customWidth="1" style="11" min="2" max="2"/>
    <col width="8" customWidth="1" style="11" min="3" max="3"/>
    <col width="44" customWidth="1" style="11" min="4" max="4"/>
    <col width="14" customWidth="1" style="11" min="5" max="5"/>
    <col width="52" customWidth="1" style="11" min="6" max="6"/>
    <col width="28" customWidth="1" style="11" min="7" max="7"/>
    <col width="11" customWidth="1" style="11" min="8" max="8"/>
    <col width="13" customWidth="1" style="11" min="9" max="11"/>
    <col width="14" customWidth="1" style="11" min="12" max="13"/>
    <col width="12" customWidth="1" style="11" min="14" max="14"/>
    <col width="24" customWidth="1" style="11" min="15" max="15"/>
    <col width="46" customWidth="1" style="11" min="16" max="16"/>
    <col width="58" customWidth="1" style="11" min="17" max="19"/>
    <col width="26" customWidth="1" style="11" min="20" max="20"/>
    <col width="34" customWidth="1" style="11" min="21" max="21"/>
    <col width="60" customWidth="1" style="11" min="22" max="22"/>
    <col width="14" customWidth="1" style="12" min="23" max="23"/>
    <col width="14" customWidth="1" style="12" min="24" max="24"/>
    <col width="14" customWidth="1" style="12" min="25" max="25"/>
    <col width="30" customWidth="1" style="12" min="26" max="26"/>
    <col width="60" customWidth="1" style="12" min="27" max="27"/>
    <col width="58" customWidth="1" style="12" min="28" max="28"/>
  </cols>
  <sheetData>
    <row r="1" ht="42" customHeight="1" s="12">
      <c r="A1" s="13" t="inlineStr">
        <is>
          <t>S.No</t>
        </is>
      </c>
      <c r="B1" s="13" t="inlineStr">
        <is>
          <t>Filing Date (SEBI)</t>
        </is>
      </c>
      <c r="C1" s="13" t="inlineStr">
        <is>
          <t>Filing Year</t>
        </is>
      </c>
      <c r="D1" s="13" t="inlineStr">
        <is>
          <t>IPO / Company Name</t>
        </is>
      </c>
      <c r="E1" s="13" t="inlineStr">
        <is>
          <t>Document Type</t>
        </is>
      </c>
      <c r="F1" s="13" t="inlineStr">
        <is>
          <t>Title as on SEBI</t>
        </is>
      </c>
      <c r="G1" s="13" t="inlineStr">
        <is>
          <t>IPO Status</t>
        </is>
      </c>
      <c r="H1" s="13" t="inlineStr">
        <is>
          <t>Segment</t>
        </is>
      </c>
      <c r="I1" s="13" t="inlineStr">
        <is>
          <t>IPO Issue (Open) Date</t>
        </is>
      </c>
      <c r="J1" s="13" t="inlineStr">
        <is>
          <t>IPO Close Date</t>
        </is>
      </c>
      <c r="K1" s="13" t="inlineStr">
        <is>
          <t>Listing Date</t>
        </is>
      </c>
      <c r="L1" s="13" t="inlineStr">
        <is>
          <t>IPO Size (₹ Cr)</t>
        </is>
      </c>
      <c r="M1" s="13" t="inlineStr">
        <is>
          <t>Fresh Issue (₹ Cr)</t>
        </is>
      </c>
      <c r="N1" s="13" t="inlineStr">
        <is>
          <t>OFS (₹ Cr)</t>
        </is>
      </c>
      <c r="O1" s="13" t="inlineStr">
        <is>
          <t>Size Basis</t>
        </is>
      </c>
      <c r="P1" s="13" t="inlineStr">
        <is>
          <t>Offer Terms per DRHP</t>
        </is>
      </c>
      <c r="Q1" s="13" t="inlineStr">
        <is>
          <t>DRHP / Document PDF (SEBI)</t>
        </is>
      </c>
      <c r="R1" s="13" t="inlineStr">
        <is>
          <t>SEBI Filing Page</t>
        </is>
      </c>
      <c r="S1" s="13" t="inlineStr">
        <is>
          <t>Draft Abridged Prospectus</t>
        </is>
      </c>
      <c r="T1" s="13" t="inlineStr">
        <is>
          <t>IPO Linked By</t>
        </is>
      </c>
      <c r="U1" s="13" t="inlineStr">
        <is>
          <t>IPO Name in Source</t>
        </is>
      </c>
      <c r="V1" s="13" t="inlineStr">
        <is>
          <t>Notes</t>
        </is>
      </c>
      <c r="W1" s="13" t="inlineStr">
        <is>
          <t>IPO Issue Open Date (web search)</t>
        </is>
      </c>
      <c r="X1" s="13" t="inlineStr">
        <is>
          <t>IPO Issue Close Date (web search)</t>
        </is>
      </c>
      <c r="Y1" s="13" t="inlineStr">
        <is>
          <t>Listing Date (web search)</t>
        </is>
      </c>
      <c r="Z1" s="13" t="inlineStr">
        <is>
          <t>Web Search Status</t>
        </is>
      </c>
      <c r="AA1" s="13" t="inlineStr">
        <is>
          <t>Web Search Note</t>
        </is>
      </c>
      <c r="AB1" s="13" t="inlineStr">
        <is>
          <t>Web Search Source</t>
        </is>
      </c>
    </row>
    <row r="2" ht="15" customHeight="1" s="12">
      <c r="A2" s="14" t="n">
        <v>1</v>
      </c>
      <c r="B2" s="16" t="n">
        <v>46295</v>
      </c>
      <c r="C2" s="15" t="n">
        <v>2026</v>
      </c>
      <c r="D2" s="15" t="inlineStr">
        <is>
          <t>J B ECOTEX LIMITED</t>
        </is>
      </c>
      <c r="E2" s="15" t="inlineStr">
        <is>
          <t>DRHP</t>
        </is>
      </c>
      <c r="F2" s="15" t="inlineStr">
        <is>
          <t>J B ECOTEX LIMITED</t>
        </is>
      </c>
      <c r="G2" s="15" t="inlineStr">
        <is>
          <t>Upcoming — IPO not yet opened</t>
        </is>
      </c>
      <c r="H2" s="15" t="n"/>
      <c r="I2" s="16" t="n"/>
      <c r="J2" s="16" t="n"/>
      <c r="K2" s="16" t="n"/>
      <c r="L2" s="17" t="n"/>
      <c r="M2" s="17" t="n"/>
      <c r="N2" s="17" t="n"/>
      <c r="O2" s="15" t="n"/>
      <c r="P2" s="15" t="n"/>
      <c r="Q2" s="18" t="inlineStr">
        <is>
          <t>https://www.sebi.gov.in/sebi_data/attachdocs/sep-2026/1790767812069_1378.pdf</t>
        </is>
      </c>
      <c r="R2" s="18" t="inlineStr">
        <is>
          <t>https://www.sebi.gov.in/filings/public-issues/sep-2026/j-b-ecotex-limited_104830.html</t>
        </is>
      </c>
      <c r="S2" s="15" t="n"/>
      <c r="T2" s="15" t="n"/>
      <c r="U2" s="15" t="n"/>
      <c r="V2" s="15" t="n"/>
      <c r="W2" s="16" t="n"/>
      <c r="X2" s="16" t="n"/>
      <c r="Y2" s="16" t="n"/>
      <c r="Z2" s="15" t="inlineStr">
        <is>
          <t>Dates not announced</t>
        </is>
      </c>
      <c r="AA2" s="15" t="inlineStr">
        <is>
          <t>DRHP filed; dates not announced</t>
        </is>
      </c>
      <c r="AB2" s="18" t="inlineStr">
        <is>
          <t>https://www.chittorgarh.com/ipo/j-b-ecotex-ipo/3311/</t>
        </is>
      </c>
    </row>
    <row r="3" ht="15" customHeight="1" s="12">
      <c r="A3" s="14" t="n">
        <v>2</v>
      </c>
      <c r="B3" s="16" t="n">
        <v>46295</v>
      </c>
      <c r="C3" s="15" t="n">
        <v>2026</v>
      </c>
      <c r="D3" s="15" t="inlineStr">
        <is>
          <t>S G Encon Limited</t>
        </is>
      </c>
      <c r="E3" s="15" t="inlineStr">
        <is>
          <t>DRHP</t>
        </is>
      </c>
      <c r="F3" s="15" t="inlineStr">
        <is>
          <t>S G Encon Limited</t>
        </is>
      </c>
      <c r="G3" s="15" t="inlineStr">
        <is>
          <t>Upcoming — IPO not yet opened</t>
        </is>
      </c>
      <c r="H3" s="15" t="n"/>
      <c r="I3" s="16" t="n"/>
      <c r="J3" s="16" t="n"/>
      <c r="K3" s="16" t="n"/>
      <c r="L3" s="17" t="n"/>
      <c r="M3" s="17" t="n"/>
      <c r="N3" s="17" t="n"/>
      <c r="O3" s="15" t="inlineStr">
        <is>
          <t>DRHP cover</t>
        </is>
      </c>
      <c r="P3" s="15" t="inlineStr">
        <is>
          <t>Fresh issue up to 7,190,400 sh + OFS up to 1,371,300 sh</t>
        </is>
      </c>
      <c r="Q3" s="18" t="inlineStr">
        <is>
          <t>https://www.sebi.gov.in/sebi_data/attachdocs/sep-2026/1790767812069_1377.pdf</t>
        </is>
      </c>
      <c r="R3" s="18" t="inlineStr">
        <is>
          <t>https://www.sebi.gov.in/filings/public-issues/sep-2026/s-g-encon-limited_104828.html</t>
        </is>
      </c>
      <c r="S3" s="15" t="n"/>
      <c r="T3" s="15" t="n"/>
      <c r="U3" s="15" t="n"/>
      <c r="V3" s="15" t="n"/>
      <c r="W3" s="16" t="n"/>
      <c r="X3" s="16" t="n"/>
      <c r="Y3" s="16" t="n"/>
      <c r="Z3" s="15" t="inlineStr">
        <is>
          <t>Dates not announced</t>
        </is>
      </c>
      <c r="AA3" s="15" t="inlineStr">
        <is>
          <t>DRHP filed; no IPO dates found</t>
        </is>
      </c>
      <c r="AB3" s="15" t="n"/>
    </row>
    <row r="4" ht="15" customHeight="1" s="12">
      <c r="A4" s="14" t="n">
        <v>3</v>
      </c>
      <c r="B4" s="16" t="n">
        <v>46295</v>
      </c>
      <c r="C4" s="15" t="n">
        <v>2026</v>
      </c>
      <c r="D4" s="15" t="inlineStr">
        <is>
          <t>S. D. INTERNATIONAL LIMITED</t>
        </is>
      </c>
      <c r="E4" s="15" t="inlineStr">
        <is>
          <t>DRHP</t>
        </is>
      </c>
      <c r="F4" s="15" t="inlineStr">
        <is>
          <t>S. D. INTERNATIONAL LIMITED</t>
        </is>
      </c>
      <c r="G4" s="15" t="inlineStr">
        <is>
          <t>Upcoming — IPO not yet opened</t>
        </is>
      </c>
      <c r="H4" s="15" t="n"/>
      <c r="I4" s="16" t="n"/>
      <c r="J4" s="16" t="n"/>
      <c r="K4" s="16" t="n"/>
      <c r="L4" s="17" t="n"/>
      <c r="M4" s="17" t="n"/>
      <c r="N4" s="17" t="n"/>
      <c r="O4" s="15" t="n"/>
      <c r="P4" s="15" t="n"/>
      <c r="Q4" s="18" t="inlineStr">
        <is>
          <t>https://www.sebi.gov.in/sebi_data/attachdocs/sep-2026/1790767812069_1376.pdf</t>
        </is>
      </c>
      <c r="R4" s="18" t="inlineStr">
        <is>
          <t>https://www.sebi.gov.in/filings/public-issues/sep-2026/s-d-international-limited_104826.html</t>
        </is>
      </c>
      <c r="S4" s="15" t="n"/>
      <c r="T4" s="15" t="n"/>
      <c r="U4" s="15" t="n"/>
      <c r="V4" s="15" t="n"/>
      <c r="W4" s="16" t="n"/>
      <c r="X4" s="16" t="n"/>
      <c r="Y4" s="16" t="n"/>
      <c r="Z4" s="15" t="inlineStr">
        <is>
          <t>Dates not announced</t>
        </is>
      </c>
      <c r="AA4" s="15" t="inlineStr">
        <is>
          <t>DRHP filed; no IPO dates found</t>
        </is>
      </c>
      <c r="AB4" s="15" t="n"/>
    </row>
    <row r="5" ht="15" customHeight="1" s="12">
      <c r="A5" s="14" t="n">
        <v>4</v>
      </c>
      <c r="B5" s="16" t="n">
        <v>46294</v>
      </c>
      <c r="C5" s="15" t="n">
        <v>2026</v>
      </c>
      <c r="D5" s="15" t="inlineStr">
        <is>
          <t>ULTRAVIBRANT INTEGRATED ENERGY LIMITED</t>
        </is>
      </c>
      <c r="E5" s="15" t="inlineStr">
        <is>
          <t>DRHP</t>
        </is>
      </c>
      <c r="F5" s="15" t="inlineStr">
        <is>
          <t>ULTRAVIBRANT INTEGRATED ENERGY LIMITED</t>
        </is>
      </c>
      <c r="G5" s="15" t="inlineStr">
        <is>
          <t>Upcoming — IPO not yet opened</t>
        </is>
      </c>
      <c r="H5" s="15" t="n"/>
      <c r="I5" s="16" t="n"/>
      <c r="J5" s="16" t="n"/>
      <c r="K5" s="16" t="n"/>
      <c r="L5" s="17" t="n"/>
      <c r="M5" s="17" t="n"/>
      <c r="N5" s="17" t="n"/>
      <c r="O5" s="15" t="inlineStr">
        <is>
          <t>DRHP cover</t>
        </is>
      </c>
      <c r="P5" s="15" t="inlineStr">
        <is>
          <t>Fresh issue up to 12,000,000 sh + OFS up to 2,500,000 sh</t>
        </is>
      </c>
      <c r="Q5" s="18" t="inlineStr">
        <is>
          <t>https://www.sebi.gov.in/sebi_data/attachdocs/sep-2026/1790681405842_1375.pdf</t>
        </is>
      </c>
      <c r="R5" s="18" t="inlineStr">
        <is>
          <t>https://www.sebi.gov.in/filings/public-issues/sep-2026/ultravibrant-integrated-energy-limited_104809.html</t>
        </is>
      </c>
      <c r="S5" s="15" t="n"/>
      <c r="T5" s="15" t="n"/>
      <c r="U5" s="15" t="n"/>
      <c r="V5" s="15" t="n"/>
      <c r="W5" s="16" t="n"/>
      <c r="X5" s="16" t="n"/>
      <c r="Y5" s="16" t="n"/>
      <c r="Z5" s="15" t="inlineStr">
        <is>
          <t>Dates not announced</t>
        </is>
      </c>
      <c r="AA5" s="15" t="inlineStr">
        <is>
          <t>DRHP filed; no IPO dates found</t>
        </is>
      </c>
      <c r="AB5" s="15" t="n"/>
    </row>
    <row r="6" ht="15" customHeight="1" s="12">
      <c r="A6" s="14" t="n">
        <v>5</v>
      </c>
      <c r="B6" s="16" t="n">
        <v>46293</v>
      </c>
      <c r="C6" s="15" t="n">
        <v>2026</v>
      </c>
      <c r="D6" s="15" t="inlineStr">
        <is>
          <t>Iris Global Services Limited</t>
        </is>
      </c>
      <c r="E6" s="15" t="inlineStr">
        <is>
          <t>DRHP</t>
        </is>
      </c>
      <c r="F6" s="15" t="inlineStr">
        <is>
          <t>Iris Global Services Limited - DRHP</t>
        </is>
      </c>
      <c r="G6" s="15" t="inlineStr">
        <is>
          <t>Upcoming — IPO not yet opened</t>
        </is>
      </c>
      <c r="H6" s="15" t="n"/>
      <c r="I6" s="16" t="n"/>
      <c r="J6" s="16" t="n"/>
      <c r="K6" s="16" t="n"/>
      <c r="L6" s="17" t="n"/>
      <c r="M6" s="17" t="n"/>
      <c r="N6" s="17" t="n"/>
      <c r="O6" s="15" t="n"/>
      <c r="P6" s="15" t="n"/>
      <c r="Q6" s="18" t="inlineStr">
        <is>
          <t>https://www.sebi.gov.in/sebi_data/attachdocs/sep-2026/1790743844411.pdf</t>
        </is>
      </c>
      <c r="R6" s="18" t="inlineStr">
        <is>
          <t>https://www.sebi.gov.in/filings/public-issues/sep-2026/iris-global-services-limited-drhp_104746.html</t>
        </is>
      </c>
      <c r="S6" s="18" t="inlineStr">
        <is>
          <t>https://www.sebi.gov.in/sebi_data/commondocs/sep-2026/Iris%20Global%20Services%20Limited%20-%20DAP_p.pdf</t>
        </is>
      </c>
      <c r="T6" s="15" t="n"/>
      <c r="U6" s="15" t="n"/>
      <c r="V6" s="15" t="n"/>
      <c r="W6" s="16" t="n"/>
      <c r="X6" s="16" t="n"/>
      <c r="Y6" s="16" t="n"/>
      <c r="Z6" s="15" t="inlineStr">
        <is>
          <t>Dates not announced</t>
        </is>
      </c>
      <c r="AA6" s="15" t="inlineStr">
        <is>
          <t>DRHP filed; no IPO dates found</t>
        </is>
      </c>
      <c r="AB6" s="15" t="n"/>
    </row>
    <row r="7" ht="15" customHeight="1" s="12">
      <c r="A7" s="14" t="n">
        <v>6</v>
      </c>
      <c r="B7" s="16" t="n">
        <v>46290</v>
      </c>
      <c r="C7" s="15" t="n">
        <v>2026</v>
      </c>
      <c r="D7" s="15" t="inlineStr">
        <is>
          <t>JSW One Platforms Limited</t>
        </is>
      </c>
      <c r="E7" s="15" t="inlineStr">
        <is>
          <t>DRHP</t>
        </is>
      </c>
      <c r="F7" s="15" t="inlineStr">
        <is>
          <t>JSW One Platforms Limited - DRHP</t>
        </is>
      </c>
      <c r="G7" s="15" t="inlineStr">
        <is>
          <t>Upcoming — IPO not yet opened</t>
        </is>
      </c>
      <c r="H7" s="15" t="n"/>
      <c r="I7" s="16" t="n"/>
      <c r="J7" s="16" t="n"/>
      <c r="K7" s="16" t="n"/>
      <c r="L7" s="17" t="n">
        <v>3054.01</v>
      </c>
      <c r="M7" s="17" t="n">
        <v>1300</v>
      </c>
      <c r="N7" s="17" t="n">
        <v>1754.01</v>
      </c>
      <c r="O7" s="15" t="inlineStr">
        <is>
          <t>DRHP cover</t>
        </is>
      </c>
      <c r="P7" s="15" t="inlineStr">
        <is>
          <t>Fresh issue up to ₹1,300.00 Cr + OFS up to ₹1,754.01 Cr</t>
        </is>
      </c>
      <c r="Q7" s="18" t="inlineStr">
        <is>
          <t>https://www.sebi.gov.in/sebi_data/attachdocs/sep-2026/1790585630648.pdf</t>
        </is>
      </c>
      <c r="R7" s="18" t="inlineStr">
        <is>
          <t>https://www.sebi.gov.in/filings/public-issues/sep-2026/jsw-one-platforms-limited-drhp_104742.html</t>
        </is>
      </c>
      <c r="S7" s="18" t="inlineStr">
        <is>
          <t>https://www.sebi.gov.in/sebi_data/commondocs/sep-2026/JSW%20One%20Platforms%20Limited%20-%20Draft%20Abridged%20Prospectus_p.pdf</t>
        </is>
      </c>
      <c r="T7" s="15" t="n"/>
      <c r="U7" s="15" t="n"/>
      <c r="V7" s="15" t="n"/>
      <c r="W7" s="16" t="n"/>
      <c r="X7" s="16" t="n"/>
      <c r="Y7" s="16" t="n"/>
      <c r="Z7" s="15" t="inlineStr">
        <is>
          <t>Dates not announced</t>
        </is>
      </c>
      <c r="AA7" s="15" t="inlineStr">
        <is>
          <t>DRHP filed Sep-2026; dates not announced</t>
        </is>
      </c>
      <c r="AB7" s="18" t="inlineStr">
        <is>
          <t>https://www.chittorgarh.com/ipo/jsw-one-platform-ipo/3295/</t>
        </is>
      </c>
    </row>
    <row r="8" ht="15" customHeight="1" s="12">
      <c r="A8" s="14" t="n">
        <v>7</v>
      </c>
      <c r="B8" s="16" t="n">
        <v>46290</v>
      </c>
      <c r="C8" s="15" t="n">
        <v>2026</v>
      </c>
      <c r="D8" s="15" t="inlineStr">
        <is>
          <t>Anjali Labtech Limited</t>
        </is>
      </c>
      <c r="E8" s="15" t="inlineStr">
        <is>
          <t>UDRHP-I</t>
        </is>
      </c>
      <c r="F8" s="15" t="inlineStr">
        <is>
          <t>Anjali Labtech Limited - UDRHP-I</t>
        </is>
      </c>
      <c r="G8" s="15" t="inlineStr">
        <is>
          <t>Upcoming — IPO not yet opened</t>
        </is>
      </c>
      <c r="H8" s="15" t="n"/>
      <c r="I8" s="16" t="n"/>
      <c r="J8" s="16" t="n"/>
      <c r="K8" s="16" t="n"/>
      <c r="L8" s="17" t="n"/>
      <c r="M8" s="17" t="n"/>
      <c r="N8" s="17" t="n"/>
      <c r="O8" s="15" t="n"/>
      <c r="P8" s="15" t="n"/>
      <c r="Q8" s="18" t="inlineStr">
        <is>
          <t>https://www.sebi.gov.in/sebi_data/attachdocs/sep-2026/1790320604407.pdf</t>
        </is>
      </c>
      <c r="R8" s="18" t="inlineStr">
        <is>
          <t>https://www.sebi.gov.in/filings/public-issues/sep-2026/anjali-labtech-limited-udrhp-i_104737.html</t>
        </is>
      </c>
      <c r="S8" s="18" t="inlineStr">
        <is>
          <t>https://www.sebi.gov.in/sebi_data/commondocs/sep-2026/Anjali%20Labtech%20Limited%20-%20DAP_p.pdf</t>
        </is>
      </c>
      <c r="T8" s="15" t="n"/>
      <c r="U8" s="15" t="n"/>
      <c r="V8" s="15" t="n"/>
      <c r="W8" s="16" t="n"/>
      <c r="X8" s="16" t="n"/>
      <c r="Y8" s="16" t="n"/>
      <c r="Z8" s="15" t="inlineStr">
        <is>
          <t>Dates not announced</t>
        </is>
      </c>
      <c r="AA8" s="15" t="inlineStr">
        <is>
          <t>SEBI nod Feb-2026; UDRHP-I filed Sep-2026; dates not announced</t>
        </is>
      </c>
      <c r="AB8" s="18" t="inlineStr">
        <is>
          <t>https://www.chittorgarh.com/ipo/anjali-labtech-ipo/2786/</t>
        </is>
      </c>
    </row>
    <row r="9" ht="15" customHeight="1" s="12">
      <c r="A9" s="14" t="n">
        <v>8</v>
      </c>
      <c r="B9" s="16" t="n">
        <v>46287</v>
      </c>
      <c r="C9" s="15" t="n">
        <v>2026</v>
      </c>
      <c r="D9" s="15" t="inlineStr">
        <is>
          <t>VARDAAN BIOTECH LIMITED</t>
        </is>
      </c>
      <c r="E9" s="15" t="inlineStr">
        <is>
          <t>DRHP</t>
        </is>
      </c>
      <c r="F9" s="15" t="inlineStr">
        <is>
          <t>VARDAAN BIOTECH LIMITED - DRHP</t>
        </is>
      </c>
      <c r="G9" s="15" t="inlineStr">
        <is>
          <t>Upcoming — IPO not yet opened</t>
        </is>
      </c>
      <c r="H9" s="15" t="n"/>
      <c r="I9" s="16" t="n"/>
      <c r="J9" s="16" t="n"/>
      <c r="K9" s="16" t="n"/>
      <c r="L9" s="17" t="n"/>
      <c r="M9" s="17" t="n"/>
      <c r="N9" s="17" t="n"/>
      <c r="O9" s="15" t="n"/>
      <c r="P9" s="15" t="n"/>
      <c r="Q9" s="18" t="inlineStr">
        <is>
          <t>https://www.sebi.gov.in/sebi_data/attachdocs/sep-2026/1790076604769_1355.pdf</t>
        </is>
      </c>
      <c r="R9" s="18" t="inlineStr">
        <is>
          <t>https://www.sebi.gov.in/filings/public-issues/sep-2026/vardaan-biotech-limited-drhp_104652.html</t>
        </is>
      </c>
      <c r="S9" s="18" t="inlineStr">
        <is>
          <t>https://www.sebi.gov.in/sebi_data/commondocs/sep-2026/VARDAAN%20BIOTECH%20LIMITED_p.pdf</t>
        </is>
      </c>
      <c r="T9" s="15" t="n"/>
      <c r="U9" s="15" t="n"/>
      <c r="V9" s="15" t="n"/>
      <c r="W9" s="16" t="n"/>
      <c r="X9" s="16" t="n"/>
      <c r="Y9" s="16" t="n"/>
      <c r="Z9" s="15" t="inlineStr">
        <is>
          <t>Dates not announced</t>
        </is>
      </c>
      <c r="AA9" s="15" t="inlineStr">
        <is>
          <t>Refiled on mainboard; earlier SME DRHP withdrawn Jul-2024; no dates</t>
        </is>
      </c>
      <c r="AB9" s="18" t="inlineStr">
        <is>
          <t>https://www.barandbench.com/law-firms/dealstreet/legacy-law-offices-acts-on-vardaan-biotech-90-crore-ipo</t>
        </is>
      </c>
    </row>
    <row r="10" ht="15" customHeight="1" s="12">
      <c r="A10" s="14" t="n">
        <v>9</v>
      </c>
      <c r="B10" s="16" t="n">
        <v>46287</v>
      </c>
      <c r="C10" s="15" t="n">
        <v>2026</v>
      </c>
      <c r="D10" s="15" t="inlineStr">
        <is>
          <t>Hi-Tech Flow Solutions Limited</t>
        </is>
      </c>
      <c r="E10" s="15" t="inlineStr">
        <is>
          <t>DRHP</t>
        </is>
      </c>
      <c r="F10" s="15" t="inlineStr">
        <is>
          <t>Hi-Tech Flow Solutions Limited - DRHP</t>
        </is>
      </c>
      <c r="G10" s="15" t="inlineStr">
        <is>
          <t>Upcoming — IPO not yet opened</t>
        </is>
      </c>
      <c r="H10" s="15" t="n"/>
      <c r="I10" s="16" t="n"/>
      <c r="J10" s="16" t="n"/>
      <c r="K10" s="16" t="n"/>
      <c r="L10" s="17" t="n"/>
      <c r="M10" s="17" t="n"/>
      <c r="N10" s="17" t="n"/>
      <c r="O10" s="15" t="n"/>
      <c r="P10" s="15" t="n"/>
      <c r="Q10" s="18" t="inlineStr">
        <is>
          <t>https://www.sebi.gov.in/sebi_data/attachdocs/sep-2026/1790058959002.pdf</t>
        </is>
      </c>
      <c r="R10" s="18" t="inlineStr">
        <is>
          <t>https://www.sebi.gov.in/filings/public-issues/sep-2026/hi-tech-flow-solutions-limited-drhp_104635.html</t>
        </is>
      </c>
      <c r="S10" s="18" t="inlineStr">
        <is>
          <t>https://www.sebi.gov.in/sebi_data/commondocs/sep-2026/HitechFlowSolutionsDAP_p.pdf</t>
        </is>
      </c>
      <c r="T10" s="15" t="n"/>
      <c r="U10" s="15" t="n"/>
      <c r="V10" s="15" t="n"/>
      <c r="W10" s="16" t="n"/>
      <c r="X10" s="16" t="n"/>
      <c r="Y10" s="16" t="n"/>
      <c r="Z10" s="15" t="inlineStr">
        <is>
          <t>Dates not announced</t>
        </is>
      </c>
      <c r="AA10" s="15" t="inlineStr">
        <is>
          <t>DRHP filed; no IPO dates found</t>
        </is>
      </c>
      <c r="AB10" s="15" t="n"/>
    </row>
    <row r="11" ht="15" customHeight="1" s="12">
      <c r="A11" s="14" t="n">
        <v>10</v>
      </c>
      <c r="B11" s="16" t="n">
        <v>46283</v>
      </c>
      <c r="C11" s="15" t="n">
        <v>2026</v>
      </c>
      <c r="D11" s="15" t="inlineStr">
        <is>
          <t>ANCHOR OFFSHORE SERVICES LIMITED</t>
        </is>
      </c>
      <c r="E11" s="15" t="inlineStr">
        <is>
          <t>DRHP</t>
        </is>
      </c>
      <c r="F11" s="15" t="inlineStr">
        <is>
          <t>ANCHOR OFFSHORE SERVICES LIMITED - DRHP</t>
        </is>
      </c>
      <c r="G11" s="15" t="inlineStr">
        <is>
          <t>Upcoming — IPO not yet opened</t>
        </is>
      </c>
      <c r="H11" s="15" t="n"/>
      <c r="I11" s="16" t="n"/>
      <c r="J11" s="16" t="n"/>
      <c r="K11" s="16" t="n"/>
      <c r="L11" s="17" t="n"/>
      <c r="M11" s="17" t="n"/>
      <c r="N11" s="17" t="n"/>
      <c r="O11" s="15" t="inlineStr">
        <is>
          <t>DRHP cover</t>
        </is>
      </c>
      <c r="P11" s="15" t="inlineStr">
        <is>
          <t>Fresh issue up to 6,400,000 sh + OFS up to 600,000 sh</t>
        </is>
      </c>
      <c r="Q11" s="18" t="inlineStr">
        <is>
          <t>https://www.sebi.gov.in/sebi_data/attachdocs/sep-2026/1789731006415_1354.pdf</t>
        </is>
      </c>
      <c r="R11" s="18" t="inlineStr">
        <is>
          <t>https://www.sebi.gov.in/filings/public-issues/sep-2026/anchor-offshore-services-limited-drhp_104580.html</t>
        </is>
      </c>
      <c r="S11" s="18" t="inlineStr">
        <is>
          <t>https://www.sebi.gov.in/sebi_data/commondocs/sep-2026/Anchor%20Offshore%20Services%20Limited-DA_p.pdf</t>
        </is>
      </c>
      <c r="T11" s="15" t="n"/>
      <c r="U11" s="15" t="n"/>
      <c r="V11" s="15" t="n"/>
      <c r="W11" s="16" t="n"/>
      <c r="X11" s="16" t="n"/>
      <c r="Y11" s="16" t="n"/>
      <c r="Z11" s="15" t="inlineStr">
        <is>
          <t>Dates not announced</t>
        </is>
      </c>
      <c r="AA11" s="15" t="inlineStr">
        <is>
          <t>DRHP filed; no IPO dates found</t>
        </is>
      </c>
      <c r="AB11" s="15" t="n"/>
    </row>
    <row r="12" ht="15" customHeight="1" s="12">
      <c r="A12" s="14" t="n">
        <v>11</v>
      </c>
      <c r="B12" s="16" t="n">
        <v>46283</v>
      </c>
      <c r="C12" s="15" t="n">
        <v>2026</v>
      </c>
      <c r="D12" s="15" t="inlineStr">
        <is>
          <t>Madhur Iron &amp; Steel India Limited</t>
        </is>
      </c>
      <c r="E12" s="15" t="inlineStr">
        <is>
          <t>DRHP</t>
        </is>
      </c>
      <c r="F12" s="15" t="inlineStr">
        <is>
          <t>Madhur Iron &amp; Steel India Limited - DRHP</t>
        </is>
      </c>
      <c r="G12" s="15" t="inlineStr">
        <is>
          <t>Upcoming — IPO not yet opened</t>
        </is>
      </c>
      <c r="H12" s="15" t="n"/>
      <c r="I12" s="16" t="n"/>
      <c r="J12" s="16" t="n"/>
      <c r="K12" s="16" t="n"/>
      <c r="L12" s="17" t="n"/>
      <c r="M12" s="17" t="n"/>
      <c r="N12" s="17" t="n"/>
      <c r="O12" s="15" t="n"/>
      <c r="P12" s="15" t="n"/>
      <c r="Q12" s="18" t="inlineStr">
        <is>
          <t>https://www.sebi.gov.in/sebi_data/attachdocs/sep-2026/1789720399852.pdf</t>
        </is>
      </c>
      <c r="R12" s="18" t="inlineStr">
        <is>
          <t>https://www.sebi.gov.in/filings/public-issues/sep-2026/madhur-iron-and-steel-india-limited-drhp_104575.html</t>
        </is>
      </c>
      <c r="S12" s="18" t="inlineStr">
        <is>
          <t>https://www.sebi.gov.in/sebi_data/commondocs/sep-2026/Madhur%20Iron%20And%20Steel%20India%20Limited%20-%20Draft%20AP_p.pdf</t>
        </is>
      </c>
      <c r="T12" s="15" t="n"/>
      <c r="U12" s="15" t="n"/>
      <c r="V12" s="15" t="n"/>
      <c r="W12" s="16" t="n"/>
      <c r="X12" s="16" t="n"/>
      <c r="Y12" s="16" t="n"/>
      <c r="Z12" s="15" t="inlineStr">
        <is>
          <t>Dates not announced</t>
        </is>
      </c>
      <c r="AA12" s="15" t="inlineStr">
        <is>
          <t>Earlier DRHP withdrawn Mar-2026; fresh DRHP Sep-2026; no IPO dates</t>
        </is>
      </c>
      <c r="AB12" s="18" t="inlineStr">
        <is>
          <t>https://www.chittorgarh.com/ipo/madhur-iron-and-steel-ipo/2855/</t>
        </is>
      </c>
    </row>
    <row r="13" ht="15" customHeight="1" s="12">
      <c r="A13" s="14" t="n">
        <v>12</v>
      </c>
      <c r="B13" s="16" t="n">
        <v>46282</v>
      </c>
      <c r="C13" s="15" t="n">
        <v>2026</v>
      </c>
      <c r="D13" s="15" t="inlineStr">
        <is>
          <t>IBERIA PHARMACEUTICALS INDIA LIMITED</t>
        </is>
      </c>
      <c r="E13" s="15" t="inlineStr">
        <is>
          <t>DRHP</t>
        </is>
      </c>
      <c r="F13" s="15" t="inlineStr">
        <is>
          <t>IBERIA PHARMACEUTICALS INDIA LIMITED - DRHP</t>
        </is>
      </c>
      <c r="G13" s="15" t="inlineStr">
        <is>
          <t>Upcoming — IPO not yet opened</t>
        </is>
      </c>
      <c r="H13" s="15" t="n"/>
      <c r="I13" s="16" t="n"/>
      <c r="J13" s="16" t="n"/>
      <c r="K13" s="16" t="n"/>
      <c r="L13" s="17" t="n"/>
      <c r="M13" s="17" t="n"/>
      <c r="N13" s="17" t="n"/>
      <c r="O13" s="15" t="n"/>
      <c r="P13" s="15" t="n"/>
      <c r="Q13" s="18" t="inlineStr">
        <is>
          <t>https://www.sebi.gov.in/sebi_data/attachdocs/sep-2026/1789635115853.pdf</t>
        </is>
      </c>
      <c r="R13" s="18" t="inlineStr">
        <is>
          <t>https://www.sebi.gov.in/filings/public-issues/sep-2026/iberia-pharmaceuticals-india-limited-drhp_104542.html</t>
        </is>
      </c>
      <c r="S13" s="18" t="inlineStr">
        <is>
          <t>https://www.sebi.gov.in/sebi_data/commondocs/sep-2026/IBERIA%20PHARMACEUTICALS%20INDIA%20LIMITED_p.pdf</t>
        </is>
      </c>
      <c r="T13" s="15" t="n"/>
      <c r="U13" s="15" t="n"/>
      <c r="V13" s="15" t="n"/>
      <c r="W13" s="16" t="n"/>
      <c r="X13" s="16" t="n"/>
      <c r="Y13" s="16" t="n"/>
      <c r="Z13" s="15" t="inlineStr">
        <is>
          <t>Dates not announced</t>
        </is>
      </c>
      <c r="AA13" s="15" t="inlineStr">
        <is>
          <t>DRHP filed; no IPO dates found</t>
        </is>
      </c>
      <c r="AB13" s="15" t="n"/>
    </row>
    <row r="14" ht="15" customHeight="1" s="12">
      <c r="A14" s="14" t="n">
        <v>13</v>
      </c>
      <c r="B14" s="16" t="n">
        <v>46282</v>
      </c>
      <c r="C14" s="15" t="n">
        <v>2026</v>
      </c>
      <c r="D14" s="15" t="inlineStr">
        <is>
          <t>Rayzon Solar Limited</t>
        </is>
      </c>
      <c r="E14" s="15" t="inlineStr">
        <is>
          <t>Addendum</t>
        </is>
      </c>
      <c r="F14" s="15" t="inlineStr">
        <is>
          <t>Rayzon Solar Limited - Addendum to the DRHP</t>
        </is>
      </c>
      <c r="G14" s="15" t="inlineStr">
        <is>
          <t>Upcoming — IPO not yet opened</t>
        </is>
      </c>
      <c r="H14" s="15" t="n"/>
      <c r="I14" s="16" t="n"/>
      <c r="J14" s="16" t="n"/>
      <c r="K14" s="16" t="n"/>
      <c r="L14" s="17" t="n"/>
      <c r="M14" s="17" t="n"/>
      <c r="N14" s="17" t="n"/>
      <c r="O14" s="15" t="n"/>
      <c r="P14" s="15" t="n"/>
      <c r="Q14" s="18" t="inlineStr">
        <is>
          <t>https://www.sebi.gov.in/sebi_data/attachdocs/sep-2026/1789624666577.pdf</t>
        </is>
      </c>
      <c r="R14" s="18" t="inlineStr">
        <is>
          <t>https://www.sebi.gov.in/filings/public-issues/sep-2026/rayzon-solar-limited-addendum-to-the-drhp_104532.html</t>
        </is>
      </c>
      <c r="S14" s="15" t="n"/>
      <c r="T14" s="15" t="n"/>
      <c r="U14" s="15" t="n"/>
      <c r="V14" s="15" t="n"/>
      <c r="W14" s="16" t="n"/>
      <c r="X14" s="16" t="n"/>
      <c r="Y14" s="16" t="n"/>
      <c r="Z14" s="15" t="inlineStr">
        <is>
          <t>Dates not announced</t>
        </is>
      </c>
      <c r="AA14" s="15" t="inlineStr">
        <is>
          <t>SEBI nod 13-Oct-2025 (valid till Oct-2026); dates not announced</t>
        </is>
      </c>
      <c r="AB14" s="18" t="inlineStr">
        <is>
          <t>https://www.chittorgarh.com/ipo/rayzon-solar-ipo/2490/</t>
        </is>
      </c>
    </row>
    <row r="15" ht="15" customHeight="1" s="12">
      <c r="A15" s="14" t="n">
        <v>14</v>
      </c>
      <c r="B15" s="16" t="n">
        <v>46281</v>
      </c>
      <c r="C15" s="15" t="n">
        <v>2026</v>
      </c>
      <c r="D15" s="15" t="inlineStr">
        <is>
          <t>Sterlite Electric Limited</t>
        </is>
      </c>
      <c r="E15" s="15" t="inlineStr">
        <is>
          <t>Addendum</t>
        </is>
      </c>
      <c r="F15" s="15" t="inlineStr">
        <is>
          <t>Sterlite Electric Limited – Second Addendum to DRHP</t>
        </is>
      </c>
      <c r="G15" s="15" t="inlineStr">
        <is>
          <t>Upcoming — IPO not yet opened</t>
        </is>
      </c>
      <c r="H15" s="15" t="n"/>
      <c r="I15" s="16" t="n"/>
      <c r="J15" s="16" t="n"/>
      <c r="K15" s="16" t="n"/>
      <c r="L15" s="17" t="n"/>
      <c r="M15" s="17" t="n"/>
      <c r="N15" s="17" t="n"/>
      <c r="O15" s="15" t="n"/>
      <c r="P15" s="15" t="n"/>
      <c r="Q15" s="18" t="inlineStr">
        <is>
          <t>https://www.sebi.gov.in/sebi_data/attachdocs/sep-2026/1789549247423.pdf</t>
        </is>
      </c>
      <c r="R15" s="18" t="inlineStr">
        <is>
          <t>https://www.sebi.gov.in/filings/public-issues/sep-2026/sterlite-electric-limited-second-addendum-to-drhp_104506.html</t>
        </is>
      </c>
      <c r="S15" s="15" t="n"/>
      <c r="T15" s="15" t="n"/>
      <c r="U15" s="15" t="n"/>
      <c r="V15" s="15" t="n"/>
      <c r="W15" s="16" t="n"/>
      <c r="X15" s="16" t="n"/>
      <c r="Y15" s="16" t="n"/>
      <c r="Z15" s="15" t="inlineStr">
        <is>
          <t>Dates not announced</t>
        </is>
      </c>
      <c r="AA15" s="15" t="inlineStr">
        <is>
          <t>DRHP filed; dates, price band not yet announced</t>
        </is>
      </c>
      <c r="AB15" s="18" t="inlineStr">
        <is>
          <t>https://www.chittorgarh.com/ipo/sterlite-electric-ipo/2679/</t>
        </is>
      </c>
    </row>
    <row r="16" ht="15" customHeight="1" s="12">
      <c r="A16" s="14" t="n">
        <v>15</v>
      </c>
      <c r="B16" s="16" t="n">
        <v>46280</v>
      </c>
      <c r="C16" s="15" t="n">
        <v>2026</v>
      </c>
      <c r="D16" s="15" t="inlineStr">
        <is>
          <t>Maharashtra Oil Extractions Limited</t>
        </is>
      </c>
      <c r="E16" s="15" t="inlineStr">
        <is>
          <t>DRHP</t>
        </is>
      </c>
      <c r="F16" s="15" t="inlineStr">
        <is>
          <t>Maharashtra Oil Extractions Limited - DRHP</t>
        </is>
      </c>
      <c r="G16" s="15" t="inlineStr">
        <is>
          <t>Upcoming — IPO not yet opened</t>
        </is>
      </c>
      <c r="H16" s="15" t="n"/>
      <c r="I16" s="16" t="n"/>
      <c r="J16" s="16" t="n"/>
      <c r="K16" s="16" t="n"/>
      <c r="L16" s="17" t="n"/>
      <c r="M16" s="17" t="n"/>
      <c r="N16" s="17" t="n"/>
      <c r="O16" s="15" t="n"/>
      <c r="P16" s="15" t="n"/>
      <c r="Q16" s="18" t="inlineStr">
        <is>
          <t>https://www.sebi.gov.in/sebi_data/attachdocs/sep-2026/1789531323564.pdf</t>
        </is>
      </c>
      <c r="R16" s="18" t="inlineStr">
        <is>
          <t>https://www.sebi.gov.in/filings/public-issues/sep-2026/maharashtra-oil-extractions-limited-drhp_104503.html</t>
        </is>
      </c>
      <c r="S16" s="18" t="inlineStr">
        <is>
          <t>https://www.sebi.gov.in/sebi_data/commondocs/sep-2026/Maharashtra%20Oil%20Extractions%20Limited%20-%20DAP_p.pdf</t>
        </is>
      </c>
      <c r="T16" s="15" t="n"/>
      <c r="U16" s="15" t="n"/>
      <c r="V16" s="15" t="n"/>
      <c r="W16" s="16" t="n"/>
      <c r="X16" s="16" t="n"/>
      <c r="Y16" s="16" t="n"/>
      <c r="Z16" s="15" t="inlineStr">
        <is>
          <t>Dates not announced</t>
        </is>
      </c>
      <c r="AA16" s="15" t="inlineStr">
        <is>
          <t>DRHP filed; no IPO dates found</t>
        </is>
      </c>
      <c r="AB16" s="15" t="n"/>
    </row>
    <row r="17" ht="15" customHeight="1" s="12">
      <c r="A17" s="14" t="n">
        <v>16</v>
      </c>
      <c r="B17" s="16" t="n">
        <v>46277</v>
      </c>
      <c r="C17" s="15" t="n">
        <v>2026</v>
      </c>
      <c r="D17" s="15" t="inlineStr">
        <is>
          <t>German Green Steel and Power Limited</t>
        </is>
      </c>
      <c r="E17" s="15" t="inlineStr">
        <is>
          <t>Addendum</t>
        </is>
      </c>
      <c r="F17" s="15" t="inlineStr">
        <is>
          <t>German Green Steel and Power Limited - Addendum II to DRHP</t>
        </is>
      </c>
      <c r="G17" s="15" t="inlineStr">
        <is>
          <t>Upcoming — IPO not yet opened</t>
        </is>
      </c>
      <c r="H17" s="15" t="n"/>
      <c r="I17" s="16" t="n"/>
      <c r="J17" s="16" t="n"/>
      <c r="K17" s="16" t="n"/>
      <c r="L17" s="17" t="n"/>
      <c r="M17" s="17" t="n"/>
      <c r="N17" s="17" t="n"/>
      <c r="O17" s="15" t="n"/>
      <c r="P17" s="15" t="n"/>
      <c r="Q17" s="18" t="inlineStr">
        <is>
          <t>https://www.sebi.gov.in/sebi_data/attachdocs/sep-2026/1789448460012.pdf</t>
        </is>
      </c>
      <c r="R17" s="18" t="inlineStr">
        <is>
          <t>https://www.sebi.gov.in/filings/public-issues/sep-2026/german-green-steel-and-power-limited-addendum-ii-to-drhp_104480.html</t>
        </is>
      </c>
      <c r="S17" s="15" t="n"/>
      <c r="T17" s="15" t="n"/>
      <c r="U17" s="15" t="n"/>
      <c r="V17" s="15" t="n"/>
      <c r="W17" s="19" t="n">
        <v>46290</v>
      </c>
      <c r="X17" s="19" t="n">
        <v>46294</v>
      </c>
      <c r="Y17" s="19" t="n">
        <v>46300</v>
      </c>
      <c r="Z17" s="20" t="inlineStr">
        <is>
          <t>Issue closed — listing pending</t>
        </is>
      </c>
      <c r="AA17" s="15" t="inlineStr">
        <is>
          <t>Price band Rs132-139; subscribed 30.4x; listing 5-Oct-2026 tentative</t>
        </is>
      </c>
      <c r="AB17" s="18" t="inlineStr">
        <is>
          <t>https://www.chittorgarh.com/ipo/german-green-steel-and-power-ipo/2497/</t>
        </is>
      </c>
    </row>
    <row r="18" ht="15" customHeight="1" s="12">
      <c r="A18" s="14" t="n">
        <v>17</v>
      </c>
      <c r="B18" s="16" t="n">
        <v>46276</v>
      </c>
      <c r="C18" s="15" t="n">
        <v>2026</v>
      </c>
      <c r="D18" s="15" t="inlineStr">
        <is>
          <t>M K C AGRO FRESH LIMITED</t>
        </is>
      </c>
      <c r="E18" s="15" t="inlineStr">
        <is>
          <t>DRHP</t>
        </is>
      </c>
      <c r="F18" s="15" t="inlineStr">
        <is>
          <t>M K C AGRO FRESH LIMITED - DRHP</t>
        </is>
      </c>
      <c r="G18" s="15" t="inlineStr">
        <is>
          <t>Upcoming — IPO not yet opened</t>
        </is>
      </c>
      <c r="H18" s="15" t="n"/>
      <c r="I18" s="16" t="n"/>
      <c r="J18" s="16" t="n"/>
      <c r="K18" s="16" t="n"/>
      <c r="L18" s="17" t="n"/>
      <c r="M18" s="17" t="n"/>
      <c r="N18" s="17" t="n"/>
      <c r="O18" s="15" t="inlineStr">
        <is>
          <t>DRHP cover</t>
        </is>
      </c>
      <c r="P18" s="15" t="inlineStr">
        <is>
          <t>Fresh issue up to 9,999,000 sh + OFS up to 6,811,751 sh</t>
        </is>
      </c>
      <c r="Q18" s="18" t="inlineStr">
        <is>
          <t>https://www.sebi.gov.in/sebi_data/attachdocs/sep-2026/1789111806400_1350.pdf</t>
        </is>
      </c>
      <c r="R18" s="18" t="inlineStr">
        <is>
          <t>https://www.sebi.gov.in/filings/public-issues/sep-2026/m-k-c-agro-fresh-limited-drhp_104430.html</t>
        </is>
      </c>
      <c r="S18" s="18" t="inlineStr">
        <is>
          <t>https://www.sebi.gov.in/sebi_data/commondocs/sep-2026/M%20K%20C%20AGRO%20FRESH%20LIMITED%20-%20DAP_p.pdf</t>
        </is>
      </c>
      <c r="T18" s="15" t="n"/>
      <c r="U18" s="15" t="n"/>
      <c r="V18" s="15" t="n"/>
      <c r="W18" s="16" t="n"/>
      <c r="X18" s="16" t="n"/>
      <c r="Y18" s="16" t="n"/>
      <c r="Z18" s="15" t="inlineStr">
        <is>
          <t>Dates not announced</t>
        </is>
      </c>
      <c r="AA18" s="15" t="inlineStr">
        <is>
          <t>DRHP filed; no IPO dates found</t>
        </is>
      </c>
      <c r="AB18" s="15" t="n"/>
    </row>
    <row r="19" ht="15" customHeight="1" s="12">
      <c r="A19" s="14" t="n">
        <v>18</v>
      </c>
      <c r="B19" s="16" t="n">
        <v>46276</v>
      </c>
      <c r="C19" s="15" t="n">
        <v>2026</v>
      </c>
      <c r="D19" s="15" t="inlineStr">
        <is>
          <t>NOPAPERFORMS SOLUTIONS LIMITED</t>
        </is>
      </c>
      <c r="E19" s="15" t="inlineStr">
        <is>
          <t>UDRHP-I</t>
        </is>
      </c>
      <c r="F19" s="15" t="inlineStr">
        <is>
          <t>NOPAPERFORMS SOLUTIONS LIMITED - UDRHP-1</t>
        </is>
      </c>
      <c r="G19" s="15" t="inlineStr">
        <is>
          <t>Upcoming — IPO not yet opened</t>
        </is>
      </c>
      <c r="H19" s="15" t="n"/>
      <c r="I19" s="16" t="n"/>
      <c r="J19" s="16" t="n"/>
      <c r="K19" s="16" t="n"/>
      <c r="L19" s="17" t="n"/>
      <c r="M19" s="17" t="n">
        <v>375</v>
      </c>
      <c r="N19" s="17" t="n"/>
      <c r="O19" s="15" t="inlineStr">
        <is>
          <t>DRHP cover</t>
        </is>
      </c>
      <c r="P19" s="15" t="inlineStr">
        <is>
          <t>Fresh issue up to ₹375.00 Cr + OFS up to 38,422,392 sh</t>
        </is>
      </c>
      <c r="Q19" s="18" t="inlineStr">
        <is>
          <t>https://www.sebi.gov.in/sebi_data/attachdocs/sep-2026/1789104761658.pdf</t>
        </is>
      </c>
      <c r="R19" s="18" t="inlineStr">
        <is>
          <t>https://www.sebi.gov.in/filings/public-issues/sep-2026/nopaperforms-solutions-limited-udrhp-1_104427.html</t>
        </is>
      </c>
      <c r="S19" s="18" t="inlineStr">
        <is>
          <t>https://www.sebi.gov.in/sebi_data/commondocs/sep-2026/NOPAPERFORMS%20SOLUTIONS%20LIMITED%20-%20DAP_p.pdf</t>
        </is>
      </c>
      <c r="T19" s="15" t="n"/>
      <c r="U19" s="15" t="n"/>
      <c r="V19" s="15" t="n"/>
      <c r="W19" s="16" t="n"/>
      <c r="X19" s="16" t="n"/>
      <c r="Y19" s="16" t="n"/>
      <c r="Z19" s="15" t="inlineStr">
        <is>
          <t>Dates not announced</t>
        </is>
      </c>
      <c r="AA19" s="15" t="inlineStr">
        <is>
          <t>SEBI nod Mar-2026; UDRHP-I filed Sep-2026; dates not announced</t>
        </is>
      </c>
      <c r="AB19" s="18" t="inlineStr">
        <is>
          <t>https://www.chittorgarh.com/ipo/nopaperforms-solutions-ipo/2796/</t>
        </is>
      </c>
    </row>
    <row r="20" ht="15" customHeight="1" s="12">
      <c r="A20" s="14" t="n">
        <v>19</v>
      </c>
      <c r="B20" s="16" t="n">
        <v>46276</v>
      </c>
      <c r="C20" s="15" t="n">
        <v>2026</v>
      </c>
      <c r="D20" s="15" t="inlineStr">
        <is>
          <t>RUNWAL ENTERPRISES LIMITED</t>
        </is>
      </c>
      <c r="E20" s="15" t="inlineStr">
        <is>
          <t>Addendum</t>
        </is>
      </c>
      <c r="F20" s="15" t="inlineStr">
        <is>
          <t>RUNWAL ENTERPRISES LIMITED - Addendum to DRHP</t>
        </is>
      </c>
      <c r="G20" s="15" t="inlineStr">
        <is>
          <t>Upcoming — IPO not yet opened</t>
        </is>
      </c>
      <c r="H20" s="15" t="n"/>
      <c r="I20" s="16" t="n"/>
      <c r="J20" s="16" t="n"/>
      <c r="K20" s="16" t="n"/>
      <c r="L20" s="17" t="n"/>
      <c r="M20" s="17" t="n"/>
      <c r="N20" s="17" t="n"/>
      <c r="O20" s="15" t="n"/>
      <c r="P20" s="15" t="n"/>
      <c r="Q20" s="18" t="inlineStr">
        <is>
          <t>https://www.sebi.gov.in/sebi_data/attachdocs/sep-2026/1789099604614.pdf</t>
        </is>
      </c>
      <c r="R20" s="18" t="inlineStr">
        <is>
          <t>https://www.sebi.gov.in/filings/public-issues/sep-2026/runwal-enterprises-limited-addendum-to-drhp_104424.html</t>
        </is>
      </c>
      <c r="S20" s="15" t="n"/>
      <c r="T20" s="15" t="n"/>
      <c r="U20" s="15" t="n"/>
      <c r="V20" s="15" t="n"/>
      <c r="W20" s="19" t="n">
        <v>46290</v>
      </c>
      <c r="X20" s="19" t="n">
        <v>46294</v>
      </c>
      <c r="Y20" s="19" t="n">
        <v>46300</v>
      </c>
      <c r="Z20" s="20" t="inlineStr">
        <is>
          <t>Issue opened</t>
        </is>
      </c>
      <c r="AA20" s="15" t="inlineStr">
        <is>
          <t>Matched on chittorgarh.com</t>
        </is>
      </c>
      <c r="AB20" s="18" t="inlineStr">
        <is>
          <t>https://www.chittorgarh.com/ipo/runwal-enterprises-ipo/2298/</t>
        </is>
      </c>
    </row>
    <row r="21" ht="15" customHeight="1" s="12">
      <c r="A21" s="14" t="n">
        <v>20</v>
      </c>
      <c r="B21" s="16" t="n">
        <v>46275</v>
      </c>
      <c r="C21" s="15" t="n">
        <v>2026</v>
      </c>
      <c r="D21" s="15" t="inlineStr">
        <is>
          <t>Incred Holdings Limited</t>
        </is>
      </c>
      <c r="E21" s="15" t="inlineStr">
        <is>
          <t>Corrigendum</t>
        </is>
      </c>
      <c r="F21" s="15" t="inlineStr">
        <is>
          <t>Incred Holdings Limited - Corrigendum to UDRHP</t>
        </is>
      </c>
      <c r="G21" s="15" t="inlineStr">
        <is>
          <t>Upcoming — IPO not yet opened</t>
        </is>
      </c>
      <c r="H21" s="15" t="n"/>
      <c r="I21" s="16" t="n"/>
      <c r="J21" s="16" t="n"/>
      <c r="K21" s="16" t="n"/>
      <c r="L21" s="17" t="n"/>
      <c r="M21" s="17" t="n"/>
      <c r="N21" s="17" t="n"/>
      <c r="O21" s="15" t="n"/>
      <c r="P21" s="15" t="n"/>
      <c r="Q21" s="18" t="inlineStr">
        <is>
          <t>https://www.sebi.gov.in/sebi_data/attachdocs/sep-2026/1789618323211.pdf</t>
        </is>
      </c>
      <c r="R21" s="18" t="inlineStr">
        <is>
          <t>https://www.sebi.gov.in/filings/public-issues/sep-2026/incred-holdings-limited-corrigendum-to-udrhp_104399.html</t>
        </is>
      </c>
      <c r="S21" s="15" t="n"/>
      <c r="T21" s="15" t="n"/>
      <c r="U21" s="15" t="n"/>
      <c r="V21" s="15" t="n"/>
      <c r="W21" s="16" t="n"/>
      <c r="X21" s="16" t="n"/>
      <c r="Y21" s="16" t="n"/>
      <c r="Z21" s="15" t="inlineStr">
        <is>
          <t>Dates not announced</t>
        </is>
      </c>
      <c r="AA21" s="15" t="inlineStr">
        <is>
          <t>SEBI nod 5-Feb-2026; UDRHP-I filed; dates not announced</t>
        </is>
      </c>
      <c r="AB21" s="18" t="inlineStr">
        <is>
          <t>https://www.chittorgarh.com/ipo/incred-holdings-ipo/2797/</t>
        </is>
      </c>
    </row>
    <row r="22" ht="15" customHeight="1" s="12">
      <c r="A22" s="14" t="n">
        <v>21</v>
      </c>
      <c r="B22" s="16" t="n">
        <v>46274</v>
      </c>
      <c r="C22" s="15" t="n">
        <v>2026</v>
      </c>
      <c r="D22" s="15" t="inlineStr">
        <is>
          <t>Torrent Gas Limited</t>
        </is>
      </c>
      <c r="E22" s="15" t="inlineStr">
        <is>
          <t>UDRHP-I</t>
        </is>
      </c>
      <c r="F22" s="15" t="inlineStr">
        <is>
          <t>Torrent Gas Limited - UDRHP-I</t>
        </is>
      </c>
      <c r="G22" s="15" t="inlineStr">
        <is>
          <t>Upcoming — IPO not yet opened</t>
        </is>
      </c>
      <c r="H22" s="15" t="n"/>
      <c r="I22" s="16" t="n"/>
      <c r="J22" s="16" t="n"/>
      <c r="K22" s="16" t="n"/>
      <c r="L22" s="17" t="n"/>
      <c r="M22" s="17" t="n"/>
      <c r="N22" s="17" t="n"/>
      <c r="O22" s="15" t="inlineStr">
        <is>
          <t>DRHP cover</t>
        </is>
      </c>
      <c r="P22" s="15" t="inlineStr">
        <is>
          <t>OFS up to 335,000,000 sh</t>
        </is>
      </c>
      <c r="Q22" s="18" t="inlineStr">
        <is>
          <t>https://www.sebi.gov.in/sebi_data/attachdocs/sep-2026/1788937260208.PDF</t>
        </is>
      </c>
      <c r="R22" s="18" t="inlineStr">
        <is>
          <t>https://www.sebi.gov.in/filings/public-issues/sep-2026/torrent-gas-limited-udrhp-i_104350.html</t>
        </is>
      </c>
      <c r="S22" s="18" t="inlineStr">
        <is>
          <t>https://www.sebi.gov.in/sebi_data/commondocs/sep-2026/Torrent%20Gas%20Limited%20-%20DAP_p.pdf</t>
        </is>
      </c>
      <c r="T22" s="15" t="n"/>
      <c r="U22" s="15" t="n"/>
      <c r="V22" s="15" t="n"/>
      <c r="W22" s="16" t="n"/>
      <c r="X22" s="16" t="n"/>
      <c r="Y22" s="16" t="n"/>
      <c r="Z22" s="15" t="inlineStr">
        <is>
          <t>Dates not announced</t>
        </is>
      </c>
      <c r="AA22" s="15" t="inlineStr">
        <is>
          <t>Confidential filing cleared Jun-2026; UDRHP-I Sep-2026; dates not announced</t>
        </is>
      </c>
      <c r="AB22" s="18" t="inlineStr">
        <is>
          <t>https://ipowatch.in/torrent-gas-ipo/</t>
        </is>
      </c>
    </row>
    <row r="23" ht="15" customHeight="1" s="12">
      <c r="A23" s="14" t="n">
        <v>22</v>
      </c>
      <c r="B23" s="16" t="n">
        <v>46273</v>
      </c>
      <c r="C23" s="15" t="n">
        <v>2026</v>
      </c>
      <c r="D23" s="15" t="inlineStr">
        <is>
          <t>Hero Motors Limited</t>
        </is>
      </c>
      <c r="E23" s="15" t="inlineStr">
        <is>
          <t>Addendum cum Corrigendum</t>
        </is>
      </c>
      <c r="F23" s="15" t="inlineStr">
        <is>
          <t>Hero Motors Limited - Corrigendum to Addendum.</t>
        </is>
      </c>
      <c r="G23" s="15" t="inlineStr">
        <is>
          <t>IPO launched</t>
        </is>
      </c>
      <c r="H23" s="15" t="inlineStr">
        <is>
          <t>Mainboard</t>
        </is>
      </c>
      <c r="I23" s="16" t="n">
        <v>46281</v>
      </c>
      <c r="J23" s="16" t="n">
        <v>46283</v>
      </c>
      <c r="K23" s="16" t="n">
        <v>46288</v>
      </c>
      <c r="L23" s="17" t="n">
        <v>1000</v>
      </c>
      <c r="M23" s="17" t="n">
        <v>600</v>
      </c>
      <c r="N23" s="17" t="n">
        <v>400</v>
      </c>
      <c r="O23" s="15" t="inlineStr">
        <is>
          <t>Final issue (ipoplatform)</t>
        </is>
      </c>
      <c r="P23" s="15" t="n"/>
      <c r="Q23" s="18" t="inlineStr">
        <is>
          <t>https://www.sebi.gov.in/sebi_data/attachdocs/sep-2026/1788844179347.pdf</t>
        </is>
      </c>
      <c r="R23" s="18" t="inlineStr">
        <is>
          <t>https://www.sebi.gov.in/filings/public-issues/sep-2026/hero-motors-limited-corrigendum-to-addendum-_104330.html</t>
        </is>
      </c>
      <c r="S23" s="15" t="n"/>
      <c r="T23" s="15" t="inlineStr">
        <is>
          <t>Company name + date window</t>
        </is>
      </c>
      <c r="U23" s="15" t="inlineStr">
        <is>
          <t>Hero Motors Limited</t>
        </is>
      </c>
      <c r="V23" s="15" t="n"/>
      <c r="W23" s="15" t="n"/>
      <c r="X23" s="15" t="n"/>
      <c r="Y23" s="15" t="n"/>
      <c r="Z23" s="15" t="n"/>
      <c r="AA23" s="15" t="n"/>
      <c r="AB23" s="15" t="n"/>
    </row>
    <row r="24" ht="15" customHeight="1" s="12">
      <c r="A24" s="14" t="n">
        <v>23</v>
      </c>
      <c r="B24" s="16" t="n">
        <v>46269</v>
      </c>
      <c r="C24" s="15" t="n">
        <v>2026</v>
      </c>
      <c r="D24" s="15" t="inlineStr">
        <is>
          <t>Mahanadi Coalfields Ltd</t>
        </is>
      </c>
      <c r="E24" s="15" t="inlineStr">
        <is>
          <t>DRHP</t>
        </is>
      </c>
      <c r="F24" s="15" t="inlineStr">
        <is>
          <t>Mahanadi Coalfields Ltd. - DRHP</t>
        </is>
      </c>
      <c r="G24" s="15" t="inlineStr">
        <is>
          <t>Upcoming — IPO not yet opened</t>
        </is>
      </c>
      <c r="H24" s="15" t="n"/>
      <c r="I24" s="16" t="n"/>
      <c r="J24" s="16" t="n"/>
      <c r="K24" s="16" t="n"/>
      <c r="L24" s="17" t="n"/>
      <c r="M24" s="17" t="n"/>
      <c r="N24" s="17" t="n"/>
      <c r="O24" s="15" t="n"/>
      <c r="P24" s="15" t="n"/>
      <c r="Q24" s="18" t="inlineStr">
        <is>
          <t>https://www.sebi.gov.in/sebi_data/attachdocs/sep-2026/1788761365481.pdf</t>
        </is>
      </c>
      <c r="R24" s="18" t="inlineStr">
        <is>
          <t>https://www.sebi.gov.in/filings/public-issues/sep-2026/mahanadi-coalfields-ltd-drhp_104290.html</t>
        </is>
      </c>
      <c r="S24" s="18" t="inlineStr">
        <is>
          <t>https://www.sebi.gov.in/sebi_data/commondocs/sep-2026/Mahanadi%20Coalfields%20Limited%20_Draft%20Abridged%20Prospectus_p.pdf</t>
        </is>
      </c>
      <c r="T24" s="15" t="n"/>
      <c r="U24" s="15" t="n"/>
      <c r="V24" s="15" t="n"/>
      <c r="W24" s="16" t="n"/>
      <c r="X24" s="16" t="n"/>
      <c r="Y24" s="16" t="n"/>
      <c r="Z24" s="15" t="inlineStr">
        <is>
          <t>Dates not announced</t>
        </is>
      </c>
      <c r="AA24" s="15" t="inlineStr">
        <is>
          <t>DRHP filed; dates not announced</t>
        </is>
      </c>
      <c r="AB24" s="18" t="inlineStr">
        <is>
          <t>https://www.chittorgarh.com/ipo/mahanadi-coalfields-ipo/3247/</t>
        </is>
      </c>
    </row>
    <row r="25" ht="15" customHeight="1" s="12">
      <c r="A25" s="14" t="n">
        <v>24</v>
      </c>
      <c r="B25" s="16" t="n">
        <v>46269</v>
      </c>
      <c r="C25" s="15" t="n">
        <v>2026</v>
      </c>
      <c r="D25" s="15" t="inlineStr">
        <is>
          <t>Gaurik Fashions Limited</t>
        </is>
      </c>
      <c r="E25" s="15" t="inlineStr">
        <is>
          <t>Addendum</t>
        </is>
      </c>
      <c r="F25" s="15" t="inlineStr">
        <is>
          <t>Gaurik Fashions Limited - Addendum to DRHP</t>
        </is>
      </c>
      <c r="G25" s="15" t="inlineStr">
        <is>
          <t>Upcoming — IPO not yet opened</t>
        </is>
      </c>
      <c r="H25" s="15" t="n"/>
      <c r="I25" s="16" t="n"/>
      <c r="J25" s="16" t="n"/>
      <c r="K25" s="16" t="n"/>
      <c r="L25" s="17" t="n"/>
      <c r="M25" s="17" t="n"/>
      <c r="N25" s="17" t="n"/>
      <c r="O25" s="15" t="n"/>
      <c r="P25" s="15" t="n"/>
      <c r="Q25" s="18" t="inlineStr">
        <is>
          <t>https://www.sebi.gov.in/sebi_data/attachdocs/sep-2026/1788516638656.pdf</t>
        </is>
      </c>
      <c r="R25" s="18" t="inlineStr">
        <is>
          <t>https://www.sebi.gov.in/filings/public-issues/sep-2026/gaurik-fashions-limited-addendum-to-drhp_104276.html</t>
        </is>
      </c>
      <c r="S25" s="15" t="n"/>
      <c r="T25" s="15" t="n"/>
      <c r="U25" s="15" t="n"/>
      <c r="V25" s="15" t="n"/>
      <c r="W25" s="16" t="n"/>
      <c r="X25" s="16" t="n"/>
      <c r="Y25" s="16" t="n"/>
      <c r="Z25" s="15" t="inlineStr">
        <is>
          <t>Dates not announced</t>
        </is>
      </c>
      <c r="AA25" s="15" t="inlineStr">
        <is>
          <t>SEBI approval pending; dates not announced</t>
        </is>
      </c>
      <c r="AB25" s="18" t="inlineStr">
        <is>
          <t>https://www.chittorgarh.com/ipo/gaurik-fashions-ipo/3098/</t>
        </is>
      </c>
    </row>
    <row r="26" ht="15" customHeight="1" s="12">
      <c r="A26" s="14" t="n">
        <v>25</v>
      </c>
      <c r="B26" s="16" t="n">
        <v>46269</v>
      </c>
      <c r="C26" s="15" t="n">
        <v>2026</v>
      </c>
      <c r="D26" s="15" t="inlineStr">
        <is>
          <t>India Exposition Mart Limited</t>
        </is>
      </c>
      <c r="E26" s="15" t="inlineStr">
        <is>
          <t>DRHP</t>
        </is>
      </c>
      <c r="F26" s="15" t="inlineStr">
        <is>
          <t>India Exposition Mart Limited</t>
        </is>
      </c>
      <c r="G26" s="15" t="inlineStr">
        <is>
          <t>Upcoming — IPO not yet opened</t>
        </is>
      </c>
      <c r="H26" s="15" t="n"/>
      <c r="I26" s="16" t="n"/>
      <c r="J26" s="16" t="n"/>
      <c r="K26" s="16" t="n"/>
      <c r="L26" s="17" t="n"/>
      <c r="M26" s="17" t="n"/>
      <c r="N26" s="17" t="n"/>
      <c r="O26" s="15" t="n"/>
      <c r="P26" s="15" t="n"/>
      <c r="Q26" s="18" t="inlineStr">
        <is>
          <t>https://www.sebi.gov.in/sebi_data/attachdocs/sep-2026/1788507005445_1348.pdf</t>
        </is>
      </c>
      <c r="R26" s="18" t="inlineStr">
        <is>
          <t>https://www.sebi.gov.in/filings/public-issues/sep-2026/india-exposition-mart-limited_104273.html</t>
        </is>
      </c>
      <c r="S26" s="15" t="n"/>
      <c r="T26" s="15" t="n"/>
      <c r="U26" s="15" t="n"/>
      <c r="V26" s="15" t="n"/>
      <c r="W26" s="16" t="n"/>
      <c r="X26" s="16" t="n"/>
      <c r="Y26" s="16" t="n"/>
      <c r="Z26" s="15" t="inlineStr">
        <is>
          <t>Dates not announced</t>
        </is>
      </c>
      <c r="AA26" s="15" t="inlineStr">
        <is>
          <t>Refiled DRHP 2026; dates not announced</t>
        </is>
      </c>
      <c r="AB26" s="18" t="inlineStr">
        <is>
          <t>https://www.chittorgarh.com/ipo/india-exposition-mart-ipo/3225/</t>
        </is>
      </c>
    </row>
    <row r="27" ht="15" customHeight="1" s="12">
      <c r="A27" s="14" t="n">
        <v>26</v>
      </c>
      <c r="B27" s="16" t="n">
        <v>46266</v>
      </c>
      <c r="C27" s="15" t="n">
        <v>2026</v>
      </c>
      <c r="D27" s="15" t="inlineStr">
        <is>
          <t>Kataria Dhulchand Pannalal Jewellers Limited</t>
        </is>
      </c>
      <c r="E27" s="15" t="inlineStr">
        <is>
          <t>DRHP</t>
        </is>
      </c>
      <c r="F27" s="15" t="inlineStr">
        <is>
          <t>Kataria Dhulchand Pannalal Jewellers Limited - DRHP</t>
        </is>
      </c>
      <c r="G27" s="15" t="inlineStr">
        <is>
          <t>Upcoming — IPO not yet opened</t>
        </is>
      </c>
      <c r="H27" s="15" t="n"/>
      <c r="I27" s="16" t="n"/>
      <c r="J27" s="16" t="n"/>
      <c r="K27" s="16" t="n"/>
      <c r="L27" s="17" t="n"/>
      <c r="M27" s="17" t="n"/>
      <c r="N27" s="17" t="n"/>
      <c r="O27" s="15" t="inlineStr">
        <is>
          <t>DRHP cover</t>
        </is>
      </c>
      <c r="P27" s="15" t="inlineStr">
        <is>
          <t>Fresh issue up to 16,000,000 sh</t>
        </is>
      </c>
      <c r="Q27" s="18" t="inlineStr">
        <is>
          <t>https://www.sebi.gov.in/sebi_data/attachdocs/sep-2026/1788262207109_1345.pdf</t>
        </is>
      </c>
      <c r="R27" s="18" t="inlineStr">
        <is>
          <t>https://www.sebi.gov.in/filings/public-issues/sep-2026/kataria-dhulchand-pannalal-jewellers-limited-drhp_104178.html</t>
        </is>
      </c>
      <c r="S27" s="18" t="inlineStr">
        <is>
          <t>https://www.sebi.gov.in/sebi_data/commondocs/sep-2026/Kataria%20Dhulchand%20Pannalal%20Jewellers%20Ltd%20-%20DAP_p.pdf</t>
        </is>
      </c>
      <c r="T27" s="15" t="n"/>
      <c r="U27" s="15" t="n"/>
      <c r="V27" s="15" t="n"/>
      <c r="W27" s="16" t="n"/>
      <c r="X27" s="16" t="n"/>
      <c r="Y27" s="16" t="n"/>
      <c r="Z27" s="15" t="inlineStr">
        <is>
          <t>Dates not announced</t>
        </is>
      </c>
      <c r="AA27" s="15" t="inlineStr">
        <is>
          <t>DRHP filed; no IPO dates found</t>
        </is>
      </c>
      <c r="AB27" s="15" t="n"/>
    </row>
    <row r="28" ht="15" customHeight="1" s="12">
      <c r="A28" s="14" t="n">
        <v>27</v>
      </c>
      <c r="B28" s="16" t="n">
        <v>46266</v>
      </c>
      <c r="C28" s="15" t="n">
        <v>2026</v>
      </c>
      <c r="D28" s="15" t="inlineStr">
        <is>
          <t>Sembcorp Green Infra Limited</t>
        </is>
      </c>
      <c r="E28" s="15" t="inlineStr">
        <is>
          <t>DRHP</t>
        </is>
      </c>
      <c r="F28" s="15" t="inlineStr">
        <is>
          <t>Sembcorp Green Infra Limited - DRHP</t>
        </is>
      </c>
      <c r="G28" s="15" t="inlineStr">
        <is>
          <t>Upcoming — IPO not yet opened</t>
        </is>
      </c>
      <c r="H28" s="15" t="n"/>
      <c r="I28" s="16" t="n"/>
      <c r="J28" s="16" t="n"/>
      <c r="K28" s="16" t="n"/>
      <c r="L28" s="17" t="n">
        <v>3750</v>
      </c>
      <c r="M28" s="17" t="n">
        <v>3750</v>
      </c>
      <c r="N28" s="17" t="n"/>
      <c r="O28" s="15" t="inlineStr">
        <is>
          <t>DRHP cover</t>
        </is>
      </c>
      <c r="P28" s="15" t="inlineStr">
        <is>
          <t>Fresh issue up to ₹3,750.00 Cr</t>
        </is>
      </c>
      <c r="Q28" s="18" t="inlineStr">
        <is>
          <t>https://www.sebi.gov.in/sebi_data/attachdocs/sep-2026/1788245484072.pdf</t>
        </is>
      </c>
      <c r="R28" s="18" t="inlineStr">
        <is>
          <t>https://www.sebi.gov.in/filings/public-issues/sep-2026/sembcorp-green-infra-limited-drhp_104162.html</t>
        </is>
      </c>
      <c r="S28" s="18" t="inlineStr">
        <is>
          <t>https://www.sebi.gov.in/sebi_data/commondocs/sep-2026/Sembcorp%20Green%20Infra%20Limited%20-%20Draft%20Abridged%20Prospectus_p.pdf</t>
        </is>
      </c>
      <c r="T28" s="15" t="n"/>
      <c r="U28" s="15" t="n"/>
      <c r="V28" s="15" t="n"/>
      <c r="W28" s="16" t="n"/>
      <c r="X28" s="16" t="n"/>
      <c r="Y28" s="16" t="n"/>
      <c r="Z28" s="15" t="inlineStr">
        <is>
          <t>Dates not announced</t>
        </is>
      </c>
      <c r="AA28" s="15" t="inlineStr">
        <is>
          <t>DRHP filed Aug/Sep-2026; dates not announced</t>
        </is>
      </c>
      <c r="AB28" s="18" t="inlineStr">
        <is>
          <t>https://www.chittorgarh.com/ipo/sembcorp-green-infra-ipo/3240/</t>
        </is>
      </c>
    </row>
    <row r="29" ht="15" customHeight="1" s="12">
      <c r="A29" s="14" t="n">
        <v>28</v>
      </c>
      <c r="B29" s="16" t="n">
        <v>46266</v>
      </c>
      <c r="C29" s="15" t="n">
        <v>2026</v>
      </c>
      <c r="D29" s="15" t="inlineStr">
        <is>
          <t>ARAGEN LIFE SCIENCES LIMITED</t>
        </is>
      </c>
      <c r="E29" s="15" t="inlineStr">
        <is>
          <t>DRHP</t>
        </is>
      </c>
      <c r="F29" s="15" t="inlineStr">
        <is>
          <t>ARAGEN LIFE SCIENCES LIMITED - DRHP</t>
        </is>
      </c>
      <c r="G29" s="15" t="inlineStr">
        <is>
          <t>Upcoming — IPO not yet opened</t>
        </is>
      </c>
      <c r="H29" s="15" t="n"/>
      <c r="I29" s="16" t="n"/>
      <c r="J29" s="16" t="n"/>
      <c r="K29" s="16" t="n"/>
      <c r="L29" s="17" t="n"/>
      <c r="M29" s="17" t="n"/>
      <c r="N29" s="17" t="n"/>
      <c r="O29" s="15" t="n"/>
      <c r="P29" s="15" t="n"/>
      <c r="Q29" s="18" t="inlineStr">
        <is>
          <t>https://www.sebi.gov.in/sebi_data/attachdocs/sep-2026/1788238496589.pdf</t>
        </is>
      </c>
      <c r="R29" s="18" t="inlineStr">
        <is>
          <t>https://www.sebi.gov.in/filings/public-issues/sep-2026/aragen-life-sciences-limited-drhp_104157.html</t>
        </is>
      </c>
      <c r="S29" s="18" t="inlineStr">
        <is>
          <t>https://www.sebi.gov.in/sebi_data/commondocs/sep-2026/ARAGEN%20LIFE%20SCIENCES%20LIMITED%20-%20DAP_p.pdf</t>
        </is>
      </c>
      <c r="T29" s="15" t="n"/>
      <c r="U29" s="15" t="n"/>
      <c r="V29" s="15" t="n"/>
      <c r="W29" s="16" t="n"/>
      <c r="X29" s="16" t="n"/>
      <c r="Y29" s="16" t="n"/>
      <c r="Z29" s="15" t="inlineStr">
        <is>
          <t>Dates not announced</t>
        </is>
      </c>
      <c r="AA29" s="15" t="inlineStr">
        <is>
          <t>DRHP filed Aug-2026; IPO dates not announced</t>
        </is>
      </c>
      <c r="AB29" s="18" t="inlineStr">
        <is>
          <t>https://ipowatch.in/aragen-life-sciences-ipo/</t>
        </is>
      </c>
    </row>
    <row r="30" ht="15" customHeight="1" s="12">
      <c r="A30" s="14" t="n">
        <v>29</v>
      </c>
      <c r="B30" s="16" t="n">
        <v>46265</v>
      </c>
      <c r="C30" s="15" t="n">
        <v>2026</v>
      </c>
      <c r="D30" s="15" t="inlineStr">
        <is>
          <t>HERO MOTORS LIMITED</t>
        </is>
      </c>
      <c r="E30" s="15" t="inlineStr">
        <is>
          <t>Addendum</t>
        </is>
      </c>
      <c r="F30" s="15" t="inlineStr">
        <is>
          <t>HERO MOTORS LIMITED - Addendum to DRHP</t>
        </is>
      </c>
      <c r="G30" s="15" t="inlineStr">
        <is>
          <t>IPO launched</t>
        </is>
      </c>
      <c r="H30" s="15" t="inlineStr">
        <is>
          <t>Mainboard</t>
        </is>
      </c>
      <c r="I30" s="16" t="n">
        <v>46281</v>
      </c>
      <c r="J30" s="16" t="n">
        <v>46283</v>
      </c>
      <c r="K30" s="16" t="n">
        <v>46288</v>
      </c>
      <c r="L30" s="17" t="n">
        <v>1000</v>
      </c>
      <c r="M30" s="17" t="n">
        <v>600</v>
      </c>
      <c r="N30" s="17" t="n">
        <v>400</v>
      </c>
      <c r="O30" s="15" t="inlineStr">
        <is>
          <t>Final issue (ipoplatform)</t>
        </is>
      </c>
      <c r="P30" s="15" t="n"/>
      <c r="Q30" s="18" t="inlineStr">
        <is>
          <t>https://www.sebi.gov.in/sebi_data/attachdocs/aug-2026/1788154946517.PDF</t>
        </is>
      </c>
      <c r="R30" s="18" t="inlineStr">
        <is>
          <t>https://www.sebi.gov.in/filings/public-issues/aug-2026/hero-motors-limited-addendum-to-drhp_104121.html</t>
        </is>
      </c>
      <c r="S30" s="15" t="n"/>
      <c r="T30" s="15" t="inlineStr">
        <is>
          <t>Company name + date window</t>
        </is>
      </c>
      <c r="U30" s="15" t="inlineStr">
        <is>
          <t>Hero Motors Limited</t>
        </is>
      </c>
      <c r="V30" s="15" t="n"/>
      <c r="W30" s="15" t="n"/>
      <c r="X30" s="15" t="n"/>
      <c r="Y30" s="15" t="n"/>
      <c r="Z30" s="15" t="n"/>
      <c r="AA30" s="15" t="n"/>
      <c r="AB30" s="15" t="n"/>
    </row>
    <row r="31" ht="15" customHeight="1" s="12">
      <c r="A31" s="14" t="n">
        <v>30</v>
      </c>
      <c r="B31" s="16" t="n">
        <v>46261</v>
      </c>
      <c r="C31" s="15" t="n">
        <v>2026</v>
      </c>
      <c r="D31" s="15" t="inlineStr">
        <is>
          <t>ATOMBERG TECHNOLOGIES LIMITED</t>
        </is>
      </c>
      <c r="E31" s="15" t="inlineStr">
        <is>
          <t>DRHP</t>
        </is>
      </c>
      <c r="F31" s="15" t="inlineStr">
        <is>
          <t>ATOMBERG TECHNOLOGIES LIMITED - DRHP</t>
        </is>
      </c>
      <c r="G31" s="15" t="inlineStr">
        <is>
          <t>Upcoming — IPO not yet opened</t>
        </is>
      </c>
      <c r="H31" s="15" t="n"/>
      <c r="I31" s="16" t="n"/>
      <c r="J31" s="16" t="n"/>
      <c r="K31" s="16" t="n"/>
      <c r="L31" s="17" t="n"/>
      <c r="M31" s="17" t="n">
        <v>450</v>
      </c>
      <c r="N31" s="17" t="n"/>
      <c r="O31" s="15" t="inlineStr">
        <is>
          <t>DRHP cover</t>
        </is>
      </c>
      <c r="P31" s="15" t="inlineStr">
        <is>
          <t>Fresh issue up to ₹450.00 Cr + OFS up to 76,541,851 sh</t>
        </is>
      </c>
      <c r="Q31" s="18" t="inlineStr">
        <is>
          <t>https://www.sebi.gov.in/sebi_data/attachdocs/aug-2026/1787809930622.pdf</t>
        </is>
      </c>
      <c r="R31" s="18" t="inlineStr">
        <is>
          <t>https://www.sebi.gov.in/filings/public-issues/aug-2026/atomberg-technologies-limited-drhp_104037.html</t>
        </is>
      </c>
      <c r="S31" s="18" t="inlineStr">
        <is>
          <t>https://www.sebi.gov.in/sebi_data/commondocs/aug-2026/ATOMBERG%20TECHNOLOGIES%20LIMITED%20-%20AP_p.pdf</t>
        </is>
      </c>
      <c r="T31" s="15" t="n"/>
      <c r="U31" s="15" t="n"/>
      <c r="V31" s="15" t="n"/>
      <c r="W31" s="16" t="n"/>
      <c r="X31" s="16" t="n"/>
      <c r="Y31" s="16" t="n"/>
      <c r="Z31" s="15" t="inlineStr">
        <is>
          <t>Dates not announced</t>
        </is>
      </c>
      <c r="AA31" s="15" t="inlineStr">
        <is>
          <t>DRHP filed Aug-2026; Rs450cr fresh + OFS; dates not announced</t>
        </is>
      </c>
      <c r="AB31" s="18" t="inlineStr">
        <is>
          <t>https://www.chittorgarh.com/ipo/atomberg-technologies-ipo/3227/</t>
        </is>
      </c>
    </row>
    <row r="32" ht="15" customHeight="1" s="12">
      <c r="A32" s="14" t="n">
        <v>31</v>
      </c>
      <c r="B32" s="16" t="n">
        <v>46261</v>
      </c>
      <c r="C32" s="15" t="n">
        <v>2026</v>
      </c>
      <c r="D32" s="15" t="inlineStr">
        <is>
          <t>KARAMTARA ENGINEERING LIMITED</t>
        </is>
      </c>
      <c r="E32" s="15" t="inlineStr">
        <is>
          <t>Addendum</t>
        </is>
      </c>
      <c r="F32" s="15" t="inlineStr">
        <is>
          <t>KARAMTARA ENGINEERING LIMITED - Addendum to DRHP</t>
        </is>
      </c>
      <c r="G32" s="15" t="inlineStr">
        <is>
          <t>IPO launched</t>
        </is>
      </c>
      <c r="H32" s="15" t="inlineStr">
        <is>
          <t>Mainboard</t>
        </is>
      </c>
      <c r="I32" s="16" t="n">
        <v>46274</v>
      </c>
      <c r="J32" s="16" t="n">
        <v>46276</v>
      </c>
      <c r="K32" s="16" t="n">
        <v>46282</v>
      </c>
      <c r="L32" s="17" t="n">
        <v>875</v>
      </c>
      <c r="M32" s="17" t="n">
        <v>675</v>
      </c>
      <c r="N32" s="17" t="n">
        <v>200</v>
      </c>
      <c r="O32" s="15" t="inlineStr">
        <is>
          <t>Final issue (ipoplatform)</t>
        </is>
      </c>
      <c r="P32" s="15" t="n"/>
      <c r="Q32" s="18" t="inlineStr">
        <is>
          <t>https://www.sebi.gov.in/sebi_data/attachdocs/aug-2026/1787804373286.pdf</t>
        </is>
      </c>
      <c r="R32" s="18" t="inlineStr">
        <is>
          <t>https://www.sebi.gov.in/filings/public-issues/aug-2026/karamtara-engineering-limited-addendum-to-drhp_104033.html</t>
        </is>
      </c>
      <c r="S32" s="15" t="n"/>
      <c r="T32" s="15" t="inlineStr">
        <is>
          <t>Company name + date window</t>
        </is>
      </c>
      <c r="U32" s="15" t="inlineStr">
        <is>
          <t>Karamtara Engineering Limited</t>
        </is>
      </c>
      <c r="V32" s="15" t="n"/>
      <c r="W32" s="15" t="n"/>
      <c r="X32" s="15" t="n"/>
      <c r="Y32" s="15" t="n"/>
      <c r="Z32" s="15" t="n"/>
      <c r="AA32" s="15" t="n"/>
      <c r="AB32" s="15" t="n"/>
    </row>
    <row r="33" ht="15" customHeight="1" s="12">
      <c r="A33" s="14" t="n">
        <v>32</v>
      </c>
      <c r="B33" s="16" t="n">
        <v>46259</v>
      </c>
      <c r="C33" s="15" t="n">
        <v>2026</v>
      </c>
      <c r="D33" s="15" t="inlineStr">
        <is>
          <t>ArMee Infotech Limited</t>
        </is>
      </c>
      <c r="E33" s="15" t="inlineStr">
        <is>
          <t>Addendum</t>
        </is>
      </c>
      <c r="F33" s="15" t="inlineStr">
        <is>
          <t>ArMee Infotech Limited - Addendum II to DRHP</t>
        </is>
      </c>
      <c r="G33" s="15" t="inlineStr">
        <is>
          <t>IPO launched</t>
        </is>
      </c>
      <c r="H33" s="15" t="inlineStr">
        <is>
          <t>Mainboard</t>
        </is>
      </c>
      <c r="I33" s="16" t="n">
        <v>46288</v>
      </c>
      <c r="J33" s="16" t="n">
        <v>46290</v>
      </c>
      <c r="K33" s="16" t="n">
        <v>46295</v>
      </c>
      <c r="L33" s="17" t="n">
        <v>300</v>
      </c>
      <c r="M33" s="17" t="n">
        <v>300</v>
      </c>
      <c r="N33" s="17" t="n">
        <v>0</v>
      </c>
      <c r="O33" s="15" t="inlineStr">
        <is>
          <t>Final issue (ipoplatform)</t>
        </is>
      </c>
      <c r="P33" s="15" t="n"/>
      <c r="Q33" s="18" t="inlineStr">
        <is>
          <t>https://www.sebi.gov.in/sebi_data/attachdocs/sep-2026/1788764099334.pdf</t>
        </is>
      </c>
      <c r="R33" s="18" t="inlineStr">
        <is>
          <t>https://www.sebi.gov.in/filings/public-issues/aug-2026/armee-infotech-limited-addendum-ii-to-drhp_104294.html</t>
        </is>
      </c>
      <c r="S33" s="15" t="n"/>
      <c r="T33" s="15" t="inlineStr">
        <is>
          <t>Company name + date window</t>
        </is>
      </c>
      <c r="U33" s="15" t="inlineStr">
        <is>
          <t>ArMee Infotech Limited</t>
        </is>
      </c>
      <c r="V33" s="15" t="n"/>
      <c r="W33" s="15" t="n"/>
      <c r="X33" s="15" t="n"/>
      <c r="Y33" s="15" t="n"/>
      <c r="Z33" s="15" t="n"/>
      <c r="AA33" s="15" t="n"/>
      <c r="AB33" s="15" t="n"/>
    </row>
    <row r="34" ht="15" customHeight="1" s="12">
      <c r="A34" s="14" t="n">
        <v>33</v>
      </c>
      <c r="B34" s="16" t="n">
        <v>46259</v>
      </c>
      <c r="C34" s="15" t="n">
        <v>2026</v>
      </c>
      <c r="D34" s="15" t="inlineStr">
        <is>
          <t>AVAADA ELECTRO LIMITED</t>
        </is>
      </c>
      <c r="E34" s="15" t="inlineStr">
        <is>
          <t>UDRHP-I</t>
        </is>
      </c>
      <c r="F34" s="15" t="inlineStr">
        <is>
          <t>AVAADA ELECTRO LIMITED - UDRHP</t>
        </is>
      </c>
      <c r="G34" s="15" t="inlineStr">
        <is>
          <t>Upcoming — IPO not yet opened</t>
        </is>
      </c>
      <c r="H34" s="15" t="n"/>
      <c r="I34" s="16" t="n"/>
      <c r="J34" s="16" t="n"/>
      <c r="K34" s="16" t="n"/>
      <c r="L34" s="17" t="n"/>
      <c r="M34" s="17" t="n"/>
      <c r="N34" s="17" t="n"/>
      <c r="O34" s="15" t="n"/>
      <c r="P34" s="15" t="n"/>
      <c r="Q34" s="18" t="inlineStr">
        <is>
          <t>https://www.sebi.gov.in/sebi_data/attachdocs/aug-2026/1787804677669.pdf</t>
        </is>
      </c>
      <c r="R34" s="18" t="inlineStr">
        <is>
          <t>https://www.sebi.gov.in/filings/public-issues/aug-2026/avaada-electro-limited-udrhp_104034.html</t>
        </is>
      </c>
      <c r="S34" s="18" t="inlineStr">
        <is>
          <t>https://www.sebi.gov.in/sebi_data/commondocs/aug-2026/Avaada%20Electro%20Limited%20-%20Draft%20Abridged%20Prospectus_p.pdf</t>
        </is>
      </c>
      <c r="T34" s="15" t="n"/>
      <c r="U34" s="15" t="n"/>
      <c r="V34" s="15" t="n"/>
      <c r="W34" s="16" t="n"/>
      <c r="X34" s="16" t="n"/>
      <c r="Y34" s="16" t="n"/>
      <c r="Z34" s="15" t="inlineStr">
        <is>
          <t>Dates not announced</t>
        </is>
      </c>
      <c r="AA34" s="15" t="inlineStr">
        <is>
          <t>SEBI nod Apr-2026; Rs7,600cr; dates not announced</t>
        </is>
      </c>
      <c r="AB34" s="18" t="inlineStr">
        <is>
          <t>https://www.chittorgarh.com/ipo/avaada-electro-ipo/2790/</t>
        </is>
      </c>
    </row>
    <row r="35" ht="15" customHeight="1" s="12">
      <c r="A35" s="14" t="n">
        <v>34</v>
      </c>
      <c r="B35" s="16" t="n">
        <v>46259</v>
      </c>
      <c r="C35" s="15" t="n">
        <v>2026</v>
      </c>
      <c r="D35" s="15" t="inlineStr">
        <is>
          <t>M P STEEL (INDIA) LIMITED</t>
        </is>
      </c>
      <c r="E35" s="15" t="inlineStr">
        <is>
          <t>DRHP</t>
        </is>
      </c>
      <c r="F35" s="15" t="inlineStr">
        <is>
          <t>M P STEEL (INDIA) LIMITED - DRHP</t>
        </is>
      </c>
      <c r="G35" s="15" t="inlineStr">
        <is>
          <t>Upcoming — IPO not yet opened</t>
        </is>
      </c>
      <c r="H35" s="15" t="n"/>
      <c r="I35" s="16" t="n"/>
      <c r="J35" s="16" t="n"/>
      <c r="K35" s="16" t="n"/>
      <c r="L35" s="17" t="n"/>
      <c r="M35" s="17" t="n"/>
      <c r="N35" s="17" t="n"/>
      <c r="O35" s="15" t="n"/>
      <c r="P35" s="15" t="n"/>
      <c r="Q35" s="18" t="inlineStr">
        <is>
          <t>https://www.sebi.gov.in/sebi_data/attachdocs/aug-2026/1787653298920.pdf</t>
        </is>
      </c>
      <c r="R35" s="18" t="inlineStr">
        <is>
          <t>https://www.sebi.gov.in/filings/public-issues/aug-2026/m-p-steel-india-limited-drhp_103990.html</t>
        </is>
      </c>
      <c r="S35" s="18" t="inlineStr">
        <is>
          <t>https://www.sebi.gov.in/sebi_data/commondocs/aug-2026/MPSteel-Draft%20Abridged%20Prospectus_p.pdf</t>
        </is>
      </c>
      <c r="T35" s="15" t="n"/>
      <c r="U35" s="15" t="n"/>
      <c r="V35" s="15" t="n"/>
      <c r="W35" s="16" t="n"/>
      <c r="X35" s="16" t="n"/>
      <c r="Y35" s="16" t="n"/>
      <c r="Z35" s="15" t="inlineStr">
        <is>
          <t>Dates not announced</t>
        </is>
      </c>
      <c r="AA35" s="15" t="inlineStr">
        <is>
          <t>DRHP filed Aug-2026; dates not announced (not MPK Steels SME)</t>
        </is>
      </c>
      <c r="AB35" s="18" t="inlineStr">
        <is>
          <t>https://www.chittorgarh.com/ipo/m-p-steel-ipo/3229/</t>
        </is>
      </c>
    </row>
    <row r="36" ht="15" customHeight="1" s="12">
      <c r="A36" s="14" t="n">
        <v>35</v>
      </c>
      <c r="B36" s="16" t="n">
        <v>46259</v>
      </c>
      <c r="C36" s="15" t="n">
        <v>2026</v>
      </c>
      <c r="D36" s="15" t="inlineStr">
        <is>
          <t>Nobel Hygiene Limited</t>
        </is>
      </c>
      <c r="E36" s="15" t="inlineStr">
        <is>
          <t>DRHP</t>
        </is>
      </c>
      <c r="F36" s="15" t="inlineStr">
        <is>
          <t>Nobel Hygiene Limited - DRHP</t>
        </is>
      </c>
      <c r="G36" s="15" t="inlineStr">
        <is>
          <t>Upcoming — IPO not yet opened</t>
        </is>
      </c>
      <c r="H36" s="15" t="n"/>
      <c r="I36" s="16" t="n"/>
      <c r="J36" s="16" t="n"/>
      <c r="K36" s="16" t="n"/>
      <c r="L36" s="17" t="n"/>
      <c r="M36" s="17" t="n"/>
      <c r="N36" s="17" t="n"/>
      <c r="O36" s="15" t="n"/>
      <c r="P36" s="15" t="n"/>
      <c r="Q36" s="18" t="inlineStr">
        <is>
          <t>https://www.sebi.gov.in/sebi_data/attachdocs/aug-2026/1787650339639.pdf</t>
        </is>
      </c>
      <c r="R36" s="18" t="inlineStr">
        <is>
          <t>https://www.sebi.gov.in/filings/public-issues/aug-2026/nobel-hygiene-limited-drhp_103938.html</t>
        </is>
      </c>
      <c r="S36" s="18" t="inlineStr">
        <is>
          <t>https://www.sebi.gov.in/sebi_data/commondocs/aug-2026/Nobel%20Hygiene%20Limited%20-%20Draft%20Abridged%20Prospectus_p.pdf</t>
        </is>
      </c>
      <c r="T36" s="15" t="n"/>
      <c r="U36" s="15" t="n"/>
      <c r="V36" s="15" t="n"/>
      <c r="W36" s="16" t="n"/>
      <c r="X36" s="16" t="n"/>
      <c r="Y36" s="16" t="n"/>
      <c r="Z36" s="15" t="inlineStr">
        <is>
          <t>Dates not announced</t>
        </is>
      </c>
      <c r="AA36" s="15" t="inlineStr">
        <is>
          <t>DRHP filed Aug-2026; dates not announced</t>
        </is>
      </c>
      <c r="AB36" s="18" t="inlineStr">
        <is>
          <t>https://www.kotakneo.com/news/ipos/nobel-hygiene-files-drhp-for-rs-150-crore-ipo-after-profit-jumps-nearly-100-fold-in-fy26/</t>
        </is>
      </c>
    </row>
    <row r="37" ht="15" customHeight="1" s="12">
      <c r="A37" s="14" t="n">
        <v>36</v>
      </c>
      <c r="B37" s="16" t="n">
        <v>46259</v>
      </c>
      <c r="C37" s="15" t="n">
        <v>2026</v>
      </c>
      <c r="D37" s="15" t="inlineStr">
        <is>
          <t>JAY JAGDAMBA LIMITED</t>
        </is>
      </c>
      <c r="E37" s="15" t="inlineStr">
        <is>
          <t>UDRHP-I</t>
        </is>
      </c>
      <c r="F37" s="15" t="inlineStr">
        <is>
          <t>JAY JAGDAMBA LIMITED - UDRHP</t>
        </is>
      </c>
      <c r="G37" s="15" t="inlineStr">
        <is>
          <t>Upcoming — IPO not yet opened</t>
        </is>
      </c>
      <c r="H37" s="15" t="n"/>
      <c r="I37" s="16" t="n"/>
      <c r="J37" s="16" t="n"/>
      <c r="K37" s="16" t="n"/>
      <c r="L37" s="17" t="n"/>
      <c r="M37" s="17" t="n">
        <v>600</v>
      </c>
      <c r="N37" s="17" t="n"/>
      <c r="O37" s="15" t="inlineStr">
        <is>
          <t>DRHP cover</t>
        </is>
      </c>
      <c r="P37" s="15" t="inlineStr">
        <is>
          <t>Fresh issue up to ₹600.00 Cr + OFS up to 15,000,000 sh</t>
        </is>
      </c>
      <c r="Q37" s="18" t="inlineStr">
        <is>
          <t>https://www.sebi.gov.in/sebi_data/attachdocs/aug-2026/1787637173016.pdf</t>
        </is>
      </c>
      <c r="R37" s="18" t="inlineStr">
        <is>
          <t>https://www.sebi.gov.in/filings/public-issues/aug-2026/jay-jagdamba-limited-udrhp_103937.html</t>
        </is>
      </c>
      <c r="S37" s="18" t="inlineStr">
        <is>
          <t>https://www.sebi.gov.in/sebi_data/commondocs/aug-2026/Jay%20Jagdamba%20Limited%20Draft%20Abridged%20Prospectus_p.pdf</t>
        </is>
      </c>
      <c r="T37" s="15" t="n"/>
      <c r="U37" s="15" t="n"/>
      <c r="V37" s="15" t="n"/>
      <c r="W37" s="16" t="n"/>
      <c r="X37" s="16" t="n"/>
      <c r="Y37" s="16" t="n"/>
      <c r="Z37" s="15" t="inlineStr">
        <is>
          <t>Dates not announced</t>
        </is>
      </c>
      <c r="AA37" s="15" t="inlineStr">
        <is>
          <t>SEBI nod Jan-2026; UDRHP-I Aug-2026; dates not announced</t>
        </is>
      </c>
      <c r="AB37" s="18" t="inlineStr">
        <is>
          <t>https://www.chittorgarh.com/ipo/jay-jagdamba-ipo/2528/</t>
        </is>
      </c>
    </row>
    <row r="38" ht="15" customHeight="1" s="12">
      <c r="A38" s="14" t="n">
        <v>37</v>
      </c>
      <c r="B38" s="16" t="n">
        <v>46258</v>
      </c>
      <c r="C38" s="15" t="n">
        <v>2026</v>
      </c>
      <c r="D38" s="15" t="inlineStr">
        <is>
          <t>T.C. Terrytex Limited</t>
        </is>
      </c>
      <c r="E38" s="15" t="inlineStr">
        <is>
          <t>Addendum cum Corrigendum</t>
        </is>
      </c>
      <c r="F38" s="15" t="inlineStr">
        <is>
          <t>T.C. Terrytex Limited - Addendum-cum-Corrigendum to DRHP</t>
        </is>
      </c>
      <c r="G38" s="15" t="inlineStr">
        <is>
          <t>Upcoming — IPO not yet opened</t>
        </is>
      </c>
      <c r="H38" s="15" t="n"/>
      <c r="I38" s="16" t="n"/>
      <c r="J38" s="16" t="n"/>
      <c r="K38" s="16" t="n"/>
      <c r="L38" s="17" t="n"/>
      <c r="M38" s="17" t="n"/>
      <c r="N38" s="17" t="n"/>
      <c r="O38" s="15" t="n"/>
      <c r="P38" s="15" t="n"/>
      <c r="Q38" s="18" t="inlineStr">
        <is>
          <t>https://www.sebi.gov.in/sebi_data/attachdocs/aug-2026/1787564691044.pdf</t>
        </is>
      </c>
      <c r="R38" s="18" t="inlineStr">
        <is>
          <t>https://www.sebi.gov.in/filings/public-issues/aug-2026/t-c-terrytex-limited-addendum-cum-corrigendum-to-drhp_103904.html</t>
        </is>
      </c>
      <c r="S38" s="15" t="n"/>
      <c r="T38" s="15" t="n"/>
      <c r="U38" s="15" t="n"/>
      <c r="V38" s="15" t="n"/>
      <c r="W38" s="16" t="n"/>
      <c r="X38" s="16" t="n"/>
      <c r="Y38" s="16" t="n"/>
      <c r="Z38" s="15" t="inlineStr">
        <is>
          <t>Dates not announced</t>
        </is>
      </c>
      <c r="AA38" s="15" t="inlineStr">
        <is>
          <t>DRHP filed; no approval or dates announced</t>
        </is>
      </c>
      <c r="AB38" s="18" t="inlineStr">
        <is>
          <t>https://www.chittorgarh.com/ipo/tc-terrytex-ipo/2994/</t>
        </is>
      </c>
    </row>
    <row r="39" ht="15" customHeight="1" s="12">
      <c r="A39" s="14" t="n">
        <v>38</v>
      </c>
      <c r="B39" s="16" t="n">
        <v>46256</v>
      </c>
      <c r="C39" s="15" t="n">
        <v>2026</v>
      </c>
      <c r="D39" s="15" t="inlineStr">
        <is>
          <t>GEMINI EDIBLES &amp; FATS INDIA LIMITED</t>
        </is>
      </c>
      <c r="E39" s="15" t="inlineStr">
        <is>
          <t>DRHP</t>
        </is>
      </c>
      <c r="F39" s="15" t="inlineStr">
        <is>
          <t>GEMINI EDIBLES &amp; FATS INDIA LIMITED - DRHP</t>
        </is>
      </c>
      <c r="G39" s="15" t="inlineStr">
        <is>
          <t>Upcoming — IPO not yet opened</t>
        </is>
      </c>
      <c r="H39" s="15" t="n"/>
      <c r="I39" s="16" t="n"/>
      <c r="J39" s="16" t="n"/>
      <c r="K39" s="16" t="n"/>
      <c r="L39" s="17" t="n"/>
      <c r="M39" s="17" t="n"/>
      <c r="N39" s="17" t="n"/>
      <c r="O39" s="15" t="n"/>
      <c r="P39" s="15" t="n"/>
      <c r="Q39" s="18" t="inlineStr">
        <is>
          <t>https://www.sebi.gov.in/sebi_data/attachdocs/aug-2026/1787803545833.pdf</t>
        </is>
      </c>
      <c r="R39" s="18" t="inlineStr">
        <is>
          <t>https://www.sebi.gov.in/filings/public-issues/aug-2026/gemini-edibles-and-fats-india-limited-drhp_104032.html</t>
        </is>
      </c>
      <c r="S39" s="18" t="inlineStr">
        <is>
          <t>https://www.sebi.gov.in/sebi_data/commondocs/aug-2026/Gemini%20Edibles%20&amp;%20Fats%20India%20Ltd.%20-%20Draft%20Abridged%20Prospectus_p.pdf</t>
        </is>
      </c>
      <c r="T39" s="15" t="n"/>
      <c r="U39" s="15" t="n"/>
      <c r="V39" s="15" t="n"/>
      <c r="W39" s="16" t="n"/>
      <c r="X39" s="16" t="n"/>
      <c r="Y39" s="16" t="n"/>
      <c r="Z39" s="15" t="inlineStr">
        <is>
          <t>Dates not announced</t>
        </is>
      </c>
      <c r="AA39" s="15" t="inlineStr">
        <is>
          <t>2021 DRHP was put in abeyance; refiled Aug-2026; dates not announced</t>
        </is>
      </c>
      <c r="AB39" s="18" t="inlineStr">
        <is>
          <t>https://www.chittorgarh.com/ipo/gemini-edibles-fats-india-ipo/3238/</t>
        </is>
      </c>
    </row>
    <row r="40" ht="15" customHeight="1" s="12">
      <c r="A40" s="14" t="n">
        <v>39</v>
      </c>
      <c r="B40" s="16" t="n">
        <v>46255</v>
      </c>
      <c r="C40" s="15" t="n">
        <v>2026</v>
      </c>
      <c r="D40" s="15" t="inlineStr">
        <is>
          <t>Avtar Steel Limited</t>
        </is>
      </c>
      <c r="E40" s="15" t="inlineStr">
        <is>
          <t>DRHP</t>
        </is>
      </c>
      <c r="F40" s="15" t="inlineStr">
        <is>
          <t>Avtar Steel Limited - DRHP</t>
        </is>
      </c>
      <c r="G40" s="15" t="inlineStr">
        <is>
          <t>Upcoming — IPO not yet opened</t>
        </is>
      </c>
      <c r="H40" s="15" t="n"/>
      <c r="I40" s="16" t="n"/>
      <c r="J40" s="16" t="n"/>
      <c r="K40" s="16" t="n"/>
      <c r="L40" s="17" t="n"/>
      <c r="M40" s="17" t="n"/>
      <c r="N40" s="17" t="n"/>
      <c r="O40" s="15" t="n"/>
      <c r="P40" s="15" t="n"/>
      <c r="Q40" s="18" t="inlineStr">
        <is>
          <t>https://www.sebi.gov.in/sebi_data/attachdocs/aug-2026/1787311805039_1343.pdf</t>
        </is>
      </c>
      <c r="R40" s="18" t="inlineStr">
        <is>
          <t>https://www.sebi.gov.in/filings/public-issues/aug-2026/avtar-steel-limited-drhp_103867.html</t>
        </is>
      </c>
      <c r="S40" s="18" t="inlineStr">
        <is>
          <t>https://www.sebi.gov.in/sebi_data/commondocs/aug-2026/Avtar%20Steel%20Limited%20-%20Draft%20Abridged%20Prospectus_p.pdf</t>
        </is>
      </c>
      <c r="T40" s="15" t="n"/>
      <c r="U40" s="15" t="n"/>
      <c r="V40" s="15" t="n"/>
      <c r="W40" s="16" t="n"/>
      <c r="X40" s="16" t="n"/>
      <c r="Y40" s="16" t="n"/>
      <c r="Z40" s="15" t="inlineStr">
        <is>
          <t>Dates not announced</t>
        </is>
      </c>
      <c r="AA40" s="15" t="inlineStr">
        <is>
          <t>DRHP filed Aug-2026; Rs585cr fresh issue; dates not announced</t>
        </is>
      </c>
      <c r="AB40" s="18" t="inlineStr">
        <is>
          <t>https://www.businesstoday.in/markets/ipo-corner/story/avtar-steel-files-draft-ipo-papers-with-sebi-to-raise-rs-585-crore-through-fresh-issue-549604-2026-08-17</t>
        </is>
      </c>
    </row>
    <row r="41" ht="15" customHeight="1" s="12">
      <c r="A41" s="14" t="n">
        <v>40</v>
      </c>
      <c r="B41" s="16" t="n">
        <v>46253</v>
      </c>
      <c r="C41" s="15" t="n">
        <v>2026</v>
      </c>
      <c r="D41" s="15" t="inlineStr">
        <is>
          <t>Lumino Industries Limited</t>
        </is>
      </c>
      <c r="E41" s="15" t="inlineStr">
        <is>
          <t>Corrigendum</t>
        </is>
      </c>
      <c r="F41" s="15" t="inlineStr">
        <is>
          <t>Lumino Industries Limited - Corrigendum to DRHP</t>
        </is>
      </c>
      <c r="G41" s="15" t="inlineStr">
        <is>
          <t>IPO launched</t>
        </is>
      </c>
      <c r="H41" s="15" t="inlineStr">
        <is>
          <t>Mainboard</t>
        </is>
      </c>
      <c r="I41" s="16" t="n">
        <v>46261</v>
      </c>
      <c r="J41" s="16" t="n">
        <v>46265</v>
      </c>
      <c r="K41" s="16" t="n">
        <v>46268</v>
      </c>
      <c r="L41" s="17" t="n">
        <v>700</v>
      </c>
      <c r="M41" s="17" t="n">
        <v>500</v>
      </c>
      <c r="N41" s="17" t="n">
        <v>200</v>
      </c>
      <c r="O41" s="15" t="inlineStr">
        <is>
          <t>Final issue (ipoplatform)</t>
        </is>
      </c>
      <c r="P41" s="15" t="n"/>
      <c r="Q41" s="18" t="inlineStr">
        <is>
          <t>https://www.sebi.gov.in/sebi_data/attachdocs/aug-2026/1787122256209.pdf</t>
        </is>
      </c>
      <c r="R41" s="18" t="inlineStr">
        <is>
          <t>https://www.sebi.gov.in/filings/public-issues/aug-2026/lumino-industries-limited-corrigendum-to-drhp_103755.html</t>
        </is>
      </c>
      <c r="S41" s="15" t="n"/>
      <c r="T41" s="15" t="inlineStr">
        <is>
          <t>Company name + date window</t>
        </is>
      </c>
      <c r="U41" s="15" t="inlineStr">
        <is>
          <t>Lumino Industries Limited</t>
        </is>
      </c>
      <c r="V41" s="15" t="n"/>
      <c r="W41" s="15" t="n"/>
      <c r="X41" s="15" t="n"/>
      <c r="Y41" s="15" t="n"/>
      <c r="Z41" s="15" t="n"/>
      <c r="AA41" s="15" t="n"/>
      <c r="AB41" s="15" t="n"/>
    </row>
    <row r="42" ht="15" customHeight="1" s="12">
      <c r="A42" s="14" t="n">
        <v>41</v>
      </c>
      <c r="B42" s="16" t="n">
        <v>46252</v>
      </c>
      <c r="C42" s="15" t="n">
        <v>2026</v>
      </c>
      <c r="D42" s="15" t="inlineStr">
        <is>
          <t>TABLESPACE TECHNOLOGIES LIMITED</t>
        </is>
      </c>
      <c r="E42" s="15" t="inlineStr">
        <is>
          <t>DRHP</t>
        </is>
      </c>
      <c r="F42" s="15" t="inlineStr">
        <is>
          <t>TABLESPACE TECHNOLOGIES LIMITED - DRHP</t>
        </is>
      </c>
      <c r="G42" s="15" t="inlineStr">
        <is>
          <t>Upcoming — IPO not yet opened</t>
        </is>
      </c>
      <c r="H42" s="15" t="n"/>
      <c r="I42" s="16" t="n"/>
      <c r="J42" s="16" t="n"/>
      <c r="K42" s="16" t="n"/>
      <c r="L42" s="17" t="n"/>
      <c r="M42" s="17" t="n"/>
      <c r="N42" s="17" t="n"/>
      <c r="O42" s="15" t="n"/>
      <c r="P42" s="15" t="n"/>
      <c r="Q42" s="18" t="inlineStr">
        <is>
          <t>https://www.sebi.gov.in/sebi_data/attachdocs/aug-2026/1787037217420.pdf</t>
        </is>
      </c>
      <c r="R42" s="18" t="inlineStr">
        <is>
          <t>https://www.sebi.gov.in/filings/public-issues/aug-2026/tablespace-technologies-limited-drhp_103710.html</t>
        </is>
      </c>
      <c r="S42" s="18" t="inlineStr">
        <is>
          <t>https://www.sebi.gov.in/sebi_data/commondocs/aug-2026/TABLESPACE%20TECHNOLOGIES%20LIMITED%20-%20DAP_p.pdf</t>
        </is>
      </c>
      <c r="T42" s="15" t="n"/>
      <c r="U42" s="15" t="n"/>
      <c r="V42" s="15" t="n"/>
      <c r="W42" s="16" t="n"/>
      <c r="X42" s="16" t="n"/>
      <c r="Y42" s="16" t="n"/>
      <c r="Z42" s="15" t="inlineStr">
        <is>
          <t>Dates not announced</t>
        </is>
      </c>
      <c r="AA42" s="15" t="inlineStr">
        <is>
          <t>DRHP filed Aug-2026; dates not announced</t>
        </is>
      </c>
      <c r="AB42" s="18" t="inlineStr">
        <is>
          <t>https://www.chittorgarh.com/ipo/tablespace-technologies-ipo/3218/</t>
        </is>
      </c>
    </row>
    <row r="43" ht="15" customHeight="1" s="12">
      <c r="A43" s="14" t="n">
        <v>42</v>
      </c>
      <c r="B43" s="16" t="n">
        <v>46251</v>
      </c>
      <c r="C43" s="15" t="n">
        <v>2026</v>
      </c>
      <c r="D43" s="15" t="inlineStr">
        <is>
          <t>Svatantra Microfin Limited</t>
        </is>
      </c>
      <c r="E43" s="15" t="inlineStr">
        <is>
          <t>DRHP</t>
        </is>
      </c>
      <c r="F43" s="15" t="inlineStr">
        <is>
          <t>Svatantra Microfin Limited - DRHP</t>
        </is>
      </c>
      <c r="G43" s="15" t="inlineStr">
        <is>
          <t>Upcoming — IPO not yet opened</t>
        </is>
      </c>
      <c r="H43" s="15" t="n"/>
      <c r="I43" s="16" t="n"/>
      <c r="J43" s="16" t="n"/>
      <c r="K43" s="16" t="n"/>
      <c r="L43" s="17" t="n">
        <v>3000</v>
      </c>
      <c r="M43" s="17" t="n">
        <v>1500</v>
      </c>
      <c r="N43" s="17" t="n">
        <v>1500</v>
      </c>
      <c r="O43" s="15" t="inlineStr">
        <is>
          <t>DRHP cover</t>
        </is>
      </c>
      <c r="P43" s="15" t="inlineStr">
        <is>
          <t>Fresh issue up to ₹1,500.00 Cr + OFS up to ₹1,500.00 Cr</t>
        </is>
      </c>
      <c r="Q43" s="18" t="inlineStr">
        <is>
          <t>https://www.sebi.gov.in/sebi_data/attachdocs/aug-2026/1787135219223.pdf</t>
        </is>
      </c>
      <c r="R43" s="18" t="inlineStr">
        <is>
          <t>https://www.sebi.gov.in/filings/public-issues/aug-2026/svatantra-microfin-limited-drhp_103765.html</t>
        </is>
      </c>
      <c r="S43" s="18" t="inlineStr">
        <is>
          <t>https://www.sebi.gov.in/sebi_data/commondocs/aug-2026/Svatantra%20Microfin%20Limited%20%20-%20DAP_p.pdf</t>
        </is>
      </c>
      <c r="T43" s="15" t="n"/>
      <c r="U43" s="15" t="n"/>
      <c r="V43" s="15" t="n"/>
      <c r="W43" s="16" t="n"/>
      <c r="X43" s="16" t="n"/>
      <c r="Y43" s="16" t="n"/>
      <c r="Z43" s="15" t="inlineStr">
        <is>
          <t>Dates not announced</t>
        </is>
      </c>
      <c r="AA43" s="15" t="inlineStr">
        <is>
          <t>DRHP filed Aug-2026; Rs3,000cr; dates not announced</t>
        </is>
      </c>
      <c r="AB43" s="18" t="inlineStr">
        <is>
          <t>https://www.chittorgarh.com/ipo/svatantra-microfin-ipo/3220/</t>
        </is>
      </c>
    </row>
    <row r="44" ht="15" customHeight="1" s="12">
      <c r="A44" s="14" t="n">
        <v>43</v>
      </c>
      <c r="B44" s="16" t="n">
        <v>46251</v>
      </c>
      <c r="C44" s="15" t="n">
        <v>2026</v>
      </c>
      <c r="D44" s="15" t="inlineStr">
        <is>
          <t>Muthoot Fincorp Limited</t>
        </is>
      </c>
      <c r="E44" s="15" t="inlineStr">
        <is>
          <t>DRHP</t>
        </is>
      </c>
      <c r="F44" s="15" t="inlineStr">
        <is>
          <t>Muthoot Fincorp Limited - DRHP</t>
        </is>
      </c>
      <c r="G44" s="15" t="inlineStr">
        <is>
          <t>Upcoming — IPO not yet opened</t>
        </is>
      </c>
      <c r="H44" s="15" t="n"/>
      <c r="I44" s="16" t="n"/>
      <c r="J44" s="16" t="n"/>
      <c r="K44" s="16" t="n"/>
      <c r="L44" s="17" t="n"/>
      <c r="M44" s="17" t="n"/>
      <c r="N44" s="17" t="n"/>
      <c r="O44" s="15" t="n"/>
      <c r="P44" s="15" t="n"/>
      <c r="Q44" s="18" t="inlineStr">
        <is>
          <t>https://www.sebi.gov.in/sebi_data/attachdocs/aug-2026/1787032236785.pdf</t>
        </is>
      </c>
      <c r="R44" s="18" t="inlineStr">
        <is>
          <t>https://www.sebi.gov.in/filings/public-issues/aug-2026/muthoot-fincorp-limited-drhp_103697.html</t>
        </is>
      </c>
      <c r="S44" s="18" t="inlineStr">
        <is>
          <t>https://www.sebi.gov.in/sebi_data/commondocs/aug-2026/Muthoot%20Fincorp%20DAP_p.pdf</t>
        </is>
      </c>
      <c r="T44" s="15" t="n"/>
      <c r="U44" s="15" t="n"/>
      <c r="V44" s="15" t="n"/>
      <c r="W44" s="16" t="n"/>
      <c r="X44" s="16" t="n"/>
      <c r="Y44" s="16" t="n"/>
      <c r="Z44" s="15" t="inlineStr">
        <is>
          <t>Dates not announced</t>
        </is>
      </c>
      <c r="AA44" s="15" t="inlineStr">
        <is>
          <t>DRHP filed Aug-2026; Rs3,000cr fresh; 2026 NCD issue is unrelated</t>
        </is>
      </c>
      <c r="AB44" s="18" t="inlineStr">
        <is>
          <t>https://www.chittorgarh.com/ipo/muthoot-fincorp-ipo/3219/</t>
        </is>
      </c>
    </row>
    <row r="45" ht="15" customHeight="1" s="12">
      <c r="A45" s="14" t="n">
        <v>44</v>
      </c>
      <c r="B45" s="16" t="n">
        <v>46249</v>
      </c>
      <c r="C45" s="15" t="n">
        <v>2026</v>
      </c>
      <c r="D45" s="15" t="inlineStr">
        <is>
          <t>German Green Steel and Power Ltd</t>
        </is>
      </c>
      <c r="E45" s="15" t="inlineStr">
        <is>
          <t>Addendum</t>
        </is>
      </c>
      <c r="F45" s="15" t="inlineStr">
        <is>
          <t>German Green Steel and Power Ltd. - Addendum to DRHP</t>
        </is>
      </c>
      <c r="G45" s="15" t="inlineStr">
        <is>
          <t>Upcoming — IPO not yet opened</t>
        </is>
      </c>
      <c r="H45" s="15" t="n"/>
      <c r="I45" s="16" t="n"/>
      <c r="J45" s="16" t="n"/>
      <c r="K45" s="16" t="n"/>
      <c r="L45" s="17" t="n"/>
      <c r="M45" s="17" t="n"/>
      <c r="N45" s="17" t="n"/>
      <c r="O45" s="15" t="n"/>
      <c r="P45" s="15" t="n"/>
      <c r="Q45" s="18" t="inlineStr">
        <is>
          <t>https://www.sebi.gov.in/sebi_data/attachdocs/aug-2026/1787549595096.pdf</t>
        </is>
      </c>
      <c r="R45" s="18" t="inlineStr">
        <is>
          <t>https://www.sebi.gov.in/filings/public-issues/aug-2026/german-green-steel-and-power-ltd-addendum-to-drhp_103895.html</t>
        </is>
      </c>
      <c r="S45" s="15" t="n"/>
      <c r="T45" s="15" t="n"/>
      <c r="U45" s="15" t="n"/>
      <c r="V45" s="15" t="n"/>
      <c r="W45" s="19" t="n">
        <v>46290</v>
      </c>
      <c r="X45" s="19" t="n">
        <v>46294</v>
      </c>
      <c r="Y45" s="19" t="n">
        <v>46300</v>
      </c>
      <c r="Z45" s="20" t="inlineStr">
        <is>
          <t>Issue closed — listing pending</t>
        </is>
      </c>
      <c r="AA45" s="15" t="inlineStr">
        <is>
          <t>Price band Rs132-139; subscribed 30.4x; listing 5-Oct-2026 tentative</t>
        </is>
      </c>
      <c r="AB45" s="18" t="inlineStr">
        <is>
          <t>https://www.chittorgarh.com/ipo/german-green-steel-and-power-ipo/2497/</t>
        </is>
      </c>
    </row>
    <row r="46" ht="15" customHeight="1" s="12">
      <c r="A46" s="14" t="n">
        <v>45</v>
      </c>
      <c r="B46" s="16" t="n">
        <v>46248</v>
      </c>
      <c r="C46" s="15" t="n">
        <v>2026</v>
      </c>
      <c r="D46" s="15" t="inlineStr">
        <is>
          <t>Zetwerk Manufacturing Businesses Limited</t>
        </is>
      </c>
      <c r="E46" s="15" t="inlineStr">
        <is>
          <t>UDRHP-I</t>
        </is>
      </c>
      <c r="F46" s="15" t="inlineStr">
        <is>
          <t>Zetwerk Manufacturing Businesses Limited - UDRHP</t>
        </is>
      </c>
      <c r="G46" s="15" t="inlineStr">
        <is>
          <t>Upcoming — IPO not yet opened</t>
        </is>
      </c>
      <c r="H46" s="15" t="n"/>
      <c r="I46" s="16" t="n"/>
      <c r="J46" s="16" t="n"/>
      <c r="K46" s="16" t="n"/>
      <c r="L46" s="17" t="n"/>
      <c r="M46" s="17" t="n">
        <v>2600</v>
      </c>
      <c r="N46" s="17" t="n"/>
      <c r="O46" s="15" t="inlineStr">
        <is>
          <t>DRHP cover</t>
        </is>
      </c>
      <c r="P46" s="15" t="inlineStr">
        <is>
          <t>Fresh issue up to ₹2,600.00 Cr + OFS up to 96,837,455 sh</t>
        </is>
      </c>
      <c r="Q46" s="18" t="inlineStr">
        <is>
          <t>https://www.sebi.gov.in/sebi_data/attachdocs/aug-2026/1786705255144.pdf</t>
        </is>
      </c>
      <c r="R46" s="18" t="inlineStr">
        <is>
          <t>https://www.sebi.gov.in/filings/public-issues/aug-2026/zetwerk-manufacturing-businesses-limited-udrhp_103643.html</t>
        </is>
      </c>
      <c r="S46" s="18" t="inlineStr">
        <is>
          <t>https://www.sebi.gov.in/sebi_data/commondocs/aug-2026/Zetwerk%20Manufacturing%20Businesses%20Limited%20-%20DAP_p.pdf</t>
        </is>
      </c>
      <c r="T46" s="15" t="n"/>
      <c r="U46" s="15" t="n"/>
      <c r="V46" s="15" t="n"/>
      <c r="W46" s="16" t="n"/>
      <c r="X46" s="16" t="n"/>
      <c r="Y46" s="16" t="n"/>
      <c r="Z46" s="15" t="inlineStr">
        <is>
          <t>Dates not announced</t>
        </is>
      </c>
      <c r="AA46" s="15" t="inlineStr">
        <is>
          <t>SEBI nod Jul-2026; roadshows, targeting late Sep/mid-Oct; dates not yet announced</t>
        </is>
      </c>
      <c r="AB46" s="18" t="inlineStr">
        <is>
          <t>https://www.chittorgarh.com/ipo/zetwerk-ipo/3091/</t>
        </is>
      </c>
    </row>
    <row r="47" ht="15" customHeight="1" s="12">
      <c r="A47" s="14" t="n">
        <v>46</v>
      </c>
      <c r="B47" s="16" t="n">
        <v>46248</v>
      </c>
      <c r="C47" s="15" t="n">
        <v>2026</v>
      </c>
      <c r="D47" s="15" t="inlineStr">
        <is>
          <t>Tonbo Imaging India Limited</t>
        </is>
      </c>
      <c r="E47" s="15" t="inlineStr">
        <is>
          <t>DRHP</t>
        </is>
      </c>
      <c r="F47" s="15" t="inlineStr">
        <is>
          <t>Tonbo Imaging India Limited - DRHP</t>
        </is>
      </c>
      <c r="G47" s="15" t="inlineStr">
        <is>
          <t>Upcoming — IPO not yet opened</t>
        </is>
      </c>
      <c r="H47" s="15" t="n"/>
      <c r="I47" s="16" t="n"/>
      <c r="J47" s="16" t="n"/>
      <c r="K47" s="16" t="n"/>
      <c r="L47" s="17" t="n"/>
      <c r="M47" s="17" t="n"/>
      <c r="N47" s="17" t="n"/>
      <c r="O47" s="15" t="inlineStr">
        <is>
          <t>DRHP cover</t>
        </is>
      </c>
      <c r="P47" s="15" t="inlineStr">
        <is>
          <t>Fresh issue up to 18,085,246 sh</t>
        </is>
      </c>
      <c r="Q47" s="18" t="inlineStr">
        <is>
          <t>https://www.sebi.gov.in/sebi_data/attachdocs/aug-2026/1786692605529_1339.pdf</t>
        </is>
      </c>
      <c r="R47" s="18" t="inlineStr">
        <is>
          <t>https://www.sebi.gov.in/filings/public-issues/aug-2026/tonbo-imaging-india-limited-drhp_103625.html</t>
        </is>
      </c>
      <c r="S47" s="18" t="inlineStr">
        <is>
          <t>https://www.sebi.gov.in/sebi_data/commondocs/aug-2026/Tonbo%20Imaging%20India%20Limited%20-%20DAP_p.pdf</t>
        </is>
      </c>
      <c r="T47" s="15" t="n"/>
      <c r="U47" s="15" t="n"/>
      <c r="V47" s="15" t="n"/>
      <c r="W47" s="16" t="n"/>
      <c r="X47" s="16" t="n"/>
      <c r="Y47" s="16" t="n"/>
      <c r="Z47" s="15" t="inlineStr">
        <is>
          <t>Dates not announced</t>
        </is>
      </c>
      <c r="AA47" s="15" t="inlineStr">
        <is>
          <t>SEBI nod Jun-2026; DRHP refiled Aug-2026; dates not announced</t>
        </is>
      </c>
      <c r="AB47" s="18" t="inlineStr">
        <is>
          <t>https://www.chittorgarh.com/ipo/tonbo-imaging-india-ipo/3215/</t>
        </is>
      </c>
    </row>
    <row r="48" ht="15" customHeight="1" s="12">
      <c r="A48" s="14" t="n">
        <v>47</v>
      </c>
      <c r="B48" s="16" t="n">
        <v>46248</v>
      </c>
      <c r="C48" s="15" t="n">
        <v>2026</v>
      </c>
      <c r="D48" s="15" t="inlineStr">
        <is>
          <t>Sillverton Industries Limited</t>
        </is>
      </c>
      <c r="E48" s="15" t="inlineStr">
        <is>
          <t>Addendum</t>
        </is>
      </c>
      <c r="F48" s="15" t="inlineStr">
        <is>
          <t>Sillverton Industries Limited - Addendum II</t>
        </is>
      </c>
      <c r="G48" s="15" t="inlineStr">
        <is>
          <t>Upcoming — IPO not yet opened</t>
        </is>
      </c>
      <c r="H48" s="15" t="n"/>
      <c r="I48" s="16" t="n"/>
      <c r="J48" s="16" t="n"/>
      <c r="K48" s="16" t="n"/>
      <c r="L48" s="17" t="n"/>
      <c r="M48" s="17" t="n"/>
      <c r="N48" s="17" t="n"/>
      <c r="O48" s="15" t="n"/>
      <c r="P48" s="15" t="n"/>
      <c r="Q48" s="18" t="inlineStr">
        <is>
          <t>https://www.sebi.gov.in/sebi_data/attachdocs/aug-2026/1786688657210.pdf</t>
        </is>
      </c>
      <c r="R48" s="18" t="inlineStr">
        <is>
          <t>https://www.sebi.gov.in/filings/public-issues/aug-2026/sillverton-industries-limited-addendum-ii_103621.html</t>
        </is>
      </c>
      <c r="S48" s="15" t="n"/>
      <c r="T48" s="15" t="n"/>
      <c r="U48" s="15" t="n"/>
      <c r="V48" s="15" t="n"/>
      <c r="W48" s="16" t="n"/>
      <c r="X48" s="16" t="n"/>
      <c r="Y48" s="16" t="n"/>
      <c r="Z48" s="15" t="inlineStr">
        <is>
          <t>Dates not announced</t>
        </is>
      </c>
      <c r="AA48" s="15" t="inlineStr">
        <is>
          <t>SEBI nod 12-Jan-2026; dates not yet announced</t>
        </is>
      </c>
      <c r="AB48" s="18" t="inlineStr">
        <is>
          <t>https://www.chittorgarh.com/ipo/sillverton-industries-ipo/2499/</t>
        </is>
      </c>
    </row>
    <row r="49" ht="15" customHeight="1" s="12">
      <c r="A49" s="14" t="n">
        <v>48</v>
      </c>
      <c r="B49" s="16" t="n">
        <v>46248</v>
      </c>
      <c r="C49" s="15" t="n">
        <v>2026</v>
      </c>
      <c r="D49" s="15" t="inlineStr">
        <is>
          <t>AGS Health Limited</t>
        </is>
      </c>
      <c r="E49" s="15" t="inlineStr">
        <is>
          <t>UDRHP-I</t>
        </is>
      </c>
      <c r="F49" s="15" t="inlineStr">
        <is>
          <t>AGS Health Limited - UDRHP</t>
        </is>
      </c>
      <c r="G49" s="15" t="inlineStr">
        <is>
          <t>Upcoming — IPO not yet opened</t>
        </is>
      </c>
      <c r="H49" s="15" t="n"/>
      <c r="I49" s="16" t="n"/>
      <c r="J49" s="16" t="n"/>
      <c r="K49" s="16" t="n"/>
      <c r="L49" s="17" t="n"/>
      <c r="M49" s="17" t="n"/>
      <c r="N49" s="17" t="n"/>
      <c r="O49" s="15" t="n"/>
      <c r="P49" s="15" t="n"/>
      <c r="Q49" s="18" t="inlineStr">
        <is>
          <t>https://www.sebi.gov.in/sebi_data/attachdocs/aug-2026/1786684492213.pdf</t>
        </is>
      </c>
      <c r="R49" s="18" t="inlineStr">
        <is>
          <t>https://www.sebi.gov.in/filings/public-issues/aug-2026/ags-health-limited-udrhp_103617.html</t>
        </is>
      </c>
      <c r="S49" s="18" t="inlineStr">
        <is>
          <t>https://www.sebi.gov.in/sebi_data/commondocs/aug-2026/AGS%20Health%20Limited%20-%20AP_p.pdf</t>
        </is>
      </c>
      <c r="T49" s="15" t="n"/>
      <c r="U49" s="15" t="n"/>
      <c r="V49" s="15" t="n"/>
      <c r="W49" s="16" t="n"/>
      <c r="X49" s="16" t="n"/>
      <c r="Y49" s="16" t="n"/>
      <c r="Z49" s="15" t="inlineStr">
        <is>
          <t>Dates not announced</t>
        </is>
      </c>
      <c r="AA49" s="15" t="inlineStr">
        <is>
          <t>SEBI nod Jun-2026; UDRHP-I Aug-2026; dates not announced</t>
        </is>
      </c>
      <c r="AB49" s="18" t="inlineStr">
        <is>
          <t>https://www.chittorgarh.com/ipo/ags-health-ipo/3093/</t>
        </is>
      </c>
    </row>
    <row r="50" ht="15" customHeight="1" s="12">
      <c r="A50" s="14" t="n">
        <v>49</v>
      </c>
      <c r="B50" s="16" t="n">
        <v>46247</v>
      </c>
      <c r="C50" s="15" t="n">
        <v>2026</v>
      </c>
      <c r="D50" s="15" t="inlineStr">
        <is>
          <t>EAAA India Alternatives Limited</t>
        </is>
      </c>
      <c r="E50" s="15" t="inlineStr">
        <is>
          <t>DRHP</t>
        </is>
      </c>
      <c r="F50" s="15" t="inlineStr">
        <is>
          <t>EAAA India Alternatives Limited</t>
        </is>
      </c>
      <c r="G50" s="15" t="inlineStr">
        <is>
          <t>Upcoming — IPO not yet opened</t>
        </is>
      </c>
      <c r="H50" s="15" t="n"/>
      <c r="I50" s="16" t="n"/>
      <c r="J50" s="16" t="n"/>
      <c r="K50" s="16" t="n"/>
      <c r="L50" s="17" t="n">
        <v>1500</v>
      </c>
      <c r="M50" s="17" t="n"/>
      <c r="N50" s="17" t="n">
        <v>1500</v>
      </c>
      <c r="O50" s="15" t="inlineStr">
        <is>
          <t>DRHP cover</t>
        </is>
      </c>
      <c r="P50" s="15" t="inlineStr">
        <is>
          <t>OFS up to ₹1,500.00 Cr</t>
        </is>
      </c>
      <c r="Q50" s="18" t="inlineStr">
        <is>
          <t>https://www.sebi.gov.in/sebi_data/attachdocs/sep-2026/1789018300594.pdf</t>
        </is>
      </c>
      <c r="R50" s="18" t="inlineStr">
        <is>
          <t>https://www.sebi.gov.in/filings/public-issues/aug-2026/eaaa-india-alternatives-limited_104397.html</t>
        </is>
      </c>
      <c r="S50" s="15" t="n"/>
      <c r="T50" s="15" t="n"/>
      <c r="U50" s="15" t="n"/>
      <c r="V50" s="15" t="n"/>
      <c r="W50" s="16" t="n"/>
      <c r="X50" s="16" t="n"/>
      <c r="Y50" s="16" t="n"/>
      <c r="Z50" s="15" t="inlineStr">
        <is>
          <t>Dates not announced</t>
        </is>
      </c>
      <c r="AA50" s="15" t="inlineStr">
        <is>
          <t>SEBI nod Apr-2026; Rs1,500cr OFS; dates not announced</t>
        </is>
      </c>
      <c r="AB50" s="18" t="inlineStr">
        <is>
          <t>https://www.chittorgarh.com/ipo/eaaa-india-alternatives-ipo/2061/</t>
        </is>
      </c>
    </row>
    <row r="51" ht="15" customHeight="1" s="12">
      <c r="A51" s="14" t="n">
        <v>50</v>
      </c>
      <c r="B51" s="16" t="n">
        <v>46246</v>
      </c>
      <c r="C51" s="15" t="n">
        <v>2026</v>
      </c>
      <c r="D51" s="15" t="inlineStr">
        <is>
          <t>J PAN TUBULAR COMPONENTS LIMITED</t>
        </is>
      </c>
      <c r="E51" s="15" t="inlineStr">
        <is>
          <t>DRHP</t>
        </is>
      </c>
      <c r="F51" s="15" t="inlineStr">
        <is>
          <t>J PAN TUBULAR COMPONENTS LIMITED - DRHP</t>
        </is>
      </c>
      <c r="G51" s="15" t="inlineStr">
        <is>
          <t>Upcoming — IPO not yet opened</t>
        </is>
      </c>
      <c r="H51" s="15" t="n"/>
      <c r="I51" s="16" t="n"/>
      <c r="J51" s="16" t="n"/>
      <c r="K51" s="16" t="n"/>
      <c r="L51" s="17" t="n"/>
      <c r="M51" s="17" t="n"/>
      <c r="N51" s="17" t="n"/>
      <c r="O51" s="15" t="inlineStr">
        <is>
          <t>DRHP cover</t>
        </is>
      </c>
      <c r="P51" s="15" t="inlineStr">
        <is>
          <t>Fresh issue up to 4,920,000 sh + OFS up to 260,000 sh</t>
        </is>
      </c>
      <c r="Q51" s="18" t="inlineStr">
        <is>
          <t>https://www.sebi.gov.in/sebi_data/attachdocs/aug-2026/1786519804294_1338.pdf</t>
        </is>
      </c>
      <c r="R51" s="18" t="inlineStr">
        <is>
          <t>https://www.sebi.gov.in/filings/public-issues/aug-2026/j-pan-tubular-components-limited-drhp_103499.html</t>
        </is>
      </c>
      <c r="S51" s="18" t="inlineStr">
        <is>
          <t>https://www.sebi.gov.in/sebi_data/commondocs/aug-2026/J%20PAN%20TUBULAR%20COMPONENTS%20LIMITED%20-%20DAP_p.pdf</t>
        </is>
      </c>
      <c r="T51" s="15" t="n"/>
      <c r="U51" s="15" t="n"/>
      <c r="V51" s="15" t="n"/>
      <c r="W51" s="16" t="n"/>
      <c r="X51" s="16" t="n"/>
      <c r="Y51" s="16" t="n"/>
      <c r="Z51" s="15" t="inlineStr">
        <is>
          <t>Dates not announced</t>
        </is>
      </c>
      <c r="AA51" s="15" t="inlineStr">
        <is>
          <t>DRHP filed Jul/Aug-2026; dates not announced</t>
        </is>
      </c>
      <c r="AB51" s="18" t="inlineStr">
        <is>
          <t>https://www.chittorgarh.com/ipo/j-pan-tubular-components-ipo/3191/</t>
        </is>
      </c>
    </row>
    <row r="52" ht="15" customHeight="1" s="12">
      <c r="A52" s="14" t="n">
        <v>51</v>
      </c>
      <c r="B52" s="16" t="n">
        <v>46245</v>
      </c>
      <c r="C52" s="15" t="n">
        <v>2026</v>
      </c>
      <c r="D52" s="15" t="inlineStr">
        <is>
          <t>BEAUTY GARAGE LIMITED</t>
        </is>
      </c>
      <c r="E52" s="15" t="inlineStr">
        <is>
          <t>DRHP</t>
        </is>
      </c>
      <c r="F52" s="15" t="inlineStr">
        <is>
          <t>BEAUTY GARAGE LIMITED - DRHP</t>
        </is>
      </c>
      <c r="G52" s="15" t="inlineStr">
        <is>
          <t>Upcoming — IPO not yet opened</t>
        </is>
      </c>
      <c r="H52" s="15" t="n"/>
      <c r="I52" s="16" t="n"/>
      <c r="J52" s="16" t="n"/>
      <c r="K52" s="16" t="n"/>
      <c r="L52" s="17" t="n"/>
      <c r="M52" s="17" t="n">
        <v>125</v>
      </c>
      <c r="N52" s="17" t="n"/>
      <c r="O52" s="15" t="inlineStr">
        <is>
          <t>DRHP cover</t>
        </is>
      </c>
      <c r="P52" s="15" t="inlineStr">
        <is>
          <t>Fresh issue up to ₹125.00 Cr + OFS up to 7,836,000 sh</t>
        </is>
      </c>
      <c r="Q52" s="18" t="inlineStr">
        <is>
          <t>https://www.sebi.gov.in/sebi_data/attachdocs/aug-2026/1786439399725.pdf</t>
        </is>
      </c>
      <c r="R52" s="18" t="inlineStr">
        <is>
          <t>https://www.sebi.gov.in/filings/public-issues/aug-2026/beauty-garage-limited-drhp_103479.html</t>
        </is>
      </c>
      <c r="S52" s="18" t="inlineStr">
        <is>
          <t>https://www.sebi.gov.in/sebi_data/commondocs/aug-2026/BEAUTY%20GARAGE%20LIMITED%20-%20AP_p.pdf</t>
        </is>
      </c>
      <c r="T52" s="15" t="n"/>
      <c r="U52" s="15" t="n"/>
      <c r="V52" s="15" t="n"/>
      <c r="W52" s="16" t="n"/>
      <c r="X52" s="16" t="n"/>
      <c r="Y52" s="16" t="n"/>
      <c r="Z52" s="15" t="inlineStr">
        <is>
          <t>Dates not announced</t>
        </is>
      </c>
      <c r="AA52" s="15" t="inlineStr">
        <is>
          <t>DRHP filed 2026; Rs125cr fresh issue + OFS; dates not announced</t>
        </is>
      </c>
      <c r="AB52" s="18" t="inlineStr">
        <is>
          <t>https://www.chittorgarh.com/ipo/beauty-garage-ipo/3208/</t>
        </is>
      </c>
    </row>
    <row r="53" ht="15" customHeight="1" s="12">
      <c r="A53" s="14" t="n">
        <v>52</v>
      </c>
      <c r="B53" s="16" t="n">
        <v>46244</v>
      </c>
      <c r="C53" s="15" t="n">
        <v>2026</v>
      </c>
      <c r="D53" s="15" t="inlineStr">
        <is>
          <t>Arjun Jewellers Limited</t>
        </is>
      </c>
      <c r="E53" s="15" t="inlineStr">
        <is>
          <t>DRHP</t>
        </is>
      </c>
      <c r="F53" s="15" t="inlineStr">
        <is>
          <t>Arjun Jewellers Limited - DRHP</t>
        </is>
      </c>
      <c r="G53" s="15" t="inlineStr">
        <is>
          <t>Upcoming — IPO not yet opened</t>
        </is>
      </c>
      <c r="H53" s="15" t="n"/>
      <c r="I53" s="16" t="n"/>
      <c r="J53" s="16" t="n"/>
      <c r="K53" s="16" t="n"/>
      <c r="L53" s="17" t="n">
        <v>200</v>
      </c>
      <c r="M53" s="17" t="n">
        <v>200</v>
      </c>
      <c r="N53" s="17" t="n"/>
      <c r="O53" s="15" t="inlineStr">
        <is>
          <t>DRHP cover</t>
        </is>
      </c>
      <c r="P53" s="15" t="inlineStr">
        <is>
          <t>Fresh issue up to ₹200.00 Cr</t>
        </is>
      </c>
      <c r="Q53" s="18" t="inlineStr">
        <is>
          <t>https://www.sebi.gov.in/sebi_data/attachdocs/aug-2026/1786357330303.pdf</t>
        </is>
      </c>
      <c r="R53" s="18" t="inlineStr">
        <is>
          <t>https://www.sebi.gov.in/filings/public-issues/aug-2026/arjun-jewellers-limited-drhp_103462.html</t>
        </is>
      </c>
      <c r="S53" s="18" t="inlineStr">
        <is>
          <t>https://www.sebi.gov.in/sebi_data/commondocs/aug-2026/Arjun%20Jewellers%20Limited%20-%20DAP_p.pdf</t>
        </is>
      </c>
      <c r="T53" s="15" t="n"/>
      <c r="U53" s="15" t="n"/>
      <c r="V53" s="15" t="n"/>
      <c r="W53" s="16" t="n"/>
      <c r="X53" s="16" t="n"/>
      <c r="Y53" s="16" t="n"/>
      <c r="Z53" s="15" t="inlineStr">
        <is>
          <t>Dates not announced</t>
        </is>
      </c>
      <c r="AA53" s="15" t="inlineStr">
        <is>
          <t>Earlier DRHP withdrawn 12-Mar-2026; new draft Aug-2026; dates not announced</t>
        </is>
      </c>
      <c r="AB53" s="18" t="inlineStr">
        <is>
          <t>https://www.chittorgarh.com/ipo/arjun-jewellers-ipo/2741/</t>
        </is>
      </c>
    </row>
    <row r="54" ht="15" customHeight="1" s="12">
      <c r="A54" s="14" t="n">
        <v>53</v>
      </c>
      <c r="B54" s="16" t="n">
        <v>46240</v>
      </c>
      <c r="C54" s="15" t="n">
        <v>2026</v>
      </c>
      <c r="D54" s="15" t="inlineStr">
        <is>
          <t>Encube Ethicals Limited</t>
        </is>
      </c>
      <c r="E54" s="15" t="inlineStr">
        <is>
          <t>DRHP</t>
        </is>
      </c>
      <c r="F54" s="15" t="inlineStr">
        <is>
          <t>Encube Ethicals Limited - DRHP</t>
        </is>
      </c>
      <c r="G54" s="15" t="inlineStr">
        <is>
          <t>Upcoming — IPO not yet opened</t>
        </is>
      </c>
      <c r="H54" s="15" t="n"/>
      <c r="I54" s="16" t="n"/>
      <c r="J54" s="16" t="n"/>
      <c r="K54" s="16" t="n"/>
      <c r="L54" s="17" t="n"/>
      <c r="M54" s="17" t="n"/>
      <c r="N54" s="17" t="n"/>
      <c r="O54" s="15" t="n"/>
      <c r="P54" s="15" t="n"/>
      <c r="Q54" s="18" t="inlineStr">
        <is>
          <t>https://www.sebi.gov.in/sebi_data/attachdocs/aug-2026/1785994501228.pdf</t>
        </is>
      </c>
      <c r="R54" s="18" t="inlineStr">
        <is>
          <t>https://www.sebi.gov.in/filings/public-issues/aug-2026/encube-ethicals-limited-drhp_103383.html</t>
        </is>
      </c>
      <c r="S54" s="18" t="inlineStr">
        <is>
          <t>https://www.sebi.gov.in/sebi_data/commondocs/aug-2026/Encube%20Ethicals%20Limited%20-%20AP_p.pdf</t>
        </is>
      </c>
      <c r="T54" s="15" t="n"/>
      <c r="U54" s="15" t="n"/>
      <c r="V54" s="15" t="n"/>
      <c r="W54" s="16" t="n"/>
      <c r="X54" s="16" t="n"/>
      <c r="Y54" s="16" t="n"/>
      <c r="Z54" s="15" t="inlineStr">
        <is>
          <t>Dates not announced</t>
        </is>
      </c>
      <c r="AA54" s="15" t="inlineStr">
        <is>
          <t>DRHP filed Aug-2026; Rs3,000cr OFS; reports say IPO likely by 2027</t>
        </is>
      </c>
      <c r="AB54" s="18" t="inlineStr">
        <is>
          <t>https://www.chittorgarh.com/ipo/encube-ethicals-ipo/3211/</t>
        </is>
      </c>
    </row>
    <row r="55" ht="15" customHeight="1" s="12">
      <c r="A55" s="14" t="n">
        <v>54</v>
      </c>
      <c r="B55" s="16" t="n">
        <v>46239</v>
      </c>
      <c r="C55" s="15" t="n">
        <v>2026</v>
      </c>
      <c r="D55" s="15" t="inlineStr">
        <is>
          <t>Advanced Sys-Tek Limited</t>
        </is>
      </c>
      <c r="E55" s="15" t="inlineStr">
        <is>
          <t>DRHP</t>
        </is>
      </c>
      <c r="F55" s="15" t="inlineStr">
        <is>
          <t>Advanced Sys-Tek Limited - DRHP</t>
        </is>
      </c>
      <c r="G55" s="15" t="inlineStr">
        <is>
          <t>Upcoming — IPO not yet opened</t>
        </is>
      </c>
      <c r="H55" s="15" t="n"/>
      <c r="I55" s="16" t="n"/>
      <c r="J55" s="16" t="n"/>
      <c r="K55" s="16" t="n"/>
      <c r="L55" s="17" t="n"/>
      <c r="M55" s="17" t="n"/>
      <c r="N55" s="17" t="n"/>
      <c r="O55" s="15" t="n"/>
      <c r="P55" s="15" t="n"/>
      <c r="Q55" s="18" t="inlineStr">
        <is>
          <t>https://www.sebi.gov.in/sebi_data/attachdocs/aug-2026/1785915007745_1334.pdf</t>
        </is>
      </c>
      <c r="R55" s="18" t="inlineStr">
        <is>
          <t>https://www.sebi.gov.in/filings/public-issues/aug-2026/advanced-sys-tek-limited-drhp_103353.html</t>
        </is>
      </c>
      <c r="S55" s="18" t="inlineStr">
        <is>
          <t>https://www.sebi.gov.in/sebi_data/commondocs/aug-2026/Advanced%20Sys-Tek%20Limited%20%20-%20DAP_p.pdf</t>
        </is>
      </c>
      <c r="T55" s="15" t="n"/>
      <c r="U55" s="15" t="n"/>
      <c r="V55" s="15" t="n"/>
      <c r="W55" s="16" t="n"/>
      <c r="X55" s="16" t="n"/>
      <c r="Y55" s="16" t="n"/>
      <c r="Z55" s="15" t="inlineStr">
        <is>
          <t>Dates not announced</t>
        </is>
      </c>
      <c r="AA55" s="15" t="inlineStr">
        <is>
          <t>Feb-2025 DRHP withdrawn; refiled Jul/Aug-2026; dates not announced</t>
        </is>
      </c>
      <c r="AB55" s="18" t="inlineStr">
        <is>
          <t>https://www.chittorgarh.com/ipo/advanced-sys-tek-ipo/1997/</t>
        </is>
      </c>
    </row>
    <row r="56" ht="15" customHeight="1" s="12">
      <c r="A56" s="14" t="n">
        <v>55</v>
      </c>
      <c r="B56" s="16" t="n">
        <v>46237</v>
      </c>
      <c r="C56" s="15" t="n">
        <v>2026</v>
      </c>
      <c r="D56" s="15" t="inlineStr">
        <is>
          <t>Veritas Finance Limited</t>
        </is>
      </c>
      <c r="E56" s="15" t="inlineStr">
        <is>
          <t>RHP</t>
        </is>
      </c>
      <c r="F56" s="15" t="inlineStr">
        <is>
          <t>Veritas Finance Limited - RHP</t>
        </is>
      </c>
      <c r="G56" s="15" t="inlineStr">
        <is>
          <t>Upcoming — IPO not yet opened</t>
        </is>
      </c>
      <c r="H56" s="15" t="n"/>
      <c r="I56" s="16" t="n"/>
      <c r="J56" s="16" t="n"/>
      <c r="K56" s="16" t="n"/>
      <c r="L56" s="17" t="n"/>
      <c r="M56" s="17" t="n"/>
      <c r="N56" s="17" t="n"/>
      <c r="O56" s="15" t="n"/>
      <c r="P56" s="15" t="n"/>
      <c r="Q56" s="15" t="n"/>
      <c r="R56" s="18" t="inlineStr">
        <is>
          <t>https://www.sebi.gov.in/filings/public-issues/aug-2026/veritas-finance-limited-rhp_103304.html</t>
        </is>
      </c>
      <c r="S56" s="18" t="inlineStr">
        <is>
          <t>https://www.sebi.gov.in/sebi_data/commondocs/aug-2026/Veritas%20Finance%20Limited%20-%20AP_p.pdf</t>
        </is>
      </c>
      <c r="T56" s="15" t="n"/>
      <c r="U56" s="15" t="n"/>
      <c r="V56" s="15" t="inlineStr">
        <is>
          <t>No document attached on SEBI filing page</t>
        </is>
      </c>
      <c r="W56" s="16" t="n"/>
      <c r="X56" s="16" t="n"/>
      <c r="Y56" s="16" t="n"/>
      <c r="Z56" s="15" t="inlineStr">
        <is>
          <t>No issue found</t>
        </is>
      </c>
      <c r="AA56" s="15" t="inlineStr">
        <is>
          <t>Business Standard lists the company but shows no issue dates; web search limit reached</t>
        </is>
      </c>
      <c r="AB56" s="18" t="inlineStr">
        <is>
          <t>https://www.business-standard.com/markets/ipo/veritas-finance-ltd-ipo-71574</t>
        </is>
      </c>
    </row>
    <row r="57" ht="15" customHeight="1" s="12">
      <c r="A57" s="14" t="n">
        <v>56</v>
      </c>
      <c r="B57" s="16" t="n">
        <v>46237</v>
      </c>
      <c r="C57" s="15" t="n">
        <v>2026</v>
      </c>
      <c r="D57" s="15" t="inlineStr">
        <is>
          <t>Hero Motors Limited</t>
        </is>
      </c>
      <c r="E57" s="15" t="inlineStr">
        <is>
          <t>Corrigendum</t>
        </is>
      </c>
      <c r="F57" s="15" t="inlineStr">
        <is>
          <t>Hero Motors Limited - Corrigendum to DRHP</t>
        </is>
      </c>
      <c r="G57" s="15" t="inlineStr">
        <is>
          <t>IPO launched</t>
        </is>
      </c>
      <c r="H57" s="15" t="inlineStr">
        <is>
          <t>Mainboard</t>
        </is>
      </c>
      <c r="I57" s="16" t="n">
        <v>46281</v>
      </c>
      <c r="J57" s="16" t="n">
        <v>46283</v>
      </c>
      <c r="K57" s="16" t="n">
        <v>46288</v>
      </c>
      <c r="L57" s="17" t="n">
        <v>1000</v>
      </c>
      <c r="M57" s="17" t="n">
        <v>600</v>
      </c>
      <c r="N57" s="17" t="n">
        <v>400</v>
      </c>
      <c r="O57" s="15" t="inlineStr">
        <is>
          <t>Final issue (ipoplatform)</t>
        </is>
      </c>
      <c r="P57" s="15" t="n"/>
      <c r="Q57" s="18" t="inlineStr">
        <is>
          <t>https://www.sebi.gov.in/sebi_data/attachdocs/aug-2026/1785733290632.PDF</t>
        </is>
      </c>
      <c r="R57" s="18" t="inlineStr">
        <is>
          <t>https://www.sebi.gov.in/filings/public-issues/aug-2026/hero-motors-limited-corrigendum-to-drhp_103180.html</t>
        </is>
      </c>
      <c r="S57" s="15" t="n"/>
      <c r="T57" s="15" t="inlineStr">
        <is>
          <t>Company name + date window</t>
        </is>
      </c>
      <c r="U57" s="15" t="inlineStr">
        <is>
          <t>Hero Motors Limited</t>
        </is>
      </c>
      <c r="V57" s="15" t="n"/>
      <c r="W57" s="15" t="n"/>
      <c r="X57" s="15" t="n"/>
      <c r="Y57" s="15" t="n"/>
      <c r="Z57" s="15" t="n"/>
      <c r="AA57" s="15" t="n"/>
      <c r="AB57" s="15" t="n"/>
    </row>
    <row r="58" ht="15" customHeight="1" s="12">
      <c r="A58" s="14" t="n">
        <v>57</v>
      </c>
      <c r="B58" s="16" t="n">
        <v>46234</v>
      </c>
      <c r="C58" s="15" t="n">
        <v>2026</v>
      </c>
      <c r="D58" s="15" t="inlineStr">
        <is>
          <t>MASTER CHAINS N JEWELS LIMITED</t>
        </is>
      </c>
      <c r="E58" s="15" t="inlineStr">
        <is>
          <t>DRHP</t>
        </is>
      </c>
      <c r="F58" s="15" t="inlineStr">
        <is>
          <t>MASTER CHAINS N JEWELS LIMITED - DRHP</t>
        </is>
      </c>
      <c r="G58" s="15" t="inlineStr">
        <is>
          <t>Upcoming — IPO not yet opened</t>
        </is>
      </c>
      <c r="H58" s="15" t="n"/>
      <c r="I58" s="16" t="n"/>
      <c r="J58" s="16" t="n"/>
      <c r="K58" s="16" t="n"/>
      <c r="L58" s="17" t="n"/>
      <c r="M58" s="17" t="n">
        <v>400</v>
      </c>
      <c r="N58" s="17" t="n"/>
      <c r="O58" s="15" t="inlineStr">
        <is>
          <t>DRHP cover</t>
        </is>
      </c>
      <c r="P58" s="15" t="inlineStr">
        <is>
          <t>Fresh issue up to ₹400.00 Cr + OFS up to 5,906,250 sh</t>
        </is>
      </c>
      <c r="Q58" s="18" t="inlineStr">
        <is>
          <t>https://www.sebi.gov.in/sebi_data/attachdocs/jul-2026/1785497407202_1315.pdf</t>
        </is>
      </c>
      <c r="R58" s="18" t="inlineStr">
        <is>
          <t>https://www.sebi.gov.in/filings/public-issues/jul-2026/master-chains-n-jewels-limited-drhp_103287.html</t>
        </is>
      </c>
      <c r="S58" s="18" t="inlineStr">
        <is>
          <t>https://www.sebi.gov.in/sebi_data/commondocs/aug-2026/Master%20Chains%20N%20Jewels%20Limited%20-%20AP_p.pdf</t>
        </is>
      </c>
      <c r="T58" s="15" t="n"/>
      <c r="U58" s="15" t="n"/>
      <c r="V58" s="15" t="n"/>
      <c r="W58" s="16" t="n"/>
      <c r="X58" s="16" t="n"/>
      <c r="Y58" s="16" t="n"/>
      <c r="Z58" s="15" t="inlineStr">
        <is>
          <t>Dates not announced</t>
        </is>
      </c>
      <c r="AA58" s="15" t="inlineStr">
        <is>
          <t>DRHP filed; IPO dates not announced</t>
        </is>
      </c>
      <c r="AB58" s="18" t="inlineStr">
        <is>
          <t>https://www.ipoplatform.com/ipo/master-chains-n-jewels-ipo/4746</t>
        </is>
      </c>
    </row>
    <row r="59" ht="15" customHeight="1" s="12">
      <c r="A59" s="14" t="n">
        <v>58</v>
      </c>
      <c r="B59" s="16" t="n">
        <v>46232</v>
      </c>
      <c r="C59" s="15" t="n">
        <v>2026</v>
      </c>
      <c r="D59" s="15" t="inlineStr">
        <is>
          <t>IFL Finance Ltd</t>
        </is>
      </c>
      <c r="E59" s="15" t="inlineStr">
        <is>
          <t>DRHP</t>
        </is>
      </c>
      <c r="F59" s="15" t="inlineStr">
        <is>
          <t>IFL Finance Ltd. - DRHP</t>
        </is>
      </c>
      <c r="G59" s="15" t="inlineStr">
        <is>
          <t>Upcoming — IPO not yet opened</t>
        </is>
      </c>
      <c r="H59" s="15" t="n"/>
      <c r="I59" s="16" t="n"/>
      <c r="J59" s="16" t="n"/>
      <c r="K59" s="16" t="n"/>
      <c r="L59" s="17" t="n"/>
      <c r="M59" s="17" t="n"/>
      <c r="N59" s="17" t="n"/>
      <c r="O59" s="15" t="n"/>
      <c r="P59" s="15" t="n"/>
      <c r="Q59" s="18" t="inlineStr">
        <is>
          <t>https://www.sebi.gov.in/sebi_data/attachdocs/aug-2026/1786343435455.pdf</t>
        </is>
      </c>
      <c r="R59" s="18" t="inlineStr">
        <is>
          <t>https://www.sebi.gov.in/filings/public-issues/jul-2026/ifl-finance-ltd-drhp_103313.html</t>
        </is>
      </c>
      <c r="S59" s="18" t="inlineStr">
        <is>
          <t>https://www.sebi.gov.in/sebi_data/commondocs/aug-2026/IFL%20Finance%20Ltd-%20DAP_p.pdf</t>
        </is>
      </c>
      <c r="T59" s="15" t="n"/>
      <c r="U59" s="15" t="n"/>
      <c r="V59" s="15" t="n"/>
      <c r="W59" s="16" t="n"/>
      <c r="X59" s="16" t="n"/>
      <c r="Y59" s="16" t="n"/>
      <c r="Z59" s="15" t="inlineStr">
        <is>
          <t>Dates not announced</t>
        </is>
      </c>
      <c r="AA59" s="15" t="inlineStr">
        <is>
          <t>DRHP filed; IPO dates not announced</t>
        </is>
      </c>
      <c r="AB59" s="18" t="inlineStr">
        <is>
          <t>https://www.chittorgarh.com/ipo/ifl-finance-ipo/3200/</t>
        </is>
      </c>
    </row>
    <row r="60" ht="15" customHeight="1" s="12">
      <c r="A60" s="14" t="n">
        <v>59</v>
      </c>
      <c r="B60" s="16" t="n">
        <v>46232</v>
      </c>
      <c r="C60" s="15" t="n">
        <v>2026</v>
      </c>
      <c r="D60" s="15" t="inlineStr">
        <is>
          <t>YOGIJI DIGI LIMITED</t>
        </is>
      </c>
      <c r="E60" s="15" t="inlineStr">
        <is>
          <t>DRHP</t>
        </is>
      </c>
      <c r="F60" s="15" t="inlineStr">
        <is>
          <t>YOGIJI DIGI LIMITED - DRHP</t>
        </is>
      </c>
      <c r="G60" s="15" t="inlineStr">
        <is>
          <t>Upcoming — IPO not yet opened</t>
        </is>
      </c>
      <c r="H60" s="15" t="n"/>
      <c r="I60" s="16" t="n"/>
      <c r="J60" s="16" t="n"/>
      <c r="K60" s="16" t="n"/>
      <c r="L60" s="17" t="n"/>
      <c r="M60" s="17" t="n">
        <v>270</v>
      </c>
      <c r="N60" s="17" t="n"/>
      <c r="O60" s="15" t="inlineStr">
        <is>
          <t>DRHP cover</t>
        </is>
      </c>
      <c r="P60" s="15" t="inlineStr">
        <is>
          <t>Fresh issue up to ₹270.00 Cr + OFS up to 7,171,290 sh</t>
        </is>
      </c>
      <c r="Q60" s="18" t="inlineStr">
        <is>
          <t>https://www.sebi.gov.in/sebi_data/attachdocs/jul-2026/1785375006183_1314.pdf</t>
        </is>
      </c>
      <c r="R60" s="18" t="inlineStr">
        <is>
          <t>https://www.sebi.gov.in/filings/public-issues/jul-2026/yogiji-digi-limited-drhp_103106.html</t>
        </is>
      </c>
      <c r="S60" s="18" t="inlineStr">
        <is>
          <t>https://www.sebi.gov.in/sebi_data/commondocs/jul-2026/YOGIJI%20DIGI%20LIMITED_p.pdf</t>
        </is>
      </c>
      <c r="T60" s="15" t="n"/>
      <c r="U60" s="15" t="n"/>
      <c r="V60" s="15" t="n"/>
      <c r="W60" s="16" t="n"/>
      <c r="X60" s="16" t="n"/>
      <c r="Y60" s="16" t="n"/>
      <c r="Z60" s="15" t="inlineStr">
        <is>
          <t>Dates not announced</t>
        </is>
      </c>
      <c r="AA60" s="15" t="inlineStr">
        <is>
          <t>DRHP filed; IPO dates not announced</t>
        </is>
      </c>
      <c r="AB60" s="18" t="inlineStr">
        <is>
          <t>https://www.chittorgarh.com/ipo/yogiji-digi-ipo/3198/</t>
        </is>
      </c>
    </row>
    <row r="61" ht="15" customHeight="1" s="12">
      <c r="A61" s="14" t="n">
        <v>60</v>
      </c>
      <c r="B61" s="16" t="n">
        <v>46232</v>
      </c>
      <c r="C61" s="15" t="n">
        <v>2026</v>
      </c>
      <c r="D61" s="15" t="inlineStr">
        <is>
          <t>Indian Gas Exchange Limited</t>
        </is>
      </c>
      <c r="E61" s="15" t="inlineStr">
        <is>
          <t>DRHP</t>
        </is>
      </c>
      <c r="F61" s="15" t="inlineStr">
        <is>
          <t>Indian Gas Exchange Limited - DRHP</t>
        </is>
      </c>
      <c r="G61" s="15" t="inlineStr">
        <is>
          <t>Upcoming — IPO not yet opened</t>
        </is>
      </c>
      <c r="H61" s="15" t="n"/>
      <c r="I61" s="16" t="n"/>
      <c r="J61" s="16" t="n"/>
      <c r="K61" s="16" t="n"/>
      <c r="L61" s="17" t="n"/>
      <c r="M61" s="17" t="n"/>
      <c r="N61" s="17" t="n"/>
      <c r="O61" s="15" t="n"/>
      <c r="P61" s="15" t="n"/>
      <c r="Q61" s="18" t="inlineStr">
        <is>
          <t>https://www.sebi.gov.in/sebi_data/attachdocs/jul-2026/1785315631246.pdf</t>
        </is>
      </c>
      <c r="R61" s="18" t="inlineStr">
        <is>
          <t>https://www.sebi.gov.in/filings/public-issues/jul-2026/indian-gas-exchange-limited-drhp_102988.html</t>
        </is>
      </c>
      <c r="S61" s="18" t="inlineStr">
        <is>
          <t>https://www.sebi.gov.in/sebi_data/commondocs/jul-2026/Indian%20Gas%20Exchange%20Limited_p.pdf</t>
        </is>
      </c>
      <c r="T61" s="15" t="n"/>
      <c r="U61" s="15" t="n"/>
      <c r="V61" s="15" t="n"/>
      <c r="W61" s="16" t="n"/>
      <c r="X61" s="16" t="n"/>
      <c r="Y61" s="16" t="n"/>
      <c r="Z61" s="15" t="inlineStr">
        <is>
          <t>Dates not announced</t>
        </is>
      </c>
      <c r="AA61" s="15" t="inlineStr">
        <is>
          <t>DRHP stage; 100% OFS by IEX; dates not announced</t>
        </is>
      </c>
      <c r="AB61" s="18" t="inlineStr">
        <is>
          <t>https://www.chittorgarh.com/ipo/indian-gas-exchange-ipo/3193/</t>
        </is>
      </c>
    </row>
    <row r="62" ht="15" customHeight="1" s="12">
      <c r="A62" s="14" t="n">
        <v>61</v>
      </c>
      <c r="B62" s="16" t="n">
        <v>46225</v>
      </c>
      <c r="C62" s="15" t="n">
        <v>2026</v>
      </c>
      <c r="D62" s="15" t="inlineStr">
        <is>
          <t>Fusion CX Limited</t>
        </is>
      </c>
      <c r="E62" s="15" t="inlineStr">
        <is>
          <t>Addendum</t>
        </is>
      </c>
      <c r="F62" s="15" t="inlineStr">
        <is>
          <t>Fusion CX Limited - Addendum to DRHP</t>
        </is>
      </c>
      <c r="G62" s="15" t="inlineStr">
        <is>
          <t>Upcoming — IPO not yet opened</t>
        </is>
      </c>
      <c r="H62" s="15" t="n"/>
      <c r="I62" s="16" t="n"/>
      <c r="J62" s="16" t="n"/>
      <c r="K62" s="16" t="n"/>
      <c r="L62" s="17" t="n"/>
      <c r="M62" s="17" t="n"/>
      <c r="N62" s="17" t="n"/>
      <c r="O62" s="15" t="n"/>
      <c r="P62" s="15" t="n"/>
      <c r="Q62" s="18" t="inlineStr">
        <is>
          <t>https://www.sebi.gov.in/sebi_data/attachdocs/jul-2026/1784713947754.pdf</t>
        </is>
      </c>
      <c r="R62" s="18" t="inlineStr">
        <is>
          <t>https://www.sebi.gov.in/filings/public-issues/jul-2026/fusion-cx-limited-addendum-to-drhp_102992.html</t>
        </is>
      </c>
      <c r="S62" s="15" t="n"/>
      <c r="T62" s="15" t="n"/>
      <c r="U62" s="15" t="n"/>
      <c r="V62" s="15" t="n"/>
      <c r="W62" s="16" t="n"/>
      <c r="X62" s="16" t="n"/>
      <c r="Y62" s="16" t="n"/>
      <c r="Z62" s="15" t="inlineStr">
        <is>
          <t>Dates not announced</t>
        </is>
      </c>
      <c r="AA62" s="15" t="inlineStr">
        <is>
          <t>SEBI nod 11-Dec-2025; dates not announced (Mar-2026 dates on some sites are template errors)</t>
        </is>
      </c>
      <c r="AB62" s="18" t="inlineStr">
        <is>
          <t>https://www.chittorgarh.com/ipo/fusion-cx-ipo/2455/</t>
        </is>
      </c>
    </row>
    <row r="63" ht="15" customHeight="1" s="12">
      <c r="A63" s="14" t="n">
        <v>62</v>
      </c>
      <c r="B63" s="16" t="n">
        <v>46219</v>
      </c>
      <c r="C63" s="15" t="n">
        <v>2026</v>
      </c>
      <c r="D63" s="15" t="inlineStr">
        <is>
          <t>GNI INFRASTRUCTURE LIMITED</t>
        </is>
      </c>
      <c r="E63" s="15" t="inlineStr">
        <is>
          <t>DRHP</t>
        </is>
      </c>
      <c r="F63" s="15" t="inlineStr">
        <is>
          <t>GNI INFRASTRUCTURE LIMITED - DRHP</t>
        </is>
      </c>
      <c r="G63" s="15" t="inlineStr">
        <is>
          <t>Upcoming — IPO not yet opened</t>
        </is>
      </c>
      <c r="H63" s="15" t="n"/>
      <c r="I63" s="16" t="n"/>
      <c r="J63" s="16" t="n"/>
      <c r="K63" s="16" t="n"/>
      <c r="L63" s="17" t="n"/>
      <c r="M63" s="17" t="n"/>
      <c r="N63" s="17" t="n"/>
      <c r="O63" s="15" t="n"/>
      <c r="P63" s="15" t="n"/>
      <c r="Q63" s="18" t="inlineStr">
        <is>
          <t>https://www.sebi.gov.in/sebi_data/attachdocs/jul-2026/1784187006424_1304.pdf</t>
        </is>
      </c>
      <c r="R63" s="18" t="inlineStr">
        <is>
          <t>https://www.sebi.gov.in/filings/public-issues/jul-2026/gni-infrastructure-limited-drhp_102874.html</t>
        </is>
      </c>
      <c r="S63" s="18" t="inlineStr">
        <is>
          <t>https://www.sebi.gov.in/sebi_data/commondocs/jul-2026/GNI%20INFRASTRUCTURE%20LIMITED%20-%20DA_p.pdf</t>
        </is>
      </c>
      <c r="T63" s="15" t="n"/>
      <c r="U63" s="15" t="n"/>
      <c r="V63" s="15" t="n"/>
      <c r="W63" s="16" t="n"/>
      <c r="X63" s="16" t="n"/>
      <c r="Y63" s="16" t="n"/>
      <c r="Z63" s="15" t="inlineStr">
        <is>
          <t>Dates not announced</t>
        </is>
      </c>
      <c r="AA63" s="15" t="inlineStr">
        <is>
          <t>DRHP filed; IPO dates not announced</t>
        </is>
      </c>
      <c r="AB63" s="18" t="inlineStr">
        <is>
          <t>https://www.chittorgarh.com/ipo/gni-infrastructure-ipo/3176/</t>
        </is>
      </c>
    </row>
    <row r="64" ht="15" customHeight="1" s="12">
      <c r="A64" s="14" t="n">
        <v>63</v>
      </c>
      <c r="B64" s="16" t="n">
        <v>46219</v>
      </c>
      <c r="C64" s="15" t="n">
        <v>2026</v>
      </c>
      <c r="D64" s="15" t="inlineStr">
        <is>
          <t>Behari Lal Engineering Limited</t>
        </is>
      </c>
      <c r="E64" s="15" t="inlineStr">
        <is>
          <t>Corrigendum</t>
        </is>
      </c>
      <c r="F64" s="15" t="inlineStr">
        <is>
          <t>Behari Lal Engineering Limited - Corrigendum to DRHP</t>
        </is>
      </c>
      <c r="G64" s="15" t="inlineStr">
        <is>
          <t>IPO launched</t>
        </is>
      </c>
      <c r="H64" s="15" t="inlineStr">
        <is>
          <t>Mainboard</t>
        </is>
      </c>
      <c r="I64" s="16" t="n">
        <v>46246</v>
      </c>
      <c r="J64" s="16" t="n">
        <v>46248</v>
      </c>
      <c r="K64" s="16" t="n">
        <v>46253</v>
      </c>
      <c r="L64" s="17" t="n">
        <v>301.62</v>
      </c>
      <c r="M64" s="17" t="n">
        <v>93</v>
      </c>
      <c r="N64" s="17" t="n">
        <v>208.62</v>
      </c>
      <c r="O64" s="15" t="inlineStr">
        <is>
          <t>Final issue (ipoplatform)</t>
        </is>
      </c>
      <c r="P64" s="15" t="n"/>
      <c r="Q64" s="18" t="inlineStr">
        <is>
          <t>https://www.sebi.gov.in/sebi_data/attachdocs/jul-2026/1784180102896.PDF</t>
        </is>
      </c>
      <c r="R64" s="18" t="inlineStr">
        <is>
          <t>https://www.sebi.gov.in/filings/public-issues/jul-2026/behari-lal-engineering-limited-corrigendum-to-drhp_102871.html</t>
        </is>
      </c>
      <c r="S64" s="15" t="n"/>
      <c r="T64" s="15" t="inlineStr">
        <is>
          <t>Company name + date window</t>
        </is>
      </c>
      <c r="U64" s="15" t="inlineStr">
        <is>
          <t>Behari Lal Engineering Limited</t>
        </is>
      </c>
      <c r="V64" s="15" t="n"/>
      <c r="W64" s="15" t="n"/>
      <c r="X64" s="15" t="n"/>
      <c r="Y64" s="15" t="n"/>
      <c r="Z64" s="15" t="n"/>
      <c r="AA64" s="15" t="n"/>
      <c r="AB64" s="15" t="n"/>
    </row>
    <row r="65" ht="15" customHeight="1" s="12">
      <c r="A65" s="14" t="n">
        <v>64</v>
      </c>
      <c r="B65" s="16" t="n">
        <v>46212</v>
      </c>
      <c r="C65" s="15" t="n">
        <v>2026</v>
      </c>
      <c r="D65" s="15" t="inlineStr">
        <is>
          <t>RATNADEEP RETAIL LIMITED</t>
        </is>
      </c>
      <c r="E65" s="15" t="inlineStr">
        <is>
          <t>DRHP</t>
        </is>
      </c>
      <c r="F65" s="15" t="inlineStr">
        <is>
          <t>RATNADEEP RETAIL LIMITED - DRHP</t>
        </is>
      </c>
      <c r="G65" s="15" t="inlineStr">
        <is>
          <t>Upcoming — IPO not yet opened</t>
        </is>
      </c>
      <c r="H65" s="15" t="n"/>
      <c r="I65" s="16" t="n"/>
      <c r="J65" s="16" t="n"/>
      <c r="K65" s="16" t="n"/>
      <c r="L65" s="17" t="n"/>
      <c r="M65" s="17" t="n"/>
      <c r="N65" s="17" t="n"/>
      <c r="O65" s="15" t="n"/>
      <c r="P65" s="15" t="n"/>
      <c r="Q65" s="18" t="inlineStr">
        <is>
          <t>https://www.sebi.gov.in/sebi_data/attachdocs/jul-2026/1783588088633.pdf</t>
        </is>
      </c>
      <c r="R65" s="18" t="inlineStr">
        <is>
          <t>https://www.sebi.gov.in/filings/public-issues/jul-2026/ratnadeep-retail-limited-drhp_102720.html</t>
        </is>
      </c>
      <c r="S65" s="18" t="inlineStr">
        <is>
          <t>https://www.sebi.gov.in/sebi_data/commondocs/jul-2026/Ratnadeep%20Retail%20Limited%20-%20DAP_p.pdf</t>
        </is>
      </c>
      <c r="T65" s="15" t="n"/>
      <c r="U65" s="15" t="n"/>
      <c r="V65" s="15" t="n"/>
      <c r="W65" s="16" t="n"/>
      <c r="X65" s="16" t="n"/>
      <c r="Y65" s="16" t="n"/>
      <c r="Z65" s="15" t="inlineStr">
        <is>
          <t>Dates not announced</t>
        </is>
      </c>
      <c r="AA65" s="15" t="inlineStr">
        <is>
          <t>DRHP filed; IPO dates not announced</t>
        </is>
      </c>
      <c r="AB65" s="18" t="inlineStr">
        <is>
          <t>https://www.chittorgarh.com/ipo/ratnadeep-retail-ipo/3181/</t>
        </is>
      </c>
    </row>
    <row r="66" ht="15" customHeight="1" s="12">
      <c r="A66" s="14" t="n">
        <v>65</v>
      </c>
      <c r="B66" s="16" t="n">
        <v>46212</v>
      </c>
      <c r="C66" s="15" t="n">
        <v>2026</v>
      </c>
      <c r="D66" s="15" t="inlineStr">
        <is>
          <t>CULT.FIT LIMITED</t>
        </is>
      </c>
      <c r="E66" s="15" t="inlineStr">
        <is>
          <t>DRHP</t>
        </is>
      </c>
      <c r="F66" s="15" t="inlineStr">
        <is>
          <t>CULT.FIT LIMITED - DRHP</t>
        </is>
      </c>
      <c r="G66" s="15" t="inlineStr">
        <is>
          <t>Upcoming — IPO not yet opened</t>
        </is>
      </c>
      <c r="H66" s="15" t="n"/>
      <c r="I66" s="16" t="n"/>
      <c r="J66" s="16" t="n"/>
      <c r="K66" s="16" t="n"/>
      <c r="L66" s="17" t="n"/>
      <c r="M66" s="17" t="n"/>
      <c r="N66" s="17" t="n"/>
      <c r="O66" s="15" t="n"/>
      <c r="P66" s="15" t="n"/>
      <c r="Q66" s="18" t="inlineStr">
        <is>
          <t>https://www.sebi.gov.in/sebi_data/attachdocs/jul-2026/1783572277499.pdf</t>
        </is>
      </c>
      <c r="R66" s="18" t="inlineStr">
        <is>
          <t>https://www.sebi.gov.in/filings/public-issues/jul-2026/cult-fit-limited-drhp_102714.html</t>
        </is>
      </c>
      <c r="S66" s="18" t="inlineStr">
        <is>
          <t>https://www.sebi.gov.in/sebi_data/commondocs/jul-2026/CULT.FIT%20Limited%20-%20AP_p.pdf</t>
        </is>
      </c>
      <c r="T66" s="15" t="n"/>
      <c r="U66" s="15" t="n"/>
      <c r="V66" s="15" t="n"/>
      <c r="W66" s="16" t="n"/>
      <c r="X66" s="16" t="n"/>
      <c r="Y66" s="16" t="n"/>
      <c r="Z66" s="15" t="inlineStr">
        <is>
          <t>Dates not announced</t>
        </is>
      </c>
      <c r="AA66" s="15" t="inlineStr">
        <is>
          <t>DRHP stage; dates/price band not announced</t>
        </is>
      </c>
      <c r="AB66" s="18" t="inlineStr">
        <is>
          <t>https://www.chittorgarh.com/ipo/cultfit-ipo/3189/</t>
        </is>
      </c>
    </row>
    <row r="67" ht="15" customHeight="1" s="12">
      <c r="A67" s="14" t="n">
        <v>66</v>
      </c>
      <c r="B67" s="16" t="n">
        <v>46211</v>
      </c>
      <c r="C67" s="15" t="n">
        <v>2026</v>
      </c>
      <c r="D67" s="15" t="inlineStr">
        <is>
          <t>TMC Transformers India Limited</t>
        </is>
      </c>
      <c r="E67" s="15" t="inlineStr">
        <is>
          <t>DRHP</t>
        </is>
      </c>
      <c r="F67" s="15" t="inlineStr">
        <is>
          <t>TMC Transformers India Limited - DRHP</t>
        </is>
      </c>
      <c r="G67" s="15" t="inlineStr">
        <is>
          <t>Upcoming — IPO not yet opened</t>
        </is>
      </c>
      <c r="H67" s="15" t="n"/>
      <c r="I67" s="16" t="n"/>
      <c r="J67" s="16" t="n"/>
      <c r="K67" s="16" t="n"/>
      <c r="L67" s="17" t="n"/>
      <c r="M67" s="17" t="n"/>
      <c r="N67" s="17" t="n"/>
      <c r="O67" s="15" t="n"/>
      <c r="P67" s="15" t="n"/>
      <c r="Q67" s="18" t="inlineStr">
        <is>
          <t>https://www.sebi.gov.in/sebi_data/attachdocs/jul-2026/1783495804607_1303.pdf</t>
        </is>
      </c>
      <c r="R67" s="18" t="inlineStr">
        <is>
          <t>https://www.sebi.gov.in/filings/public-issues/jul-2026/tmc-transformers-india-limited-drhp_102680.html</t>
        </is>
      </c>
      <c r="S67" s="18" t="inlineStr">
        <is>
          <t>https://www.sebi.gov.in/sebi_data/commondocs/jul-2026/TMC%20Transformers%20India%20Limited%20-%20Abri_p.pdf</t>
        </is>
      </c>
      <c r="T67" s="15" t="n"/>
      <c r="U67" s="15" t="n"/>
      <c r="V67" s="15" t="n"/>
      <c r="W67" s="16" t="n"/>
      <c r="X67" s="16" t="n"/>
      <c r="Y67" s="16" t="n"/>
      <c r="Z67" s="15" t="inlineStr">
        <is>
          <t>Dates not announced</t>
        </is>
      </c>
      <c r="AA67" s="15" t="inlineStr">
        <is>
          <t>DRHP stage; aggregator placeholder date ignored; not announced</t>
        </is>
      </c>
      <c r="AB67" s="18" t="inlineStr">
        <is>
          <t>https://www.chittorgarh.com/ipo/tmc-transformers-india-ipo/3177/</t>
        </is>
      </c>
    </row>
    <row r="68" ht="15" customHeight="1" s="12">
      <c r="A68" s="14" t="n">
        <v>67</v>
      </c>
      <c r="B68" s="16" t="n">
        <v>46211</v>
      </c>
      <c r="C68" s="15" t="n">
        <v>2026</v>
      </c>
      <c r="D68" s="15" t="inlineStr">
        <is>
          <t>INNOTERRA LIMITED</t>
        </is>
      </c>
      <c r="E68" s="15" t="inlineStr">
        <is>
          <t>DRHP</t>
        </is>
      </c>
      <c r="F68" s="15" t="inlineStr">
        <is>
          <t>INNOTERRA LIMITED - DRHP</t>
        </is>
      </c>
      <c r="G68" s="15" t="inlineStr">
        <is>
          <t>Upcoming — IPO not yet opened</t>
        </is>
      </c>
      <c r="H68" s="15" t="n"/>
      <c r="I68" s="16" t="n"/>
      <c r="J68" s="16" t="n"/>
      <c r="K68" s="16" t="n"/>
      <c r="L68" s="17" t="n"/>
      <c r="M68" s="17" t="n"/>
      <c r="N68" s="17" t="n"/>
      <c r="O68" s="15" t="n"/>
      <c r="P68" s="15" t="n"/>
      <c r="Q68" s="18" t="inlineStr">
        <is>
          <t>https://www.sebi.gov.in/sebi_data/attachdocs/jul-2026/1783492351929.pdf</t>
        </is>
      </c>
      <c r="R68" s="18" t="inlineStr">
        <is>
          <t>https://www.sebi.gov.in/filings/public-issues/jul-2026/innoterra-limited-drhp_102678.html</t>
        </is>
      </c>
      <c r="S68" s="18" t="inlineStr">
        <is>
          <t>https://www.sebi.gov.in/sebi_data/commondocs/jul-2026/INNOTERRA%20LIMITED%20-%20Abri_p.pdf</t>
        </is>
      </c>
      <c r="T68" s="15" t="n"/>
      <c r="U68" s="15" t="n"/>
      <c r="V68" s="15" t="n"/>
      <c r="W68" s="16" t="n"/>
      <c r="X68" s="16" t="n"/>
      <c r="Y68" s="16" t="n"/>
      <c r="Z68" s="15" t="inlineStr">
        <is>
          <t>Dates not announced</t>
        </is>
      </c>
      <c r="AA68" s="15" t="inlineStr">
        <is>
          <t>DRHP filed; IPO dates not announced</t>
        </is>
      </c>
      <c r="AB68" s="18" t="inlineStr">
        <is>
          <t>https://www.chittorgarh.com/ipo/innoterra-ipo/3175/</t>
        </is>
      </c>
    </row>
    <row r="69" ht="15" customHeight="1" s="12">
      <c r="A69" s="14" t="n">
        <v>68</v>
      </c>
      <c r="B69" s="16" t="n">
        <v>46209</v>
      </c>
      <c r="C69" s="15" t="n">
        <v>2026</v>
      </c>
      <c r="D69" s="15" t="inlineStr">
        <is>
          <t>Pragyawan Technologies Limited</t>
        </is>
      </c>
      <c r="E69" s="15" t="inlineStr">
        <is>
          <t>DRHP</t>
        </is>
      </c>
      <c r="F69" s="15" t="inlineStr">
        <is>
          <t>Pragyawan Technologies Limited - DRHP</t>
        </is>
      </c>
      <c r="G69" s="15" t="inlineStr">
        <is>
          <t>Upcoming — IPO not yet opened</t>
        </is>
      </c>
      <c r="H69" s="15" t="n"/>
      <c r="I69" s="16" t="n"/>
      <c r="J69" s="16" t="n"/>
      <c r="K69" s="16" t="n"/>
      <c r="L69" s="17" t="n"/>
      <c r="M69" s="17" t="n">
        <v>400</v>
      </c>
      <c r="N69" s="17" t="n"/>
      <c r="O69" s="15" t="inlineStr">
        <is>
          <t>DRHP cover</t>
        </is>
      </c>
      <c r="P69" s="15" t="inlineStr">
        <is>
          <t>Fresh issue up to ₹400.00 Cr + OFS up to 15,000,000 sh</t>
        </is>
      </c>
      <c r="Q69" s="18" t="inlineStr">
        <is>
          <t>https://www.sebi.gov.in/sebi_data/attachdocs/jul-2026/1783337424176_1300.pdf</t>
        </is>
      </c>
      <c r="R69" s="18" t="inlineStr">
        <is>
          <t>https://www.sebi.gov.in/filings/public-issues/jul-2026/pragyawan-technologies-limited-drhp_102611.html</t>
        </is>
      </c>
      <c r="S69" s="18" t="inlineStr">
        <is>
          <t>https://www.sebi.gov.in/sebi_data/commondocs/jul-2026/Pragyawan%20Technologies%20Limited%20-%20Abriged_p.PDF</t>
        </is>
      </c>
      <c r="T69" s="15" t="n"/>
      <c r="U69" s="15" t="n"/>
      <c r="V69" s="15" t="n"/>
      <c r="W69" s="16" t="n"/>
      <c r="X69" s="16" t="n"/>
      <c r="Y69" s="16" t="n"/>
      <c r="Z69" s="15" t="inlineStr">
        <is>
          <t>Dates not announced</t>
        </is>
      </c>
      <c r="AA69" s="15" t="inlineStr">
        <is>
          <t>DRHP filed; IPO dates not announced</t>
        </is>
      </c>
      <c r="AB69" s="18" t="inlineStr">
        <is>
          <t>https://www.chittorgarh.com/ipo/pragyawan-technologies-ipo/3172/</t>
        </is>
      </c>
    </row>
    <row r="70" ht="15" customHeight="1" s="12">
      <c r="A70" s="14" t="n">
        <v>69</v>
      </c>
      <c r="B70" s="16" t="n">
        <v>46209</v>
      </c>
      <c r="C70" s="15" t="n">
        <v>2026</v>
      </c>
      <c r="D70" s="15" t="inlineStr">
        <is>
          <t>SWARA BABY PRODUCTS LIMITED</t>
        </is>
      </c>
      <c r="E70" s="15" t="inlineStr">
        <is>
          <t>DRHP</t>
        </is>
      </c>
      <c r="F70" s="15" t="inlineStr">
        <is>
          <t>SWARA BABY PRODUCTS LIMITED - DRHP</t>
        </is>
      </c>
      <c r="G70" s="15" t="inlineStr">
        <is>
          <t>Upcoming — IPO not yet opened</t>
        </is>
      </c>
      <c r="H70" s="15" t="n"/>
      <c r="I70" s="16" t="n"/>
      <c r="J70" s="16" t="n"/>
      <c r="K70" s="16" t="n"/>
      <c r="L70" s="17" t="n"/>
      <c r="M70" s="17" t="n"/>
      <c r="N70" s="17" t="n"/>
      <c r="O70" s="15" t="n"/>
      <c r="P70" s="15" t="n"/>
      <c r="Q70" s="18" t="inlineStr">
        <is>
          <t>https://www.sebi.gov.in/sebi_data/attachdocs/jul-2026/1783337424176_1299.pdf</t>
        </is>
      </c>
      <c r="R70" s="18" t="inlineStr">
        <is>
          <t>https://www.sebi.gov.in/filings/public-issues/jul-2026/swara-baby-products-limited-drhp_102609.html</t>
        </is>
      </c>
      <c r="S70" s="18" t="inlineStr">
        <is>
          <t>https://www.sebi.gov.in/sebi_data/commondocs/jul-2026/SWARA%20Baby%20Products%20Limited%20-%20DAP_p.pdf</t>
        </is>
      </c>
      <c r="T70" s="15" t="n"/>
      <c r="U70" s="15" t="n"/>
      <c r="V70" s="15" t="n"/>
      <c r="W70" s="16" t="n"/>
      <c r="X70" s="16" t="n"/>
      <c r="Y70" s="16" t="n"/>
      <c r="Z70" s="15" t="inlineStr">
        <is>
          <t>Dates not announced</t>
        </is>
      </c>
      <c r="AA70" s="15" t="inlineStr">
        <is>
          <t>DRHP stage; dates not announced</t>
        </is>
      </c>
      <c r="AB70" s="18" t="inlineStr">
        <is>
          <t>https://www.chittorgarh.com/ipo/swara-baby-products-ipo/3186/</t>
        </is>
      </c>
    </row>
    <row r="71" ht="15" customHeight="1" s="12">
      <c r="A71" s="14" t="n">
        <v>70</v>
      </c>
      <c r="B71" s="16" t="n">
        <v>46209</v>
      </c>
      <c r="C71" s="15" t="n">
        <v>2026</v>
      </c>
      <c r="D71" s="15" t="inlineStr">
        <is>
          <t>STALWART PEOPLE SERVICES INDIA LIMITED</t>
        </is>
      </c>
      <c r="E71" s="15" t="inlineStr">
        <is>
          <t>DRHP</t>
        </is>
      </c>
      <c r="F71" s="15" t="inlineStr">
        <is>
          <t>STALWART PEOPLE SERVICES INDIA LIMITED - DRHP</t>
        </is>
      </c>
      <c r="G71" s="15" t="inlineStr">
        <is>
          <t>Upcoming — IPO not yet opened</t>
        </is>
      </c>
      <c r="H71" s="15" t="n"/>
      <c r="I71" s="16" t="n"/>
      <c r="J71" s="16" t="n"/>
      <c r="K71" s="16" t="n"/>
      <c r="L71" s="17" t="n"/>
      <c r="M71" s="17" t="n"/>
      <c r="N71" s="17" t="n"/>
      <c r="O71" s="15" t="n"/>
      <c r="P71" s="15" t="n"/>
      <c r="Q71" s="18" t="inlineStr">
        <is>
          <t>https://www.sebi.gov.in/sebi_data/attachdocs/jul-2026/1783418315173.pdf</t>
        </is>
      </c>
      <c r="R71" s="18" t="inlineStr">
        <is>
          <t>https://www.sebi.gov.in/filings/public-issues/jul-2026/stalwart-people-services-india-limited-drhp_102607.html</t>
        </is>
      </c>
      <c r="S71" s="18" t="inlineStr">
        <is>
          <t>https://www.sebi.gov.in/sebi_data/commondocs/jul-2026/Stalwart%20People%20Services%20India%20Limited%20-%20Abri_p.pdf</t>
        </is>
      </c>
      <c r="T71" s="15" t="n"/>
      <c r="U71" s="15" t="n"/>
      <c r="V71" s="15" t="n"/>
      <c r="W71" s="16" t="n"/>
      <c r="X71" s="16" t="n"/>
      <c r="Y71" s="16" t="n"/>
      <c r="Z71" s="15" t="inlineStr">
        <is>
          <t>Dates not announced</t>
        </is>
      </c>
      <c r="AA71" s="15" t="inlineStr">
        <is>
          <t>DRHP stage; aggregator placeholder 11-Aug ignored; not announced</t>
        </is>
      </c>
      <c r="AB71" s="18" t="inlineStr">
        <is>
          <t>https://www.chittorgarh.com/ipo/stalwart-people-services-india-ipo/3168/</t>
        </is>
      </c>
    </row>
    <row r="72" ht="15" customHeight="1" s="12">
      <c r="A72" s="14" t="n">
        <v>71</v>
      </c>
      <c r="B72" s="16" t="n">
        <v>46209</v>
      </c>
      <c r="C72" s="15" t="n">
        <v>2026</v>
      </c>
      <c r="D72" s="15" t="inlineStr">
        <is>
          <t>Functional &amp; Innovative Foods Limited</t>
        </is>
      </c>
      <c r="E72" s="15" t="inlineStr">
        <is>
          <t>DRHP</t>
        </is>
      </c>
      <c r="F72" s="15" t="inlineStr">
        <is>
          <t>Functional &amp; Innovative Foods Limited - DRHP</t>
        </is>
      </c>
      <c r="G72" s="15" t="inlineStr">
        <is>
          <t>Upcoming — IPO not yet opened</t>
        </is>
      </c>
      <c r="H72" s="15" t="n"/>
      <c r="I72" s="16" t="n"/>
      <c r="J72" s="16" t="n"/>
      <c r="K72" s="16" t="n"/>
      <c r="L72" s="17" t="n"/>
      <c r="M72" s="17" t="n"/>
      <c r="N72" s="17" t="n"/>
      <c r="O72" s="15" t="n"/>
      <c r="P72" s="15" t="n"/>
      <c r="Q72" s="18" t="inlineStr">
        <is>
          <t>https://www.sebi.gov.in/sebi_data/attachdocs/jul-2026/1783323004810_1297.pdf</t>
        </is>
      </c>
      <c r="R72" s="18" t="inlineStr">
        <is>
          <t>https://www.sebi.gov.in/filings/public-issues/jul-2026/functional-and-innovative-foods-limited-drhp_102603.html</t>
        </is>
      </c>
      <c r="S72" s="18" t="inlineStr">
        <is>
          <t>https://www.sebi.gov.in/sebi_data/commondocs/jul-2026/Functional%20&amp;%20Innovative%20Foods%20Limited-%20Abri_p.pdf</t>
        </is>
      </c>
      <c r="T72" s="15" t="n"/>
      <c r="U72" s="15" t="n"/>
      <c r="V72" s="15" t="n"/>
      <c r="W72" s="16" t="n"/>
      <c r="X72" s="16" t="n"/>
      <c r="Y72" s="16" t="n"/>
      <c r="Z72" s="15" t="inlineStr">
        <is>
          <t>Dates not announced</t>
        </is>
      </c>
      <c r="AA72" s="15" t="inlineStr">
        <is>
          <t>SEBI nod Sep-2026; dates not yet announced</t>
        </is>
      </c>
      <c r="AB72" s="18" t="inlineStr">
        <is>
          <t>https://www.kotakneo.com/news/ipos/functional-and-innovative-foods-ipo-gets-sebi-nod-85-lakh-shares/</t>
        </is>
      </c>
    </row>
    <row r="73" ht="15" customHeight="1" s="12">
      <c r="A73" s="14" t="n">
        <v>72</v>
      </c>
      <c r="B73" s="16" t="n">
        <v>46206</v>
      </c>
      <c r="C73" s="15" t="n">
        <v>2026</v>
      </c>
      <c r="D73" s="15" t="inlineStr">
        <is>
          <t>Jesons Industries Limited</t>
        </is>
      </c>
      <c r="E73" s="15" t="inlineStr">
        <is>
          <t>Addendum</t>
        </is>
      </c>
      <c r="F73" s="15" t="inlineStr">
        <is>
          <t>Jesons Industries Limited - Addendum to DRHP</t>
        </is>
      </c>
      <c r="G73" s="15" t="inlineStr">
        <is>
          <t>Upcoming — IPO not yet opened</t>
        </is>
      </c>
      <c r="H73" s="15" t="n"/>
      <c r="I73" s="16" t="n"/>
      <c r="J73" s="16" t="n"/>
      <c r="K73" s="16" t="n"/>
      <c r="L73" s="17" t="n"/>
      <c r="M73" s="17" t="n"/>
      <c r="N73" s="17" t="n"/>
      <c r="O73" s="15" t="n"/>
      <c r="P73" s="15" t="n"/>
      <c r="Q73" s="18" t="inlineStr">
        <is>
          <t>https://www.sebi.gov.in/sebi_data/attachdocs/jul-2026/1783059278187.pdf</t>
        </is>
      </c>
      <c r="R73" s="18" t="inlineStr">
        <is>
          <t>https://www.sebi.gov.in/filings/public-issues/jul-2026/jesons-industries-limited-addendum-to-drhp_102564.html</t>
        </is>
      </c>
      <c r="S73" s="15" t="n"/>
      <c r="T73" s="15" t="n"/>
      <c r="U73" s="15" t="n"/>
      <c r="V73" s="15" t="n"/>
      <c r="W73" s="16" t="n"/>
      <c r="X73" s="16" t="n"/>
      <c r="Y73" s="16" t="n"/>
      <c r="Z73" s="15" t="inlineStr">
        <is>
          <t>No issue found</t>
        </is>
      </c>
      <c r="AA73" s="15" t="inlineStr">
        <is>
          <t>Business Standard lists the company but shows no issue dates; web search limit reached</t>
        </is>
      </c>
      <c r="AB73" s="18" t="inlineStr">
        <is>
          <t>https://www.business-standard.com/markets/ipo/jesons-industries-ltd-ipo-27109</t>
        </is>
      </c>
    </row>
    <row r="74" ht="15" customHeight="1" s="12">
      <c r="A74" s="14" t="n">
        <v>73</v>
      </c>
      <c r="B74" s="16" t="n">
        <v>46205</v>
      </c>
      <c r="C74" s="15" t="n">
        <v>2026</v>
      </c>
      <c r="D74" s="15" t="inlineStr">
        <is>
          <t>ESWARI GLOBAL METAL INDUSTRIES LIMITED</t>
        </is>
      </c>
      <c r="E74" s="15" t="inlineStr">
        <is>
          <t>DRHP</t>
        </is>
      </c>
      <c r="F74" s="15" t="inlineStr">
        <is>
          <t>ESWARI GLOBAL METAL INDUSTRIES LIMITED - DRHP</t>
        </is>
      </c>
      <c r="G74" s="15" t="inlineStr">
        <is>
          <t>Upcoming — IPO not yet opened</t>
        </is>
      </c>
      <c r="H74" s="15" t="n"/>
      <c r="I74" s="16" t="n"/>
      <c r="J74" s="16" t="n"/>
      <c r="K74" s="16" t="n"/>
      <c r="L74" s="17" t="n"/>
      <c r="M74" s="17" t="n">
        <v>500</v>
      </c>
      <c r="N74" s="17" t="n"/>
      <c r="O74" s="15" t="inlineStr">
        <is>
          <t>DRHP cover</t>
        </is>
      </c>
      <c r="P74" s="15" t="inlineStr">
        <is>
          <t>Fresh issue up to ₹500.00 Cr + OFS up to 13,209,451 sh</t>
        </is>
      </c>
      <c r="Q74" s="18" t="inlineStr">
        <is>
          <t>https://www.sebi.gov.in/sebi_data/attachdocs/jul-2026/1782991807154_1296.pdf</t>
        </is>
      </c>
      <c r="R74" s="18" t="inlineStr">
        <is>
          <t>https://www.sebi.gov.in/filings/public-issues/jul-2026/eswari-global-metal-industries-limited-drhp_102541.html</t>
        </is>
      </c>
      <c r="S74" s="18" t="inlineStr">
        <is>
          <t>https://www.sebi.gov.in/sebi_data/commondocs/jul-2026/GLOBAL%20-%20DAP_p.pdf</t>
        </is>
      </c>
      <c r="T74" s="15" t="n"/>
      <c r="U74" s="15" t="n"/>
      <c r="V74" s="15" t="n"/>
      <c r="W74" s="16" t="n"/>
      <c r="X74" s="16" t="n"/>
      <c r="Y74" s="16" t="n"/>
      <c r="Z74" s="15" t="inlineStr">
        <is>
          <t>Dates not announced</t>
        </is>
      </c>
      <c r="AA74" s="15" t="inlineStr">
        <is>
          <t>DRHP filed; IPO dates not announced</t>
        </is>
      </c>
      <c r="AB74" s="18" t="inlineStr">
        <is>
          <t>https://www.chittorgarh.com/ipo/eswari-global-metal-ipo/3169/</t>
        </is>
      </c>
    </row>
    <row r="75" ht="15" customHeight="1" s="12">
      <c r="A75" s="14" t="n">
        <v>74</v>
      </c>
      <c r="B75" s="16" t="n">
        <v>46204</v>
      </c>
      <c r="C75" s="15" t="n">
        <v>2026</v>
      </c>
      <c r="D75" s="15" t="inlineStr">
        <is>
          <t>Renfra Energy India Ltd</t>
        </is>
      </c>
      <c r="E75" s="15" t="inlineStr">
        <is>
          <t>DRHP</t>
        </is>
      </c>
      <c r="F75" s="15" t="inlineStr">
        <is>
          <t>Renfra Energy India Ltd. - DRHP</t>
        </is>
      </c>
      <c r="G75" s="15" t="inlineStr">
        <is>
          <t>Upcoming — IPO not yet opened</t>
        </is>
      </c>
      <c r="H75" s="15" t="n"/>
      <c r="I75" s="16" t="n"/>
      <c r="J75" s="16" t="n"/>
      <c r="K75" s="16" t="n"/>
      <c r="L75" s="17" t="n"/>
      <c r="M75" s="17" t="n">
        <v>430</v>
      </c>
      <c r="N75" s="17" t="n"/>
      <c r="O75" s="15" t="inlineStr">
        <is>
          <t>DRHP cover</t>
        </is>
      </c>
      <c r="P75" s="15" t="inlineStr">
        <is>
          <t>Fresh issue up to ₹430.00 Cr + OFS up to 4,794,800 sh</t>
        </is>
      </c>
      <c r="Q75" s="18" t="inlineStr">
        <is>
          <t>https://www.sebi.gov.in/sebi_data/attachdocs/jul-2026/1783322148504.pdf</t>
        </is>
      </c>
      <c r="R75" s="18" t="inlineStr">
        <is>
          <t>https://www.sebi.gov.in/filings/public-issues/jul-2026/renfra-energy-india-ltd-drhp_102601.html</t>
        </is>
      </c>
      <c r="S75" s="18" t="inlineStr">
        <is>
          <t>https://www.sebi.gov.in/sebi_data/commondocs/jul-2026/REIL%20Abridged_p.pdf</t>
        </is>
      </c>
      <c r="T75" s="15" t="n"/>
      <c r="U75" s="15" t="n"/>
      <c r="V75" s="15" t="n"/>
      <c r="W75" s="16" t="n"/>
      <c r="X75" s="16" t="n"/>
      <c r="Y75" s="16" t="n"/>
      <c r="Z75" s="15" t="inlineStr">
        <is>
          <t>Dates not announced</t>
        </is>
      </c>
      <c r="AA75" s="15" t="inlineStr">
        <is>
          <t>DRHP stage; aggregator placeholder 21-Sep ignored; not announced</t>
        </is>
      </c>
      <c r="AB75" s="18" t="inlineStr">
        <is>
          <t>https://www.chittorgarh.com/ipo/renfra-energy-india-ipo/3173/</t>
        </is>
      </c>
    </row>
    <row r="76" ht="15" customHeight="1" s="12">
      <c r="A76" s="14" t="n">
        <v>75</v>
      </c>
      <c r="B76" s="16" t="n">
        <v>46204</v>
      </c>
      <c r="C76" s="15" t="n">
        <v>2026</v>
      </c>
      <c r="D76" s="15" t="inlineStr">
        <is>
          <t>Social Worth Technologies Limited</t>
        </is>
      </c>
      <c r="E76" s="15" t="inlineStr">
        <is>
          <t>DRHP</t>
        </is>
      </c>
      <c r="F76" s="15" t="inlineStr">
        <is>
          <t>Social Worth Technologies Limited – DRHP</t>
        </is>
      </c>
      <c r="G76" s="15" t="inlineStr">
        <is>
          <t>Upcoming — IPO not yet opened</t>
        </is>
      </c>
      <c r="H76" s="15" t="n"/>
      <c r="I76" s="16" t="n"/>
      <c r="J76" s="16" t="n"/>
      <c r="K76" s="16" t="n"/>
      <c r="L76" s="17" t="n"/>
      <c r="M76" s="17" t="n"/>
      <c r="N76" s="17" t="n"/>
      <c r="O76" s="15" t="n"/>
      <c r="P76" s="15" t="n"/>
      <c r="Q76" s="18" t="inlineStr">
        <is>
          <t>https://www.sebi.gov.in/sebi_data/attachdocs/jul-2026/1782889460153.pdf</t>
        </is>
      </c>
      <c r="R76" s="18" t="inlineStr">
        <is>
          <t>https://www.sebi.gov.in/filings/public-issues/jul-2026/social-worth-technologies-limited-drhp_102477.html</t>
        </is>
      </c>
      <c r="S76" s="18" t="inlineStr">
        <is>
          <t>https://www.sebi.gov.in/sebi_data/commondocs/jul-2026/Social%20Worth%20Technologies%20-%20DA_p.pdf</t>
        </is>
      </c>
      <c r="T76" s="15" t="n"/>
      <c r="U76" s="15" t="n"/>
      <c r="V76" s="15" t="n"/>
      <c r="W76" s="16" t="n"/>
      <c r="X76" s="16" t="n"/>
      <c r="Y76" s="16" t="n"/>
      <c r="Z76" s="15" t="inlineStr">
        <is>
          <t>Dates not announced</t>
        </is>
      </c>
      <c r="AA76" s="15" t="inlineStr">
        <is>
          <t>DRHP filed; IPO dates not announced</t>
        </is>
      </c>
      <c r="AB76" s="18" t="inlineStr">
        <is>
          <t>https://www.chittorgarh.com/ipo/social-worth-technologies-ipo/3164/</t>
        </is>
      </c>
    </row>
    <row r="77" ht="15" customHeight="1" s="12">
      <c r="A77" s="14" t="n">
        <v>76</v>
      </c>
      <c r="B77" s="16" t="n">
        <v>46204</v>
      </c>
      <c r="C77" s="15" t="n">
        <v>2026</v>
      </c>
      <c r="D77" s="15" t="inlineStr">
        <is>
          <t>Mann Fleet Partners Limited</t>
        </is>
      </c>
      <c r="E77" s="15" t="inlineStr">
        <is>
          <t>DRHP</t>
        </is>
      </c>
      <c r="F77" s="15" t="inlineStr">
        <is>
          <t>Mann Fleet Partners Limited - DRHP</t>
        </is>
      </c>
      <c r="G77" s="15" t="inlineStr">
        <is>
          <t>Upcoming — IPO not yet opened</t>
        </is>
      </c>
      <c r="H77" s="15" t="n"/>
      <c r="I77" s="16" t="n"/>
      <c r="J77" s="16" t="n"/>
      <c r="K77" s="16" t="n"/>
      <c r="L77" s="17" t="n"/>
      <c r="M77" s="17" t="n"/>
      <c r="N77" s="17" t="n"/>
      <c r="O77" s="15" t="n"/>
      <c r="P77" s="15" t="n"/>
      <c r="Q77" s="18" t="inlineStr">
        <is>
          <t>https://www.sebi.gov.in/sebi_data/attachdocs/jul-2026/1782887237115.pdf</t>
        </is>
      </c>
      <c r="R77" s="18" t="inlineStr">
        <is>
          <t>https://www.sebi.gov.in/filings/public-issues/jul-2026/mann-fleet-partners-limited-drhp_102474.html</t>
        </is>
      </c>
      <c r="S77" s="18" t="inlineStr">
        <is>
          <t>https://www.sebi.gov.in/sebi_data/commondocs/jul-2026/Maan%20Fleet%20Partners%20Limited%20-%20DRPH_p.pdf</t>
        </is>
      </c>
      <c r="T77" s="15" t="n"/>
      <c r="U77" s="15" t="n"/>
      <c r="V77" s="15" t="n"/>
      <c r="W77" s="16" t="n"/>
      <c r="X77" s="16" t="n"/>
      <c r="Y77" s="16" t="n"/>
      <c r="Z77" s="15" t="inlineStr">
        <is>
          <t>Dates not announced</t>
        </is>
      </c>
      <c r="AA77" s="15" t="inlineStr">
        <is>
          <t>SEBI nod 8-Sep-2026; earlier DRHP withdrawn Mar-2026; dates not announced</t>
        </is>
      </c>
      <c r="AB77" s="18" t="inlineStr">
        <is>
          <t>https://www.chittorgarh.com/ipo/mann-fleet-partners-ipo/3166/</t>
        </is>
      </c>
    </row>
    <row r="78" ht="15" customHeight="1" s="12">
      <c r="A78" s="14" t="n">
        <v>77</v>
      </c>
      <c r="B78" s="16" t="n">
        <v>46203</v>
      </c>
      <c r="C78" s="15" t="n">
        <v>2026</v>
      </c>
      <c r="D78" s="15" t="inlineStr">
        <is>
          <t>ORAVEL STAYS LIMITED</t>
        </is>
      </c>
      <c r="E78" s="15" t="inlineStr">
        <is>
          <t>UDRHP-I</t>
        </is>
      </c>
      <c r="F78" s="15" t="inlineStr">
        <is>
          <t>ORAVEL STAYS LIMITED UDRHP-I</t>
        </is>
      </c>
      <c r="G78" s="15" t="inlineStr">
        <is>
          <t>Upcoming — IPO not yet opened</t>
        </is>
      </c>
      <c r="H78" s="15" t="n"/>
      <c r="I78" s="16" t="n"/>
      <c r="J78" s="16" t="n"/>
      <c r="K78" s="16" t="n"/>
      <c r="L78" s="17" t="n"/>
      <c r="M78" s="17" t="n"/>
      <c r="N78" s="17" t="n"/>
      <c r="O78" s="15" t="n"/>
      <c r="P78" s="15" t="n"/>
      <c r="Q78" s="18" t="inlineStr">
        <is>
          <t>https://www.sebi.gov.in/sebi_data/attachdocs/jun-2026/1782797745198.pdf</t>
        </is>
      </c>
      <c r="R78" s="18" t="inlineStr">
        <is>
          <t>https://www.sebi.gov.in/filings/public-issues/jun-2026/oravel-stays-limited-udrhp-i_102455.html</t>
        </is>
      </c>
      <c r="S78" s="18" t="inlineStr">
        <is>
          <t>https://www.sebi.gov.in/sebi_data/commondocs/jun-2026/ORAVEL%20STAYS%20LIMITED%20-%20Abridged_p.pdf</t>
        </is>
      </c>
      <c r="T78" s="15" t="n"/>
      <c r="U78" s="15" t="n"/>
      <c r="V78" s="15" t="n"/>
      <c r="W78" s="16" t="n"/>
      <c r="X78" s="16" t="n"/>
      <c r="Y78" s="16" t="n"/>
      <c r="Z78" s="15" t="inlineStr">
        <is>
          <t>Dates not announced</t>
        </is>
      </c>
      <c r="AA78" s="15" t="inlineStr">
        <is>
          <t>SEBI nod 2-Jun-2026 (UDRHP-I filed Jun-2026); dates not announced</t>
        </is>
      </c>
      <c r="AB78" s="18" t="inlineStr">
        <is>
          <t>https://www.chittorgarh.com/ipo/oyo-ipo/2843/</t>
        </is>
      </c>
    </row>
    <row r="79" ht="15" customHeight="1" s="12">
      <c r="A79" s="14" t="n">
        <v>78</v>
      </c>
      <c r="B79" s="16" t="n">
        <v>46199</v>
      </c>
      <c r="C79" s="15" t="n">
        <v>2026</v>
      </c>
      <c r="D79" s="15" t="inlineStr">
        <is>
          <t>Ujin Pharma Ltd</t>
        </is>
      </c>
      <c r="E79" s="15" t="inlineStr">
        <is>
          <t>DRHP</t>
        </is>
      </c>
      <c r="F79" s="15" t="inlineStr">
        <is>
          <t>Ujin Pharma Ltd. - DRHP</t>
        </is>
      </c>
      <c r="G79" s="15" t="inlineStr">
        <is>
          <t>Upcoming — IPO not yet opened</t>
        </is>
      </c>
      <c r="H79" s="15" t="n"/>
      <c r="I79" s="16" t="n"/>
      <c r="J79" s="16" t="n"/>
      <c r="K79" s="16" t="n"/>
      <c r="L79" s="17" t="n"/>
      <c r="M79" s="17" t="n"/>
      <c r="N79" s="17" t="n"/>
      <c r="O79" s="15" t="n"/>
      <c r="P79" s="15" t="n"/>
      <c r="Q79" s="18" t="inlineStr">
        <is>
          <t>https://www.sebi.gov.in/sebi_data/attachdocs/jun-2026/1782706923073.pdf</t>
        </is>
      </c>
      <c r="R79" s="18" t="inlineStr">
        <is>
          <t>https://www.sebi.gov.in/filings/public-issues/jun-2026/ujin-pharma-ltd-drhp_102424.html</t>
        </is>
      </c>
      <c r="S79" s="18" t="inlineStr">
        <is>
          <t>https://www.sebi.gov.in/sebi_data/commondocs/jun-2026/Ujin%20Pharma%20Ltd.%20-%20Draft%20Abridged%20Prospectus_p.pdf</t>
        </is>
      </c>
      <c r="T79" s="15" t="n"/>
      <c r="U79" s="15" t="n"/>
      <c r="V79" s="15" t="n"/>
      <c r="W79" s="16" t="n"/>
      <c r="X79" s="16" t="n"/>
      <c r="Y79" s="16" t="n"/>
      <c r="Z79" s="15" t="inlineStr">
        <is>
          <t>Dates not announced</t>
        </is>
      </c>
      <c r="AA79" s="15" t="inlineStr">
        <is>
          <t>DRHP stage; aggregator placeholder 10-Sep ignored; not announced</t>
        </is>
      </c>
      <c r="AB79" s="18" t="inlineStr">
        <is>
          <t>https://www.chittorgarh.com/ipo/ujin-pharma-ipo/3154/</t>
        </is>
      </c>
    </row>
    <row r="80" ht="15" customHeight="1" s="12">
      <c r="A80" s="14" t="n">
        <v>79</v>
      </c>
      <c r="B80" s="16" t="n">
        <v>46198</v>
      </c>
      <c r="C80" s="15" t="n">
        <v>2026</v>
      </c>
      <c r="D80" s="15" t="inlineStr">
        <is>
          <t>Sky Alloys and Power Limited</t>
        </is>
      </c>
      <c r="E80" s="15" t="inlineStr">
        <is>
          <t>DRHP</t>
        </is>
      </c>
      <c r="F80" s="15" t="inlineStr">
        <is>
          <t>Sky Alloys and Power Limited- DRHP</t>
        </is>
      </c>
      <c r="G80" s="15" t="inlineStr">
        <is>
          <t>Upcoming — IPO not yet opened</t>
        </is>
      </c>
      <c r="H80" s="15" t="n"/>
      <c r="I80" s="16" t="n"/>
      <c r="J80" s="16" t="n"/>
      <c r="K80" s="16" t="n"/>
      <c r="L80" s="17" t="n"/>
      <c r="M80" s="17" t="n"/>
      <c r="N80" s="17" t="n"/>
      <c r="O80" s="15" t="inlineStr">
        <is>
          <t>DRHP cover</t>
        </is>
      </c>
      <c r="P80" s="15" t="inlineStr">
        <is>
          <t>Fresh issue up to 16,084,000 sh + OFS up to 1,807,000 sh</t>
        </is>
      </c>
      <c r="Q80" s="18" t="inlineStr">
        <is>
          <t>https://www.sebi.gov.in/sebi_data/attachdocs/jun-2026/1782383217036.pdf</t>
        </is>
      </c>
      <c r="R80" s="18" t="inlineStr">
        <is>
          <t>https://www.sebi.gov.in/filings/public-issues/jun-2026/sky-alloys-and-power-limited-drhp_102415.html</t>
        </is>
      </c>
      <c r="S80" s="18" t="inlineStr">
        <is>
          <t>https://www.sebi.gov.in/sebi_data/commondocs/jun-2026/Sky%20Alloys%20and%20Power%20Limited%20-%20Abri_p.pdf</t>
        </is>
      </c>
      <c r="T80" s="15" t="n"/>
      <c r="U80" s="15" t="n"/>
      <c r="V80" s="15" t="n"/>
      <c r="W80" s="16" t="n"/>
      <c r="X80" s="16" t="n"/>
      <c r="Y80" s="16" t="n"/>
      <c r="Z80" s="15" t="inlineStr">
        <is>
          <t>Dates not announced</t>
        </is>
      </c>
      <c r="AA80" s="15" t="inlineStr">
        <is>
          <t>Refiled DRHP Jun-2026 after Dec-2025 withdrawal; dates not announced</t>
        </is>
      </c>
      <c r="AB80" s="18" t="inlineStr">
        <is>
          <t>https://www.chittorgarh.com/ipo/sky-alloys-and-power-ipo/2776/</t>
        </is>
      </c>
    </row>
    <row r="81" ht="15" customHeight="1" s="12">
      <c r="A81" s="14" t="n">
        <v>80</v>
      </c>
      <c r="B81" s="16" t="n">
        <v>46192</v>
      </c>
      <c r="C81" s="15" t="n">
        <v>2026</v>
      </c>
      <c r="D81" s="15" t="inlineStr">
        <is>
          <t>Jio Platforms Ltd</t>
        </is>
      </c>
      <c r="E81" s="15" t="inlineStr">
        <is>
          <t>DRHP</t>
        </is>
      </c>
      <c r="F81" s="15" t="inlineStr">
        <is>
          <t>Jio Platforms Ltd - DRHP</t>
        </is>
      </c>
      <c r="G81" s="15" t="inlineStr">
        <is>
          <t>Upcoming — IPO not yet opened</t>
        </is>
      </c>
      <c r="H81" s="15" t="n"/>
      <c r="I81" s="16" t="n"/>
      <c r="J81" s="16" t="n"/>
      <c r="K81" s="16" t="n"/>
      <c r="L81" s="17" t="n"/>
      <c r="M81" s="17" t="n"/>
      <c r="N81" s="17" t="n"/>
      <c r="O81" s="15" t="inlineStr">
        <is>
          <t>DRHP cover</t>
        </is>
      </c>
      <c r="P81" s="15" t="inlineStr">
        <is>
          <t>Fresh issue up to 270,000,000 sh</t>
        </is>
      </c>
      <c r="Q81" s="18" t="inlineStr">
        <is>
          <t>https://www.sebi.gov.in/sebi_data/attachdocs/jun-2026/1781870482419.PDF</t>
        </is>
      </c>
      <c r="R81" s="18" t="inlineStr">
        <is>
          <t>https://www.sebi.gov.in/filings/public-issues/jun-2026/jio-platforms-ltd-drhp_102248.html</t>
        </is>
      </c>
      <c r="S81" s="18" t="inlineStr">
        <is>
          <t>https://www.sebi.gov.in/sebi_data/commondocs/jun-2026/Jio%20Platforms%20Ltd_p.PDF</t>
        </is>
      </c>
      <c r="T81" s="15" t="n"/>
      <c r="U81" s="15" t="n"/>
      <c r="V81" s="15" t="n"/>
      <c r="W81" s="16" t="n"/>
      <c r="X81" s="16" t="n"/>
      <c r="Y81" s="16" t="n"/>
      <c r="Z81" s="15" t="inlineStr">
        <is>
          <t>Dates not announced</t>
        </is>
      </c>
      <c r="AA81" s="15" t="inlineStr">
        <is>
          <t>SEBI nod 28-Aug-2026; dates not yet announced</t>
        </is>
      </c>
      <c r="AB81" s="18" t="inlineStr">
        <is>
          <t>https://www.chittorgarh.com/ipo/jio-platforms-ipo/3152/</t>
        </is>
      </c>
    </row>
    <row r="82" ht="15" customHeight="1" s="12">
      <c r="A82" s="14" t="n">
        <v>81</v>
      </c>
      <c r="B82" s="16" t="n">
        <v>46191</v>
      </c>
      <c r="C82" s="15" t="n">
        <v>2026</v>
      </c>
      <c r="D82" s="15" t="inlineStr">
        <is>
          <t>National Stock Exchange of India Limited</t>
        </is>
      </c>
      <c r="E82" s="15" t="inlineStr">
        <is>
          <t>DRHP</t>
        </is>
      </c>
      <c r="F82" s="15" t="inlineStr">
        <is>
          <t>National Stock Exchange of India Limited - DRHP</t>
        </is>
      </c>
      <c r="G82" s="15" t="inlineStr">
        <is>
          <t>IPO launched</t>
        </is>
      </c>
      <c r="H82" s="15" t="inlineStr">
        <is>
          <t>Mainboard</t>
        </is>
      </c>
      <c r="I82" s="16" t="n">
        <v>46282</v>
      </c>
      <c r="J82" s="16" t="n">
        <v>46286</v>
      </c>
      <c r="K82" s="16" t="n">
        <v>46289</v>
      </c>
      <c r="L82" s="17" t="n">
        <v>22561.57</v>
      </c>
      <c r="M82" s="17" t="n"/>
      <c r="N82" s="17" t="n">
        <v>22561.57</v>
      </c>
      <c r="O82" s="15" t="inlineStr">
        <is>
          <t>Final issue (ipoplatform)</t>
        </is>
      </c>
      <c r="P82" s="15" t="n"/>
      <c r="Q82" s="18" t="inlineStr">
        <is>
          <t>https://www.sebi.gov.in/sebi_data/attachdocs/jun-2026/1781762714647.pdf</t>
        </is>
      </c>
      <c r="R82" s="18" t="inlineStr">
        <is>
          <t>https://www.sebi.gov.in/filings/public-issues/jun-2026/national-stock-exchange-of-india-limited-drhp_102189.html</t>
        </is>
      </c>
      <c r="S82" s="18" t="inlineStr">
        <is>
          <t>https://www.sebi.gov.in/sebi_data/commondocs/jun-2026/National%20Stock%20Exchange%20of%20India%20Ltd%20-%20Abridged_p.pdf</t>
        </is>
      </c>
      <c r="T82" s="15" t="inlineStr">
        <is>
          <t>Company name + date window</t>
        </is>
      </c>
      <c r="U82" s="15" t="inlineStr">
        <is>
          <t>National Stock Exchange of India (NSE) Limited</t>
        </is>
      </c>
      <c r="V82" s="15" t="n"/>
      <c r="W82" s="15" t="n"/>
      <c r="X82" s="15" t="n"/>
      <c r="Y82" s="15" t="n"/>
      <c r="Z82" s="15" t="n"/>
      <c r="AA82" s="15" t="n"/>
      <c r="AB82" s="15" t="n"/>
    </row>
    <row r="83" ht="15" customHeight="1" s="12">
      <c r="A83" s="14" t="n">
        <v>82</v>
      </c>
      <c r="B83" s="16" t="n">
        <v>46191</v>
      </c>
      <c r="C83" s="15" t="n">
        <v>2026</v>
      </c>
      <c r="D83" s="15" t="inlineStr">
        <is>
          <t>Varmora Granito Limited</t>
        </is>
      </c>
      <c r="E83" s="15" t="inlineStr">
        <is>
          <t>Addendum</t>
        </is>
      </c>
      <c r="F83" s="15" t="inlineStr">
        <is>
          <t>Varmora Granito Limited - Addendum to DRHP</t>
        </is>
      </c>
      <c r="G83" s="15" t="inlineStr">
        <is>
          <t>IPO launched</t>
        </is>
      </c>
      <c r="H83" s="15" t="inlineStr">
        <is>
          <t>Mainboard</t>
        </is>
      </c>
      <c r="I83" s="16" t="n">
        <v>46287</v>
      </c>
      <c r="J83" s="16" t="n">
        <v>46289</v>
      </c>
      <c r="K83" s="16" t="n">
        <v>46294</v>
      </c>
      <c r="L83" s="17" t="n">
        <v>1096.04</v>
      </c>
      <c r="M83" s="17" t="n">
        <v>320</v>
      </c>
      <c r="N83" s="17" t="n">
        <v>776.04</v>
      </c>
      <c r="O83" s="15" t="inlineStr">
        <is>
          <t>Final issue (ipoplatform)</t>
        </is>
      </c>
      <c r="P83" s="15" t="n"/>
      <c r="Q83" s="18" t="inlineStr">
        <is>
          <t>https://www.sebi.gov.in/sebi_data/attachdocs/jun-2026/1781761649731.pdf</t>
        </is>
      </c>
      <c r="R83" s="18" t="inlineStr">
        <is>
          <t>https://www.sebi.gov.in/filings/public-issues/jun-2026/varmora-granito-limited-addendum-to-drhp_102188.html</t>
        </is>
      </c>
      <c r="S83" s="15" t="n"/>
      <c r="T83" s="15" t="inlineStr">
        <is>
          <t>Company name + date window</t>
        </is>
      </c>
      <c r="U83" s="15" t="inlineStr">
        <is>
          <t>Varmora Granito Limited</t>
        </is>
      </c>
      <c r="V83" s="15" t="n"/>
      <c r="W83" s="15" t="n"/>
      <c r="X83" s="15" t="n"/>
      <c r="Y83" s="15" t="n"/>
      <c r="Z83" s="15" t="n"/>
      <c r="AA83" s="15" t="n"/>
      <c r="AB83" s="15" t="n"/>
    </row>
    <row r="84" ht="15" customHeight="1" s="12">
      <c r="A84" s="14" t="n">
        <v>83</v>
      </c>
      <c r="B84" s="16" t="n">
        <v>46191</v>
      </c>
      <c r="C84" s="15" t="n">
        <v>2026</v>
      </c>
      <c r="D84" s="15" t="inlineStr">
        <is>
          <t>Paras Healthcare Limited</t>
        </is>
      </c>
      <c r="E84" s="15" t="inlineStr">
        <is>
          <t>DRHP</t>
        </is>
      </c>
      <c r="F84" s="15" t="inlineStr">
        <is>
          <t>Paras Healthcare Limited - DRHP</t>
        </is>
      </c>
      <c r="G84" s="15" t="inlineStr">
        <is>
          <t>Upcoming — IPO not yet opened</t>
        </is>
      </c>
      <c r="H84" s="15" t="n"/>
      <c r="I84" s="16" t="n"/>
      <c r="J84" s="16" t="n"/>
      <c r="K84" s="16" t="n"/>
      <c r="L84" s="17" t="n">
        <v>1800</v>
      </c>
      <c r="M84" s="17" t="n">
        <v>500</v>
      </c>
      <c r="N84" s="17" t="n">
        <v>1300</v>
      </c>
      <c r="O84" s="15" t="inlineStr">
        <is>
          <t>DRHP cover</t>
        </is>
      </c>
      <c r="P84" s="15" t="inlineStr">
        <is>
          <t>Fresh issue up to ₹500.00 Cr + OFS up to ₹1,300.00 Cr</t>
        </is>
      </c>
      <c r="Q84" s="18" t="inlineStr">
        <is>
          <t>https://www.sebi.gov.in/sebi_data/attachdocs/jun-2026/1781761057174.pdf</t>
        </is>
      </c>
      <c r="R84" s="18" t="inlineStr">
        <is>
          <t>https://www.sebi.gov.in/filings/public-issues/jun-2026/paras-healthcare-limited-drhp_102187.html</t>
        </is>
      </c>
      <c r="S84" s="18" t="inlineStr">
        <is>
          <t>https://www.sebi.gov.in/sebi_data/commondocs/jun-2026/Paras%20Healthcare%20Limited%20-%20Abridged_p.pdf</t>
        </is>
      </c>
      <c r="T84" s="15" t="n"/>
      <c r="U84" s="15" t="n"/>
      <c r="V84" s="15" t="n"/>
      <c r="W84" s="16" t="n"/>
      <c r="X84" s="16" t="n"/>
      <c r="Y84" s="16" t="n"/>
      <c r="Z84" s="15" t="inlineStr">
        <is>
          <t>Dates not announced</t>
        </is>
      </c>
      <c r="AA84" s="15" t="inlineStr">
        <is>
          <t>SEBI nod 24-Aug-2026 on refiled DRHP; dates not announced</t>
        </is>
      </c>
      <c r="AB84" s="18" t="inlineStr">
        <is>
          <t>https://www.chittorgarh.com/ipo/paras-healthcare-ipo/2256/</t>
        </is>
      </c>
    </row>
    <row r="85" ht="15" customHeight="1" s="12">
      <c r="A85" s="14" t="n">
        <v>84</v>
      </c>
      <c r="B85" s="16" t="n">
        <v>46188</v>
      </c>
      <c r="C85" s="15" t="n">
        <v>2026</v>
      </c>
      <c r="D85" s="15" t="inlineStr">
        <is>
          <t>Pioneer Fil-Med Limited</t>
        </is>
      </c>
      <c r="E85" s="15" t="inlineStr">
        <is>
          <t>Corrigendum</t>
        </is>
      </c>
      <c r="F85" s="15" t="inlineStr">
        <is>
          <t>Pioneer Fil-Med Limited - Corrigendum to DRHP</t>
        </is>
      </c>
      <c r="G85" s="15" t="inlineStr">
        <is>
          <t>Upcoming — IPO not yet opened</t>
        </is>
      </c>
      <c r="H85" s="15" t="n"/>
      <c r="I85" s="16" t="n"/>
      <c r="J85" s="16" t="n"/>
      <c r="K85" s="16" t="n"/>
      <c r="L85" s="17" t="n"/>
      <c r="M85" s="17" t="n"/>
      <c r="N85" s="17" t="n"/>
      <c r="O85" s="15" t="n"/>
      <c r="P85" s="15" t="n"/>
      <c r="Q85" s="18" t="inlineStr">
        <is>
          <t>https://www.sebi.gov.in/sebi_data/attachdocs/jun-2026/1781525718091.pdf</t>
        </is>
      </c>
      <c r="R85" s="18" t="inlineStr">
        <is>
          <t>https://www.sebi.gov.in/filings/public-issues/jun-2026/pioneer-fil-med-limited-corrigendum-to-drhp_102126.html</t>
        </is>
      </c>
      <c r="S85" s="15" t="n"/>
      <c r="T85" s="15" t="n"/>
      <c r="U85" s="15" t="n"/>
      <c r="V85" s="15" t="n"/>
      <c r="W85" s="16" t="n"/>
      <c r="X85" s="16" t="n"/>
      <c r="Y85" s="16" t="n"/>
      <c r="Z85" s="15" t="inlineStr">
        <is>
          <t>Dates not announced</t>
        </is>
      </c>
      <c r="AA85" s="15" t="inlineStr">
        <is>
          <t>SEBI observations 22-Sep-2026; dates not yet announced</t>
        </is>
      </c>
      <c r="AB85" s="18" t="inlineStr">
        <is>
          <t>https://www.chittorgarh.com/ipo/pioneer-fil-med-ipo/2967/</t>
        </is>
      </c>
    </row>
    <row r="86" ht="15" customHeight="1" s="12">
      <c r="A86" s="14" t="n">
        <v>85</v>
      </c>
      <c r="B86" s="16" t="n">
        <v>46184</v>
      </c>
      <c r="C86" s="15" t="n">
        <v>2026</v>
      </c>
      <c r="D86" s="15" t="inlineStr">
        <is>
          <t>Caliber Mining and Logistics Limited</t>
        </is>
      </c>
      <c r="E86" s="15" t="inlineStr">
        <is>
          <t>Corrigendum</t>
        </is>
      </c>
      <c r="F86" s="15" t="inlineStr">
        <is>
          <t>Caliber Mining and Logistics Limited - Corrigendum to DRHP</t>
        </is>
      </c>
      <c r="G86" s="15" t="inlineStr">
        <is>
          <t>IPO launched</t>
        </is>
      </c>
      <c r="H86" s="15" t="inlineStr">
        <is>
          <t>Mainboard</t>
        </is>
      </c>
      <c r="I86" s="16" t="n">
        <v>46220</v>
      </c>
      <c r="J86" s="16" t="n">
        <v>46224</v>
      </c>
      <c r="K86" s="16" t="n">
        <v>46227</v>
      </c>
      <c r="L86" s="17" t="n">
        <v>450</v>
      </c>
      <c r="M86" s="17" t="n">
        <v>400</v>
      </c>
      <c r="N86" s="17" t="n">
        <v>50</v>
      </c>
      <c r="O86" s="15" t="inlineStr">
        <is>
          <t>Final issue (ipoplatform)</t>
        </is>
      </c>
      <c r="P86" s="15" t="n"/>
      <c r="Q86" s="18" t="inlineStr">
        <is>
          <t>https://www.sebi.gov.in/sebi_data/attachdocs/jun-2026/1781154417775.pdf</t>
        </is>
      </c>
      <c r="R86" s="18" t="inlineStr">
        <is>
          <t>https://www.sebi.gov.in/filings/public-issues/jun-2026/caliber-mining-and-logistics-limited-corrigendum-to-drhp_102053.html</t>
        </is>
      </c>
      <c r="S86" s="15" t="n"/>
      <c r="T86" s="15" t="inlineStr">
        <is>
          <t>Company name + date window</t>
        </is>
      </c>
      <c r="U86" s="15" t="inlineStr">
        <is>
          <t>Caliber Mining and Logistics Limited</t>
        </is>
      </c>
      <c r="V86" s="15" t="n"/>
      <c r="W86" s="15" t="n"/>
      <c r="X86" s="15" t="n"/>
      <c r="Y86" s="15" t="n"/>
      <c r="Z86" s="15" t="n"/>
      <c r="AA86" s="15" t="n"/>
      <c r="AB86" s="15" t="n"/>
    </row>
    <row r="87" ht="15" customHeight="1" s="12">
      <c r="A87" s="14" t="n">
        <v>86</v>
      </c>
      <c r="B87" s="16" t="n">
        <v>46183</v>
      </c>
      <c r="C87" s="15" t="n">
        <v>2026</v>
      </c>
      <c r="D87" s="15" t="inlineStr">
        <is>
          <t>Aastha Spintex Limited</t>
        </is>
      </c>
      <c r="E87" s="15" t="inlineStr">
        <is>
          <t>Addendum</t>
        </is>
      </c>
      <c r="F87" s="15" t="inlineStr">
        <is>
          <t>Aastha Spintex Limited - Addendum to DRHP</t>
        </is>
      </c>
      <c r="G87" s="15" t="inlineStr">
        <is>
          <t>IPO launched</t>
        </is>
      </c>
      <c r="H87" s="15" t="inlineStr">
        <is>
          <t>Mainboard</t>
        </is>
      </c>
      <c r="I87" s="16" t="n">
        <v>46202</v>
      </c>
      <c r="J87" s="16" t="n">
        <v>46204</v>
      </c>
      <c r="K87" s="16" t="n">
        <v>46209</v>
      </c>
      <c r="L87" s="17" t="n">
        <v>170</v>
      </c>
      <c r="M87" s="17" t="n">
        <v>170</v>
      </c>
      <c r="N87" s="17" t="n">
        <v>0</v>
      </c>
      <c r="O87" s="15" t="inlineStr">
        <is>
          <t>Final issue (ipoplatform)</t>
        </is>
      </c>
      <c r="P87" s="15" t="n"/>
      <c r="Q87" s="18" t="inlineStr">
        <is>
          <t>https://www.sebi.gov.in/sebi_data/attachdocs/jun-2026/1781090594066.pdf</t>
        </is>
      </c>
      <c r="R87" s="18" t="inlineStr">
        <is>
          <t>https://www.sebi.gov.in/filings/public-issues/jun-2026/aastha-spintex-limited-addendum-to-drhp_102025.html</t>
        </is>
      </c>
      <c r="S87" s="15" t="n"/>
      <c r="T87" s="15" t="inlineStr">
        <is>
          <t>Company name + date window</t>
        </is>
      </c>
      <c r="U87" s="15" t="inlineStr">
        <is>
          <t>Aastha Spintex Limited</t>
        </is>
      </c>
      <c r="V87" s="15" t="n"/>
      <c r="W87" s="15" t="n"/>
      <c r="X87" s="15" t="n"/>
      <c r="Y87" s="15" t="n"/>
      <c r="Z87" s="15" t="n"/>
      <c r="AA87" s="15" t="n"/>
      <c r="AB87" s="15" t="n"/>
    </row>
    <row r="88" ht="15" customHeight="1" s="12">
      <c r="A88" s="14" t="n">
        <v>87</v>
      </c>
      <c r="B88" s="16" t="n">
        <v>46182</v>
      </c>
      <c r="C88" s="15" t="n">
        <v>2026</v>
      </c>
      <c r="D88" s="15" t="inlineStr">
        <is>
          <t>Zepto Limited</t>
        </is>
      </c>
      <c r="E88" s="15" t="inlineStr">
        <is>
          <t>UDRHP-I</t>
        </is>
      </c>
      <c r="F88" s="15" t="inlineStr">
        <is>
          <t>Zepto Limited - UDRHP1</t>
        </is>
      </c>
      <c r="G88" s="15" t="inlineStr">
        <is>
          <t>Upcoming — IPO not yet opened</t>
        </is>
      </c>
      <c r="H88" s="15" t="n"/>
      <c r="I88" s="16" t="n"/>
      <c r="J88" s="16" t="n"/>
      <c r="K88" s="16" t="n"/>
      <c r="L88" s="17" t="n"/>
      <c r="M88" s="17" t="n"/>
      <c r="N88" s="17" t="n"/>
      <c r="O88" s="15" t="n"/>
      <c r="P88" s="15" t="n"/>
      <c r="Q88" s="18" t="inlineStr">
        <is>
          <t>https://www.sebi.gov.in/sebi_data/attachdocs/jun-2026/1780983427091.pdf</t>
        </is>
      </c>
      <c r="R88" s="18" t="inlineStr">
        <is>
          <t>https://www.sebi.gov.in/filings/public-issues/jun-2026/zepto-limited-udrhp1_101929.html</t>
        </is>
      </c>
      <c r="S88" s="18" t="inlineStr">
        <is>
          <t>https://www.sebi.gov.in/sebi_data/commondocs/jun-2026/Zepto%20Limited%20-%20abridged_p.pdf</t>
        </is>
      </c>
      <c r="T88" s="15" t="n"/>
      <c r="U88" s="15" t="n"/>
      <c r="V88" s="15" t="n"/>
      <c r="W88" s="16" t="n"/>
      <c r="X88" s="16" t="n"/>
      <c r="Y88" s="16" t="n"/>
      <c r="Z88" s="15" t="inlineStr">
        <is>
          <t>Dates not announced</t>
        </is>
      </c>
      <c r="AA88" s="15" t="inlineStr">
        <is>
          <t>SEBI nod 8-May-2026 (confidential filing); dates not announced</t>
        </is>
      </c>
      <c r="AB88" s="18" t="inlineStr">
        <is>
          <t>https://www.chittorgarh.com/ipo/zepto-ipo/2819/</t>
        </is>
      </c>
    </row>
    <row r="89" ht="15" customHeight="1" s="12">
      <c r="A89" s="14" t="n">
        <v>88</v>
      </c>
      <c r="B89" s="16" t="n">
        <v>46177</v>
      </c>
      <c r="C89" s="15" t="n">
        <v>2026</v>
      </c>
      <c r="D89" s="15" t="inlineStr">
        <is>
          <t>Pushp Brand India Limited</t>
        </is>
      </c>
      <c r="E89" s="15" t="inlineStr">
        <is>
          <t>DRHP</t>
        </is>
      </c>
      <c r="F89" s="15" t="inlineStr">
        <is>
          <t>Pushp Brand India Limited</t>
        </is>
      </c>
      <c r="G89" s="15" t="inlineStr">
        <is>
          <t>Upcoming — IPO not yet opened</t>
        </is>
      </c>
      <c r="H89" s="15" t="n"/>
      <c r="I89" s="16" t="n"/>
      <c r="J89" s="16" t="n"/>
      <c r="K89" s="16" t="n"/>
      <c r="L89" s="17" t="n"/>
      <c r="M89" s="17" t="n"/>
      <c r="N89" s="17" t="n"/>
      <c r="O89" s="15" t="n"/>
      <c r="P89" s="15" t="n"/>
      <c r="Q89" s="18" t="inlineStr">
        <is>
          <t>https://www.sebi.gov.in/sebi_data/attachdocs/jun-2026/1780558204915_1257.pdf</t>
        </is>
      </c>
      <c r="R89" s="18" t="inlineStr">
        <is>
          <t>https://www.sebi.gov.in/filings/public-issues/jun-2026/pushp-brand-india-limited_101826.html</t>
        </is>
      </c>
      <c r="S89" s="18" t="inlineStr">
        <is>
          <t>https://www.sebi.gov.in/sebi_data/commondocs/jun-2026/Pushp%20Brand%20India%20Limited%20-%20DAP_p.pdf</t>
        </is>
      </c>
      <c r="T89" s="15" t="n"/>
      <c r="U89" s="15" t="n"/>
      <c r="V89" s="15" t="n"/>
      <c r="W89" s="16" t="n"/>
      <c r="X89" s="16" t="n"/>
      <c r="Y89" s="16" t="n"/>
      <c r="Z89" s="15" t="inlineStr">
        <is>
          <t>Dates not announced</t>
        </is>
      </c>
      <c r="AA89" s="15" t="inlineStr">
        <is>
          <t>SEBI nod 27-Aug-2026; dates not announced</t>
        </is>
      </c>
      <c r="AB89" s="18" t="inlineStr">
        <is>
          <t>https://www.chittorgarh.com/ipo/pushp-brand-india-ipo/3137/</t>
        </is>
      </c>
    </row>
    <row r="90" ht="15" customHeight="1" s="12">
      <c r="A90" s="14" t="n">
        <v>89</v>
      </c>
      <c r="B90" s="16" t="n">
        <v>46176</v>
      </c>
      <c r="C90" s="15" t="n">
        <v>2026</v>
      </c>
      <c r="D90" s="15" t="inlineStr">
        <is>
          <t>Laser Power and Infra Limited</t>
        </is>
      </c>
      <c r="E90" s="15" t="inlineStr">
        <is>
          <t>Corrigendum</t>
        </is>
      </c>
      <c r="F90" s="15" t="inlineStr">
        <is>
          <t>Laser Power and Infra Limited - Corrigendum to DRHP</t>
        </is>
      </c>
      <c r="G90" s="15" t="inlineStr">
        <is>
          <t>IPO launched</t>
        </is>
      </c>
      <c r="H90" s="15" t="inlineStr">
        <is>
          <t>Mainboard</t>
        </is>
      </c>
      <c r="I90" s="16" t="n">
        <v>46212</v>
      </c>
      <c r="J90" s="16" t="n">
        <v>46216</v>
      </c>
      <c r="K90" s="16" t="n">
        <v>46219</v>
      </c>
      <c r="L90" s="17" t="n">
        <v>742</v>
      </c>
      <c r="M90" s="17" t="n">
        <v>542</v>
      </c>
      <c r="N90" s="17" t="n">
        <v>200</v>
      </c>
      <c r="O90" s="15" t="inlineStr">
        <is>
          <t>Final issue (ipoplatform)</t>
        </is>
      </c>
      <c r="P90" s="15" t="n"/>
      <c r="Q90" s="18" t="inlineStr">
        <is>
          <t>https://www.sebi.gov.in/sebi_data/attachdocs/jun-2026/1780468372100.pdf</t>
        </is>
      </c>
      <c r="R90" s="18" t="inlineStr">
        <is>
          <t>https://www.sebi.gov.in/filings/public-issues/jun-2026/laser-power-and-infra-limited-corrigendum-to-drhp_101792.html</t>
        </is>
      </c>
      <c r="S90" s="15" t="n"/>
      <c r="T90" s="15" t="inlineStr">
        <is>
          <t>Company name + date window</t>
        </is>
      </c>
      <c r="U90" s="15" t="inlineStr">
        <is>
          <t>Laser Power &amp; Infra Limited</t>
        </is>
      </c>
      <c r="V90" s="15" t="n"/>
      <c r="W90" s="15" t="n"/>
      <c r="X90" s="15" t="n"/>
      <c r="Y90" s="15" t="n"/>
      <c r="Z90" s="15" t="n"/>
      <c r="AA90" s="15" t="n"/>
      <c r="AB90" s="15" t="n"/>
    </row>
    <row r="91" ht="15" customHeight="1" s="12">
      <c r="A91" s="14" t="n">
        <v>90</v>
      </c>
      <c r="B91" s="16" t="n">
        <v>46175</v>
      </c>
      <c r="C91" s="15" t="n">
        <v>2026</v>
      </c>
      <c r="D91" s="15" t="inlineStr">
        <is>
          <t>Matangi Rubber Limited</t>
        </is>
      </c>
      <c r="E91" s="15" t="inlineStr">
        <is>
          <t>DRHP</t>
        </is>
      </c>
      <c r="F91" s="15" t="inlineStr">
        <is>
          <t>Matangi Rubber Limited - DRHP</t>
        </is>
      </c>
      <c r="G91" s="15" t="inlineStr">
        <is>
          <t>Upcoming — IPO not yet opened</t>
        </is>
      </c>
      <c r="H91" s="15" t="n"/>
      <c r="I91" s="16" t="n"/>
      <c r="J91" s="16" t="n"/>
      <c r="K91" s="16" t="n"/>
      <c r="L91" s="17" t="n"/>
      <c r="M91" s="17" t="n"/>
      <c r="N91" s="17" t="n"/>
      <c r="O91" s="15" t="inlineStr">
        <is>
          <t>DRHP cover</t>
        </is>
      </c>
      <c r="P91" s="15" t="inlineStr">
        <is>
          <t>Fresh issue up to 5,761,831 sh + OFS up to 1,515,150 sh</t>
        </is>
      </c>
      <c r="Q91" s="18" t="inlineStr">
        <is>
          <t>https://www.sebi.gov.in/sebi_data/attachdocs/jun-2026/1780389306989.pdf</t>
        </is>
      </c>
      <c r="R91" s="18" t="inlineStr">
        <is>
          <t>https://www.sebi.gov.in/filings/public-issues/jun-2026/matangi-rubber-limited-drhp_101764.html</t>
        </is>
      </c>
      <c r="S91" s="18" t="inlineStr">
        <is>
          <t>https://www.sebi.gov.in/sebi_data/commondocs/jun-2026/Matangi%20Rubber%20Limited%20-%20Abridged_p.pdf</t>
        </is>
      </c>
      <c r="T91" s="15" t="n"/>
      <c r="U91" s="15" t="n"/>
      <c r="V91" s="15" t="n"/>
      <c r="W91" s="16" t="n"/>
      <c r="X91" s="16" t="n"/>
      <c r="Y91" s="16" t="n"/>
      <c r="Z91" s="15" t="inlineStr">
        <is>
          <t>Dates not announced</t>
        </is>
      </c>
      <c r="AA91" s="15" t="inlineStr">
        <is>
          <t>Listed as upcoming BSE SME; no confirmed dates found</t>
        </is>
      </c>
      <c r="AB91" s="15" t="n"/>
    </row>
    <row r="92" ht="15" customHeight="1" s="12">
      <c r="A92" s="14" t="n">
        <v>91</v>
      </c>
      <c r="B92" s="16" t="n">
        <v>46175</v>
      </c>
      <c r="C92" s="15" t="n">
        <v>2026</v>
      </c>
      <c r="D92" s="15" t="inlineStr">
        <is>
          <t>Arohan Financial Services Limited</t>
        </is>
      </c>
      <c r="E92" s="15" t="inlineStr">
        <is>
          <t>DRHP</t>
        </is>
      </c>
      <c r="F92" s="15" t="inlineStr">
        <is>
          <t>Arohan Financial Services Limited - DRHP</t>
        </is>
      </c>
      <c r="G92" s="15" t="inlineStr">
        <is>
          <t>Upcoming — IPO not yet opened</t>
        </is>
      </c>
      <c r="H92" s="15" t="n"/>
      <c r="I92" s="16" t="n"/>
      <c r="J92" s="16" t="n"/>
      <c r="K92" s="16" t="n"/>
      <c r="L92" s="17" t="n"/>
      <c r="M92" s="17" t="n"/>
      <c r="N92" s="17" t="n"/>
      <c r="O92" s="15" t="n"/>
      <c r="P92" s="15" t="n"/>
      <c r="Q92" s="18" t="inlineStr">
        <is>
          <t>https://www.sebi.gov.in/sebi_data/attachdocs/jun-2026/1780373627534.pdf</t>
        </is>
      </c>
      <c r="R92" s="18" t="inlineStr">
        <is>
          <t>https://www.sebi.gov.in/filings/public-issues/jun-2026/arohan-financial-services-limited-drhp_101753.html</t>
        </is>
      </c>
      <c r="S92" s="18" t="inlineStr">
        <is>
          <t>https://www.sebi.gov.in/sebi_data/commondocs/jun-2026/Arohan%20Financial%20Services%20Limited%20-%20DRHP_p.pdf</t>
        </is>
      </c>
      <c r="T92" s="15" t="n"/>
      <c r="U92" s="15" t="n"/>
      <c r="V92" s="15" t="n"/>
      <c r="W92" s="16" t="n"/>
      <c r="X92" s="16" t="n"/>
      <c r="Y92" s="16" t="n"/>
      <c r="Z92" s="15" t="inlineStr">
        <is>
          <t>Dates not announced</t>
        </is>
      </c>
      <c r="AA92" s="15" t="inlineStr">
        <is>
          <t>Refiled DRHP May-2026; dates not announced</t>
        </is>
      </c>
      <c r="AB92" s="18" t="inlineStr">
        <is>
          <t>https://www.chittorgarh.com/ipo/arohan-financial-services-ipo/3135/</t>
        </is>
      </c>
    </row>
    <row r="93" ht="15" customHeight="1" s="12">
      <c r="A93" s="14" t="n">
        <v>92</v>
      </c>
      <c r="B93" s="16" t="n">
        <v>46174</v>
      </c>
      <c r="C93" s="15" t="n">
        <v>2026</v>
      </c>
      <c r="D93" s="15" t="inlineStr">
        <is>
          <t>Laser Power and Infra Limited</t>
        </is>
      </c>
      <c r="E93" s="15" t="inlineStr">
        <is>
          <t>Addendum</t>
        </is>
      </c>
      <c r="F93" s="15" t="inlineStr">
        <is>
          <t>Laser Power and Infra Limited - Addendum to DRHP</t>
        </is>
      </c>
      <c r="G93" s="15" t="inlineStr">
        <is>
          <t>IPO launched</t>
        </is>
      </c>
      <c r="H93" s="15" t="inlineStr">
        <is>
          <t>Mainboard</t>
        </is>
      </c>
      <c r="I93" s="16" t="n">
        <v>46212</v>
      </c>
      <c r="J93" s="16" t="n">
        <v>46216</v>
      </c>
      <c r="K93" s="16" t="n">
        <v>46219</v>
      </c>
      <c r="L93" s="17" t="n">
        <v>742</v>
      </c>
      <c r="M93" s="17" t="n">
        <v>542</v>
      </c>
      <c r="N93" s="17" t="n">
        <v>200</v>
      </c>
      <c r="O93" s="15" t="inlineStr">
        <is>
          <t>Final issue (ipoplatform)</t>
        </is>
      </c>
      <c r="P93" s="15" t="n"/>
      <c r="Q93" s="18" t="inlineStr">
        <is>
          <t>https://www.sebi.gov.in/sebi_data/attachdocs/jun-2026/1780296496868.pdf</t>
        </is>
      </c>
      <c r="R93" s="18" t="inlineStr">
        <is>
          <t>https://www.sebi.gov.in/filings/public-issues/jun-2026/laser-power-and-infra-limited-addendum-to-drhp_101721.html</t>
        </is>
      </c>
      <c r="S93" s="15" t="n"/>
      <c r="T93" s="15" t="inlineStr">
        <is>
          <t>Company name + date window</t>
        </is>
      </c>
      <c r="U93" s="15" t="inlineStr">
        <is>
          <t>Laser Power &amp; Infra Limited</t>
        </is>
      </c>
      <c r="V93" s="15" t="n"/>
      <c r="W93" s="15" t="n"/>
      <c r="X93" s="15" t="n"/>
      <c r="Y93" s="15" t="n"/>
      <c r="Z93" s="15" t="n"/>
      <c r="AA93" s="15" t="n"/>
      <c r="AB93" s="15" t="n"/>
    </row>
    <row r="94" ht="15" customHeight="1" s="12">
      <c r="A94" s="14" t="n">
        <v>93</v>
      </c>
      <c r="B94" s="16" t="n">
        <v>46171</v>
      </c>
      <c r="C94" s="15" t="n">
        <v>2026</v>
      </c>
      <c r="D94" s="15" t="inlineStr">
        <is>
          <t>Dhoot Transmission Limited</t>
        </is>
      </c>
      <c r="E94" s="15" t="inlineStr">
        <is>
          <t>UDRHP-I</t>
        </is>
      </c>
      <c r="F94" s="15" t="inlineStr">
        <is>
          <t>Dhoot Transmission Limited - UDRHP 1</t>
        </is>
      </c>
      <c r="G94" s="15" t="inlineStr">
        <is>
          <t>IPO launched</t>
        </is>
      </c>
      <c r="H94" s="15" t="inlineStr">
        <is>
          <t>Mainboard</t>
        </is>
      </c>
      <c r="I94" s="16" t="n">
        <v>46244</v>
      </c>
      <c r="J94" s="16" t="n">
        <v>46246</v>
      </c>
      <c r="K94" s="16" t="n">
        <v>46251</v>
      </c>
      <c r="L94" s="17" t="n">
        <v>3066.89</v>
      </c>
      <c r="M94" s="17" t="n">
        <v>1400</v>
      </c>
      <c r="N94" s="17" t="n">
        <v>1666.89</v>
      </c>
      <c r="O94" s="15" t="inlineStr">
        <is>
          <t>Final issue (ipoplatform)</t>
        </is>
      </c>
      <c r="P94" s="15" t="n"/>
      <c r="Q94" s="18" t="inlineStr">
        <is>
          <t>https://www.sebi.gov.in/sebi_data/attachdocs/may-2026/1780048215478.pdf</t>
        </is>
      </c>
      <c r="R94" s="18" t="inlineStr">
        <is>
          <t>https://www.sebi.gov.in/filings/public-issues/may-2026/dhoot-transmission-limited-udrhp-1_101683.html</t>
        </is>
      </c>
      <c r="S94" s="18" t="inlineStr">
        <is>
          <t>https://www.sebi.gov.in/sebi_data/commondocs/may-2026/Incred%20Holdings%20Limited%20-%20Abridged%20prospectus_p.pdf</t>
        </is>
      </c>
      <c r="T94" s="15" t="inlineStr">
        <is>
          <t>Company name + date window</t>
        </is>
      </c>
      <c r="U94" s="15" t="inlineStr">
        <is>
          <t>Dhoot Transmission Limited</t>
        </is>
      </c>
      <c r="V94" s="15" t="n"/>
      <c r="W94" s="15" t="n"/>
      <c r="X94" s="15" t="n"/>
      <c r="Y94" s="15" t="n"/>
      <c r="Z94" s="15" t="n"/>
      <c r="AA94" s="15" t="n"/>
      <c r="AB94" s="15" t="n"/>
    </row>
    <row r="95" ht="15" customHeight="1" s="12">
      <c r="A95" s="14" t="n">
        <v>94</v>
      </c>
      <c r="B95" s="16" t="n">
        <v>46162</v>
      </c>
      <c r="C95" s="15" t="n">
        <v>2026</v>
      </c>
      <c r="D95" s="15" t="inlineStr">
        <is>
          <t>M. K. SONS FINE JEWELS LIMITED</t>
        </is>
      </c>
      <c r="E95" s="15" t="inlineStr">
        <is>
          <t>DRHP</t>
        </is>
      </c>
      <c r="F95" s="15" t="inlineStr">
        <is>
          <t>M. K. SONS FINE JEWELS LIMITED</t>
        </is>
      </c>
      <c r="G95" s="15" t="inlineStr">
        <is>
          <t>Upcoming — IPO not yet opened</t>
        </is>
      </c>
      <c r="H95" s="15" t="n"/>
      <c r="I95" s="16" t="n"/>
      <c r="J95" s="16" t="n"/>
      <c r="K95" s="16" t="n"/>
      <c r="L95" s="17" t="n"/>
      <c r="M95" s="17" t="n"/>
      <c r="N95" s="17" t="n"/>
      <c r="O95" s="15" t="n"/>
      <c r="P95" s="15" t="n"/>
      <c r="Q95" s="18" t="inlineStr">
        <is>
          <t>https://www.sebi.gov.in/sebi_data/attachdocs/may-2026/1779262204888_1256.pdf</t>
        </is>
      </c>
      <c r="R95" s="18" t="inlineStr">
        <is>
          <t>https://www.sebi.gov.in/filings/public-issues/may-2026/m-k-sons-fine-jewels-limited_101528.html</t>
        </is>
      </c>
      <c r="S95" s="18" t="inlineStr">
        <is>
          <t>https://www.sebi.gov.in/sebi_data/commondocs/jun-2026/M%20K%20SONS%20-%20Draft%20Abridged%20Prospectus_p.pdf</t>
        </is>
      </c>
      <c r="T95" s="15" t="n"/>
      <c r="U95" s="15" t="n"/>
      <c r="V95" s="15" t="n"/>
      <c r="W95" s="16" t="n"/>
      <c r="X95" s="16" t="n"/>
      <c r="Y95" s="16" t="n"/>
      <c r="Z95" s="15" t="inlineStr">
        <is>
          <t>Dates not announced</t>
        </is>
      </c>
      <c r="AA95" s="15" t="inlineStr">
        <is>
          <t>SEBI nod 28-Aug-2026; dates not announced</t>
        </is>
      </c>
      <c r="AB95" s="18" t="inlineStr">
        <is>
          <t>https://www.chittorgarh.com/ipo/mksons-fine-jewels-ipo/3100/</t>
        </is>
      </c>
    </row>
    <row r="96" ht="15" customHeight="1" s="12">
      <c r="A96" s="14" t="n">
        <v>95</v>
      </c>
      <c r="B96" s="16" t="n">
        <v>46157</v>
      </c>
      <c r="C96" s="15" t="n">
        <v>2026</v>
      </c>
      <c r="D96" s="15" t="inlineStr">
        <is>
          <t>Gaurik Fashions Limited</t>
        </is>
      </c>
      <c r="E96" s="15" t="inlineStr">
        <is>
          <t>DRHP</t>
        </is>
      </c>
      <c r="F96" s="15" t="inlineStr">
        <is>
          <t>Gaurik Fashions Limited - DRHP</t>
        </is>
      </c>
      <c r="G96" s="15" t="inlineStr">
        <is>
          <t>Upcoming — IPO not yet opened</t>
        </is>
      </c>
      <c r="H96" s="15" t="n"/>
      <c r="I96" s="16" t="n"/>
      <c r="J96" s="16" t="n"/>
      <c r="K96" s="16" t="n"/>
      <c r="L96" s="17" t="n"/>
      <c r="M96" s="17" t="n"/>
      <c r="N96" s="17" t="n"/>
      <c r="O96" s="15" t="n"/>
      <c r="P96" s="15" t="n"/>
      <c r="Q96" s="18" t="inlineStr">
        <is>
          <t>https://www.sebi.gov.in/sebi_data/attachdocs/may-2026/1778844606056_1254.pdf</t>
        </is>
      </c>
      <c r="R96" s="18" t="inlineStr">
        <is>
          <t>https://www.sebi.gov.in/filings/public-issues/may-2026/gaurik-fashions-limited-drhp_101469.html</t>
        </is>
      </c>
      <c r="S96" s="18" t="inlineStr">
        <is>
          <t>https://www.sebi.gov.in/sebi_data/commondocs/sep-2026/Gaurik%20Fashions%20Limited%20-%20DAP_p.pdf</t>
        </is>
      </c>
      <c r="T96" s="15" t="n"/>
      <c r="U96" s="15" t="n"/>
      <c r="V96" s="15" t="n"/>
      <c r="W96" s="16" t="n"/>
      <c r="X96" s="16" t="n"/>
      <c r="Y96" s="16" t="n"/>
      <c r="Z96" s="15" t="inlineStr">
        <is>
          <t>Dates not announced</t>
        </is>
      </c>
      <c r="AA96" s="15" t="inlineStr">
        <is>
          <t>SEBI approval pending; dates not announced</t>
        </is>
      </c>
      <c r="AB96" s="18" t="inlineStr">
        <is>
          <t>https://www.chittorgarh.com/ipo/gaurik-fashions-ipo/3098/</t>
        </is>
      </c>
    </row>
    <row r="97" ht="15" customHeight="1" s="12">
      <c r="A97" s="14" t="n">
        <v>96</v>
      </c>
      <c r="B97" s="16" t="n">
        <v>46156</v>
      </c>
      <c r="C97" s="15" t="n">
        <v>2026</v>
      </c>
      <c r="D97" s="15" t="inlineStr">
        <is>
          <t>Incred Holdings Limited</t>
        </is>
      </c>
      <c r="E97" s="15" t="inlineStr">
        <is>
          <t>UDRHP-I</t>
        </is>
      </c>
      <c r="F97" s="15" t="inlineStr">
        <is>
          <t>Incred Holdings Limited - UDRHP 1</t>
        </is>
      </c>
      <c r="G97" s="15" t="inlineStr">
        <is>
          <t>Upcoming — IPO not yet opened</t>
        </is>
      </c>
      <c r="H97" s="15" t="n"/>
      <c r="I97" s="16" t="n"/>
      <c r="J97" s="16" t="n"/>
      <c r="K97" s="16" t="n"/>
      <c r="L97" s="17" t="n"/>
      <c r="M97" s="17" t="n">
        <v>1250</v>
      </c>
      <c r="N97" s="17" t="n"/>
      <c r="O97" s="15" t="inlineStr">
        <is>
          <t>DRHP cover</t>
        </is>
      </c>
      <c r="P97" s="15" t="inlineStr">
        <is>
          <t>Fresh issue up to ₹1,250.00 Cr + OFS up to 99,020,833 sh</t>
        </is>
      </c>
      <c r="Q97" s="18" t="inlineStr">
        <is>
          <t>https://www.sebi.gov.in/sebi_data/attachdocs/may-2026/1778757509849.pdf</t>
        </is>
      </c>
      <c r="R97" s="18" t="inlineStr">
        <is>
          <t>https://www.sebi.gov.in/filings/public-issues/may-2026/incred-holdings-limited-udrhp-1_101433.html</t>
        </is>
      </c>
      <c r="S97" s="18" t="inlineStr">
        <is>
          <t>https://www.sebi.gov.in/sebi_data/commondocs/may-2026/Incred%20Holdings%20Limited-Abridged%20prospectus_p.pdf</t>
        </is>
      </c>
      <c r="T97" s="15" t="n"/>
      <c r="U97" s="15" t="n"/>
      <c r="V97" s="15" t="n"/>
      <c r="W97" s="16" t="n"/>
      <c r="X97" s="16" t="n"/>
      <c r="Y97" s="16" t="n"/>
      <c r="Z97" s="15" t="inlineStr">
        <is>
          <t>Dates not announced</t>
        </is>
      </c>
      <c r="AA97" s="15" t="inlineStr">
        <is>
          <t>SEBI nod 5-Feb-2026; UDRHP-I filed; dates not announced</t>
        </is>
      </c>
      <c r="AB97" s="18" t="inlineStr">
        <is>
          <t>https://www.chittorgarh.com/ipo/incred-holdings-ipo/2797/</t>
        </is>
      </c>
    </row>
    <row r="98" ht="15" customHeight="1" s="12">
      <c r="A98" s="14" t="n">
        <v>97</v>
      </c>
      <c r="B98" s="16" t="n">
        <v>46156</v>
      </c>
      <c r="C98" s="15" t="n">
        <v>2026</v>
      </c>
      <c r="D98" s="15" t="inlineStr">
        <is>
          <t>Online Instruments(India) Limited</t>
        </is>
      </c>
      <c r="E98" s="15" t="inlineStr">
        <is>
          <t>DRHP</t>
        </is>
      </c>
      <c r="F98" s="15" t="inlineStr">
        <is>
          <t>Online Instruments(India) Limited - DRHP</t>
        </is>
      </c>
      <c r="G98" s="15" t="inlineStr">
        <is>
          <t>Upcoming — IPO not yet opened</t>
        </is>
      </c>
      <c r="H98" s="15" t="n"/>
      <c r="I98" s="16" t="n"/>
      <c r="J98" s="16" t="n"/>
      <c r="K98" s="16" t="n"/>
      <c r="L98" s="17" t="n"/>
      <c r="M98" s="17" t="n">
        <v>750</v>
      </c>
      <c r="N98" s="17" t="n"/>
      <c r="O98" s="15" t="inlineStr">
        <is>
          <t>DRHP cover</t>
        </is>
      </c>
      <c r="P98" s="15" t="inlineStr">
        <is>
          <t>Fresh issue up to ₹750.00 Cr + OFS up to 5,710,000 sh</t>
        </is>
      </c>
      <c r="Q98" s="18" t="inlineStr">
        <is>
          <t>https://www.sebi.gov.in/sebi_data/attachdocs/may-2026/1778754857352.pdf</t>
        </is>
      </c>
      <c r="R98" s="18" t="inlineStr">
        <is>
          <t>https://www.sebi.gov.in/filings/public-issues/may-2026/online-instruments-india-limited-drhp_101429.html</t>
        </is>
      </c>
      <c r="S98" s="18" t="inlineStr">
        <is>
          <t>https://www.sebi.gov.in/sebi_data/commondocs/may-2026/Online%20Instruments%20india%20Limite-AP_p.pdf</t>
        </is>
      </c>
      <c r="T98" s="15" t="n"/>
      <c r="U98" s="15" t="n"/>
      <c r="V98" s="15" t="n"/>
      <c r="W98" s="16" t="n"/>
      <c r="X98" s="16" t="n"/>
      <c r="Y98" s="16" t="n"/>
      <c r="Z98" s="15" t="inlineStr">
        <is>
          <t>Dates not announced</t>
        </is>
      </c>
      <c r="AA98" s="15" t="inlineStr">
        <is>
          <t>SEBI nod 18-Aug-2026; dates not announced</t>
        </is>
      </c>
      <c r="AB98" s="18" t="inlineStr">
        <is>
          <t>https://www.chittorgarh.com/ipo/online-instruments-india-ipo/3099/</t>
        </is>
      </c>
    </row>
    <row r="99" ht="15" customHeight="1" s="12">
      <c r="A99" s="14" t="n">
        <v>98</v>
      </c>
      <c r="B99" s="16" t="n">
        <v>46147</v>
      </c>
      <c r="C99" s="15" t="n">
        <v>2026</v>
      </c>
      <c r="D99" s="15" t="inlineStr">
        <is>
          <t>Jindal Supreme (India) Limited</t>
        </is>
      </c>
      <c r="E99" s="15" t="inlineStr">
        <is>
          <t>DRHP</t>
        </is>
      </c>
      <c r="F99" s="15" t="inlineStr">
        <is>
          <t>Jindal Supreme (India) Limited - DRHP</t>
        </is>
      </c>
      <c r="G99" s="15" t="inlineStr">
        <is>
          <t>IPO launched</t>
        </is>
      </c>
      <c r="H99" s="15" t="inlineStr">
        <is>
          <t>Mainboard</t>
        </is>
      </c>
      <c r="I99" s="16" t="n">
        <v>46281</v>
      </c>
      <c r="J99" s="16" t="n">
        <v>46283</v>
      </c>
      <c r="K99" s="16" t="n">
        <v>46288</v>
      </c>
      <c r="L99" s="17" t="n">
        <v>124.88</v>
      </c>
      <c r="M99" s="17" t="n">
        <v>99.89</v>
      </c>
      <c r="N99" s="17" t="n">
        <v>24.99</v>
      </c>
      <c r="O99" s="15" t="inlineStr">
        <is>
          <t>Final issue (ipoplatform)</t>
        </is>
      </c>
      <c r="P99" s="15" t="n"/>
      <c r="Q99" s="18" t="inlineStr">
        <is>
          <t>https://www.sebi.gov.in/sebi_data/attachdocs/may-2026/1777962146070.PDF</t>
        </is>
      </c>
      <c r="R99" s="18" t="inlineStr">
        <is>
          <t>https://www.sebi.gov.in/filings/public-issues/may-2026/jindal-supreme-india-limited-drhp_101256.html</t>
        </is>
      </c>
      <c r="S99" s="18" t="inlineStr">
        <is>
          <t>https://www.sebi.gov.in/sebi_data/commondocs/may-2026/Jindal%20Supreme%20India%20Limited%20-%20AP_p.pdf</t>
        </is>
      </c>
      <c r="T99" s="15" t="inlineStr">
        <is>
          <t>Company name + date window</t>
        </is>
      </c>
      <c r="U99" s="15" t="inlineStr">
        <is>
          <t>Jindal Supreme (India) Limited</t>
        </is>
      </c>
      <c r="V99" s="15" t="n"/>
      <c r="W99" s="15" t="n"/>
      <c r="X99" s="15" t="n"/>
      <c r="Y99" s="15" t="n"/>
      <c r="Z99" s="15" t="n"/>
      <c r="AA99" s="15" t="n"/>
      <c r="AB99" s="15" t="n"/>
    </row>
    <row r="100" ht="15" customHeight="1" s="12">
      <c r="A100" s="14" t="n">
        <v>99</v>
      </c>
      <c r="B100" s="16" t="n">
        <v>46141</v>
      </c>
      <c r="C100" s="15" t="n">
        <v>2026</v>
      </c>
      <c r="D100" s="15" t="inlineStr">
        <is>
          <t>Playsimple Games Limited</t>
        </is>
      </c>
      <c r="E100" s="15" t="inlineStr">
        <is>
          <t>DRHP</t>
        </is>
      </c>
      <c r="F100" s="15" t="inlineStr">
        <is>
          <t>Playsimple Games Limited - DRHP</t>
        </is>
      </c>
      <c r="G100" s="15" t="inlineStr">
        <is>
          <t>Upcoming — IPO not yet opened</t>
        </is>
      </c>
      <c r="H100" s="15" t="n"/>
      <c r="I100" s="16" t="n"/>
      <c r="J100" s="16" t="n"/>
      <c r="K100" s="16" t="n"/>
      <c r="L100" s="17" t="n"/>
      <c r="M100" s="17" t="n"/>
      <c r="N100" s="17" t="n"/>
      <c r="O100" s="15" t="n"/>
      <c r="P100" s="15" t="n"/>
      <c r="Q100" s="18" t="inlineStr">
        <is>
          <t>https://www.sebi.gov.in/sebi_data/attachdocs/apr-2026/1777447805864_1234.pdf</t>
        </is>
      </c>
      <c r="R100" s="18" t="inlineStr">
        <is>
          <t>https://www.sebi.gov.in/filings/public-issues/apr-2026/playsimple-games-limited-drhp_101159.html</t>
        </is>
      </c>
      <c r="S100" s="18" t="inlineStr">
        <is>
          <t>https://www.sebi.gov.in/sebi_data/commondocs/may-2026/Playsimple%20Games%20Limited_p.pdf</t>
        </is>
      </c>
      <c r="T100" s="15" t="n"/>
      <c r="U100" s="15" t="n"/>
      <c r="V100" s="15" t="n"/>
      <c r="W100" s="16" t="n"/>
      <c r="X100" s="16" t="n"/>
      <c r="Y100" s="16" t="n"/>
      <c r="Z100" s="15" t="inlineStr">
        <is>
          <t>Dates not announced</t>
        </is>
      </c>
      <c r="AA100" s="15" t="inlineStr">
        <is>
          <t>SEBI nod 6-Aug-2026; dates not announced</t>
        </is>
      </c>
      <c r="AB100" s="18" t="inlineStr">
        <is>
          <t>https://www.chittorgarh.com/ipo/playsimple-games-ipo/3087/</t>
        </is>
      </c>
    </row>
    <row r="101" ht="15" customHeight="1" s="12">
      <c r="A101" s="14" t="n">
        <v>100</v>
      </c>
      <c r="B101" s="16" t="n">
        <v>46134</v>
      </c>
      <c r="C101" s="15" t="n">
        <v>2026</v>
      </c>
      <c r="D101" s="15" t="inlineStr">
        <is>
          <t>Punjab Carbonic Limited</t>
        </is>
      </c>
      <c r="E101" s="15" t="inlineStr">
        <is>
          <t>DRHP</t>
        </is>
      </c>
      <c r="F101" s="15" t="inlineStr">
        <is>
          <t>Punjab Carbonic Limited - DRHP</t>
        </is>
      </c>
      <c r="G101" s="15" t="inlineStr">
        <is>
          <t>Upcoming — IPO not yet opened</t>
        </is>
      </c>
      <c r="H101" s="15" t="n"/>
      <c r="I101" s="16" t="n"/>
      <c r="J101" s="16" t="n"/>
      <c r="K101" s="16" t="n"/>
      <c r="L101" s="17" t="n"/>
      <c r="M101" s="17" t="n"/>
      <c r="N101" s="17" t="n"/>
      <c r="O101" s="15" t="n"/>
      <c r="P101" s="15" t="n"/>
      <c r="Q101" s="18" t="inlineStr">
        <is>
          <t>https://www.sebi.gov.in/sebi_data/attachdocs/apr-2026/1776843005609_1228.pdf</t>
        </is>
      </c>
      <c r="R101" s="18" t="inlineStr">
        <is>
          <t>https://www.sebi.gov.in/filings/public-issues/apr-2026/punjab-carbonic-limited-drhp_101039.html</t>
        </is>
      </c>
      <c r="S101" s="18" t="inlineStr">
        <is>
          <t>https://www.sebi.gov.in/sebi_data/commondocs/may-2026/Draft_Abridged_Prospectus_PCL_p.pdf</t>
        </is>
      </c>
      <c r="T101" s="15" t="n"/>
      <c r="U101" s="15" t="n"/>
      <c r="V101" s="15" t="n"/>
      <c r="W101" s="16" t="n"/>
      <c r="X101" s="16" t="n"/>
      <c r="Y101" s="16" t="n"/>
      <c r="Z101" s="15" t="inlineStr">
        <is>
          <t>Dates not announced</t>
        </is>
      </c>
      <c r="AA101" s="15" t="inlineStr">
        <is>
          <t>DRHP filed; no approval or dates announced</t>
        </is>
      </c>
      <c r="AB101" s="18" t="inlineStr">
        <is>
          <t>https://www.chittorgarh.com/ipo/punjab-carbonic-ipo/2984/</t>
        </is>
      </c>
    </row>
    <row r="102" ht="15" customHeight="1" s="12">
      <c r="A102" s="14" t="n">
        <v>101</v>
      </c>
      <c r="B102" s="16" t="n">
        <v>46128</v>
      </c>
      <c r="C102" s="15" t="n">
        <v>2026</v>
      </c>
      <c r="D102" s="15" t="inlineStr">
        <is>
          <t>Absolute Projects India Limited</t>
        </is>
      </c>
      <c r="E102" s="15" t="inlineStr">
        <is>
          <t>DRHP</t>
        </is>
      </c>
      <c r="F102" s="15" t="inlineStr">
        <is>
          <t>Absolute Projects India Limited - DRHP</t>
        </is>
      </c>
      <c r="G102" s="15" t="inlineStr">
        <is>
          <t>Upcoming — IPO not yet opened</t>
        </is>
      </c>
      <c r="H102" s="15" t="n"/>
      <c r="I102" s="16" t="n"/>
      <c r="J102" s="16" t="n"/>
      <c r="K102" s="16" t="n"/>
      <c r="L102" s="17" t="n"/>
      <c r="M102" s="17" t="n"/>
      <c r="N102" s="17" t="n"/>
      <c r="O102" s="15" t="n"/>
      <c r="P102" s="15" t="n"/>
      <c r="Q102" s="18" t="inlineStr">
        <is>
          <t>https://www.sebi.gov.in/sebi_data/attachdocs/apr-2026/1776339007769_1227.pdf</t>
        </is>
      </c>
      <c r="R102" s="18" t="inlineStr">
        <is>
          <t>https://www.sebi.gov.in/filings/public-issues/apr-2026/absolute-projects-india-limited-drhp_100947.html</t>
        </is>
      </c>
      <c r="S102" s="18" t="inlineStr">
        <is>
          <t>https://www.sebi.gov.in/sebi_data/commondocs/jul-2026/Absolute%20Projects%20India%20Limited%20-%20DAP_p.pdf</t>
        </is>
      </c>
      <c r="T102" s="15" t="n"/>
      <c r="U102" s="15" t="n"/>
      <c r="V102" s="15" t="n"/>
      <c r="W102" s="16" t="n"/>
      <c r="X102" s="16" t="n"/>
      <c r="Y102" s="16" t="n"/>
      <c r="Z102" s="15" t="inlineStr">
        <is>
          <t>Dates not announced</t>
        </is>
      </c>
      <c r="AA102" s="15" t="inlineStr">
        <is>
          <t>SEBI nod 17-Jul-2026; dates not announced</t>
        </is>
      </c>
      <c r="AB102" s="18" t="inlineStr">
        <is>
          <t>https://www.chittorgarh.com/ipo/absolute-project-india-ipo/2983/</t>
        </is>
      </c>
    </row>
    <row r="103" ht="15" customHeight="1" s="12">
      <c r="A103" s="14" t="n">
        <v>102</v>
      </c>
      <c r="B103" s="16" t="n">
        <v>46128</v>
      </c>
      <c r="C103" s="15" t="n">
        <v>2026</v>
      </c>
      <c r="D103" s="15" t="inlineStr">
        <is>
          <t>MONOMARK ENGINEERING INDIA LIMITED</t>
        </is>
      </c>
      <c r="E103" s="15" t="inlineStr">
        <is>
          <t>DRHP</t>
        </is>
      </c>
      <c r="F103" s="15" t="inlineStr">
        <is>
          <t>MONOMARK ENGINEERING INDIA LIMITED - DRHP</t>
        </is>
      </c>
      <c r="G103" s="15" t="inlineStr">
        <is>
          <t>Upcoming — IPO not yet opened</t>
        </is>
      </c>
      <c r="H103" s="15" t="n"/>
      <c r="I103" s="16" t="n"/>
      <c r="J103" s="16" t="n"/>
      <c r="K103" s="16" t="n"/>
      <c r="L103" s="17" t="n"/>
      <c r="M103" s="17" t="n"/>
      <c r="N103" s="17" t="n"/>
      <c r="O103" s="15" t="n"/>
      <c r="P103" s="15" t="n"/>
      <c r="Q103" s="18" t="inlineStr">
        <is>
          <t>https://www.sebi.gov.in/sebi_data/attachdocs/apr-2026/1776339007769_1226.pdf</t>
        </is>
      </c>
      <c r="R103" s="18" t="inlineStr">
        <is>
          <t>https://www.sebi.gov.in/filings/public-issues/apr-2026/monomark-engineering-india-limited-drhp_100945.html</t>
        </is>
      </c>
      <c r="S103" s="18" t="inlineStr">
        <is>
          <t>https://www.sebi.gov.in/sebi_data/commondocs/aug-2026/Monomark%20Engineering%20-%20AP_p.pdf</t>
        </is>
      </c>
      <c r="T103" s="15" t="n"/>
      <c r="U103" s="15" t="n"/>
      <c r="V103" s="15" t="n"/>
      <c r="W103" s="16" t="n"/>
      <c r="X103" s="16" t="n"/>
      <c r="Y103" s="16" t="n"/>
      <c r="Z103" s="15" t="inlineStr">
        <is>
          <t>Dates not announced</t>
        </is>
      </c>
      <c r="AA103" s="15" t="inlineStr">
        <is>
          <t>SEBI nod 4-Sep-2026; dates not announced</t>
        </is>
      </c>
      <c r="AB103" s="18" t="inlineStr">
        <is>
          <t>https://www.chittorgarh.com/ipo/monomark-engineering-ipo/2972/</t>
        </is>
      </c>
    </row>
    <row r="104" ht="15" customHeight="1" s="12">
      <c r="A104" s="14" t="n">
        <v>103</v>
      </c>
      <c r="B104" s="16" t="n">
        <v>46127</v>
      </c>
      <c r="C104" s="15" t="n">
        <v>2026</v>
      </c>
      <c r="D104" s="15" t="inlineStr">
        <is>
          <t>Prasol Chemicals Limited</t>
        </is>
      </c>
      <c r="E104" s="15" t="inlineStr">
        <is>
          <t>Corrigendum</t>
        </is>
      </c>
      <c r="F104" s="15" t="inlineStr">
        <is>
          <t>Prasol Chemicals Limited - Corrigendum to DRHP - 2</t>
        </is>
      </c>
      <c r="G104" s="15" t="inlineStr">
        <is>
          <t>IPO launched</t>
        </is>
      </c>
      <c r="H104" s="15" t="inlineStr">
        <is>
          <t>Mainboard</t>
        </is>
      </c>
      <c r="I104" s="16" t="n">
        <v>46273</v>
      </c>
      <c r="J104" s="16" t="n">
        <v>46275</v>
      </c>
      <c r="K104" s="16" t="n">
        <v>46281</v>
      </c>
      <c r="L104" s="17" t="n">
        <v>500</v>
      </c>
      <c r="M104" s="17" t="n">
        <v>80</v>
      </c>
      <c r="N104" s="17" t="n">
        <v>420</v>
      </c>
      <c r="O104" s="15" t="inlineStr">
        <is>
          <t>Final issue (ipoplatform)</t>
        </is>
      </c>
      <c r="P104" s="15" t="n"/>
      <c r="Q104" s="18" t="inlineStr">
        <is>
          <t>https://www.sebi.gov.in/sebi_data/attachdocs/apr-2026/1776248390185.pdf</t>
        </is>
      </c>
      <c r="R104" s="18" t="inlineStr">
        <is>
          <t>https://www.sebi.gov.in/filings/public-issues/apr-2026/prasol-chemicals-limited-corrigendum-to-drhp-2_100930.html</t>
        </is>
      </c>
      <c r="S104" s="15" t="n"/>
      <c r="T104" s="15" t="inlineStr">
        <is>
          <t>Company name + date window</t>
        </is>
      </c>
      <c r="U104" s="15" t="inlineStr">
        <is>
          <t>Prasol Chemicals Limited</t>
        </is>
      </c>
      <c r="V104" s="15" t="n"/>
      <c r="W104" s="15" t="n"/>
      <c r="X104" s="15" t="n"/>
      <c r="Y104" s="15" t="n"/>
      <c r="Z104" s="15" t="n"/>
      <c r="AA104" s="15" t="n"/>
      <c r="AB104" s="15" t="n"/>
    </row>
    <row r="105" ht="15" customHeight="1" s="12">
      <c r="A105" s="14" t="n">
        <v>104</v>
      </c>
      <c r="B105" s="16" t="n">
        <v>46122</v>
      </c>
      <c r="C105" s="15" t="n">
        <v>2026</v>
      </c>
      <c r="D105" s="15" t="inlineStr">
        <is>
          <t>Expression 360 Services India Limited</t>
        </is>
      </c>
      <c r="E105" s="15" t="inlineStr">
        <is>
          <t>DRHP</t>
        </is>
      </c>
      <c r="F105" s="15" t="inlineStr">
        <is>
          <t>Expression 360 Services India Limited - DRHP</t>
        </is>
      </c>
      <c r="G105" s="15" t="inlineStr">
        <is>
          <t>Upcoming — IPO not yet opened</t>
        </is>
      </c>
      <c r="H105" s="15" t="n"/>
      <c r="I105" s="16" t="n"/>
      <c r="J105" s="16" t="n"/>
      <c r="K105" s="16" t="n"/>
      <c r="L105" s="17" t="n"/>
      <c r="M105" s="17" t="n"/>
      <c r="N105" s="17" t="n"/>
      <c r="O105" s="15" t="inlineStr">
        <is>
          <t>DRHP cover</t>
        </is>
      </c>
      <c r="P105" s="15" t="inlineStr">
        <is>
          <t>OFS up to 15,000,000 sh</t>
        </is>
      </c>
      <c r="Q105" s="18" t="inlineStr">
        <is>
          <t>https://www.sebi.gov.in/sebi_data/attachdocs/apr-2026/1775819035932.pdf</t>
        </is>
      </c>
      <c r="R105" s="18" t="inlineStr">
        <is>
          <t>https://www.sebi.gov.in/filings/public-issues/apr-2026/expression-360-services-india-limited-drhp_100861.html</t>
        </is>
      </c>
      <c r="S105" s="18" t="inlineStr">
        <is>
          <t>https://www.sebi.gov.in/sebi_data/commondocs/apr-2026/Expression%20360%20Services%20India%20Limited-Abridged%20Prospectus_p.pdf</t>
        </is>
      </c>
      <c r="T105" s="15" t="n"/>
      <c r="U105" s="15" t="n"/>
      <c r="V105" s="15" t="n"/>
      <c r="W105" s="16" t="n"/>
      <c r="X105" s="16" t="n"/>
      <c r="Y105" s="16" t="n"/>
      <c r="Z105" s="15" t="inlineStr">
        <is>
          <t>Dates not announced</t>
        </is>
      </c>
      <c r="AA105" s="15" t="inlineStr">
        <is>
          <t>SEBI nod 7-Aug-2026; dates not announced</t>
        </is>
      </c>
      <c r="AB105" s="18" t="inlineStr">
        <is>
          <t>https://www.chittorgarh.com/ipo/expression-360-services-ipo/3081/</t>
        </is>
      </c>
    </row>
    <row r="106" ht="15" customHeight="1" s="12">
      <c r="A106" s="14" t="n">
        <v>105</v>
      </c>
      <c r="B106" s="16" t="n">
        <v>46122</v>
      </c>
      <c r="C106" s="15" t="n">
        <v>2026</v>
      </c>
      <c r="D106" s="15" t="inlineStr">
        <is>
          <t>T.C. Terrytex Limited</t>
        </is>
      </c>
      <c r="E106" s="15" t="inlineStr">
        <is>
          <t>DRHP</t>
        </is>
      </c>
      <c r="F106" s="15" t="inlineStr">
        <is>
          <t>T.C. Terrytex Limited - DRHP</t>
        </is>
      </c>
      <c r="G106" s="15" t="inlineStr">
        <is>
          <t>Upcoming — IPO not yet opened</t>
        </is>
      </c>
      <c r="H106" s="15" t="n"/>
      <c r="I106" s="16" t="n"/>
      <c r="J106" s="16" t="n"/>
      <c r="K106" s="16" t="n"/>
      <c r="L106" s="17" t="n"/>
      <c r="M106" s="17" t="n"/>
      <c r="N106" s="17" t="n"/>
      <c r="O106" s="15" t="n"/>
      <c r="P106" s="15" t="n"/>
      <c r="Q106" s="18" t="inlineStr">
        <is>
          <t>https://www.sebi.gov.in/sebi_data/attachdocs/apr-2026/1775806206718_1224.pdf</t>
        </is>
      </c>
      <c r="R106" s="18" t="inlineStr">
        <is>
          <t>https://www.sebi.gov.in/filings/public-issues/apr-2026/t-c-terrytex-limited-drhp_100856.html</t>
        </is>
      </c>
      <c r="S106" s="18" t="inlineStr">
        <is>
          <t>https://www.sebi.gov.in/sebi_data/commondocs/apr-2026/TC%20TERRYTEX%20LIMITED-Abridged%20Prospectus_p.pdf</t>
        </is>
      </c>
      <c r="T106" s="15" t="n"/>
      <c r="U106" s="15" t="n"/>
      <c r="V106" s="15" t="n"/>
      <c r="W106" s="16" t="n"/>
      <c r="X106" s="16" t="n"/>
      <c r="Y106" s="16" t="n"/>
      <c r="Z106" s="15" t="inlineStr">
        <is>
          <t>Dates not announced</t>
        </is>
      </c>
      <c r="AA106" s="15" t="inlineStr">
        <is>
          <t>DRHP filed; no approval or dates announced</t>
        </is>
      </c>
      <c r="AB106" s="18" t="inlineStr">
        <is>
          <t>https://www.chittorgarh.com/ipo/tc-terrytex-ipo/2994/</t>
        </is>
      </c>
    </row>
    <row r="107" ht="15" customHeight="1" s="12">
      <c r="A107" s="14" t="n">
        <v>106</v>
      </c>
      <c r="B107" s="16" t="n">
        <v>46120</v>
      </c>
      <c r="C107" s="15" t="n">
        <v>2026</v>
      </c>
      <c r="D107" s="15" t="inlineStr">
        <is>
          <t>Gujarat Victory Forgings Limited</t>
        </is>
      </c>
      <c r="E107" s="15" t="inlineStr">
        <is>
          <t>DRHP</t>
        </is>
      </c>
      <c r="F107" s="15" t="inlineStr">
        <is>
          <t>Gujarat Victory Forgings Limited - DRHP</t>
        </is>
      </c>
      <c r="G107" s="15" t="inlineStr">
        <is>
          <t>Upcoming — IPO not yet opened</t>
        </is>
      </c>
      <c r="H107" s="15" t="n"/>
      <c r="I107" s="16" t="n"/>
      <c r="J107" s="16" t="n"/>
      <c r="K107" s="16" t="n"/>
      <c r="L107" s="17" t="n"/>
      <c r="M107" s="17" t="n"/>
      <c r="N107" s="17" t="n"/>
      <c r="O107" s="15" t="inlineStr">
        <is>
          <t>DRHP cover</t>
        </is>
      </c>
      <c r="P107" s="15" t="inlineStr">
        <is>
          <t>Fresh issue up to 6,500,000 sh + OFS up to 13,200,000 sh</t>
        </is>
      </c>
      <c r="Q107" s="18" t="inlineStr">
        <is>
          <t>https://www.sebi.gov.in/sebi_data/attachdocs/apr-2026/1775633415124_1222.pdf</t>
        </is>
      </c>
      <c r="R107" s="18" t="inlineStr">
        <is>
          <t>https://www.sebi.gov.in/filings/public-issues/apr-2026/gujarat-victory-forgings-limited-drhp_100804.html</t>
        </is>
      </c>
      <c r="S107" s="18" t="inlineStr">
        <is>
          <t>https://www.sebi.gov.in/sebi_data/commondocs/apr-2026/GUJARAT%20VICTORY%20FORGINGS%20LIMITED-Abridged%20Prospectus_p.pdf</t>
        </is>
      </c>
      <c r="T107" s="15" t="n"/>
      <c r="U107" s="15" t="n"/>
      <c r="V107" s="15" t="n"/>
      <c r="W107" s="16" t="n"/>
      <c r="X107" s="16" t="n"/>
      <c r="Y107" s="16" t="n"/>
      <c r="Z107" s="15" t="inlineStr">
        <is>
          <t>Dates not announced</t>
        </is>
      </c>
      <c r="AA107" s="15" t="inlineStr">
        <is>
          <t>SEBI nod 8-Jul-2026; dates not announced</t>
        </is>
      </c>
      <c r="AB107" s="18" t="inlineStr">
        <is>
          <t>https://www.chittorgarh.com/ipo/gujarat-victory-forging-ipo/2975/</t>
        </is>
      </c>
    </row>
    <row r="108" ht="15" customHeight="1" s="12">
      <c r="A108" s="14" t="n">
        <v>107</v>
      </c>
      <c r="B108" s="16" t="n">
        <v>46120</v>
      </c>
      <c r="C108" s="15" t="n">
        <v>2026</v>
      </c>
      <c r="D108" s="15" t="inlineStr">
        <is>
          <t>Nityas Gems and Jewellery Limited</t>
        </is>
      </c>
      <c r="E108" s="15" t="inlineStr">
        <is>
          <t>DRHP</t>
        </is>
      </c>
      <c r="F108" s="15" t="inlineStr">
        <is>
          <t>Nityas Gems and Jewellery Limited - DRHP</t>
        </is>
      </c>
      <c r="G108" s="15" t="inlineStr">
        <is>
          <t>Upcoming — IPO not yet opened</t>
        </is>
      </c>
      <c r="H108" s="15" t="n"/>
      <c r="I108" s="16" t="n"/>
      <c r="J108" s="16" t="n"/>
      <c r="K108" s="16" t="n"/>
      <c r="L108" s="17" t="n"/>
      <c r="M108" s="17" t="n"/>
      <c r="N108" s="17" t="n"/>
      <c r="O108" s="15" t="n"/>
      <c r="P108" s="15" t="n"/>
      <c r="Q108" s="18" t="inlineStr">
        <is>
          <t>https://www.sebi.gov.in/sebi_data/attachdocs/apr-2026/1775633415124_1221.pdf</t>
        </is>
      </c>
      <c r="R108" s="18" t="inlineStr">
        <is>
          <t>https://www.sebi.gov.in/filings/public-issues/apr-2026/nityas-gems-and-jewellery-limited-drhp_100802.html</t>
        </is>
      </c>
      <c r="S108" s="18" t="inlineStr">
        <is>
          <t>https://www.sebi.gov.in/sebi_data/commondocs/apr-2026/Nityas%20Gems%20and%20Jewellery%20Limited-Abridged%20Prospectus_p.pdf</t>
        </is>
      </c>
      <c r="T108" s="15" t="n"/>
      <c r="U108" s="15" t="n"/>
      <c r="V108" s="15" t="n"/>
      <c r="W108" s="19" t="n">
        <v>46295</v>
      </c>
      <c r="X108" s="19" t="n">
        <v>46300</v>
      </c>
      <c r="Y108" s="19" t="n">
        <v>46303</v>
      </c>
      <c r="Z108" s="20" t="inlineStr">
        <is>
          <t>Issue opened</t>
        </is>
      </c>
      <c r="AA108" s="15" t="inlineStr">
        <is>
          <t>Matched on chittorgarh.com</t>
        </is>
      </c>
      <c r="AB108" s="18" t="inlineStr">
        <is>
          <t>https://www.chittorgarh.com/ipo/nityas-gems-jewellery-ipo/2974/</t>
        </is>
      </c>
    </row>
    <row r="109" ht="15" customHeight="1" s="12">
      <c r="A109" s="14" t="n">
        <v>108</v>
      </c>
      <c r="B109" s="16" t="n">
        <v>46120</v>
      </c>
      <c r="C109" s="15" t="n">
        <v>2026</v>
      </c>
      <c r="D109" s="15" t="inlineStr">
        <is>
          <t>Bvishal Oil and Energy Limited</t>
        </is>
      </c>
      <c r="E109" s="15" t="inlineStr">
        <is>
          <t>DRHP</t>
        </is>
      </c>
      <c r="F109" s="15" t="inlineStr">
        <is>
          <t>Bvishal Oil and Energy Limited -DRHP</t>
        </is>
      </c>
      <c r="G109" s="15" t="inlineStr">
        <is>
          <t>Upcoming — IPO not yet opened</t>
        </is>
      </c>
      <c r="H109" s="15" t="n"/>
      <c r="I109" s="16" t="n"/>
      <c r="J109" s="16" t="n"/>
      <c r="K109" s="16" t="n"/>
      <c r="L109" s="17" t="n"/>
      <c r="M109" s="17" t="n"/>
      <c r="N109" s="17" t="n"/>
      <c r="O109" s="15" t="inlineStr">
        <is>
          <t>DRHP cover</t>
        </is>
      </c>
      <c r="P109" s="15" t="inlineStr">
        <is>
          <t>Fresh issue up to 18,000,000 sh + OFS up to 7,709,799 sh</t>
        </is>
      </c>
      <c r="Q109" s="18" t="inlineStr">
        <is>
          <t>https://www.sebi.gov.in/sebi_data/attachdocs/apr-2026/1775633415124_1219.pdf</t>
        </is>
      </c>
      <c r="R109" s="18" t="inlineStr">
        <is>
          <t>https://www.sebi.gov.in/filings/public-issues/apr-2026/bvishal-oil-and-energy-limited-drhp_100798.html</t>
        </is>
      </c>
      <c r="S109" s="18" t="inlineStr">
        <is>
          <t>https://www.sebi.gov.in/sebi_data/commondocs/apr-2026/Bvishal%20Oil%20and%20Energy%20Limited-Abridged%20Prospectus_p.pdf</t>
        </is>
      </c>
      <c r="T109" s="15" t="n"/>
      <c r="U109" s="15" t="n"/>
      <c r="V109" s="15" t="n"/>
      <c r="W109" s="16" t="n"/>
      <c r="X109" s="16" t="n"/>
      <c r="Y109" s="16" t="n"/>
      <c r="Z109" s="15" t="inlineStr">
        <is>
          <t>Dates not announced</t>
        </is>
      </c>
      <c r="AA109" s="15" t="inlineStr">
        <is>
          <t>DRHP filed; no approval or dates announced</t>
        </is>
      </c>
      <c r="AB109" s="18" t="inlineStr">
        <is>
          <t>https://www.chittorgarh.com/ipo/bvishal-oil-and-energy-ipo/2988/</t>
        </is>
      </c>
    </row>
    <row r="110" ht="15" customHeight="1" s="12">
      <c r="A110" s="14" t="n">
        <v>109</v>
      </c>
      <c r="B110" s="16" t="n">
        <v>46120</v>
      </c>
      <c r="C110" s="15" t="n">
        <v>2026</v>
      </c>
      <c r="D110" s="15" t="inlineStr">
        <is>
          <t>Sathya Agencies Limited</t>
        </is>
      </c>
      <c r="E110" s="15" t="inlineStr">
        <is>
          <t>DRHP</t>
        </is>
      </c>
      <c r="F110" s="15" t="inlineStr">
        <is>
          <t>Sathya Agencies Limited -DRHP</t>
        </is>
      </c>
      <c r="G110" s="15" t="inlineStr">
        <is>
          <t>Upcoming — IPO not yet opened</t>
        </is>
      </c>
      <c r="H110" s="15" t="n"/>
      <c r="I110" s="16" t="n"/>
      <c r="J110" s="16" t="n"/>
      <c r="K110" s="16" t="n"/>
      <c r="L110" s="17" t="n"/>
      <c r="M110" s="17" t="n"/>
      <c r="N110" s="17" t="n"/>
      <c r="O110" s="15" t="n"/>
      <c r="P110" s="15" t="n"/>
      <c r="Q110" s="18" t="inlineStr">
        <is>
          <t>https://www.sebi.gov.in/sebi_data/attachdocs/apr-2026/1775633415124_1218.pdf</t>
        </is>
      </c>
      <c r="R110" s="18" t="inlineStr">
        <is>
          <t>https://www.sebi.gov.in/filings/public-issues/apr-2026/sathya-agencies-limited-drhp_100796.html</t>
        </is>
      </c>
      <c r="S110" s="18" t="inlineStr">
        <is>
          <t>https://www.sebi.gov.in/sebi_data/commondocs/apr-2026/Sathya%20Agencies%20Limited-Abridged%20Prospectus_p.pdf</t>
        </is>
      </c>
      <c r="T110" s="15" t="n"/>
      <c r="U110" s="15" t="n"/>
      <c r="V110" s="15" t="n"/>
      <c r="W110" s="16" t="n"/>
      <c r="X110" s="16" t="n"/>
      <c r="Y110" s="16" t="n"/>
      <c r="Z110" s="15" t="inlineStr">
        <is>
          <t>Dates not announced</t>
        </is>
      </c>
      <c r="AA110" s="15" t="inlineStr">
        <is>
          <t>SEBI nod 25-Jun-2026; dates not announced</t>
        </is>
      </c>
      <c r="AB110" s="18" t="inlineStr">
        <is>
          <t>https://www.chittorgarh.com/ipo/sathya-agencies-ipo/2976/</t>
        </is>
      </c>
    </row>
    <row r="111" ht="15" customHeight="1" s="12">
      <c r="A111" s="14" t="n">
        <v>110</v>
      </c>
      <c r="B111" s="16" t="n">
        <v>46119</v>
      </c>
      <c r="C111" s="15" t="n">
        <v>2026</v>
      </c>
      <c r="D111" s="15" t="inlineStr">
        <is>
          <t>Kay Jay Forgings Limited</t>
        </is>
      </c>
      <c r="E111" s="15" t="inlineStr">
        <is>
          <t>DRHP</t>
        </is>
      </c>
      <c r="F111" s="15" t="inlineStr">
        <is>
          <t>Kay Jay Forgings Limited - DRHP</t>
        </is>
      </c>
      <c r="G111" s="15" t="inlineStr">
        <is>
          <t>Upcoming — IPO not yet opened</t>
        </is>
      </c>
      <c r="H111" s="15" t="n"/>
      <c r="I111" s="16" t="n"/>
      <c r="J111" s="16" t="n"/>
      <c r="K111" s="16" t="n"/>
      <c r="L111" s="17" t="n">
        <v>360</v>
      </c>
      <c r="M111" s="17" t="n">
        <v>300</v>
      </c>
      <c r="N111" s="17" t="n">
        <v>60</v>
      </c>
      <c r="O111" s="15" t="inlineStr">
        <is>
          <t>DRHP cover</t>
        </is>
      </c>
      <c r="P111" s="15" t="inlineStr">
        <is>
          <t>Fresh issue up to ₹300.00 Cr + OFS up to ₹60.00 Cr</t>
        </is>
      </c>
      <c r="Q111" s="18" t="inlineStr">
        <is>
          <t>https://www.sebi.gov.in/sebi_data/attachdocs/apr-2026/1776677194481.pdf</t>
        </is>
      </c>
      <c r="R111" s="18" t="inlineStr">
        <is>
          <t>https://www.sebi.gov.in/filings/public-issues/apr-2026/kay-jay-forgings-limited-drhp_100975.html</t>
        </is>
      </c>
      <c r="S111" s="18" t="inlineStr">
        <is>
          <t>https://www.sebi.gov.in/sebi_data/commondocs/apr-2026/Kay%20Jay%20Forgings%20Limited-Abridged%20Prospectus_p.pdf</t>
        </is>
      </c>
      <c r="T111" s="15" t="n"/>
      <c r="U111" s="15" t="n"/>
      <c r="V111" s="15" t="n"/>
      <c r="W111" s="16" t="n"/>
      <c r="X111" s="16" t="n"/>
      <c r="Y111" s="16" t="n"/>
      <c r="Z111" s="15" t="inlineStr">
        <is>
          <t>Dates not announced</t>
        </is>
      </c>
      <c r="AA111" s="15" t="inlineStr">
        <is>
          <t>SEBI nod 28-Jul-2026; dates not yet announced</t>
        </is>
      </c>
      <c r="AB111" s="18" t="inlineStr">
        <is>
          <t>https://www.chittorgarh.com/ipo/kay-jay-forgings-ipo/2997/</t>
        </is>
      </c>
    </row>
    <row r="112" ht="15" customHeight="1" s="12">
      <c r="A112" s="14" t="n">
        <v>111</v>
      </c>
      <c r="B112" s="16" t="n">
        <v>46119</v>
      </c>
      <c r="C112" s="15" t="n">
        <v>2026</v>
      </c>
      <c r="D112" s="15" t="inlineStr">
        <is>
          <t>Adroit Industries (India) Limited</t>
        </is>
      </c>
      <c r="E112" s="15" t="inlineStr">
        <is>
          <t>DRHP</t>
        </is>
      </c>
      <c r="F112" s="15" t="inlineStr">
        <is>
          <t>Adroit Industries (India) Limited – DRHP</t>
        </is>
      </c>
      <c r="G112" s="15" t="inlineStr">
        <is>
          <t>IPO launched</t>
        </is>
      </c>
      <c r="H112" s="15" t="inlineStr">
        <is>
          <t>Mainboard</t>
        </is>
      </c>
      <c r="I112" s="16" t="n">
        <v>46288</v>
      </c>
      <c r="J112" s="16" t="n">
        <v>46290</v>
      </c>
      <c r="K112" s="16" t="n">
        <v>46295</v>
      </c>
      <c r="L112" s="17" t="n">
        <v>150.71</v>
      </c>
      <c r="M112" s="17" t="n">
        <v>132.62</v>
      </c>
      <c r="N112" s="17" t="n">
        <v>18.09</v>
      </c>
      <c r="O112" s="15" t="inlineStr">
        <is>
          <t>Final issue (ipoplatform)</t>
        </is>
      </c>
      <c r="P112" s="15" t="n"/>
      <c r="Q112" s="18" t="inlineStr">
        <is>
          <t>https://www.sebi.gov.in/sebi_data/attachdocs/apr-2026/1776080041259.pdf</t>
        </is>
      </c>
      <c r="R112" s="18" t="inlineStr">
        <is>
          <t>https://www.sebi.gov.in/filings/public-issues/apr-2026/adroit-industries-india-limited-drhp_100909.html</t>
        </is>
      </c>
      <c r="S112" s="18" t="inlineStr">
        <is>
          <t>https://www.sebi.gov.in/sebi_data/commondocs/apr-2026/Adroit%20Industries%20India)Limited-Abridged%20Prospectus_p.pdf</t>
        </is>
      </c>
      <c r="T112" s="15" t="inlineStr">
        <is>
          <t>Company name + date window</t>
        </is>
      </c>
      <c r="U112" s="15" t="inlineStr">
        <is>
          <t>Adroit Industries (India) Limited</t>
        </is>
      </c>
      <c r="V112" s="15" t="n"/>
      <c r="W112" s="15" t="n"/>
      <c r="X112" s="15" t="n"/>
      <c r="Y112" s="15" t="n"/>
      <c r="Z112" s="15" t="n"/>
      <c r="AA112" s="15" t="n"/>
      <c r="AB112" s="15" t="n"/>
    </row>
    <row r="113" ht="15" customHeight="1" s="12">
      <c r="A113" s="14" t="n">
        <v>112</v>
      </c>
      <c r="B113" s="16" t="n">
        <v>46119</v>
      </c>
      <c r="C113" s="15" t="n">
        <v>2026</v>
      </c>
      <c r="D113" s="15" t="inlineStr">
        <is>
          <t>Intellius Recode Limited</t>
        </is>
      </c>
      <c r="E113" s="15" t="inlineStr">
        <is>
          <t>DRHP</t>
        </is>
      </c>
      <c r="F113" s="15" t="inlineStr">
        <is>
          <t>Intellius Recode Limited - DRHP</t>
        </is>
      </c>
      <c r="G113" s="15" t="inlineStr">
        <is>
          <t>Upcoming — IPO not yet opened</t>
        </is>
      </c>
      <c r="H113" s="15" t="n"/>
      <c r="I113" s="16" t="n"/>
      <c r="J113" s="16" t="n"/>
      <c r="K113" s="16" t="n"/>
      <c r="L113" s="17" t="n"/>
      <c r="M113" s="17" t="n">
        <v>117</v>
      </c>
      <c r="N113" s="17" t="n"/>
      <c r="O113" s="15" t="inlineStr">
        <is>
          <t>DRHP cover</t>
        </is>
      </c>
      <c r="P113" s="15" t="inlineStr">
        <is>
          <t>Fresh issue up to ₹117.00 Cr + OFS up to 1,290,000 sh</t>
        </is>
      </c>
      <c r="Q113" s="18" t="inlineStr">
        <is>
          <t>https://www.sebi.gov.in/sebi_data/attachdocs/apr-2026/1775547017596_1211.pdf</t>
        </is>
      </c>
      <c r="R113" s="18" t="inlineStr">
        <is>
          <t>https://www.sebi.gov.in/filings/public-issues/apr-2026/intellius-recode-limited-drhp_100765.html</t>
        </is>
      </c>
      <c r="S113" s="18" t="inlineStr">
        <is>
          <t>https://www.sebi.gov.in/sebi_data/commondocs/apr-2026/Intellius%20Recode%20Ltd%20-%20Abridged%20Prospectus_p.pdf</t>
        </is>
      </c>
      <c r="T113" s="15" t="n"/>
      <c r="U113" s="15" t="n"/>
      <c r="V113" s="15" t="n"/>
      <c r="W113" s="16" t="n"/>
      <c r="X113" s="16" t="n"/>
      <c r="Y113" s="16" t="n"/>
      <c r="Z113" s="15" t="inlineStr">
        <is>
          <t>Dates not announced</t>
        </is>
      </c>
      <c r="AA113" s="15" t="inlineStr">
        <is>
          <t>SEBI nod 24-Jul-2026; dates not yet announced</t>
        </is>
      </c>
      <c r="AB113" s="18" t="inlineStr">
        <is>
          <t>https://www.chittorgarh.com/ipo/intellius-recode-ipo/2968/</t>
        </is>
      </c>
    </row>
    <row r="114" ht="15" customHeight="1" s="12">
      <c r="A114" s="14" t="n">
        <v>113</v>
      </c>
      <c r="B114" s="16" t="n">
        <v>46119</v>
      </c>
      <c r="C114" s="15" t="n">
        <v>2026</v>
      </c>
      <c r="D114" s="15" t="inlineStr">
        <is>
          <t>Manipal Health Enterprises Limited</t>
        </is>
      </c>
      <c r="E114" s="15" t="inlineStr">
        <is>
          <t>DRHP</t>
        </is>
      </c>
      <c r="F114" s="15" t="inlineStr">
        <is>
          <t>Manipal Health Enterprises Limited - DRHP</t>
        </is>
      </c>
      <c r="G114" s="15" t="inlineStr">
        <is>
          <t>IPO launched</t>
        </is>
      </c>
      <c r="H114" s="15" t="inlineStr">
        <is>
          <t>Mainboard</t>
        </is>
      </c>
      <c r="I114" s="16" t="n">
        <v>46232</v>
      </c>
      <c r="J114" s="16" t="n">
        <v>46234</v>
      </c>
      <c r="K114" s="16" t="n">
        <v>46239</v>
      </c>
      <c r="L114" s="17" t="n">
        <v>9275.219999999999</v>
      </c>
      <c r="M114" s="17" t="n">
        <v>8000</v>
      </c>
      <c r="N114" s="17" t="n">
        <v>1275.22</v>
      </c>
      <c r="O114" s="15" t="inlineStr">
        <is>
          <t>Final issue (ipoplatform)</t>
        </is>
      </c>
      <c r="P114" s="15" t="n"/>
      <c r="Q114" s="18" t="inlineStr">
        <is>
          <t>https://www.sebi.gov.in/sebi_data/attachdocs/apr-2026/1775547017596_1210.pdf</t>
        </is>
      </c>
      <c r="R114" s="18" t="inlineStr">
        <is>
          <t>https://www.sebi.gov.in/filings/public-issues/apr-2026/manipal-health-enterprises-limited-drhp_100763.html</t>
        </is>
      </c>
      <c r="S114" s="18" t="inlineStr">
        <is>
          <t>https://www.sebi.gov.in/sebi_data/commondocs/apr-2026/Manipal%20Health%20Enterprises%20Limited-Abridged%20Prospectus_p.pdf</t>
        </is>
      </c>
      <c r="T114" s="15" t="inlineStr">
        <is>
          <t>Company name + date window</t>
        </is>
      </c>
      <c r="U114" s="15" t="inlineStr">
        <is>
          <t>Manipal Health Enterprises Limited</t>
        </is>
      </c>
      <c r="V114" s="15" t="n"/>
      <c r="W114" s="15" t="n"/>
      <c r="X114" s="15" t="n"/>
      <c r="Y114" s="15" t="n"/>
      <c r="Z114" s="15" t="n"/>
      <c r="AA114" s="15" t="n"/>
      <c r="AB114" s="15" t="n"/>
    </row>
    <row r="115" ht="15" customHeight="1" s="12">
      <c r="A115" s="14" t="n">
        <v>114</v>
      </c>
      <c r="B115" s="16" t="n">
        <v>46119</v>
      </c>
      <c r="C115" s="15" t="n">
        <v>2026</v>
      </c>
      <c r="D115" s="15" t="inlineStr">
        <is>
          <t>SADBHAV FUTURETECH LIMITED</t>
        </is>
      </c>
      <c r="E115" s="15" t="inlineStr">
        <is>
          <t>DRHP</t>
        </is>
      </c>
      <c r="F115" s="15" t="inlineStr">
        <is>
          <t>SADBHAV FUTURETECH LIMITED</t>
        </is>
      </c>
      <c r="G115" s="15" t="inlineStr">
        <is>
          <t>Upcoming — IPO not yet opened</t>
        </is>
      </c>
      <c r="H115" s="15" t="n"/>
      <c r="I115" s="16" t="n"/>
      <c r="J115" s="16" t="n"/>
      <c r="K115" s="16" t="n"/>
      <c r="L115" s="17" t="n"/>
      <c r="M115" s="17" t="n"/>
      <c r="N115" s="17" t="n">
        <v>235</v>
      </c>
      <c r="O115" s="15" t="inlineStr">
        <is>
          <t>DRHP cover</t>
        </is>
      </c>
      <c r="P115" s="15" t="inlineStr">
        <is>
          <t>Fresh issue up to 25,500,000 sh + OFS up to ₹235.00 Cr</t>
        </is>
      </c>
      <c r="Q115" s="18" t="inlineStr">
        <is>
          <t>https://www.sebi.gov.in/sebi_data/attachdocs/apr-2026/1775547017596_1205.pdf</t>
        </is>
      </c>
      <c r="R115" s="18" t="inlineStr">
        <is>
          <t>https://www.sebi.gov.in/filings/public-issues/apr-2026/sadbhav-futuretech-limited_100753.html</t>
        </is>
      </c>
      <c r="S115" s="15" t="n"/>
      <c r="T115" s="15" t="n"/>
      <c r="U115" s="15" t="n"/>
      <c r="V115" s="15" t="n"/>
      <c r="W115" s="16" t="n"/>
      <c r="X115" s="16" t="n"/>
      <c r="Y115" s="16" t="n"/>
      <c r="Z115" s="15" t="inlineStr">
        <is>
          <t>Dates not announced</t>
        </is>
      </c>
      <c r="AA115" s="15" t="inlineStr">
        <is>
          <t>DRHP filed; no SEBI nod or dates found</t>
        </is>
      </c>
      <c r="AB115" s="18" t="inlineStr">
        <is>
          <t>https://www.chittorgarh.com/ipo/sadbhav-futuretech-ipo/2986/</t>
        </is>
      </c>
    </row>
    <row r="116" ht="15" customHeight="1" s="12">
      <c r="A116" s="14" t="n">
        <v>115</v>
      </c>
      <c r="B116" s="16" t="n">
        <v>46118</v>
      </c>
      <c r="C116" s="15" t="n">
        <v>2026</v>
      </c>
      <c r="D116" s="15" t="inlineStr">
        <is>
          <t>Rentomojo Limited</t>
        </is>
      </c>
      <c r="E116" s="15" t="inlineStr">
        <is>
          <t>DRHP</t>
        </is>
      </c>
      <c r="F116" s="15" t="inlineStr">
        <is>
          <t>Rentomojo Limited - DRHP</t>
        </is>
      </c>
      <c r="G116" s="15" t="inlineStr">
        <is>
          <t>IPO launched</t>
        </is>
      </c>
      <c r="H116" s="15" t="inlineStr">
        <is>
          <t>Mainboard</t>
        </is>
      </c>
      <c r="I116" s="16" t="n">
        <v>46274</v>
      </c>
      <c r="J116" s="16" t="n">
        <v>46276</v>
      </c>
      <c r="K116" s="16" t="n">
        <v>46282</v>
      </c>
      <c r="L116" s="17" t="n">
        <v>1255.57</v>
      </c>
      <c r="M116" s="17" t="n">
        <v>150</v>
      </c>
      <c r="N116" s="17" t="n">
        <v>1105.57</v>
      </c>
      <c r="O116" s="15" t="inlineStr">
        <is>
          <t>Final issue (ipoplatform)</t>
        </is>
      </c>
      <c r="P116" s="15" t="n"/>
      <c r="Q116" s="18" t="inlineStr">
        <is>
          <t>https://www.sebi.gov.in/sebi_data/attachdocs/apr-2026/1775525404083_1204.pdf</t>
        </is>
      </c>
      <c r="R116" s="18" t="inlineStr">
        <is>
          <t>https://www.sebi.gov.in/filings/public-issues/apr-2026/rentomojo-limited-drhp_100746.html</t>
        </is>
      </c>
      <c r="S116" s="18" t="inlineStr">
        <is>
          <t>https://www.sebi.gov.in/sebi_data/commondocs/apr-2026/Rentomojo%20Limited-Draft%20Abridged%20Prospectus_p.pdf</t>
        </is>
      </c>
      <c r="T116" s="15" t="inlineStr">
        <is>
          <t>Company name + date window</t>
        </is>
      </c>
      <c r="U116" s="15" t="inlineStr">
        <is>
          <t>Rentomojo Limited</t>
        </is>
      </c>
      <c r="V116" s="15" t="n"/>
      <c r="W116" s="15" t="n"/>
      <c r="X116" s="15" t="n"/>
      <c r="Y116" s="15" t="n"/>
      <c r="Z116" s="15" t="n"/>
      <c r="AA116" s="15" t="n"/>
      <c r="AB116" s="15" t="n"/>
    </row>
    <row r="117" ht="15" customHeight="1" s="12">
      <c r="A117" s="14" t="n">
        <v>116</v>
      </c>
      <c r="B117" s="16" t="n">
        <v>46114</v>
      </c>
      <c r="C117" s="15" t="n">
        <v>2026</v>
      </c>
      <c r="D117" s="15" t="inlineStr">
        <is>
          <t>Cosmic PV Power Limited</t>
        </is>
      </c>
      <c r="E117" s="15" t="inlineStr">
        <is>
          <t>DRHP</t>
        </is>
      </c>
      <c r="F117" s="15" t="inlineStr">
        <is>
          <t>Cosmic PV Power Limited - DRHP</t>
        </is>
      </c>
      <c r="G117" s="15" t="inlineStr">
        <is>
          <t>Upcoming — IPO not yet opened</t>
        </is>
      </c>
      <c r="H117" s="15" t="n"/>
      <c r="I117" s="16" t="n"/>
      <c r="J117" s="16" t="n"/>
      <c r="K117" s="16" t="n"/>
      <c r="L117" s="17" t="n">
        <v>640</v>
      </c>
      <c r="M117" s="17" t="n">
        <v>540</v>
      </c>
      <c r="N117" s="17" t="n">
        <v>100</v>
      </c>
      <c r="O117" s="15" t="inlineStr">
        <is>
          <t>DRHP cover</t>
        </is>
      </c>
      <c r="P117" s="15" t="inlineStr">
        <is>
          <t>Fresh issue up to ₹540.00 Cr + OFS up to ₹100.00 Cr</t>
        </is>
      </c>
      <c r="Q117" s="18" t="inlineStr">
        <is>
          <t>https://www.sebi.gov.in/sebi_data/attachdocs/apr-2026/1775129403770_1203.pdf</t>
        </is>
      </c>
      <c r="R117" s="18" t="inlineStr">
        <is>
          <t>https://www.sebi.gov.in/filings/public-issues/apr-2026/cosmic-pv-power-limited-drhp_100718.html</t>
        </is>
      </c>
      <c r="S117" s="18" t="inlineStr">
        <is>
          <t>https://www.sebi.gov.in/sebi_data/commondocs/apr-2026/COSMIC%20PV%20POWER%20LIMITED-Abridged%20prospectus_p.pdf</t>
        </is>
      </c>
      <c r="T117" s="15" t="n"/>
      <c r="U117" s="15" t="n"/>
      <c r="V117" s="15" t="n"/>
      <c r="W117" s="16" t="n"/>
      <c r="X117" s="16" t="n"/>
      <c r="Y117" s="16" t="n"/>
      <c r="Z117" s="15" t="inlineStr">
        <is>
          <t>Dates not announced</t>
        </is>
      </c>
      <c r="AA117" s="15" t="inlineStr">
        <is>
          <t>DRHP filed; dates TBA</t>
        </is>
      </c>
      <c r="AB117" s="18" t="inlineStr">
        <is>
          <t>https://www.chittorgarh.com/ipo/cosmic-pv-power-ipo/2980/</t>
        </is>
      </c>
    </row>
    <row r="118" ht="15" customHeight="1" s="12">
      <c r="A118" s="14" t="n">
        <v>117</v>
      </c>
      <c r="B118" s="16" t="n">
        <v>46114</v>
      </c>
      <c r="C118" s="15" t="n">
        <v>2026</v>
      </c>
      <c r="D118" s="15" t="inlineStr">
        <is>
          <t>Pioneer Fil-Med Limited</t>
        </is>
      </c>
      <c r="E118" s="15" t="inlineStr">
        <is>
          <t>DRHP</t>
        </is>
      </c>
      <c r="F118" s="15" t="inlineStr">
        <is>
          <t>Pioneer Fil-Med Limited - DRHP</t>
        </is>
      </c>
      <c r="G118" s="15" t="inlineStr">
        <is>
          <t>Upcoming — IPO not yet opened</t>
        </is>
      </c>
      <c r="H118" s="15" t="n"/>
      <c r="I118" s="16" t="n"/>
      <c r="J118" s="16" t="n"/>
      <c r="K118" s="16" t="n"/>
      <c r="L118" s="17" t="n"/>
      <c r="M118" s="17" t="n"/>
      <c r="N118" s="17" t="n"/>
      <c r="O118" s="15" t="n"/>
      <c r="P118" s="15" t="n"/>
      <c r="Q118" s="18" t="inlineStr">
        <is>
          <t>https://www.sebi.gov.in/sebi_data/attachdocs/apr-2026/1775115013296_1202.pdf</t>
        </is>
      </c>
      <c r="R118" s="18" t="inlineStr">
        <is>
          <t>https://www.sebi.gov.in/filings/public-issues/apr-2026/pioneer-fil-med-limited-drhp_100715.html</t>
        </is>
      </c>
      <c r="S118" s="18" t="inlineStr">
        <is>
          <t>https://www.sebi.gov.in/sebi_data/commondocs/apr-2026/Pioneer%20Fil-Med%20Limited-Draft%20Abridged%20Prospectus_p.pdf</t>
        </is>
      </c>
      <c r="T118" s="15" t="n"/>
      <c r="U118" s="15" t="n"/>
      <c r="V118" s="15" t="n"/>
      <c r="W118" s="16" t="n"/>
      <c r="X118" s="16" t="n"/>
      <c r="Y118" s="16" t="n"/>
      <c r="Z118" s="15" t="inlineStr">
        <is>
          <t>Dates not announced</t>
        </is>
      </c>
      <c r="AA118" s="15" t="inlineStr">
        <is>
          <t>SEBI observations 22-Sep-2026; dates not yet announced</t>
        </is>
      </c>
      <c r="AB118" s="18" t="inlineStr">
        <is>
          <t>https://www.chittorgarh.com/ipo/pioneer-fil-med-ipo/2967/</t>
        </is>
      </c>
    </row>
    <row r="119" ht="15" customHeight="1" s="12">
      <c r="A119" s="14" t="n">
        <v>118</v>
      </c>
      <c r="B119" s="16" t="n">
        <v>46114</v>
      </c>
      <c r="C119" s="15" t="n">
        <v>2026</v>
      </c>
      <c r="D119" s="15" t="inlineStr">
        <is>
          <t>RKB Global Limited</t>
        </is>
      </c>
      <c r="E119" s="15" t="inlineStr">
        <is>
          <t>DRHP</t>
        </is>
      </c>
      <c r="F119" s="15" t="inlineStr">
        <is>
          <t>RKB Global Limited - DRHP</t>
        </is>
      </c>
      <c r="G119" s="15" t="inlineStr">
        <is>
          <t>Upcoming — IPO not yet opened</t>
        </is>
      </c>
      <c r="H119" s="15" t="n"/>
      <c r="I119" s="16" t="n"/>
      <c r="J119" s="16" t="n"/>
      <c r="K119" s="16" t="n"/>
      <c r="L119" s="17" t="n"/>
      <c r="M119" s="17" t="n"/>
      <c r="N119" s="17" t="n"/>
      <c r="O119" s="15" t="inlineStr">
        <is>
          <t>DRHP cover</t>
        </is>
      </c>
      <c r="P119" s="15" t="inlineStr">
        <is>
          <t>Fresh issue up to 12,600,000 sh + OFS up to 2,020,000 sh</t>
        </is>
      </c>
      <c r="Q119" s="18" t="inlineStr">
        <is>
          <t>https://www.sebi.gov.in/sebi_data/attachdocs/apr-2026/1775105578692.pdf</t>
        </is>
      </c>
      <c r="R119" s="18" t="inlineStr">
        <is>
          <t>https://www.sebi.gov.in/filings/public-issues/apr-2026/rkb-global-limited-drhp_100702.html</t>
        </is>
      </c>
      <c r="S119" s="18" t="inlineStr">
        <is>
          <t>https://www.sebi.gov.in/sebi_data/commondocs/apr-2026/RKB%20Global%20Limited%20-%20Abridged%20prospectus_p.pdf</t>
        </is>
      </c>
      <c r="T119" s="15" t="n"/>
      <c r="U119" s="15" t="n"/>
      <c r="V119" s="15" t="n"/>
      <c r="W119" s="16" t="n"/>
      <c r="X119" s="16" t="n"/>
      <c r="Y119" s="16" t="n"/>
      <c r="Z119" s="15" t="inlineStr">
        <is>
          <t>Dates not announced</t>
        </is>
      </c>
      <c r="AA119" s="15" t="inlineStr">
        <is>
          <t>DRHP filed; dates TBA</t>
        </is>
      </c>
      <c r="AB119" s="18" t="inlineStr">
        <is>
          <t>https://www.chittorgarh.com/ipo/rkb-global-ipo/2952/</t>
        </is>
      </c>
    </row>
    <row r="120" ht="15" customHeight="1" s="12">
      <c r="A120" s="14" t="n">
        <v>119</v>
      </c>
      <c r="B120" s="16" t="n">
        <v>46111</v>
      </c>
      <c r="C120" s="15" t="n">
        <v>2026</v>
      </c>
      <c r="D120" s="15" t="inlineStr">
        <is>
          <t>Laxyo Limited</t>
        </is>
      </c>
      <c r="E120" s="15" t="inlineStr">
        <is>
          <t>DRHP</t>
        </is>
      </c>
      <c r="F120" s="15" t="inlineStr">
        <is>
          <t>Laxyo Limited - DRHP</t>
        </is>
      </c>
      <c r="G120" s="15" t="inlineStr">
        <is>
          <t>Upcoming — IPO not yet opened</t>
        </is>
      </c>
      <c r="H120" s="15" t="n"/>
      <c r="I120" s="16" t="n"/>
      <c r="J120" s="16" t="n"/>
      <c r="K120" s="16" t="n"/>
      <c r="L120" s="17" t="n">
        <v>150</v>
      </c>
      <c r="M120" s="17" t="n">
        <v>150</v>
      </c>
      <c r="N120" s="17" t="n"/>
      <c r="O120" s="15" t="inlineStr">
        <is>
          <t>DRHP cover</t>
        </is>
      </c>
      <c r="P120" s="15" t="inlineStr">
        <is>
          <t>Fresh issue up to ₹150.00 Cr</t>
        </is>
      </c>
      <c r="Q120" s="18" t="inlineStr">
        <is>
          <t>https://www.sebi.gov.in/sebi_data/attachdocs/apr-2026/1775120802263.pdf</t>
        </is>
      </c>
      <c r="R120" s="18" t="inlineStr">
        <is>
          <t>https://www.sebi.gov.in/filings/public-issues/mar-2026/laxyo-limited-drhp_100686.html</t>
        </is>
      </c>
      <c r="S120" s="18" t="inlineStr">
        <is>
          <t>https://www.sebi.gov.in/sebi_data/commondocs/apr-2026/Laxyo%20Limited-Draft%20Abridged%20Prospectus_p.pdf</t>
        </is>
      </c>
      <c r="T120" s="15" t="n"/>
      <c r="U120" s="15" t="n"/>
      <c r="V120" s="15" t="n"/>
      <c r="W120" s="16" t="n"/>
      <c r="X120" s="16" t="n"/>
      <c r="Y120" s="16" t="n"/>
      <c r="Z120" s="15" t="inlineStr">
        <is>
          <t>Dates not announced</t>
        </is>
      </c>
      <c r="AA120" s="15" t="inlineStr">
        <is>
          <t>DRHP filed; dates TBA</t>
        </is>
      </c>
      <c r="AB120" s="18" t="inlineStr">
        <is>
          <t>https://www.chittorgarh.com/ipo/laxyo-ipo/2957/</t>
        </is>
      </c>
    </row>
    <row r="121" ht="15" customHeight="1" s="12">
      <c r="A121" s="14" t="n">
        <v>120</v>
      </c>
      <c r="B121" s="16" t="n">
        <v>46111</v>
      </c>
      <c r="C121" s="15" t="n">
        <v>2026</v>
      </c>
      <c r="D121" s="15" t="inlineStr">
        <is>
          <t>Bharat PET Limited</t>
        </is>
      </c>
      <c r="E121" s="15" t="inlineStr">
        <is>
          <t>DRHP</t>
        </is>
      </c>
      <c r="F121" s="15" t="inlineStr">
        <is>
          <t>Bharat PET Limited - DRHP</t>
        </is>
      </c>
      <c r="G121" s="15" t="inlineStr">
        <is>
          <t>Upcoming — IPO not yet opened</t>
        </is>
      </c>
      <c r="H121" s="15" t="n"/>
      <c r="I121" s="16" t="n"/>
      <c r="J121" s="16" t="n"/>
      <c r="K121" s="16" t="n"/>
      <c r="L121" s="17" t="n">
        <v>760</v>
      </c>
      <c r="M121" s="17" t="n">
        <v>120</v>
      </c>
      <c r="N121" s="17" t="n">
        <v>640</v>
      </c>
      <c r="O121" s="15" t="inlineStr">
        <is>
          <t>DRHP cover</t>
        </is>
      </c>
      <c r="P121" s="15" t="inlineStr">
        <is>
          <t>Fresh issue up to ₹120.00 Cr + OFS up to ₹640.00 Cr</t>
        </is>
      </c>
      <c r="Q121" s="18" t="inlineStr">
        <is>
          <t>https://www.sebi.gov.in/sebi_data/attachdocs/apr-2026/1775016379965.pdf</t>
        </is>
      </c>
      <c r="R121" s="18" t="inlineStr">
        <is>
          <t>https://www.sebi.gov.in/filings/public-issues/mar-2026/bharat-pet-limited-drhp_100673.html</t>
        </is>
      </c>
      <c r="S121" s="18" t="inlineStr">
        <is>
          <t>https://www.sebi.gov.in/sebi_data/commondocs/apr-2026/Bharat%20PET%20Limited-Abridged%20Prospectus_p.pdf</t>
        </is>
      </c>
      <c r="T121" s="15" t="n"/>
      <c r="U121" s="15" t="n"/>
      <c r="V121" s="15" t="n"/>
      <c r="W121" s="16" t="n"/>
      <c r="X121" s="16" t="n"/>
      <c r="Y121" s="16" t="n"/>
      <c r="Z121" s="15" t="inlineStr">
        <is>
          <t>Dates not announced</t>
        </is>
      </c>
      <c r="AA121" s="15" t="inlineStr">
        <is>
          <t>DRHP filed; dates TBA</t>
        </is>
      </c>
      <c r="AB121" s="18" t="inlineStr">
        <is>
          <t>https://www.chittorgarh.com/ipo/bharat-pet-ipo/2958/</t>
        </is>
      </c>
    </row>
    <row r="122" ht="15" customHeight="1" s="12">
      <c r="A122" s="14" t="n">
        <v>121</v>
      </c>
      <c r="B122" s="16" t="n">
        <v>46108</v>
      </c>
      <c r="C122" s="15" t="n">
        <v>2026</v>
      </c>
      <c r="D122" s="15" t="inlineStr">
        <is>
          <t>R.K. STEEL MANUFACTURING COMPANY LIMITED</t>
        </is>
      </c>
      <c r="E122" s="15" t="inlineStr">
        <is>
          <t>Addendum</t>
        </is>
      </c>
      <c r="F122" s="15" t="inlineStr">
        <is>
          <t>R.K. STEEL MANUFACTURING COMPANY LIMITED​- Addendum to DRHP</t>
        </is>
      </c>
      <c r="G122" s="15" t="inlineStr">
        <is>
          <t>Upcoming — IPO not yet opened</t>
        </is>
      </c>
      <c r="H122" s="15" t="n"/>
      <c r="I122" s="16" t="n"/>
      <c r="J122" s="16" t="n"/>
      <c r="K122" s="16" t="n"/>
      <c r="L122" s="17" t="n"/>
      <c r="M122" s="17" t="n"/>
      <c r="N122" s="17" t="n"/>
      <c r="O122" s="15" t="n"/>
      <c r="P122" s="15" t="n"/>
      <c r="Q122" s="18" t="inlineStr">
        <is>
          <t>https://www.sebi.gov.in/sebi_data/attachdocs/mar-2026/1774843345474.pdf</t>
        </is>
      </c>
      <c r="R122" s="18" t="inlineStr">
        <is>
          <t>https://www.sebi.gov.in/filings/public-issues/mar-2026/r-k-steel-manufacturing-company-limited-addendum-to-drhp_100660.html</t>
        </is>
      </c>
      <c r="S122" s="15" t="n"/>
      <c r="T122" s="15" t="n"/>
      <c r="U122" s="15" t="n"/>
      <c r="V122" s="15" t="n"/>
      <c r="W122" s="16" t="n"/>
      <c r="X122" s="16" t="n"/>
      <c r="Y122" s="16" t="n"/>
      <c r="Z122" s="15" t="inlineStr">
        <is>
          <t>Dates not announced</t>
        </is>
      </c>
      <c r="AA122" s="15" t="inlineStr">
        <is>
          <t>Fresh issue Rs2,000cr; dates not yet announced</t>
        </is>
      </c>
      <c r="AB122" s="18" t="inlineStr">
        <is>
          <t>https://www.chittorgarh.com/ipo/rk-steel-manufacturing-ipo/2687/</t>
        </is>
      </c>
    </row>
    <row r="123" ht="15" customHeight="1" s="12">
      <c r="A123" s="14" t="n">
        <v>122</v>
      </c>
      <c r="B123" s="16" t="n">
        <v>46108</v>
      </c>
      <c r="C123" s="15" t="n">
        <v>2026</v>
      </c>
      <c r="D123" s="15" t="inlineStr">
        <is>
          <t>POLITE POWERTECH LIMITED</t>
        </is>
      </c>
      <c r="E123" s="15" t="inlineStr">
        <is>
          <t>DRHP</t>
        </is>
      </c>
      <c r="F123" s="15" t="inlineStr">
        <is>
          <t>POLITE POWERTECH LIMITED</t>
        </is>
      </c>
      <c r="G123" s="15" t="inlineStr">
        <is>
          <t>Upcoming — IPO not yet opened</t>
        </is>
      </c>
      <c r="H123" s="15" t="n"/>
      <c r="I123" s="16" t="n"/>
      <c r="J123" s="16" t="n"/>
      <c r="K123" s="16" t="n"/>
      <c r="L123" s="17" t="n"/>
      <c r="M123" s="17" t="n"/>
      <c r="N123" s="17" t="n"/>
      <c r="O123" s="15" t="inlineStr">
        <is>
          <t>DRHP cover</t>
        </is>
      </c>
      <c r="P123" s="15" t="inlineStr">
        <is>
          <t>Fresh issue up to 10,000,000 sh + OFS up to 2,500,000 sh</t>
        </is>
      </c>
      <c r="Q123" s="18" t="inlineStr">
        <is>
          <t>https://www.sebi.gov.in/sebi_data/attachdocs/mar-2026/1774596605715_1174.pdf</t>
        </is>
      </c>
      <c r="R123" s="18" t="inlineStr">
        <is>
          <t>https://www.sebi.gov.in/filings/public-issues/mar-2026/polite-powertech-limited_100624.html</t>
        </is>
      </c>
      <c r="S123" s="15" t="n"/>
      <c r="T123" s="15" t="n"/>
      <c r="U123" s="15" t="n"/>
      <c r="V123" s="15" t="n"/>
      <c r="W123" s="16" t="n"/>
      <c r="X123" s="16" t="n"/>
      <c r="Y123" s="16" t="n"/>
      <c r="Z123" s="15" t="inlineStr">
        <is>
          <t>Dates not announced</t>
        </is>
      </c>
      <c r="AA123" s="15" t="inlineStr">
        <is>
          <t>SEBI nod 31-Jul-2026; dates not announced</t>
        </is>
      </c>
      <c r="AB123" s="18" t="inlineStr">
        <is>
          <t>https://www.chittorgarh.com/ipo/polite-powertech-ipo/2947/</t>
        </is>
      </c>
    </row>
    <row r="124" ht="15" customHeight="1" s="12">
      <c r="A124" s="14" t="n">
        <v>123</v>
      </c>
      <c r="B124" s="16" t="n">
        <v>46106</v>
      </c>
      <c r="C124" s="15" t="n">
        <v>2026</v>
      </c>
      <c r="D124" s="15" t="inlineStr">
        <is>
          <t>Trenzet Infra Limited</t>
        </is>
      </c>
      <c r="E124" s="15" t="inlineStr">
        <is>
          <t>DRHP</t>
        </is>
      </c>
      <c r="F124" s="15" t="inlineStr">
        <is>
          <t>Trenzet Infra Limited - DRHP</t>
        </is>
      </c>
      <c r="G124" s="15" t="inlineStr">
        <is>
          <t>Upcoming — IPO not yet opened</t>
        </is>
      </c>
      <c r="H124" s="15" t="n"/>
      <c r="I124" s="16" t="n"/>
      <c r="J124" s="16" t="n"/>
      <c r="K124" s="16" t="n"/>
      <c r="L124" s="17" t="n"/>
      <c r="M124" s="17" t="n"/>
      <c r="N124" s="17" t="n"/>
      <c r="O124" s="15" t="inlineStr">
        <is>
          <t>DRHP cover</t>
        </is>
      </c>
      <c r="P124" s="15" t="inlineStr">
        <is>
          <t>Fresh issue up to 10,500,000 sh + OFS up to 1,800,000 sh</t>
        </is>
      </c>
      <c r="Q124" s="18" t="inlineStr">
        <is>
          <t>https://www.sebi.gov.in/sebi_data/attachdocs/mar-2026/1774421203748.pdf</t>
        </is>
      </c>
      <c r="R124" s="18" t="inlineStr">
        <is>
          <t>https://www.sebi.gov.in/filings/public-issues/mar-2026/trenzet-infra-limited-drhp_100553.html</t>
        </is>
      </c>
      <c r="S124" s="18" t="inlineStr">
        <is>
          <t>https://www.sebi.gov.in/sebi_data/commondocs/apr-2026/Trenzet%20Infra%20Limited-Abridged%20Prospectus_p.pdf</t>
        </is>
      </c>
      <c r="T124" s="15" t="n"/>
      <c r="U124" s="15" t="n"/>
      <c r="V124" s="15" t="n"/>
      <c r="W124" s="16" t="n"/>
      <c r="X124" s="16" t="n"/>
      <c r="Y124" s="16" t="n"/>
      <c r="Z124" s="15" t="inlineStr">
        <is>
          <t>Dates not announced</t>
        </is>
      </c>
      <c r="AA124" s="15" t="inlineStr">
        <is>
          <t>DRHP filed; dates TBA</t>
        </is>
      </c>
      <c r="AB124" s="18" t="inlineStr">
        <is>
          <t>https://www.chittorgarh.com/ipo/trenzet-infra-ipo/2951/</t>
        </is>
      </c>
    </row>
    <row r="125" ht="15" customHeight="1" s="12">
      <c r="A125" s="14" t="n">
        <v>124</v>
      </c>
      <c r="B125" s="16" t="n">
        <v>46105</v>
      </c>
      <c r="C125" s="15" t="n">
        <v>2026</v>
      </c>
      <c r="D125" s="15" t="inlineStr">
        <is>
          <t>Sterlite Electric Limited</t>
        </is>
      </c>
      <c r="E125" s="15" t="inlineStr">
        <is>
          <t>Addendum</t>
        </is>
      </c>
      <c r="F125" s="15" t="inlineStr">
        <is>
          <t>Sterlite Electric Limited - Addendum to DRHP</t>
        </is>
      </c>
      <c r="G125" s="15" t="inlineStr">
        <is>
          <t>Upcoming — IPO not yet opened</t>
        </is>
      </c>
      <c r="H125" s="15" t="n"/>
      <c r="I125" s="16" t="n"/>
      <c r="J125" s="16" t="n"/>
      <c r="K125" s="16" t="n"/>
      <c r="L125" s="17" t="n"/>
      <c r="M125" s="17" t="n"/>
      <c r="N125" s="17" t="n"/>
      <c r="O125" s="15" t="n"/>
      <c r="P125" s="15" t="n"/>
      <c r="Q125" s="18" t="inlineStr">
        <is>
          <t>https://www.sebi.gov.in/sebi_data/attachdocs/mar-2026/1774350064957.pdf</t>
        </is>
      </c>
      <c r="R125" s="18" t="inlineStr">
        <is>
          <t>https://www.sebi.gov.in/filings/public-issues/mar-2026/sterlite-electric-limited-addendum-to-drhp_100529.html</t>
        </is>
      </c>
      <c r="S125" s="15" t="n"/>
      <c r="T125" s="15" t="n"/>
      <c r="U125" s="15" t="n"/>
      <c r="V125" s="15" t="n"/>
      <c r="W125" s="16" t="n"/>
      <c r="X125" s="16" t="n"/>
      <c r="Y125" s="16" t="n"/>
      <c r="Z125" s="15" t="inlineStr">
        <is>
          <t>Dates not announced</t>
        </is>
      </c>
      <c r="AA125" s="15" t="inlineStr">
        <is>
          <t>DRHP filed; dates, price band not yet announced</t>
        </is>
      </c>
      <c r="AB125" s="18" t="inlineStr">
        <is>
          <t>https://www.chittorgarh.com/ipo/sterlite-electric-ipo/2679/</t>
        </is>
      </c>
    </row>
    <row r="126" ht="15" customHeight="1" s="12">
      <c r="A126" s="14" t="n">
        <v>125</v>
      </c>
      <c r="B126" s="16" t="n">
        <v>46105</v>
      </c>
      <c r="C126" s="15" t="n">
        <v>2026</v>
      </c>
      <c r="D126" s="15" t="inlineStr">
        <is>
          <t>Truhome Finance Limited</t>
        </is>
      </c>
      <c r="E126" s="15" t="inlineStr">
        <is>
          <t>DRHP</t>
        </is>
      </c>
      <c r="F126" s="15" t="inlineStr">
        <is>
          <t>Truhome Finance Limited</t>
        </is>
      </c>
      <c r="G126" s="15" t="inlineStr">
        <is>
          <t>Upcoming — IPO not yet opened</t>
        </is>
      </c>
      <c r="H126" s="15" t="n"/>
      <c r="I126" s="16" t="n"/>
      <c r="J126" s="16" t="n"/>
      <c r="K126" s="16" t="n"/>
      <c r="L126" s="17" t="n">
        <v>3000</v>
      </c>
      <c r="M126" s="17" t="n">
        <v>1500</v>
      </c>
      <c r="N126" s="17" t="n">
        <v>1500</v>
      </c>
      <c r="O126" s="15" t="inlineStr">
        <is>
          <t>DRHP cover</t>
        </is>
      </c>
      <c r="P126" s="15" t="inlineStr">
        <is>
          <t>Fresh issue up to ₹1,500.00 Cr + OFS up to ₹1,500.00 Cr</t>
        </is>
      </c>
      <c r="Q126" s="18" t="inlineStr">
        <is>
          <t>https://www.sebi.gov.in/sebi_data/attachdocs/mar-2026/1774337405679_1155.pdf</t>
        </is>
      </c>
      <c r="R126" s="18" t="inlineStr">
        <is>
          <t>https://www.sebi.gov.in/filings/public-issues/mar-2026/truhome-finance-limited_100519.html</t>
        </is>
      </c>
      <c r="S126" s="15" t="n"/>
      <c r="T126" s="15" t="n"/>
      <c r="U126" s="15" t="n"/>
      <c r="V126" s="15" t="n"/>
      <c r="W126" s="16" t="n"/>
      <c r="X126" s="16" t="n"/>
      <c r="Y126" s="16" t="n"/>
      <c r="Z126" s="15" t="inlineStr">
        <is>
          <t>Dates not announced</t>
        </is>
      </c>
      <c r="AA126" s="15" t="inlineStr">
        <is>
          <t>SEBI nod 1-Jun-2026; dates not announced</t>
        </is>
      </c>
      <c r="AB126" s="18" t="inlineStr">
        <is>
          <t>https://www.chittorgarh.com/ipo/truhome-finance-ipo/2941/</t>
        </is>
      </c>
    </row>
    <row r="127" ht="15" customHeight="1" s="12">
      <c r="A127" s="14" t="n">
        <v>126</v>
      </c>
      <c r="B127" s="16" t="n">
        <v>46105</v>
      </c>
      <c r="C127" s="15" t="n">
        <v>2026</v>
      </c>
      <c r="D127" s="15" t="inlineStr">
        <is>
          <t>SBI Funds Management Limited</t>
        </is>
      </c>
      <c r="E127" s="15" t="inlineStr">
        <is>
          <t>DRHP</t>
        </is>
      </c>
      <c r="F127" s="15" t="inlineStr">
        <is>
          <t>SBI Funds Management Limited -DRHP</t>
        </is>
      </c>
      <c r="G127" s="15" t="inlineStr">
        <is>
          <t>IPO launched</t>
        </is>
      </c>
      <c r="H127" s="15" t="inlineStr">
        <is>
          <t>Mainboard</t>
        </is>
      </c>
      <c r="I127" s="16" t="n">
        <v>46217</v>
      </c>
      <c r="J127" s="16" t="n">
        <v>46219</v>
      </c>
      <c r="K127" s="16" t="n">
        <v>46224</v>
      </c>
      <c r="L127" s="17" t="n">
        <v>11692.91</v>
      </c>
      <c r="M127" s="17" t="n"/>
      <c r="N127" s="17" t="n">
        <v>11692.91</v>
      </c>
      <c r="O127" s="15" t="inlineStr">
        <is>
          <t>Final issue (ipoplatform)</t>
        </is>
      </c>
      <c r="P127" s="15" t="n"/>
      <c r="Q127" s="18" t="inlineStr">
        <is>
          <t>https://www.sebi.gov.in/sebi_data/attachdocs/mar-2026/1774324758355.pdf</t>
        </is>
      </c>
      <c r="R127" s="18" t="inlineStr">
        <is>
          <t>https://www.sebi.gov.in/filings/public-issues/mar-2026/sbi-funds-management-limited-drhp_100517.html</t>
        </is>
      </c>
      <c r="S127" s="18" t="inlineStr">
        <is>
          <t>https://www.sebi.gov.in/sebi_data/commondocs/apr-2026/SBI%20Funds%20Management%20Limited%20-Abridged%20Prospectus_p.pdf</t>
        </is>
      </c>
      <c r="T127" s="15" t="inlineStr">
        <is>
          <t>Company name + date window</t>
        </is>
      </c>
      <c r="U127" s="15" t="inlineStr">
        <is>
          <t>Sbi Funds Management Limited</t>
        </is>
      </c>
      <c r="V127" s="15" t="n"/>
      <c r="W127" s="15" t="n"/>
      <c r="X127" s="15" t="n"/>
      <c r="Y127" s="15" t="n"/>
      <c r="Z127" s="15" t="n"/>
      <c r="AA127" s="15" t="n"/>
      <c r="AB127" s="15" t="n"/>
    </row>
    <row r="128" ht="15" customHeight="1" s="12">
      <c r="A128" s="14" t="n">
        <v>127</v>
      </c>
      <c r="B128" s="16" t="n">
        <v>46090</v>
      </c>
      <c r="C128" s="15" t="n">
        <v>2026</v>
      </c>
      <c r="D128" s="15" t="inlineStr">
        <is>
          <t>SHRENI SHARES LIMITED</t>
        </is>
      </c>
      <c r="E128" s="15" t="inlineStr">
        <is>
          <t>DRHP</t>
        </is>
      </c>
      <c r="F128" s="15" t="inlineStr">
        <is>
          <t>SHRENI SHARES LIMITED</t>
        </is>
      </c>
      <c r="G128" s="15" t="inlineStr">
        <is>
          <t>Upcoming — IPO not yet opened</t>
        </is>
      </c>
      <c r="H128" s="15" t="n"/>
      <c r="I128" s="16" t="n"/>
      <c r="J128" s="16" t="n"/>
      <c r="K128" s="16" t="n"/>
      <c r="L128" s="17" t="n"/>
      <c r="M128" s="17" t="n"/>
      <c r="N128" s="17" t="n"/>
      <c r="O128" s="15" t="n"/>
      <c r="P128" s="15" t="n"/>
      <c r="Q128" s="18" t="inlineStr">
        <is>
          <t>https://www.sebi.gov.in/sebi_data/attachdocs/mar-2026/1773106204965_1136.pdf</t>
        </is>
      </c>
      <c r="R128" s="18" t="inlineStr">
        <is>
          <t>https://www.sebi.gov.in/filings/public-issues/mar-2026/shreni-shares-limited_100212.html</t>
        </is>
      </c>
      <c r="S128" s="15" t="n"/>
      <c r="T128" s="15" t="n"/>
      <c r="U128" s="15" t="n"/>
      <c r="V128" s="15" t="n"/>
      <c r="W128" s="16" t="n"/>
      <c r="X128" s="16" t="n"/>
      <c r="Y128" s="16" t="n"/>
      <c r="Z128" s="15" t="inlineStr">
        <is>
          <t>Dates not announced</t>
        </is>
      </c>
      <c r="AA128" s="15" t="inlineStr">
        <is>
          <t>DRHP filed; dates TBA</t>
        </is>
      </c>
      <c r="AB128" s="18" t="inlineStr">
        <is>
          <t>https://www.chittorgarh.com/ipo/shreni-shares-ipo/2935/</t>
        </is>
      </c>
    </row>
    <row r="129" ht="15" customHeight="1" s="12">
      <c r="A129" s="14" t="n">
        <v>128</v>
      </c>
      <c r="B129" s="16" t="n">
        <v>46090</v>
      </c>
      <c r="C129" s="15" t="n">
        <v>2026</v>
      </c>
      <c r="D129" s="15" t="inlineStr">
        <is>
          <t>SUNIL GOLD INDIA LIMITED</t>
        </is>
      </c>
      <c r="E129" s="15" t="inlineStr">
        <is>
          <t>DRHP</t>
        </is>
      </c>
      <c r="F129" s="15" t="inlineStr">
        <is>
          <t>SUNIL GOLD INDIA LIMITED</t>
        </is>
      </c>
      <c r="G129" s="15" t="inlineStr">
        <is>
          <t>Upcoming — IPO not yet opened</t>
        </is>
      </c>
      <c r="H129" s="15" t="n"/>
      <c r="I129" s="16" t="n"/>
      <c r="J129" s="16" t="n"/>
      <c r="K129" s="16" t="n"/>
      <c r="L129" s="17" t="n"/>
      <c r="M129" s="17" t="n"/>
      <c r="N129" s="17" t="n"/>
      <c r="O129" s="15" t="inlineStr">
        <is>
          <t>DRHP cover</t>
        </is>
      </c>
      <c r="P129" s="15" t="inlineStr">
        <is>
          <t>Fresh issue up to 20,000,000 sh + OFS up to 6,500,000 sh</t>
        </is>
      </c>
      <c r="Q129" s="18" t="inlineStr">
        <is>
          <t>https://www.sebi.gov.in/sebi_data/attachdocs/mar-2026/1773055805156_1135.pdf</t>
        </is>
      </c>
      <c r="R129" s="18" t="inlineStr">
        <is>
          <t>https://www.sebi.gov.in/filings/public-issues/mar-2026/sunil-gold-india-limited_100202.html</t>
        </is>
      </c>
      <c r="S129" s="15" t="n"/>
      <c r="T129" s="15" t="n"/>
      <c r="U129" s="15" t="n"/>
      <c r="V129" s="15" t="n"/>
      <c r="W129" s="16" t="n"/>
      <c r="X129" s="16" t="n"/>
      <c r="Y129" s="16" t="n"/>
      <c r="Z129" s="15" t="inlineStr">
        <is>
          <t>Withdrawn / approval lapsed</t>
        </is>
      </c>
      <c r="AA129" s="15" t="inlineStr">
        <is>
          <t>DRHP withdrawn 14-Aug-2026</t>
        </is>
      </c>
      <c r="AB129" s="18" t="inlineStr">
        <is>
          <t>https://www.chittorgarh.com/ipo/sunil-gold-india-ipo/2939/</t>
        </is>
      </c>
    </row>
    <row r="130" ht="15" customHeight="1" s="12">
      <c r="A130" s="14" t="n">
        <v>129</v>
      </c>
      <c r="B130" s="16" t="n">
        <v>46090</v>
      </c>
      <c r="C130" s="15" t="n">
        <v>2026</v>
      </c>
      <c r="D130" s="15" t="inlineStr">
        <is>
          <t>Moneyview Limited</t>
        </is>
      </c>
      <c r="E130" s="15" t="inlineStr">
        <is>
          <t>DRHP</t>
        </is>
      </c>
      <c r="F130" s="15" t="inlineStr">
        <is>
          <t>Moneyview Limited</t>
        </is>
      </c>
      <c r="G130" s="15" t="inlineStr">
        <is>
          <t>IPO launched</t>
        </is>
      </c>
      <c r="H130" s="15" t="inlineStr">
        <is>
          <t>Mainboard</t>
        </is>
      </c>
      <c r="I130" s="16" t="n">
        <v>46289</v>
      </c>
      <c r="J130" s="16" t="n">
        <v>46293</v>
      </c>
      <c r="K130" s="16" t="n">
        <v>46296</v>
      </c>
      <c r="L130" s="17" t="n">
        <v>1091.68</v>
      </c>
      <c r="M130" s="17" t="n">
        <v>750</v>
      </c>
      <c r="N130" s="17" t="n">
        <v>341.68</v>
      </c>
      <c r="O130" s="15" t="inlineStr">
        <is>
          <t>Final issue (ipoplatform)</t>
        </is>
      </c>
      <c r="P130" s="15" t="n"/>
      <c r="Q130" s="18" t="inlineStr">
        <is>
          <t>https://www.sebi.gov.in/sebi_data/attachdocs/mar-2026/1773041406985_1134.pdf</t>
        </is>
      </c>
      <c r="R130" s="18" t="inlineStr">
        <is>
          <t>https://www.sebi.gov.in/filings/public-issues/mar-2026/moneyview-limited_100187.html</t>
        </is>
      </c>
      <c r="S130" s="15" t="n"/>
      <c r="T130" s="15" t="inlineStr">
        <is>
          <t>SEBI filing link</t>
        </is>
      </c>
      <c r="U130" s="15" t="inlineStr">
        <is>
          <t>Moneyview Limited</t>
        </is>
      </c>
      <c r="V130" s="15" t="n"/>
      <c r="W130" s="15" t="n"/>
      <c r="X130" s="15" t="n"/>
      <c r="Y130" s="15" t="n"/>
      <c r="Z130" s="15" t="n"/>
      <c r="AA130" s="15" t="n"/>
      <c r="AB130" s="15" t="n"/>
    </row>
    <row r="131" ht="15" customHeight="1" s="12">
      <c r="A131" s="14" t="n">
        <v>130</v>
      </c>
      <c r="B131" s="16" t="n">
        <v>46077</v>
      </c>
      <c r="C131" s="15" t="n">
        <v>2026</v>
      </c>
      <c r="D131" s="15" t="inlineStr">
        <is>
          <t>SAEL Industries Limited</t>
        </is>
      </c>
      <c r="E131" s="15" t="inlineStr">
        <is>
          <t>Addendum</t>
        </is>
      </c>
      <c r="F131" s="15" t="inlineStr">
        <is>
          <t>SAEL Industries Limited - addendum to DRHP</t>
        </is>
      </c>
      <c r="G131" s="15" t="inlineStr">
        <is>
          <t>Upcoming — IPO not yet opened</t>
        </is>
      </c>
      <c r="H131" s="15" t="n"/>
      <c r="I131" s="16" t="n"/>
      <c r="J131" s="16" t="n"/>
      <c r="K131" s="16" t="n"/>
      <c r="L131" s="17" t="n"/>
      <c r="M131" s="17" t="n"/>
      <c r="N131" s="17" t="n"/>
      <c r="O131" s="15" t="n"/>
      <c r="P131" s="15" t="n"/>
      <c r="Q131" s="18" t="inlineStr">
        <is>
          <t>https://www.sebi.gov.in/sebi_data/attachdocs/feb-2026/1771916207969.pdf</t>
        </is>
      </c>
      <c r="R131" s="18" t="inlineStr">
        <is>
          <t>https://www.sebi.gov.in/filings/public-issues/feb-2026/sael-industries-limited-addendum-to-drhp_99927.html</t>
        </is>
      </c>
      <c r="S131" s="15" t="n"/>
      <c r="T131" s="15" t="n"/>
      <c r="U131" s="15" t="n"/>
      <c r="V131" s="15" t="n"/>
      <c r="W131" s="16" t="n"/>
      <c r="X131" s="16" t="n"/>
      <c r="Y131" s="16" t="n"/>
      <c r="Z131" s="15" t="inlineStr">
        <is>
          <t>Dates not announced</t>
        </is>
      </c>
      <c r="AA131" s="15" t="inlineStr">
        <is>
          <t>SEBI nod 27-Mar-2026; Rs4,575cr; dates not announced</t>
        </is>
      </c>
      <c r="AB131" s="18" t="inlineStr">
        <is>
          <t>https://www.chittorgarh.com/ipo/sael-industries-ipo/2793/</t>
        </is>
      </c>
    </row>
    <row r="132" ht="15" customHeight="1" s="12">
      <c r="A132" s="14" t="n">
        <v>131</v>
      </c>
      <c r="B132" s="16" t="n">
        <v>46070</v>
      </c>
      <c r="C132" s="15" t="n">
        <v>2026</v>
      </c>
      <c r="D132" s="15" t="inlineStr">
        <is>
          <t>Rays of Belief Limited</t>
        </is>
      </c>
      <c r="E132" s="15" t="inlineStr">
        <is>
          <t>DRHP</t>
        </is>
      </c>
      <c r="F132" s="15" t="inlineStr">
        <is>
          <t>Rays of Belief Limited</t>
        </is>
      </c>
      <c r="G132" s="15" t="inlineStr">
        <is>
          <t>IPO launched</t>
        </is>
      </c>
      <c r="H132" s="15" t="inlineStr">
        <is>
          <t>Mainboard</t>
        </is>
      </c>
      <c r="I132" s="16" t="n">
        <v>46266</v>
      </c>
      <c r="J132" s="16" t="n">
        <v>46268</v>
      </c>
      <c r="K132" s="16" t="n">
        <v>46273</v>
      </c>
      <c r="L132" s="17" t="n">
        <v>125</v>
      </c>
      <c r="M132" s="17" t="n">
        <v>125</v>
      </c>
      <c r="N132" s="17" t="n">
        <v>0</v>
      </c>
      <c r="O132" s="15" t="inlineStr">
        <is>
          <t>Final issue (ipoplatform)</t>
        </is>
      </c>
      <c r="P132" s="15" t="n"/>
      <c r="Q132" s="18" t="inlineStr">
        <is>
          <t>https://www.sebi.gov.in/sebi_data/attachdocs/feb-2026/1771327806640_1118.pdf</t>
        </is>
      </c>
      <c r="R132" s="18" t="inlineStr">
        <is>
          <t>https://www.sebi.gov.in/filings/public-issues/feb-2026/rays-of-belief-limited_99815.html</t>
        </is>
      </c>
      <c r="S132" s="15" t="n"/>
      <c r="T132" s="15" t="inlineStr">
        <is>
          <t>Company name + date window</t>
        </is>
      </c>
      <c r="U132" s="15" t="inlineStr">
        <is>
          <t>Rays of Belief Limited</t>
        </is>
      </c>
      <c r="V132" s="15" t="n"/>
      <c r="W132" s="15" t="n"/>
      <c r="X132" s="15" t="n"/>
      <c r="Y132" s="15" t="n"/>
      <c r="Z132" s="15" t="n"/>
      <c r="AA132" s="15" t="n"/>
      <c r="AB132" s="15" t="n"/>
    </row>
    <row r="133" ht="15" customHeight="1" s="12">
      <c r="A133" s="14" t="n">
        <v>132</v>
      </c>
      <c r="B133" s="16" t="n">
        <v>46069</v>
      </c>
      <c r="C133" s="15" t="n">
        <v>2026</v>
      </c>
      <c r="D133" s="15" t="inlineStr">
        <is>
          <t>Bonfiglioli Transmissions Limited</t>
        </is>
      </c>
      <c r="E133" s="15" t="inlineStr">
        <is>
          <t>DRHP</t>
        </is>
      </c>
      <c r="F133" s="15" t="inlineStr">
        <is>
          <t>Bonfiglioli Transmissions Limited</t>
        </is>
      </c>
      <c r="G133" s="15" t="inlineStr">
        <is>
          <t>Upcoming — IPO not yet opened</t>
        </is>
      </c>
      <c r="H133" s="15" t="n"/>
      <c r="I133" s="16" t="n"/>
      <c r="J133" s="16" t="n"/>
      <c r="K133" s="16" t="n"/>
      <c r="L133" s="17" t="n"/>
      <c r="M133" s="17" t="n"/>
      <c r="N133" s="17" t="n"/>
      <c r="O133" s="15" t="inlineStr">
        <is>
          <t>DRHP cover</t>
        </is>
      </c>
      <c r="P133" s="15" t="inlineStr">
        <is>
          <t>Fresh issue up to 46,998,959 sh</t>
        </is>
      </c>
      <c r="Q133" s="18" t="inlineStr">
        <is>
          <t>https://www.sebi.gov.in/sebi_data/attachdocs/feb-2026/1771241407162_1117.pdf</t>
        </is>
      </c>
      <c r="R133" s="18" t="inlineStr">
        <is>
          <t>https://www.sebi.gov.in/filings/public-issues/feb-2026/bonfiglioli-transmissions-limited_99781.html</t>
        </is>
      </c>
      <c r="S133" s="15" t="n"/>
      <c r="T133" s="15" t="n"/>
      <c r="U133" s="15" t="n"/>
      <c r="V133" s="15" t="n"/>
      <c r="W133" s="16" t="n"/>
      <c r="X133" s="16" t="n"/>
      <c r="Y133" s="16" t="n"/>
      <c r="Z133" s="15" t="inlineStr">
        <is>
          <t>Dates not announced</t>
        </is>
      </c>
      <c r="AA133" s="15" t="inlineStr">
        <is>
          <t>SEBI nod 11-Jun-2026; dates not announced</t>
        </is>
      </c>
      <c r="AB133" s="18" t="inlineStr">
        <is>
          <t>https://www.chittorgarh.com/ipo/bonfiglioli-transmissions-ipo/2861/</t>
        </is>
      </c>
    </row>
    <row r="134" ht="15" customHeight="1" s="12">
      <c r="A134" s="14" t="n">
        <v>133</v>
      </c>
      <c r="B134" s="16" t="n">
        <v>46064</v>
      </c>
      <c r="C134" s="15" t="n">
        <v>2026</v>
      </c>
      <c r="D134" s="15" t="inlineStr">
        <is>
          <t>Bonbloc Technologies Limited</t>
        </is>
      </c>
      <c r="E134" s="15" t="inlineStr">
        <is>
          <t>Addendum cum Corrigendum</t>
        </is>
      </c>
      <c r="F134" s="15" t="inlineStr">
        <is>
          <t>Bonbloc Technologies Limited - Addendum cum Corrigendum</t>
        </is>
      </c>
      <c r="G134" s="15" t="inlineStr">
        <is>
          <t>Upcoming — IPO not yet opened</t>
        </is>
      </c>
      <c r="H134" s="15" t="n"/>
      <c r="I134" s="16" t="n"/>
      <c r="J134" s="16" t="n"/>
      <c r="K134" s="16" t="n"/>
      <c r="L134" s="17" t="n"/>
      <c r="M134" s="17" t="n"/>
      <c r="N134" s="17" t="n"/>
      <c r="O134" s="15" t="n"/>
      <c r="P134" s="15" t="n"/>
      <c r="Q134" s="18" t="inlineStr">
        <is>
          <t>https://www.sebi.gov.in/sebi_data/attachdocs/feb-2026/1770791150896.pdf</t>
        </is>
      </c>
      <c r="R134" s="18" t="inlineStr">
        <is>
          <t>https://www.sebi.gov.in/filings/public-issues/feb-2026/bonbloc-technologies-limited-addendum-cum-corrigendum_99677.html</t>
        </is>
      </c>
      <c r="S134" s="15" t="n"/>
      <c r="T134" s="15" t="n"/>
      <c r="U134" s="15" t="n"/>
      <c r="V134" s="15" t="n"/>
      <c r="W134" s="16" t="n"/>
      <c r="X134" s="16" t="n"/>
      <c r="Y134" s="16" t="n"/>
      <c r="Z134" s="15" t="inlineStr">
        <is>
          <t>Dates not announced</t>
        </is>
      </c>
      <c r="AA134" s="15" t="inlineStr">
        <is>
          <t>SEBI nod 5-Mar-2026; dates not yet announced</t>
        </is>
      </c>
      <c r="AB134" s="18" t="inlineStr">
        <is>
          <t>https://www.chittorgarh.com/ipo/bonbloc-technologies-ipo/2645/</t>
        </is>
      </c>
    </row>
    <row r="135" ht="15" customHeight="1" s="12">
      <c r="A135" s="14" t="n">
        <v>134</v>
      </c>
      <c r="B135" s="16" t="n">
        <v>46059</v>
      </c>
      <c r="C135" s="15" t="n">
        <v>2026</v>
      </c>
      <c r="D135" s="15" t="inlineStr">
        <is>
          <t>Madhur Iron &amp; Steel (India) Limited</t>
        </is>
      </c>
      <c r="E135" s="15" t="inlineStr">
        <is>
          <t>DRHP</t>
        </is>
      </c>
      <c r="F135" s="15" t="inlineStr">
        <is>
          <t>Madhur Iron &amp; Steel (India) Limited - DRHP</t>
        </is>
      </c>
      <c r="G135" s="15" t="inlineStr">
        <is>
          <t>Upcoming — IPO not yet opened</t>
        </is>
      </c>
      <c r="H135" s="15" t="n"/>
      <c r="I135" s="16" t="n"/>
      <c r="J135" s="16" t="n"/>
      <c r="K135" s="16" t="n"/>
      <c r="L135" s="17" t="n"/>
      <c r="M135" s="17" t="n"/>
      <c r="N135" s="17" t="n"/>
      <c r="O135" s="15" t="inlineStr">
        <is>
          <t>DRHP cover</t>
        </is>
      </c>
      <c r="P135" s="15" t="inlineStr">
        <is>
          <t>Fresh issue up to 10,000,000 sh</t>
        </is>
      </c>
      <c r="Q135" s="18" t="inlineStr">
        <is>
          <t>https://www.sebi.gov.in/sebi_data/attachdocs/feb-2026/1770369581215.pdf</t>
        </is>
      </c>
      <c r="R135" s="18" t="inlineStr">
        <is>
          <t>https://www.sebi.gov.in/filings/public-issues/feb-2026/madhur-iron-and-steel-india-limited-drhp_99564.html</t>
        </is>
      </c>
      <c r="S135" s="15" t="n"/>
      <c r="T135" s="15" t="n"/>
      <c r="U135" s="15" t="n"/>
      <c r="V135" s="15" t="n"/>
      <c r="W135" s="16" t="n"/>
      <c r="X135" s="16" t="n"/>
      <c r="Y135" s="16" t="n"/>
      <c r="Z135" s="15" t="inlineStr">
        <is>
          <t>Dates not announced</t>
        </is>
      </c>
      <c r="AA135" s="15" t="inlineStr">
        <is>
          <t>Earlier DRHP withdrawn Mar-2026; fresh DRHP Sep-2026; no IPO dates</t>
        </is>
      </c>
      <c r="AB135" s="18" t="inlineStr">
        <is>
          <t>https://www.chittorgarh.com/ipo/madhur-iron-and-steel-ipo/2855/</t>
        </is>
      </c>
    </row>
    <row r="136" ht="15" customHeight="1" s="12">
      <c r="A136" s="14" t="n">
        <v>135</v>
      </c>
      <c r="B136" s="16" t="n">
        <v>46059</v>
      </c>
      <c r="C136" s="15" t="n">
        <v>2026</v>
      </c>
      <c r="D136" s="15" t="inlineStr">
        <is>
          <t>Sillverton Industries Limited</t>
        </is>
      </c>
      <c r="E136" s="15" t="inlineStr">
        <is>
          <t>Addendum</t>
        </is>
      </c>
      <c r="F136" s="15" t="inlineStr">
        <is>
          <t>Sillverton Industries Limited - Addendum to DRHP</t>
        </is>
      </c>
      <c r="G136" s="15" t="inlineStr">
        <is>
          <t>Upcoming — IPO not yet opened</t>
        </is>
      </c>
      <c r="H136" s="15" t="n"/>
      <c r="I136" s="16" t="n"/>
      <c r="J136" s="16" t="n"/>
      <c r="K136" s="16" t="n"/>
      <c r="L136" s="17" t="n"/>
      <c r="M136" s="17" t="n"/>
      <c r="N136" s="17" t="n"/>
      <c r="O136" s="15" t="n"/>
      <c r="P136" s="15" t="n"/>
      <c r="Q136" s="18" t="inlineStr">
        <is>
          <t>https://www.sebi.gov.in/sebi_data/attachdocs/feb-2026/1770358837666.pdf</t>
        </is>
      </c>
      <c r="R136" s="18" t="inlineStr">
        <is>
          <t>https://www.sebi.gov.in/filings/public-issues/feb-2026/sillverton-industries-limited-addendum-to-drhp_99560.html</t>
        </is>
      </c>
      <c r="S136" s="15" t="n"/>
      <c r="T136" s="15" t="n"/>
      <c r="U136" s="15" t="n"/>
      <c r="V136" s="15" t="n"/>
      <c r="W136" s="16" t="n"/>
      <c r="X136" s="16" t="n"/>
      <c r="Y136" s="16" t="n"/>
      <c r="Z136" s="15" t="inlineStr">
        <is>
          <t>Dates not announced</t>
        </is>
      </c>
      <c r="AA136" s="15" t="inlineStr">
        <is>
          <t>SEBI nod 12-Jan-2026; dates not yet announced</t>
        </is>
      </c>
      <c r="AB136" s="18" t="inlineStr">
        <is>
          <t>https://www.chittorgarh.com/ipo/sillverton-industries-ipo/2499/</t>
        </is>
      </c>
    </row>
    <row r="137" ht="15" customHeight="1" s="12">
      <c r="A137" s="14" t="n">
        <v>136</v>
      </c>
      <c r="B137" s="16" t="n">
        <v>46059</v>
      </c>
      <c r="C137" s="15" t="n">
        <v>2026</v>
      </c>
      <c r="D137" s="15" t="inlineStr">
        <is>
          <t>SRIT INDIA LIMITED</t>
        </is>
      </c>
      <c r="E137" s="15" t="inlineStr">
        <is>
          <t>DRHP</t>
        </is>
      </c>
      <c r="F137" s="15" t="inlineStr">
        <is>
          <t>SRIT INDIA LIMITED - DRHP</t>
        </is>
      </c>
      <c r="G137" s="15" t="inlineStr">
        <is>
          <t>Upcoming — IPO not yet opened</t>
        </is>
      </c>
      <c r="H137" s="15" t="n"/>
      <c r="I137" s="16" t="n"/>
      <c r="J137" s="16" t="n"/>
      <c r="K137" s="16" t="n"/>
      <c r="L137" s="17" t="n"/>
      <c r="M137" s="17" t="n"/>
      <c r="N137" s="17" t="n"/>
      <c r="O137" s="15" t="inlineStr">
        <is>
          <t>DRHP cover</t>
        </is>
      </c>
      <c r="P137" s="15" t="inlineStr">
        <is>
          <t>Fresh issue up to 16,800,000 sh</t>
        </is>
      </c>
      <c r="Q137" s="18" t="inlineStr">
        <is>
          <t>https://www.sebi.gov.in/sebi_data/attachdocs/feb-2026/1770358047774.pdf</t>
        </is>
      </c>
      <c r="R137" s="18" t="inlineStr">
        <is>
          <t>https://www.sebi.gov.in/filings/public-issues/feb-2026/srit-india-limited-drhp_99558.html</t>
        </is>
      </c>
      <c r="S137" s="15" t="n"/>
      <c r="T137" s="15" t="n"/>
      <c r="U137" s="15" t="n"/>
      <c r="V137" s="15" t="n"/>
      <c r="W137" s="19" t="n">
        <v>46293</v>
      </c>
      <c r="X137" s="19" t="n">
        <v>46295</v>
      </c>
      <c r="Y137" s="19" t="n">
        <v>46301</v>
      </c>
      <c r="Z137" s="20" t="inlineStr">
        <is>
          <t>Issue opened</t>
        </is>
      </c>
      <c r="AA137" s="15" t="inlineStr">
        <is>
          <t>Matched on chittorgarh.com</t>
        </is>
      </c>
      <c r="AB137" s="18" t="inlineStr">
        <is>
          <t>https://www.chittorgarh.com/ipo/srit-india-ipo/2858/</t>
        </is>
      </c>
    </row>
    <row r="138" ht="15" customHeight="1" s="12">
      <c r="A138" s="14" t="n">
        <v>137</v>
      </c>
      <c r="B138" s="16" t="n">
        <v>46057</v>
      </c>
      <c r="C138" s="15" t="n">
        <v>2026</v>
      </c>
      <c r="D138" s="15" t="inlineStr">
        <is>
          <t>Turtlemint Fintech Solutions Limited</t>
        </is>
      </c>
      <c r="E138" s="15" t="inlineStr">
        <is>
          <t>UDRHP-I</t>
        </is>
      </c>
      <c r="F138" s="15" t="inlineStr">
        <is>
          <t>Turtlemint Fintech Solutions Limited - UDRHP 1</t>
        </is>
      </c>
      <c r="G138" s="15" t="inlineStr">
        <is>
          <t>IPO launched</t>
        </is>
      </c>
      <c r="H138" s="15" t="inlineStr">
        <is>
          <t>Mainboard</t>
        </is>
      </c>
      <c r="I138" s="16" t="n">
        <v>46192</v>
      </c>
      <c r="J138" s="16" t="n">
        <v>46196</v>
      </c>
      <c r="K138" s="16" t="n">
        <v>46202</v>
      </c>
      <c r="L138" s="17" t="n">
        <v>882.67</v>
      </c>
      <c r="M138" s="17" t="n">
        <v>882.67</v>
      </c>
      <c r="N138" s="17" t="n">
        <v>0</v>
      </c>
      <c r="O138" s="15" t="inlineStr">
        <is>
          <t>Final issue (ipoplatform)</t>
        </is>
      </c>
      <c r="P138" s="15" t="n"/>
      <c r="Q138" s="18" t="inlineStr">
        <is>
          <t>https://www.sebi.gov.in/sebi_data/attachdocs/feb-2026/1770194067333.pdf</t>
        </is>
      </c>
      <c r="R138" s="18" t="inlineStr">
        <is>
          <t>https://www.sebi.gov.in/filings/public-issues/feb-2026/turtlemint-fintech-solutions-limited-udrhp-1_99493.html</t>
        </is>
      </c>
      <c r="S138" s="15" t="n"/>
      <c r="T138" s="15" t="inlineStr">
        <is>
          <t>Company name + date window</t>
        </is>
      </c>
      <c r="U138" s="15" t="inlineStr">
        <is>
          <t>Turtlemint Fintech Solutions Limited</t>
        </is>
      </c>
      <c r="V138" s="15" t="n"/>
      <c r="W138" s="15" t="n"/>
      <c r="X138" s="15" t="n"/>
      <c r="Y138" s="15" t="n"/>
      <c r="Z138" s="15" t="n"/>
      <c r="AA138" s="15" t="n"/>
      <c r="AB138" s="15" t="n"/>
    </row>
    <row r="139" ht="15" customHeight="1" s="12">
      <c r="A139" s="14" t="n">
        <v>138</v>
      </c>
      <c r="B139" s="16" t="n">
        <v>46057</v>
      </c>
      <c r="C139" s="15" t="n">
        <v>2026</v>
      </c>
      <c r="D139" s="15" t="inlineStr">
        <is>
          <t>Marri Retail Limited</t>
        </is>
      </c>
      <c r="E139" s="15" t="inlineStr">
        <is>
          <t>DRHP</t>
        </is>
      </c>
      <c r="F139" s="15" t="inlineStr">
        <is>
          <t>Marri Retail Limited - DRHP</t>
        </is>
      </c>
      <c r="G139" s="15" t="inlineStr">
        <is>
          <t>Upcoming — IPO not yet opened</t>
        </is>
      </c>
      <c r="H139" s="15" t="n"/>
      <c r="I139" s="16" t="n"/>
      <c r="J139" s="16" t="n"/>
      <c r="K139" s="16" t="n"/>
      <c r="L139" s="17" t="n"/>
      <c r="M139" s="17" t="n">
        <v>522</v>
      </c>
      <c r="N139" s="17" t="n"/>
      <c r="O139" s="15" t="inlineStr">
        <is>
          <t>DRHP cover</t>
        </is>
      </c>
      <c r="P139" s="15" t="inlineStr">
        <is>
          <t>Fresh issue up to ₹522.00 Cr + OFS up to 27,000,000 sh</t>
        </is>
      </c>
      <c r="Q139" s="18" t="inlineStr">
        <is>
          <t>https://www.sebi.gov.in/sebi_data/attachdocs/feb-2026/1770183523459.pdf</t>
        </is>
      </c>
      <c r="R139" s="18" t="inlineStr">
        <is>
          <t>https://www.sebi.gov.in/filings/public-issues/feb-2026/marri-retail-limited-drhp_99483.html</t>
        </is>
      </c>
      <c r="S139" s="15" t="n"/>
      <c r="T139" s="15" t="n"/>
      <c r="U139" s="15" t="n"/>
      <c r="V139" s="15" t="n"/>
      <c r="W139" s="16" t="n"/>
      <c r="X139" s="16" t="n"/>
      <c r="Y139" s="16" t="n"/>
      <c r="Z139" s="15" t="inlineStr">
        <is>
          <t>Dates not announced</t>
        </is>
      </c>
      <c r="AA139" s="15" t="inlineStr">
        <is>
          <t>SEBI nod 10-Jul-2026; dates not announced</t>
        </is>
      </c>
      <c r="AB139" s="18" t="inlineStr">
        <is>
          <t>https://www.chittorgarh.com/ipo/marri-retail-ipo/2857/</t>
        </is>
      </c>
    </row>
    <row r="140" ht="15" customHeight="1" s="12">
      <c r="A140" s="14" t="n">
        <v>139</v>
      </c>
      <c r="B140" s="16" t="n">
        <v>46052</v>
      </c>
      <c r="C140" s="15" t="n">
        <v>2026</v>
      </c>
      <c r="D140" s="15" t="inlineStr">
        <is>
          <t>Bombay Coated and Special Steels Limited</t>
        </is>
      </c>
      <c r="E140" s="15" t="inlineStr">
        <is>
          <t>DRHP</t>
        </is>
      </c>
      <c r="F140" s="15" t="inlineStr">
        <is>
          <t>Bombay Coated and Special Steels Limited</t>
        </is>
      </c>
      <c r="G140" s="15" t="inlineStr">
        <is>
          <t>Upcoming — IPO not yet opened</t>
        </is>
      </c>
      <c r="H140" s="15" t="n"/>
      <c r="I140" s="16" t="n"/>
      <c r="J140" s="16" t="n"/>
      <c r="K140" s="16" t="n"/>
      <c r="L140" s="17" t="n"/>
      <c r="M140" s="17" t="n"/>
      <c r="N140" s="17" t="n"/>
      <c r="O140" s="15" t="n"/>
      <c r="P140" s="15" t="n"/>
      <c r="Q140" s="18" t="inlineStr">
        <is>
          <t>https://www.sebi.gov.in/sebi_data/attachdocs/feb-2026/1770114408329.pdf</t>
        </is>
      </c>
      <c r="R140" s="18" t="inlineStr">
        <is>
          <t>https://www.sebi.gov.in/filings/public-issues/jan-2026/bombay-coated-and-special-steels-limited_99471.html</t>
        </is>
      </c>
      <c r="S140" s="15" t="n"/>
      <c r="T140" s="15" t="n"/>
      <c r="U140" s="15" t="n"/>
      <c r="V140" s="15" t="n"/>
      <c r="W140" s="16" t="n"/>
      <c r="X140" s="16" t="n"/>
      <c r="Y140" s="16" t="n"/>
      <c r="Z140" s="15" t="inlineStr">
        <is>
          <t>Dates not announced</t>
        </is>
      </c>
      <c r="AA140" s="15" t="inlineStr">
        <is>
          <t>SEBI nod 12-Jun-2026; dates not announced</t>
        </is>
      </c>
      <c r="AB140" s="18" t="inlineStr">
        <is>
          <t>https://www.chittorgarh.com/ipo/bombay-coated-and-special-steels-ipo/2671/</t>
        </is>
      </c>
    </row>
    <row r="141" ht="15" customHeight="1" s="12">
      <c r="A141" s="14" t="n">
        <v>140</v>
      </c>
      <c r="B141" s="16" t="n">
        <v>46051</v>
      </c>
      <c r="C141" s="15" t="n">
        <v>2026</v>
      </c>
      <c r="D141" s="15" t="inlineStr">
        <is>
          <t>Powerica Limited</t>
        </is>
      </c>
      <c r="E141" s="15" t="inlineStr">
        <is>
          <t>Addendum</t>
        </is>
      </c>
      <c r="F141" s="15" t="inlineStr">
        <is>
          <t>Powerica Limited - Addendum to DRHP</t>
        </is>
      </c>
      <c r="G141" s="15" t="inlineStr">
        <is>
          <t>IPO launched</t>
        </is>
      </c>
      <c r="H141" s="15" t="inlineStr">
        <is>
          <t>Mainboard</t>
        </is>
      </c>
      <c r="I141" s="16" t="n">
        <v>46105</v>
      </c>
      <c r="J141" s="16" t="n">
        <v>46108</v>
      </c>
      <c r="K141" s="16" t="n">
        <v>46114</v>
      </c>
      <c r="L141" s="17" t="n">
        <v>1100</v>
      </c>
      <c r="M141" s="17" t="n">
        <v>700</v>
      </c>
      <c r="N141" s="17" t="n">
        <v>400</v>
      </c>
      <c r="O141" s="15" t="inlineStr">
        <is>
          <t>Final issue (ipoplatform)</t>
        </is>
      </c>
      <c r="P141" s="15" t="n"/>
      <c r="Q141" s="18" t="inlineStr">
        <is>
          <t>https://www.sebi.gov.in/sebi_data/attachdocs/feb-2026/1770178189182.pdf</t>
        </is>
      </c>
      <c r="R141" s="18" t="inlineStr">
        <is>
          <t>https://www.sebi.gov.in/filings/public-issues/jan-2026/powerica-limited-addendum-to-drhp_99480.html</t>
        </is>
      </c>
      <c r="S141" s="15" t="n"/>
      <c r="T141" s="15" t="inlineStr">
        <is>
          <t>Company name + date window</t>
        </is>
      </c>
      <c r="U141" s="15" t="inlineStr">
        <is>
          <t>Powerica Limited</t>
        </is>
      </c>
      <c r="V141" s="15" t="n"/>
      <c r="W141" s="15" t="n"/>
      <c r="X141" s="15" t="n"/>
      <c r="Y141" s="15" t="n"/>
      <c r="Z141" s="15" t="n"/>
      <c r="AA141" s="15" t="n"/>
      <c r="AB141" s="15" t="n"/>
    </row>
    <row r="142" ht="15" customHeight="1" s="12">
      <c r="A142" s="14" t="n">
        <v>141</v>
      </c>
      <c r="B142" s="16" t="n">
        <v>46050</v>
      </c>
      <c r="C142" s="15" t="n">
        <v>2026</v>
      </c>
      <c r="D142" s="15" t="inlineStr">
        <is>
          <t>Kanohar Electricals Limited</t>
        </is>
      </c>
      <c r="E142" s="15" t="inlineStr">
        <is>
          <t>DRHP</t>
        </is>
      </c>
      <c r="F142" s="15" t="inlineStr">
        <is>
          <t>Kanohar Electricals Limited</t>
        </is>
      </c>
      <c r="G142" s="15" t="inlineStr">
        <is>
          <t>IPO launched</t>
        </is>
      </c>
      <c r="H142" s="15" t="inlineStr">
        <is>
          <t>Mainboard</t>
        </is>
      </c>
      <c r="I142" s="16" t="n">
        <v>46273</v>
      </c>
      <c r="J142" s="16" t="n">
        <v>46275</v>
      </c>
      <c r="K142" s="16" t="n">
        <v>46281</v>
      </c>
      <c r="L142" s="17" t="n">
        <v>1055.74</v>
      </c>
      <c r="M142" s="17" t="n">
        <v>300</v>
      </c>
      <c r="N142" s="17" t="n">
        <v>755.74</v>
      </c>
      <c r="O142" s="15" t="inlineStr">
        <is>
          <t>Final issue (ipoplatform)</t>
        </is>
      </c>
      <c r="P142" s="15" t="n"/>
      <c r="Q142" s="18" t="inlineStr">
        <is>
          <t>https://www.sebi.gov.in/sebi_data/attachdocs/jan-2026/1769583962398.pdf</t>
        </is>
      </c>
      <c r="R142" s="18" t="inlineStr">
        <is>
          <t>https://www.sebi.gov.in/filings/public-issues/jan-2026/kanohar-electricals-limited_99322.html</t>
        </is>
      </c>
      <c r="S142" s="18" t="inlineStr">
        <is>
          <t>https://www.sebi.gov.in/sebi_data/commondocs/sep-2026/RHP%20Addendum%20Ad%20-%20For%20website%20upload_p.pdf</t>
        </is>
      </c>
      <c r="T142" s="15" t="inlineStr">
        <is>
          <t>Company name + date window</t>
        </is>
      </c>
      <c r="U142" s="15" t="inlineStr">
        <is>
          <t>Kanohar Electricals Limited</t>
        </is>
      </c>
      <c r="V142" s="15" t="n"/>
      <c r="W142" s="15" t="n"/>
      <c r="X142" s="15" t="n"/>
      <c r="Y142" s="15" t="n"/>
      <c r="Z142" s="15" t="n"/>
      <c r="AA142" s="15" t="n"/>
      <c r="AB142" s="15" t="n"/>
    </row>
    <row r="143" ht="15" customHeight="1" s="12">
      <c r="A143" s="14" t="n">
        <v>142</v>
      </c>
      <c r="B143" s="16" t="n">
        <v>46045</v>
      </c>
      <c r="C143" s="15" t="n">
        <v>2026</v>
      </c>
      <c r="D143" s="15" t="inlineStr">
        <is>
          <t>Prasol Chemicals Limited</t>
        </is>
      </c>
      <c r="E143" s="15" t="inlineStr">
        <is>
          <t>Corrigendum</t>
        </is>
      </c>
      <c r="F143" s="15" t="inlineStr">
        <is>
          <t>Prasol Chemicals Limited-Corrigendum to DRHP</t>
        </is>
      </c>
      <c r="G143" s="15" t="inlineStr">
        <is>
          <t>IPO launched</t>
        </is>
      </c>
      <c r="H143" s="15" t="inlineStr">
        <is>
          <t>Mainboard</t>
        </is>
      </c>
      <c r="I143" s="16" t="n">
        <v>46273</v>
      </c>
      <c r="J143" s="16" t="n">
        <v>46275</v>
      </c>
      <c r="K143" s="16" t="n">
        <v>46281</v>
      </c>
      <c r="L143" s="17" t="n">
        <v>500</v>
      </c>
      <c r="M143" s="17" t="n">
        <v>80</v>
      </c>
      <c r="N143" s="17" t="n">
        <v>420</v>
      </c>
      <c r="O143" s="15" t="inlineStr">
        <is>
          <t>Final issue (ipoplatform)</t>
        </is>
      </c>
      <c r="P143" s="15" t="n"/>
      <c r="Q143" s="18" t="inlineStr">
        <is>
          <t>https://www.sebi.gov.in/sebi_data/attachdocs/jan-2026/1769747476646.pdf</t>
        </is>
      </c>
      <c r="R143" s="18" t="inlineStr">
        <is>
          <t>https://www.sebi.gov.in/filings/public-issues/jan-2026/prasol-chemicals-limited-corrigendum-to-drhp_99379.html</t>
        </is>
      </c>
      <c r="S143" s="15" t="n"/>
      <c r="T143" s="15" t="inlineStr">
        <is>
          <t>Company name + date window</t>
        </is>
      </c>
      <c r="U143" s="15" t="inlineStr">
        <is>
          <t>Prasol Chemicals Limited</t>
        </is>
      </c>
      <c r="V143" s="15" t="n"/>
      <c r="W143" s="15" t="n"/>
      <c r="X143" s="15" t="n"/>
      <c r="Y143" s="15" t="n"/>
      <c r="Z143" s="15" t="n"/>
      <c r="AA143" s="15" t="n"/>
      <c r="AB143" s="15" t="n"/>
    </row>
    <row r="144" ht="15" customHeight="1" s="12">
      <c r="A144" s="14" t="n">
        <v>143</v>
      </c>
      <c r="B144" s="16" t="n">
        <v>46045</v>
      </c>
      <c r="C144" s="15" t="n">
        <v>2026</v>
      </c>
      <c r="D144" s="15" t="inlineStr">
        <is>
          <t>PhonePe Limited</t>
        </is>
      </c>
      <c r="E144" s="15" t="inlineStr">
        <is>
          <t>UDRHP-I</t>
        </is>
      </c>
      <c r="F144" s="15" t="inlineStr">
        <is>
          <t>PhonePe Limited UDRHP - I</t>
        </is>
      </c>
      <c r="G144" s="15" t="inlineStr">
        <is>
          <t>Upcoming — IPO not yet opened</t>
        </is>
      </c>
      <c r="H144" s="15" t="n"/>
      <c r="I144" s="16" t="n"/>
      <c r="J144" s="16" t="n"/>
      <c r="K144" s="16" t="n"/>
      <c r="L144" s="17" t="n"/>
      <c r="M144" s="17" t="n"/>
      <c r="N144" s="17" t="n"/>
      <c r="O144" s="15" t="n"/>
      <c r="P144" s="15" t="n"/>
      <c r="Q144" s="18" t="inlineStr">
        <is>
          <t>https://www.sebi.gov.in/sebi_data/attachdocs/jan-2026/1769161833282.pdf</t>
        </is>
      </c>
      <c r="R144" s="18" t="inlineStr">
        <is>
          <t>https://www.sebi.gov.in/filings/public-issues/jan-2026/phonepe-limited-udrhp-i_99285.html</t>
        </is>
      </c>
      <c r="S144" s="15" t="n"/>
      <c r="T144" s="15" t="n"/>
      <c r="U144" s="15" t="n"/>
      <c r="V144" s="15" t="n"/>
      <c r="W144" s="16" t="n"/>
      <c r="X144" s="16" t="n"/>
      <c r="Y144" s="16" t="n"/>
      <c r="Z144" s="15" t="inlineStr">
        <is>
          <t>Dates not announced</t>
        </is>
      </c>
      <c r="AA144" s="15" t="inlineStr">
        <is>
          <t>SEBI nod 20-Jan-2026; launch on hold, dates not announced</t>
        </is>
      </c>
      <c r="AB144" s="18" t="inlineStr">
        <is>
          <t>https://www.chittorgarh.com/ipo/phonepe-ipo/2634/</t>
        </is>
      </c>
    </row>
    <row r="145" ht="15" customHeight="1" s="12">
      <c r="A145" s="14" t="n">
        <v>144</v>
      </c>
      <c r="B145" s="16" t="n">
        <v>46045</v>
      </c>
      <c r="C145" s="15" t="n">
        <v>2026</v>
      </c>
      <c r="D145" s="15" t="inlineStr">
        <is>
          <t>ArMee Infotech Limited</t>
        </is>
      </c>
      <c r="E145" s="15" t="inlineStr">
        <is>
          <t>Addendum</t>
        </is>
      </c>
      <c r="F145" s="15" t="inlineStr">
        <is>
          <t>ArMee Infotech Limited - Addendum to DRHP</t>
        </is>
      </c>
      <c r="G145" s="15" t="inlineStr">
        <is>
          <t>IPO launched</t>
        </is>
      </c>
      <c r="H145" s="15" t="inlineStr">
        <is>
          <t>Mainboard</t>
        </is>
      </c>
      <c r="I145" s="16" t="n">
        <v>46288</v>
      </c>
      <c r="J145" s="16" t="n">
        <v>46290</v>
      </c>
      <c r="K145" s="16" t="n">
        <v>46295</v>
      </c>
      <c r="L145" s="17" t="n">
        <v>300</v>
      </c>
      <c r="M145" s="17" t="n">
        <v>300</v>
      </c>
      <c r="N145" s="17" t="n">
        <v>0</v>
      </c>
      <c r="O145" s="15" t="inlineStr">
        <is>
          <t>Final issue (ipoplatform)</t>
        </is>
      </c>
      <c r="P145" s="15" t="n"/>
      <c r="Q145" s="18" t="inlineStr">
        <is>
          <t>https://www.sebi.gov.in/sebi_data/attachdocs/jan-2026/1769149793606.pdf</t>
        </is>
      </c>
      <c r="R145" s="18" t="inlineStr">
        <is>
          <t>https://www.sebi.gov.in/filings/public-issues/jan-2026/armee-infotech-limited-addendum-to-drhp_99282.html</t>
        </is>
      </c>
      <c r="S145" s="15" t="n"/>
      <c r="T145" s="15" t="inlineStr">
        <is>
          <t>Company name + date window</t>
        </is>
      </c>
      <c r="U145" s="15" t="inlineStr">
        <is>
          <t>ArMee Infotech Limited</t>
        </is>
      </c>
      <c r="V145" s="15" t="n"/>
      <c r="W145" s="15" t="n"/>
      <c r="X145" s="15" t="n"/>
      <c r="Y145" s="15" t="n"/>
      <c r="Z145" s="15" t="n"/>
      <c r="AA145" s="15" t="n"/>
      <c r="AB145" s="15" t="n"/>
    </row>
    <row r="146" ht="15" customHeight="1" s="12">
      <c r="A146" s="14" t="n">
        <v>145</v>
      </c>
      <c r="B146" s="16" t="n">
        <v>46045</v>
      </c>
      <c r="C146" s="15" t="n">
        <v>2026</v>
      </c>
      <c r="D146" s="15" t="inlineStr">
        <is>
          <t>APPL Containers Limited</t>
        </is>
      </c>
      <c r="E146" s="15" t="inlineStr">
        <is>
          <t>Addendum</t>
        </is>
      </c>
      <c r="F146" s="15" t="inlineStr">
        <is>
          <t>APPL Containers Limited - Addendum to DRHP</t>
        </is>
      </c>
      <c r="G146" s="15" t="inlineStr">
        <is>
          <t>Upcoming — IPO not yet opened</t>
        </is>
      </c>
      <c r="H146" s="15" t="n"/>
      <c r="I146" s="16" t="n"/>
      <c r="J146" s="16" t="n"/>
      <c r="K146" s="16" t="n"/>
      <c r="L146" s="17" t="n"/>
      <c r="M146" s="17" t="n"/>
      <c r="N146" s="17" t="n"/>
      <c r="O146" s="15" t="n"/>
      <c r="P146" s="15" t="n"/>
      <c r="Q146" s="18" t="inlineStr">
        <is>
          <t>https://www.sebi.gov.in/sebi_data/attachdocs/jan-2026/1769161615327.pdf</t>
        </is>
      </c>
      <c r="R146" s="18" t="inlineStr">
        <is>
          <t>https://www.sebi.gov.in/filings/public-issues/jan-2026/appl-containers-limited-addendum-to-drhp_99277.html</t>
        </is>
      </c>
      <c r="S146" s="15" t="n"/>
      <c r="T146" s="15" t="n"/>
      <c r="U146" s="15" t="n"/>
      <c r="V146" s="15" t="n"/>
      <c r="W146" s="16" t="n"/>
      <c r="X146" s="16" t="n"/>
      <c r="Y146" s="16" t="n"/>
      <c r="Z146" s="15" t="inlineStr">
        <is>
          <t>Dates not announced</t>
        </is>
      </c>
      <c r="AA146" s="15" t="inlineStr">
        <is>
          <t>SEBI nod 20-Feb-2026; dates not yet announced</t>
        </is>
      </c>
      <c r="AB146" s="18" t="inlineStr">
        <is>
          <t>https://www.chittorgarh.com/ipo/appl-containers-ipo/2643/</t>
        </is>
      </c>
    </row>
    <row r="147" ht="15" customHeight="1" s="12">
      <c r="A147" s="14" t="n">
        <v>146</v>
      </c>
      <c r="B147" s="16" t="n">
        <v>46044</v>
      </c>
      <c r="C147" s="15" t="n">
        <v>2026</v>
      </c>
      <c r="D147" s="15" t="inlineStr">
        <is>
          <t>EAAA India Alternatives Limited</t>
        </is>
      </c>
      <c r="E147" s="15" t="inlineStr">
        <is>
          <t>DRHP</t>
        </is>
      </c>
      <c r="F147" s="15" t="inlineStr">
        <is>
          <t>EAAA India Alternatives Limited - DRHP</t>
        </is>
      </c>
      <c r="G147" s="15" t="inlineStr">
        <is>
          <t>Upcoming — IPO not yet opened</t>
        </is>
      </c>
      <c r="H147" s="15" t="n"/>
      <c r="I147" s="16" t="n"/>
      <c r="J147" s="16" t="n"/>
      <c r="K147" s="16" t="n"/>
      <c r="L147" s="17" t="n">
        <v>1500</v>
      </c>
      <c r="M147" s="17" t="n"/>
      <c r="N147" s="17" t="n">
        <v>1500</v>
      </c>
      <c r="O147" s="15" t="inlineStr">
        <is>
          <t>DRHP cover</t>
        </is>
      </c>
      <c r="P147" s="15" t="inlineStr">
        <is>
          <t>OFS up to ₹1,500.00 Cr</t>
        </is>
      </c>
      <c r="Q147" s="18" t="inlineStr">
        <is>
          <t>https://www.sebi.gov.in/sebi_data/attachdocs/jan-2026/1769083342999.pdf</t>
        </is>
      </c>
      <c r="R147" s="18" t="inlineStr">
        <is>
          <t>https://www.sebi.gov.in/filings/public-issues/jan-2026/eaaa-india-alternatives-limited-drhp_99257.html</t>
        </is>
      </c>
      <c r="S147" s="15" t="n"/>
      <c r="T147" s="15" t="n"/>
      <c r="U147" s="15" t="n"/>
      <c r="V147" s="15" t="n"/>
      <c r="W147" s="16" t="n"/>
      <c r="X147" s="16" t="n"/>
      <c r="Y147" s="16" t="n"/>
      <c r="Z147" s="15" t="inlineStr">
        <is>
          <t>Dates not announced</t>
        </is>
      </c>
      <c r="AA147" s="15" t="inlineStr">
        <is>
          <t>SEBI nod Apr-2026; Rs1,500cr OFS; dates not announced</t>
        </is>
      </c>
      <c r="AB147" s="18" t="inlineStr">
        <is>
          <t>https://www.chittorgarh.com/ipo/eaaa-india-alternatives-ipo/2061/</t>
        </is>
      </c>
    </row>
    <row r="148" ht="15" customHeight="1" s="12">
      <c r="A148" s="14" t="n">
        <v>147</v>
      </c>
      <c r="B148" s="16" t="n">
        <v>46044</v>
      </c>
      <c r="C148" s="15" t="n">
        <v>2026</v>
      </c>
      <c r="D148" s="15" t="inlineStr">
        <is>
          <t>Advanta Enterprises Limited</t>
        </is>
      </c>
      <c r="E148" s="15" t="inlineStr">
        <is>
          <t>DRHP</t>
        </is>
      </c>
      <c r="F148" s="15" t="inlineStr">
        <is>
          <t>Advanta Enterprises Limited - DRHP</t>
        </is>
      </c>
      <c r="G148" s="15" t="inlineStr">
        <is>
          <t>Upcoming — IPO not yet opened</t>
        </is>
      </c>
      <c r="H148" s="15" t="n"/>
      <c r="I148" s="16" t="n"/>
      <c r="J148" s="16" t="n"/>
      <c r="K148" s="16" t="n"/>
      <c r="L148" s="17" t="n"/>
      <c r="M148" s="17" t="n"/>
      <c r="N148" s="17" t="n"/>
      <c r="O148" s="15" t="inlineStr">
        <is>
          <t>DRHP cover</t>
        </is>
      </c>
      <c r="P148" s="15" t="inlineStr">
        <is>
          <t>OFS up to 28,107,578 sh</t>
        </is>
      </c>
      <c r="Q148" s="18" t="inlineStr">
        <is>
          <t>https://www.sebi.gov.in/sebi_data/attachdocs/jan-2026/1769065345546.pdf</t>
        </is>
      </c>
      <c r="R148" s="18" t="inlineStr">
        <is>
          <t>https://www.sebi.gov.in/filings/public-issues/jan-2026/advanta-enterprises-limited-drhp_99228.html</t>
        </is>
      </c>
      <c r="S148" s="15" t="n"/>
      <c r="T148" s="15" t="n"/>
      <c r="U148" s="15" t="n"/>
      <c r="V148" s="15" t="n"/>
      <c r="W148" s="16" t="n"/>
      <c r="X148" s="16" t="n"/>
      <c r="Y148" s="16" t="n"/>
      <c r="Z148" s="15" t="inlineStr">
        <is>
          <t>Dates not announced</t>
        </is>
      </c>
      <c r="AA148" s="15" t="inlineStr">
        <is>
          <t>SEBI nod 3-Jun-2026; dates not announced</t>
        </is>
      </c>
      <c r="AB148" s="18" t="inlineStr">
        <is>
          <t>https://www.chittorgarh.com/ipo/advanta-enterprises-ipo/2854/</t>
        </is>
      </c>
    </row>
    <row r="149" ht="15" customHeight="1" s="12">
      <c r="A149" s="14" t="n">
        <v>148</v>
      </c>
      <c r="B149" s="16" t="n">
        <v>46042</v>
      </c>
      <c r="C149" s="15" t="n">
        <v>2026</v>
      </c>
      <c r="D149" s="15" t="inlineStr">
        <is>
          <t>Rodec Pharma Limited</t>
        </is>
      </c>
      <c r="E149" s="15" t="inlineStr">
        <is>
          <t>DRHP</t>
        </is>
      </c>
      <c r="F149" s="15" t="inlineStr">
        <is>
          <t>Rodec Pharma Limited</t>
        </is>
      </c>
      <c r="G149" s="15" t="inlineStr">
        <is>
          <t>Upcoming — IPO not yet opened</t>
        </is>
      </c>
      <c r="H149" s="15" t="n"/>
      <c r="I149" s="16" t="n"/>
      <c r="J149" s="16" t="n"/>
      <c r="K149" s="16" t="n"/>
      <c r="L149" s="17" t="n"/>
      <c r="M149" s="17" t="n"/>
      <c r="N149" s="17" t="n"/>
      <c r="O149" s="15" t="inlineStr">
        <is>
          <t>DRHP cover</t>
        </is>
      </c>
      <c r="P149" s="15" t="inlineStr">
        <is>
          <t>OFS up to 5,650,000 sh</t>
        </is>
      </c>
      <c r="Q149" s="18" t="inlineStr">
        <is>
          <t>https://www.sebi.gov.in/sebi_data/attachdocs/jan-2026/1768908606102_1097.pdf</t>
        </is>
      </c>
      <c r="R149" s="18" t="inlineStr">
        <is>
          <t>https://www.sebi.gov.in/filings/public-issues/jan-2026/rodec-pharma-limited_99167.html</t>
        </is>
      </c>
      <c r="S149" s="15" t="n"/>
      <c r="T149" s="15" t="n"/>
      <c r="U149" s="15" t="n"/>
      <c r="V149" s="15" t="n"/>
      <c r="W149" s="16" t="n"/>
      <c r="X149" s="16" t="n"/>
      <c r="Y149" s="16" t="n"/>
      <c r="Z149" s="15" t="inlineStr">
        <is>
          <t>Dates not announced</t>
        </is>
      </c>
      <c r="AA149" s="15" t="inlineStr">
        <is>
          <t>SEBI nod reported; dates not announced</t>
        </is>
      </c>
      <c r="AB149" s="18" t="inlineStr">
        <is>
          <t>https://www.chittorgarh.com/ipo/rodec-pharma-ipo/2852/</t>
        </is>
      </c>
    </row>
    <row r="150" ht="15" customHeight="1" s="12">
      <c r="A150" s="14" t="n">
        <v>149</v>
      </c>
      <c r="B150" s="16" t="n">
        <v>46035</v>
      </c>
      <c r="C150" s="15" t="n">
        <v>2026</v>
      </c>
      <c r="D150" s="15" t="inlineStr">
        <is>
          <t>Veegaland Developers Limited</t>
        </is>
      </c>
      <c r="E150" s="15" t="inlineStr">
        <is>
          <t>DRHP</t>
        </is>
      </c>
      <c r="F150" s="15" t="inlineStr">
        <is>
          <t>Veegaland Developers Limited</t>
        </is>
      </c>
      <c r="G150" s="15" t="inlineStr">
        <is>
          <t>IPO launched</t>
        </is>
      </c>
      <c r="H150" s="15" t="inlineStr">
        <is>
          <t>Mainboard</t>
        </is>
      </c>
      <c r="I150" s="16" t="n">
        <v>46275</v>
      </c>
      <c r="J150" s="16" t="n">
        <v>46280</v>
      </c>
      <c r="K150" s="16" t="n">
        <v>46283</v>
      </c>
      <c r="L150" s="17" t="n">
        <v>210</v>
      </c>
      <c r="M150" s="17" t="n">
        <v>210</v>
      </c>
      <c r="N150" s="17" t="n">
        <v>0</v>
      </c>
      <c r="O150" s="15" t="inlineStr">
        <is>
          <t>Final issue (ipoplatform)</t>
        </is>
      </c>
      <c r="P150" s="15" t="n"/>
      <c r="Q150" s="18" t="inlineStr">
        <is>
          <t>https://www.sebi.gov.in/sebi_data/attachdocs/jan-2026/1768304860369.pdf</t>
        </is>
      </c>
      <c r="R150" s="18" t="inlineStr">
        <is>
          <t>https://www.sebi.gov.in/filings/public-issues/jan-2026/veegaland-developers-limited_99042.html</t>
        </is>
      </c>
      <c r="S150" s="15" t="n"/>
      <c r="T150" s="15" t="inlineStr">
        <is>
          <t>Company name + date window</t>
        </is>
      </c>
      <c r="U150" s="15" t="inlineStr">
        <is>
          <t>Veegaland Developers Limited</t>
        </is>
      </c>
      <c r="V150" s="15" t="n"/>
      <c r="W150" s="15" t="n"/>
      <c r="X150" s="15" t="n"/>
      <c r="Y150" s="15" t="n"/>
      <c r="Z150" s="15" t="n"/>
      <c r="AA150" s="15" t="n"/>
      <c r="AB150" s="15" t="n"/>
    </row>
    <row r="151" ht="15" customHeight="1" s="12">
      <c r="A151" s="14" t="n">
        <v>150</v>
      </c>
      <c r="B151" s="16" t="n">
        <v>46035</v>
      </c>
      <c r="C151" s="15" t="n">
        <v>2026</v>
      </c>
      <c r="D151" s="15" t="inlineStr">
        <is>
          <t>HINDUSTAN LABORATORIES LIMITED</t>
        </is>
      </c>
      <c r="E151" s="15" t="inlineStr">
        <is>
          <t>DRHP</t>
        </is>
      </c>
      <c r="F151" s="15" t="inlineStr">
        <is>
          <t>HINDUSTAN LABORATORIES LIMITED</t>
        </is>
      </c>
      <c r="G151" s="15" t="inlineStr">
        <is>
          <t>Upcoming — IPO not yet opened</t>
        </is>
      </c>
      <c r="H151" s="15" t="n"/>
      <c r="I151" s="16" t="n"/>
      <c r="J151" s="16" t="n"/>
      <c r="K151" s="16" t="n"/>
      <c r="L151" s="17" t="n"/>
      <c r="M151" s="17" t="n"/>
      <c r="N151" s="17" t="n"/>
      <c r="O151" s="15" t="inlineStr">
        <is>
          <t>DRHP cover</t>
        </is>
      </c>
      <c r="P151" s="15" t="inlineStr">
        <is>
          <t>Fresh issue up to 5,000,000 sh + OFS up to 9,100,000 sh</t>
        </is>
      </c>
      <c r="Q151" s="18" t="inlineStr">
        <is>
          <t>https://www.sebi.gov.in/sebi_data/attachdocs/jan-2026/1768303804000_1096.pdf</t>
        </is>
      </c>
      <c r="R151" s="18" t="inlineStr">
        <is>
          <t>https://www.sebi.gov.in/filings/public-issues/jan-2026/hindustan-laboratories-limited_99041.html</t>
        </is>
      </c>
      <c r="S151" s="15" t="n"/>
      <c r="T151" s="15" t="n"/>
      <c r="U151" s="15" t="n"/>
      <c r="V151" s="15" t="n"/>
      <c r="W151" s="16" t="n"/>
      <c r="X151" s="16" t="n"/>
      <c r="Y151" s="16" t="n"/>
      <c r="Z151" s="15" t="inlineStr">
        <is>
          <t>Dates not announced</t>
        </is>
      </c>
      <c r="AA151" s="15" t="inlineStr">
        <is>
          <t>SEBI nod 27-Apr-2026; dates not yet announced</t>
        </is>
      </c>
      <c r="AB151" s="18" t="inlineStr">
        <is>
          <t>https://www.chittorgarh.com/ipo/hindustan-laboratories-ipo/2850/</t>
        </is>
      </c>
    </row>
    <row r="152" ht="15" customHeight="1" s="12">
      <c r="A152" s="14" t="n">
        <v>151</v>
      </c>
      <c r="B152" s="16" t="n">
        <v>46034</v>
      </c>
      <c r="C152" s="15" t="n">
        <v>2026</v>
      </c>
      <c r="D152" s="15" t="inlineStr">
        <is>
          <t>Aarvee Engineering Consultants Limited</t>
        </is>
      </c>
      <c r="E152" s="15" t="inlineStr">
        <is>
          <t>Addendum</t>
        </is>
      </c>
      <c r="F152" s="15" t="inlineStr">
        <is>
          <t>Aarvee Engineering Consultants Limited - Addendum 2</t>
        </is>
      </c>
      <c r="G152" s="15" t="inlineStr">
        <is>
          <t>Upcoming — IPO not yet opened</t>
        </is>
      </c>
      <c r="H152" s="15" t="n"/>
      <c r="I152" s="16" t="n"/>
      <c r="J152" s="16" t="n"/>
      <c r="K152" s="16" t="n"/>
      <c r="L152" s="17" t="n"/>
      <c r="M152" s="17" t="n"/>
      <c r="N152" s="17" t="n"/>
      <c r="O152" s="15" t="n"/>
      <c r="P152" s="15" t="n"/>
      <c r="Q152" s="18" t="inlineStr">
        <is>
          <t>https://www.sebi.gov.in/sebi_data/attachdocs/jan-2026/1768295972738.pdf</t>
        </is>
      </c>
      <c r="R152" s="18" t="inlineStr">
        <is>
          <t>https://www.sebi.gov.in/filings/public-issues/jan-2026/aarvee-engineering-consultants-limited-addendum-2_99033.html</t>
        </is>
      </c>
      <c r="S152" s="15" t="n"/>
      <c r="T152" s="15" t="n"/>
      <c r="U152" s="15" t="n"/>
      <c r="V152" s="15" t="n"/>
      <c r="W152" s="16" t="n"/>
      <c r="X152" s="16" t="n"/>
      <c r="Y152" s="16" t="n"/>
      <c r="Z152" s="15" t="inlineStr">
        <is>
          <t>Dates not announced</t>
        </is>
      </c>
      <c r="AA152" s="15" t="inlineStr">
        <is>
          <t>SEBI nod 4-Feb-2026; dates not yet announced</t>
        </is>
      </c>
      <c r="AB152" s="18" t="inlineStr">
        <is>
          <t>https://www.chittorgarh.com/ipo/aarvee-engineering-consultants-ipo/2637/</t>
        </is>
      </c>
    </row>
    <row r="153" ht="15" customHeight="1" s="12">
      <c r="A153" s="14" t="n">
        <v>152</v>
      </c>
      <c r="B153" s="16" t="n">
        <v>46034</v>
      </c>
      <c r="C153" s="15" t="n">
        <v>2026</v>
      </c>
      <c r="D153" s="15" t="inlineStr">
        <is>
          <t>SAEL Industries Limited</t>
        </is>
      </c>
      <c r="E153" s="15" t="inlineStr">
        <is>
          <t>Corrigendum</t>
        </is>
      </c>
      <c r="F153" s="15" t="inlineStr">
        <is>
          <t>SAEL Industries Limited - Corrigendum to DRHP</t>
        </is>
      </c>
      <c r="G153" s="15" t="inlineStr">
        <is>
          <t>Upcoming — IPO not yet opened</t>
        </is>
      </c>
      <c r="H153" s="15" t="n"/>
      <c r="I153" s="16" t="n"/>
      <c r="J153" s="16" t="n"/>
      <c r="K153" s="16" t="n"/>
      <c r="L153" s="17" t="n"/>
      <c r="M153" s="17" t="n"/>
      <c r="N153" s="17" t="n"/>
      <c r="O153" s="15" t="n"/>
      <c r="P153" s="15" t="n"/>
      <c r="Q153" s="18" t="inlineStr">
        <is>
          <t>https://www.sebi.gov.in/sebi_data/attachdocs/jan-2026/1768212809549.pdf</t>
        </is>
      </c>
      <c r="R153" s="18" t="inlineStr">
        <is>
          <t>https://www.sebi.gov.in/filings/public-issues/jan-2026/sael-industries-limited-corrigendum-to-drhp_99024.html</t>
        </is>
      </c>
      <c r="S153" s="15" t="n"/>
      <c r="T153" s="15" t="n"/>
      <c r="U153" s="15" t="n"/>
      <c r="V153" s="15" t="n"/>
      <c r="W153" s="16" t="n"/>
      <c r="X153" s="16" t="n"/>
      <c r="Y153" s="16" t="n"/>
      <c r="Z153" s="15" t="inlineStr">
        <is>
          <t>Dates not announced</t>
        </is>
      </c>
      <c r="AA153" s="15" t="inlineStr">
        <is>
          <t>SEBI nod 27-Mar-2026; Rs4,575cr; dates not announced</t>
        </is>
      </c>
      <c r="AB153" s="18" t="inlineStr">
        <is>
          <t>https://www.chittorgarh.com/ipo/sael-industries-ipo/2793/</t>
        </is>
      </c>
    </row>
    <row r="154" ht="15" customHeight="1" s="12">
      <c r="A154" s="14" t="n">
        <v>153</v>
      </c>
      <c r="B154" s="16" t="n">
        <v>46034</v>
      </c>
      <c r="C154" s="15" t="n">
        <v>2026</v>
      </c>
      <c r="D154" s="15" t="inlineStr">
        <is>
          <t>Vishal Nirmiti Limited</t>
        </is>
      </c>
      <c r="E154" s="15" t="inlineStr">
        <is>
          <t>DRHP</t>
        </is>
      </c>
      <c r="F154" s="15" t="inlineStr">
        <is>
          <t>Vishal Nirmiti Limited</t>
        </is>
      </c>
      <c r="G154" s="15" t="inlineStr">
        <is>
          <t>Upcoming — IPO not yet opened</t>
        </is>
      </c>
      <c r="H154" s="15" t="n"/>
      <c r="I154" s="16" t="n"/>
      <c r="J154" s="16" t="n"/>
      <c r="K154" s="16" t="n"/>
      <c r="L154" s="17" t="n"/>
      <c r="M154" s="17" t="n"/>
      <c r="N154" s="17" t="n"/>
      <c r="O154" s="15" t="n"/>
      <c r="P154" s="15" t="n"/>
      <c r="Q154" s="18" t="inlineStr">
        <is>
          <t>https://www.sebi.gov.in/sebi_data/attachdocs/jan-2026/1768202159183.pdf</t>
        </is>
      </c>
      <c r="R154" s="18" t="inlineStr">
        <is>
          <t>https://www.sebi.gov.in/filings/public-issues/jan-2026/vishal-nirmiti-limited_98883.html</t>
        </is>
      </c>
      <c r="S154" s="15" t="n"/>
      <c r="T154" s="15" t="n"/>
      <c r="U154" s="15" t="n"/>
      <c r="V154" s="15" t="n"/>
      <c r="W154" s="19" t="n">
        <v>46295</v>
      </c>
      <c r="X154" s="19" t="n">
        <v>46300</v>
      </c>
      <c r="Y154" s="19" t="n">
        <v>46303</v>
      </c>
      <c r="Z154" s="20" t="inlineStr">
        <is>
          <t>Issue opened</t>
        </is>
      </c>
      <c r="AA154" s="15" t="inlineStr">
        <is>
          <t>Matched on chittorgarh.com</t>
        </is>
      </c>
      <c r="AB154" s="18" t="inlineStr">
        <is>
          <t>https://www.chittorgarh.com/ipo/vishal-nirmiti-ipo/2665/</t>
        </is>
      </c>
    </row>
    <row r="155" ht="15" customHeight="1" s="12">
      <c r="A155" s="14" t="n">
        <v>154</v>
      </c>
      <c r="B155" s="16" t="n">
        <v>46029</v>
      </c>
      <c r="C155" s="15" t="n">
        <v>2026</v>
      </c>
      <c r="D155" s="15" t="inlineStr">
        <is>
          <t>Surgiwear Limited</t>
        </is>
      </c>
      <c r="E155" s="15" t="inlineStr">
        <is>
          <t>DRHP</t>
        </is>
      </c>
      <c r="F155" s="15" t="inlineStr">
        <is>
          <t>Surgiwear Limited</t>
        </is>
      </c>
      <c r="G155" s="15" t="inlineStr">
        <is>
          <t>Upcoming — IPO not yet opened</t>
        </is>
      </c>
      <c r="H155" s="15" t="n"/>
      <c r="I155" s="16" t="n"/>
      <c r="J155" s="16" t="n"/>
      <c r="K155" s="16" t="n"/>
      <c r="L155" s="17" t="n"/>
      <c r="M155" s="17" t="n"/>
      <c r="N155" s="17" t="n"/>
      <c r="O155" s="15" t="n"/>
      <c r="P155" s="15" t="n"/>
      <c r="Q155" s="18" t="inlineStr">
        <is>
          <t>https://www.sebi.gov.in/sebi_data/attachdocs/jan-2026/1767762940433.pdf</t>
        </is>
      </c>
      <c r="R155" s="18" t="inlineStr">
        <is>
          <t>https://www.sebi.gov.in/filings/public-issues/jan-2026/surgiwear-limited_98949.html</t>
        </is>
      </c>
      <c r="S155" s="15" t="n"/>
      <c r="T155" s="15" t="n"/>
      <c r="U155" s="15" t="n"/>
      <c r="V155" s="15" t="n"/>
      <c r="W155" s="16" t="n"/>
      <c r="X155" s="16" t="n"/>
      <c r="Y155" s="16" t="n"/>
      <c r="Z155" s="15" t="inlineStr">
        <is>
          <t>Dates not announced</t>
        </is>
      </c>
      <c r="AA155" s="15" t="inlineStr">
        <is>
          <t>G.Surgiwear; SEBI nod 4-May-2026; dates not announced</t>
        </is>
      </c>
      <c r="AB155" s="18" t="inlineStr">
        <is>
          <t>https://www.chittorgarh.com/ipo/g-surgiwear-ipo/2832/</t>
        </is>
      </c>
    </row>
    <row r="156" ht="15" customHeight="1" s="12">
      <c r="A156" s="14" t="n">
        <v>155</v>
      </c>
      <c r="B156" s="16" t="n">
        <v>46027</v>
      </c>
      <c r="C156" s="15" t="n">
        <v>2026</v>
      </c>
      <c r="D156" s="15" t="inlineStr">
        <is>
          <t>SS RETAIL LIMITED</t>
        </is>
      </c>
      <c r="E156" s="15" t="inlineStr">
        <is>
          <t>DRHP</t>
        </is>
      </c>
      <c r="F156" s="15" t="inlineStr">
        <is>
          <t>SS RETAIL LIMITED</t>
        </is>
      </c>
      <c r="G156" s="15" t="inlineStr">
        <is>
          <t>IPO launched</t>
        </is>
      </c>
      <c r="H156" s="15" t="inlineStr">
        <is>
          <t>Mainboard</t>
        </is>
      </c>
      <c r="I156" s="16" t="n">
        <v>46281</v>
      </c>
      <c r="J156" s="16" t="n">
        <v>46283</v>
      </c>
      <c r="K156" s="16" t="n">
        <v>46288</v>
      </c>
      <c r="L156" s="17" t="n">
        <v>500.75</v>
      </c>
      <c r="M156" s="17" t="n">
        <v>360.75</v>
      </c>
      <c r="N156" s="17" t="n">
        <v>140</v>
      </c>
      <c r="O156" s="15" t="inlineStr">
        <is>
          <t>Final issue (ipoplatform)</t>
        </is>
      </c>
      <c r="P156" s="15" t="n"/>
      <c r="Q156" s="18" t="inlineStr">
        <is>
          <t>https://www.sebi.gov.in/sebi_data/attachdocs/jan-2026/1767598214527_1053.pdf</t>
        </is>
      </c>
      <c r="R156" s="18" t="inlineStr">
        <is>
          <t>https://www.sebi.gov.in/filings/public-issues/jan-2026/ss-retail-limited_98843.html</t>
        </is>
      </c>
      <c r="S156" s="15" t="n"/>
      <c r="T156" s="15" t="inlineStr">
        <is>
          <t>Company name + date window</t>
        </is>
      </c>
      <c r="U156" s="15" t="inlineStr">
        <is>
          <t>SS Retail Limited</t>
        </is>
      </c>
      <c r="V156" s="15" t="n"/>
      <c r="W156" s="15" t="n"/>
      <c r="X156" s="15" t="n"/>
      <c r="Y156" s="15" t="n"/>
      <c r="Z156" s="15" t="n"/>
      <c r="AA156" s="15" t="n"/>
      <c r="AB156" s="15" t="n"/>
    </row>
    <row r="157" ht="15" customHeight="1" s="12">
      <c r="A157" s="14" t="n">
        <v>156</v>
      </c>
      <c r="B157" s="16" t="n">
        <v>46027</v>
      </c>
      <c r="C157" s="15" t="n">
        <v>2026</v>
      </c>
      <c r="D157" s="15" t="inlineStr">
        <is>
          <t>HORIZON INDUSTRIAL PARKS LIMITED</t>
        </is>
      </c>
      <c r="E157" s="15" t="inlineStr">
        <is>
          <t>DRHP</t>
        </is>
      </c>
      <c r="F157" s="15" t="inlineStr">
        <is>
          <t>HORIZON INDUSTRIAL PARKS LIMITED</t>
        </is>
      </c>
      <c r="G157" s="15" t="inlineStr">
        <is>
          <t>IPO launched</t>
        </is>
      </c>
      <c r="H157" s="15" t="inlineStr">
        <is>
          <t>Mainboard</t>
        </is>
      </c>
      <c r="I157" s="16" t="n">
        <v>46251</v>
      </c>
      <c r="J157" s="16" t="n">
        <v>46253</v>
      </c>
      <c r="K157" s="16" t="n">
        <v>46258</v>
      </c>
      <c r="L157" s="17" t="n">
        <v>2600</v>
      </c>
      <c r="M157" s="17" t="n">
        <v>2600</v>
      </c>
      <c r="N157" s="17" t="n">
        <v>0</v>
      </c>
      <c r="O157" s="15" t="inlineStr">
        <is>
          <t>Final issue (ipoplatform)</t>
        </is>
      </c>
      <c r="P157" s="15" t="n"/>
      <c r="Q157" s="18" t="inlineStr">
        <is>
          <t>https://www.sebi.gov.in/sebi_data/attachdocs/jan-2026/1767598214527_1051.pdf</t>
        </is>
      </c>
      <c r="R157" s="18" t="inlineStr">
        <is>
          <t>https://www.sebi.gov.in/filings/public-issues/jan-2026/horizon-industrial-parks-limited_98839.html</t>
        </is>
      </c>
      <c r="S157" s="15" t="n"/>
      <c r="T157" s="15" t="inlineStr">
        <is>
          <t>Company name + date window</t>
        </is>
      </c>
      <c r="U157" s="15" t="inlineStr">
        <is>
          <t>Horizon Industrial Parks Limited</t>
        </is>
      </c>
      <c r="V157" s="15" t="n"/>
      <c r="W157" s="15" t="n"/>
      <c r="X157" s="15" t="n"/>
      <c r="Y157" s="15" t="n"/>
      <c r="Z157" s="15" t="n"/>
      <c r="AA157" s="15" t="n"/>
      <c r="AB157" s="15" t="n"/>
    </row>
    <row r="158" ht="15" customHeight="1" s="12">
      <c r="A158" s="14" t="n">
        <v>157</v>
      </c>
      <c r="B158" s="16" t="n">
        <v>46024</v>
      </c>
      <c r="C158" s="15" t="n">
        <v>2026</v>
      </c>
      <c r="D158" s="15" t="inlineStr">
        <is>
          <t>Deepa Jewellers Limited</t>
        </is>
      </c>
      <c r="E158" s="15" t="inlineStr">
        <is>
          <t>DRHP</t>
        </is>
      </c>
      <c r="F158" s="15" t="inlineStr">
        <is>
          <t>Deepa Jewellers Limited</t>
        </is>
      </c>
      <c r="G158" s="15" t="inlineStr">
        <is>
          <t>IPO launched</t>
        </is>
      </c>
      <c r="H158" s="15" t="inlineStr">
        <is>
          <t>Mainboard</t>
        </is>
      </c>
      <c r="I158" s="16" t="n">
        <v>46266</v>
      </c>
      <c r="J158" s="16" t="n">
        <v>46268</v>
      </c>
      <c r="K158" s="16" t="n">
        <v>46273</v>
      </c>
      <c r="L158" s="17" t="n">
        <v>459.72</v>
      </c>
      <c r="M158" s="17" t="n">
        <v>250</v>
      </c>
      <c r="N158" s="17" t="n">
        <v>209.72</v>
      </c>
      <c r="O158" s="15" t="inlineStr">
        <is>
          <t>Final issue (ipoplatform)</t>
        </is>
      </c>
      <c r="P158" s="15" t="n"/>
      <c r="Q158" s="18" t="inlineStr">
        <is>
          <t>https://www.sebi.gov.in/sebi_data/attachdocs/jan-2026/1767353409824_1049.pdf</t>
        </is>
      </c>
      <c r="R158" s="18" t="inlineStr">
        <is>
          <t>https://www.sebi.gov.in/filings/public-issues/jan-2026/deepa-jewellers-limited_98807.html</t>
        </is>
      </c>
      <c r="S158" s="15" t="n"/>
      <c r="T158" s="15" t="inlineStr">
        <is>
          <t>Company name + date window</t>
        </is>
      </c>
      <c r="U158" s="15" t="inlineStr">
        <is>
          <t>Deepa Jewellers Limited</t>
        </is>
      </c>
      <c r="V158" s="15" t="n"/>
      <c r="W158" s="15" t="n"/>
      <c r="X158" s="15" t="n"/>
      <c r="Y158" s="15" t="n"/>
      <c r="Z158" s="15" t="n"/>
      <c r="AA158" s="15" t="n"/>
      <c r="AB158" s="15" t="n"/>
    </row>
    <row r="159" ht="15" customHeight="1" s="12">
      <c r="A159" s="14" t="n">
        <v>158</v>
      </c>
      <c r="B159" s="16" t="n">
        <v>46024</v>
      </c>
      <c r="C159" s="15" t="n">
        <v>2026</v>
      </c>
      <c r="D159" s="15" t="inlineStr">
        <is>
          <t>KRISHNA BUILDSPACE LIMITED</t>
        </is>
      </c>
      <c r="E159" s="15" t="inlineStr">
        <is>
          <t>DRHP</t>
        </is>
      </c>
      <c r="F159" s="15" t="inlineStr">
        <is>
          <t>KRISHNA BUILDSPACE LIMITED</t>
        </is>
      </c>
      <c r="G159" s="15" t="inlineStr">
        <is>
          <t>Upcoming — IPO not yet opened</t>
        </is>
      </c>
      <c r="H159" s="15" t="n"/>
      <c r="I159" s="16" t="n"/>
      <c r="J159" s="16" t="n"/>
      <c r="K159" s="16" t="n"/>
      <c r="L159" s="17" t="n"/>
      <c r="M159" s="17" t="n"/>
      <c r="N159" s="17" t="n"/>
      <c r="O159" s="15" t="inlineStr">
        <is>
          <t>DRHP cover</t>
        </is>
      </c>
      <c r="P159" s="15" t="inlineStr">
        <is>
          <t>Fresh issue up to 9,000,000 sh + OFS up to 900,000 sh</t>
        </is>
      </c>
      <c r="Q159" s="18" t="inlineStr">
        <is>
          <t>https://www.sebi.gov.in/sebi_data/attachdocs/jan-2026/1767353409824_1050.pdf</t>
        </is>
      </c>
      <c r="R159" s="18" t="inlineStr">
        <is>
          <t>https://www.sebi.gov.in/filings/public-issues/jan-2026/krishna-buildspace-limited_98809.html</t>
        </is>
      </c>
      <c r="S159" s="15" t="n"/>
      <c r="T159" s="15" t="n"/>
      <c r="U159" s="15" t="n"/>
      <c r="V159" s="15" t="n"/>
      <c r="W159" s="16" t="n"/>
      <c r="X159" s="16" t="n"/>
      <c r="Y159" s="16" t="n"/>
      <c r="Z159" s="15" t="inlineStr">
        <is>
          <t>Dates not announced</t>
        </is>
      </c>
      <c r="AA159" s="15" t="inlineStr">
        <is>
          <t>DRHP stage; no dates announced</t>
        </is>
      </c>
      <c r="AB159" s="18" t="inlineStr">
        <is>
          <t>https://www.chittorgarh.com/ipo/krishna-buildspace-ipo/2839/</t>
        </is>
      </c>
    </row>
    <row r="160" ht="15" customHeight="1" s="12">
      <c r="A160" s="14" t="n">
        <v>159</v>
      </c>
      <c r="B160" s="16" t="n">
        <v>46024</v>
      </c>
      <c r="C160" s="15" t="n">
        <v>2026</v>
      </c>
      <c r="D160" s="15" t="inlineStr">
        <is>
          <t>MEHTA HITECH INDUSTRIES LIMITED</t>
        </is>
      </c>
      <c r="E160" s="15" t="inlineStr">
        <is>
          <t>DRHP</t>
        </is>
      </c>
      <c r="F160" s="15" t="inlineStr">
        <is>
          <t>MEHTA HITECH INDUSTRIES LIMITED</t>
        </is>
      </c>
      <c r="G160" s="15" t="inlineStr">
        <is>
          <t>Upcoming — IPO not yet opened</t>
        </is>
      </c>
      <c r="H160" s="15" t="n"/>
      <c r="I160" s="16" t="n"/>
      <c r="J160" s="16" t="n"/>
      <c r="K160" s="16" t="n"/>
      <c r="L160" s="17" t="n"/>
      <c r="M160" s="17" t="n"/>
      <c r="N160" s="17" t="n"/>
      <c r="O160" s="15" t="n"/>
      <c r="P160" s="15" t="n"/>
      <c r="Q160" s="18" t="inlineStr">
        <is>
          <t>https://www.sebi.gov.in/sebi_data/attachdocs/jan-2026/1767339026316_1048.pdf</t>
        </is>
      </c>
      <c r="R160" s="18" t="inlineStr">
        <is>
          <t>https://www.sebi.gov.in/filings/public-issues/jan-2026/mehta-hitech-industries-limited_98790.html</t>
        </is>
      </c>
      <c r="S160" s="15" t="n"/>
      <c r="T160" s="15" t="n"/>
      <c r="U160" s="15" t="n"/>
      <c r="V160" s="15" t="n"/>
      <c r="W160" s="16" t="n"/>
      <c r="X160" s="16" t="n"/>
      <c r="Y160" s="16" t="n"/>
      <c r="Z160" s="15" t="inlineStr">
        <is>
          <t>Dates not announced</t>
        </is>
      </c>
      <c r="AA160" s="15" t="inlineStr">
        <is>
          <t>SEBI nod 5-Jun-2026; dates not announced</t>
        </is>
      </c>
      <c r="AB160" s="18" t="inlineStr">
        <is>
          <t>https://www.chittorgarh.com/ipo/mehta-hitech-ipo/2833/</t>
        </is>
      </c>
    </row>
    <row r="161" ht="15" customHeight="1" s="12">
      <c r="A161" s="14" t="n">
        <v>160</v>
      </c>
      <c r="B161" s="16" t="n">
        <v>46024</v>
      </c>
      <c r="C161" s="15" t="n">
        <v>2026</v>
      </c>
      <c r="D161" s="15" t="inlineStr">
        <is>
          <t>NEOLITE ZKW LIGHTINGS LIMITED</t>
        </is>
      </c>
      <c r="E161" s="15" t="inlineStr">
        <is>
          <t>DRHP</t>
        </is>
      </c>
      <c r="F161" s="15" t="inlineStr">
        <is>
          <t>NEOLITE ZKW LIGHTINGS LIMITED</t>
        </is>
      </c>
      <c r="G161" s="15" t="inlineStr">
        <is>
          <t>Upcoming — IPO not yet opened</t>
        </is>
      </c>
      <c r="H161" s="15" t="n"/>
      <c r="I161" s="16" t="n"/>
      <c r="J161" s="16" t="n"/>
      <c r="K161" s="16" t="n"/>
      <c r="L161" s="17" t="n"/>
      <c r="M161" s="17" t="n"/>
      <c r="N161" s="17" t="n"/>
      <c r="O161" s="15" t="n"/>
      <c r="P161" s="15" t="n"/>
      <c r="Q161" s="18" t="inlineStr">
        <is>
          <t>https://www.sebi.gov.in/sebi_data/attachdocs/jan-2026/1767339026316_1047.pdf</t>
        </is>
      </c>
      <c r="R161" s="18" t="inlineStr">
        <is>
          <t>https://www.sebi.gov.in/filings/public-issues/jan-2026/neolite-zkw-lightings-limited_98788.html</t>
        </is>
      </c>
      <c r="S161" s="15" t="n"/>
      <c r="T161" s="15" t="n"/>
      <c r="U161" s="15" t="n"/>
      <c r="V161" s="15" t="n"/>
      <c r="W161" s="16" t="n"/>
      <c r="X161" s="16" t="n"/>
      <c r="Y161" s="16" t="n"/>
      <c r="Z161" s="15" t="inlineStr">
        <is>
          <t>Dates not announced</t>
        </is>
      </c>
      <c r="AA161" s="15" t="inlineStr">
        <is>
          <t>Rs600cr DRHP; no SEBI nod/dates found</t>
        </is>
      </c>
      <c r="AB161" s="18" t="inlineStr">
        <is>
          <t>https://www.chittorgarh.com/ipo/neolite-zkw-lightings-ipo/2828/</t>
        </is>
      </c>
    </row>
    <row r="162" ht="15" customHeight="1" s="12">
      <c r="A162" s="14" t="n">
        <v>161</v>
      </c>
      <c r="B162" s="16" t="n">
        <v>46024</v>
      </c>
      <c r="C162" s="15" t="n">
        <v>2026</v>
      </c>
      <c r="D162" s="15" t="inlineStr">
        <is>
          <t>TRAVELSTACK TECH LIMITED</t>
        </is>
      </c>
      <c r="E162" s="15" t="inlineStr">
        <is>
          <t>DRHP</t>
        </is>
      </c>
      <c r="F162" s="15" t="inlineStr">
        <is>
          <t>TRAVELSTACK TECH LIMITED</t>
        </is>
      </c>
      <c r="G162" s="15" t="inlineStr">
        <is>
          <t>Upcoming — IPO not yet opened</t>
        </is>
      </c>
      <c r="H162" s="15" t="n"/>
      <c r="I162" s="16" t="n"/>
      <c r="J162" s="16" t="n"/>
      <c r="K162" s="16" t="n"/>
      <c r="L162" s="17" t="n"/>
      <c r="M162" s="17" t="n"/>
      <c r="N162" s="17" t="n"/>
      <c r="O162" s="15" t="n"/>
      <c r="P162" s="15" t="n"/>
      <c r="Q162" s="18" t="inlineStr">
        <is>
          <t>https://www.sebi.gov.in/sebi_data/attachdocs/jan-2026/1767339026316_1046.pdf</t>
        </is>
      </c>
      <c r="R162" s="18" t="inlineStr">
        <is>
          <t>https://www.sebi.gov.in/filings/public-issues/jan-2026/travelstack-tech-limited_98786.html</t>
        </is>
      </c>
      <c r="S162" s="15" t="n"/>
      <c r="T162" s="15" t="n"/>
      <c r="U162" s="15" t="n"/>
      <c r="V162" s="15" t="n"/>
      <c r="W162" s="16" t="n"/>
      <c r="X162" s="16" t="n"/>
      <c r="Y162" s="16" t="n"/>
      <c r="Z162" s="15" t="inlineStr">
        <is>
          <t>Dates not announced</t>
        </is>
      </c>
      <c r="AA162" s="15" t="inlineStr">
        <is>
          <t>SEBI nod 11-Mar-2026; dates not announced</t>
        </is>
      </c>
      <c r="AB162" s="18" t="inlineStr">
        <is>
          <t>https://www.chittorgarh.com/ipo/travelstack-tech-ipo/2811/</t>
        </is>
      </c>
    </row>
    <row r="163" ht="15" customHeight="1" s="12">
      <c r="A163" s="14" t="n">
        <v>162</v>
      </c>
      <c r="B163" s="16" t="n">
        <v>46022</v>
      </c>
      <c r="C163" s="15" t="n">
        <v>2025</v>
      </c>
      <c r="D163" s="15" t="inlineStr">
        <is>
          <t>Casagrand Premier Builder Limited</t>
        </is>
      </c>
      <c r="E163" s="15" t="inlineStr">
        <is>
          <t>DRHP</t>
        </is>
      </c>
      <c r="F163" s="15" t="inlineStr">
        <is>
          <t>Casagrand Premier Builder Limited - DRHP</t>
        </is>
      </c>
      <c r="G163" s="15" t="inlineStr">
        <is>
          <t>Upcoming — IPO not yet opened</t>
        </is>
      </c>
      <c r="H163" s="15" t="n"/>
      <c r="I163" s="16" t="n"/>
      <c r="J163" s="16" t="n"/>
      <c r="K163" s="16" t="n"/>
      <c r="L163" s="17" t="n">
        <v>1220</v>
      </c>
      <c r="M163" s="17" t="n">
        <v>1200</v>
      </c>
      <c r="N163" s="17" t="n">
        <v>20</v>
      </c>
      <c r="O163" s="15" t="inlineStr">
        <is>
          <t>DRHP cover</t>
        </is>
      </c>
      <c r="P163" s="15" t="inlineStr">
        <is>
          <t>Fresh issue up to ₹1,200.00 Cr + OFS up to ₹20.00 Cr</t>
        </is>
      </c>
      <c r="Q163" s="18" t="inlineStr">
        <is>
          <t>https://www.sebi.gov.in/sebi_data/attachdocs/dec-2025/1767161602994.pdf</t>
        </is>
      </c>
      <c r="R163" s="18" t="inlineStr">
        <is>
          <t>https://www.sebi.gov.in/filings/public-issues/dec-2025/casagrand-premier-builder-limited-drhp_98765.html</t>
        </is>
      </c>
      <c r="S163" s="15" t="n"/>
      <c r="T163" s="15" t="n"/>
      <c r="U163" s="15" t="n"/>
      <c r="V163" s="15" t="n"/>
      <c r="W163" s="16" t="n"/>
      <c r="X163" s="16" t="n"/>
      <c r="Y163" s="16" t="n"/>
      <c r="Z163" s="15" t="inlineStr">
        <is>
          <t>Dates not announced</t>
        </is>
      </c>
      <c r="AA163" s="15" t="inlineStr">
        <is>
          <t>SEBI nod 8-Jun-2026; Rs1,220cr; dates not announced</t>
        </is>
      </c>
      <c r="AB163" s="18" t="inlineStr">
        <is>
          <t>https://www.chittorgarh.com/ipo/casagrand-premier-builder-ipo/2183/</t>
        </is>
      </c>
    </row>
    <row r="164" ht="15" customHeight="1" s="12">
      <c r="A164" s="14" t="n">
        <v>163</v>
      </c>
      <c r="B164" s="16" t="n">
        <v>46021</v>
      </c>
      <c r="C164" s="15" t="n">
        <v>2025</v>
      </c>
      <c r="D164" s="15" t="inlineStr">
        <is>
          <t>Tonbo Imaging India Limited</t>
        </is>
      </c>
      <c r="E164" s="15" t="inlineStr">
        <is>
          <t>DRHP</t>
        </is>
      </c>
      <c r="F164" s="15" t="inlineStr">
        <is>
          <t>Tonbo Imaging India Limited</t>
        </is>
      </c>
      <c r="G164" s="15" t="inlineStr">
        <is>
          <t>Upcoming — IPO not yet opened</t>
        </is>
      </c>
      <c r="H164" s="15" t="n"/>
      <c r="I164" s="16" t="n"/>
      <c r="J164" s="16" t="n"/>
      <c r="K164" s="16" t="n"/>
      <c r="L164" s="17" t="n"/>
      <c r="M164" s="17" t="n"/>
      <c r="N164" s="17" t="n"/>
      <c r="O164" s="15" t="inlineStr">
        <is>
          <t>DRHP cover</t>
        </is>
      </c>
      <c r="P164" s="15" t="inlineStr">
        <is>
          <t>Fresh issue up to 18,085,246 sh</t>
        </is>
      </c>
      <c r="Q164" s="18" t="inlineStr">
        <is>
          <t>https://www.sebi.gov.in/sebi_data/attachdocs/dec-2025/1767094204285_1045.pdf</t>
        </is>
      </c>
      <c r="R164" s="18" t="inlineStr">
        <is>
          <t>https://www.sebi.gov.in/filings/public-issues/dec-2025/tonbo-imaging-india-limited_98746.html</t>
        </is>
      </c>
      <c r="S164" s="15" t="n"/>
      <c r="T164" s="15" t="n"/>
      <c r="U164" s="15" t="n"/>
      <c r="V164" s="15" t="n"/>
      <c r="W164" s="16" t="n"/>
      <c r="X164" s="16" t="n"/>
      <c r="Y164" s="16" t="n"/>
      <c r="Z164" s="15" t="inlineStr">
        <is>
          <t>Dates not announced</t>
        </is>
      </c>
      <c r="AA164" s="15" t="inlineStr">
        <is>
          <t>SEBI nod Jun-2026; DRHP refiled Aug-2026; dates not announced</t>
        </is>
      </c>
      <c r="AB164" s="18" t="inlineStr">
        <is>
          <t>https://www.chittorgarh.com/ipo/tonbo-imaging-india-ipo/3215/</t>
        </is>
      </c>
    </row>
    <row r="165" ht="15" customHeight="1" s="12">
      <c r="A165" s="14" t="n">
        <v>164</v>
      </c>
      <c r="B165" s="16" t="n">
        <v>46020</v>
      </c>
      <c r="C165" s="15" t="n">
        <v>2025</v>
      </c>
      <c r="D165" s="15" t="inlineStr">
        <is>
          <t>YATAYAT CORPORATION INDIA LIMITED</t>
        </is>
      </c>
      <c r="E165" s="15" t="inlineStr">
        <is>
          <t>DRHP</t>
        </is>
      </c>
      <c r="F165" s="15" t="inlineStr">
        <is>
          <t>YATAYAT CORPORATION INDIA LIMITED</t>
        </is>
      </c>
      <c r="G165" s="15" t="inlineStr">
        <is>
          <t>Upcoming — IPO not yet opened</t>
        </is>
      </c>
      <c r="H165" s="15" t="n"/>
      <c r="I165" s="16" t="n"/>
      <c r="J165" s="16" t="n"/>
      <c r="K165" s="16" t="n"/>
      <c r="L165" s="17" t="n"/>
      <c r="M165" s="17" t="n"/>
      <c r="N165" s="17" t="n"/>
      <c r="O165" s="15" t="n"/>
      <c r="P165" s="15" t="n"/>
      <c r="Q165" s="18" t="inlineStr">
        <is>
          <t>https://www.sebi.gov.in/sebi_data/attachdocs/dec-2025/1767007811746_1043.pdf</t>
        </is>
      </c>
      <c r="R165" s="18" t="inlineStr">
        <is>
          <t>https://www.sebi.gov.in/filings/public-issues/dec-2025/yatayat-corporation-india-limited_98716.html</t>
        </is>
      </c>
      <c r="S165" s="15" t="n"/>
      <c r="T165" s="15" t="n"/>
      <c r="U165" s="15" t="n"/>
      <c r="V165" s="15" t="n"/>
      <c r="W165" s="16" t="n"/>
      <c r="X165" s="16" t="n"/>
      <c r="Y165" s="16" t="n"/>
      <c r="Z165" s="15" t="inlineStr">
        <is>
          <t>Dates not announced</t>
        </is>
      </c>
      <c r="AA165" s="15" t="inlineStr">
        <is>
          <t>No dates announced; placeholder dates on aggregators ignored</t>
        </is>
      </c>
      <c r="AB165" s="18" t="inlineStr">
        <is>
          <t>https://www.chittorgarh.com/ipo/yatayat-corp-india-ipo/2818/</t>
        </is>
      </c>
    </row>
    <row r="166" ht="15" customHeight="1" s="12">
      <c r="A166" s="14" t="n">
        <v>165</v>
      </c>
      <c r="B166" s="16" t="n">
        <v>46020</v>
      </c>
      <c r="C166" s="15" t="n">
        <v>2025</v>
      </c>
      <c r="D166" s="15" t="inlineStr">
        <is>
          <t>WOG Technologies Limited</t>
        </is>
      </c>
      <c r="E166" s="15" t="inlineStr">
        <is>
          <t>DRHP</t>
        </is>
      </c>
      <c r="F166" s="15" t="inlineStr">
        <is>
          <t>WOG Technologies Limited-DRHP</t>
        </is>
      </c>
      <c r="G166" s="15" t="inlineStr">
        <is>
          <t>Upcoming — IPO not yet opened</t>
        </is>
      </c>
      <c r="H166" s="15" t="n"/>
      <c r="I166" s="16" t="n"/>
      <c r="J166" s="16" t="n"/>
      <c r="K166" s="16" t="n"/>
      <c r="L166" s="17" t="n"/>
      <c r="M166" s="17" t="n">
        <v>375</v>
      </c>
      <c r="N166" s="17" t="n"/>
      <c r="O166" s="15" t="inlineStr">
        <is>
          <t>DRHP cover</t>
        </is>
      </c>
      <c r="P166" s="15" t="inlineStr">
        <is>
          <t>Fresh issue up to ₹375.00 Cr + OFS up to 4,328,000 sh</t>
        </is>
      </c>
      <c r="Q166" s="18" t="inlineStr">
        <is>
          <t>https://www.sebi.gov.in/sebi_data/attachdocs/dec-2025/1766991289537.pdf</t>
        </is>
      </c>
      <c r="R166" s="18" t="inlineStr">
        <is>
          <t>https://www.sebi.gov.in/filings/public-issues/dec-2025/wog-technologies-limited-drhp_98710.html</t>
        </is>
      </c>
      <c r="S166" s="15" t="n"/>
      <c r="T166" s="15" t="n"/>
      <c r="U166" s="15" t="n"/>
      <c r="V166" s="15" t="n"/>
      <c r="W166" s="16" t="n"/>
      <c r="X166" s="16" t="n"/>
      <c r="Y166" s="16" t="n"/>
      <c r="Z166" s="15" t="inlineStr">
        <is>
          <t>Dates not announced</t>
        </is>
      </c>
      <c r="AA166" s="15" t="inlineStr">
        <is>
          <t>Dates not announced</t>
        </is>
      </c>
      <c r="AB166" s="18" t="inlineStr">
        <is>
          <t>https://www.chittorgarh.com/ipo/wog-technologies-ipo/2821/</t>
        </is>
      </c>
    </row>
    <row r="167" ht="15" customHeight="1" s="12">
      <c r="A167" s="14" t="n">
        <v>166</v>
      </c>
      <c r="B167" s="16" t="n">
        <v>46017</v>
      </c>
      <c r="C167" s="15" t="n">
        <v>2025</v>
      </c>
      <c r="D167" s="15" t="inlineStr">
        <is>
          <t>Aarvee Engineering Consultants Limited</t>
        </is>
      </c>
      <c r="E167" s="15" t="inlineStr">
        <is>
          <t>Addendum</t>
        </is>
      </c>
      <c r="F167" s="15" t="inlineStr">
        <is>
          <t>Aarvee Engineering Consultants Limited - Addendum 1</t>
        </is>
      </c>
      <c r="G167" s="15" t="inlineStr">
        <is>
          <t>Upcoming — IPO not yet opened</t>
        </is>
      </c>
      <c r="H167" s="15" t="n"/>
      <c r="I167" s="16" t="n"/>
      <c r="J167" s="16" t="n"/>
      <c r="K167" s="16" t="n"/>
      <c r="L167" s="17" t="n"/>
      <c r="M167" s="17" t="n"/>
      <c r="N167" s="17" t="n"/>
      <c r="O167" s="15" t="n"/>
      <c r="P167" s="15" t="n"/>
      <c r="Q167" s="18" t="inlineStr">
        <is>
          <t>https://www.sebi.gov.in/sebi_data/attachdocs/jan-2026/1768287454593.pdf</t>
        </is>
      </c>
      <c r="R167" s="18" t="inlineStr">
        <is>
          <t>https://www.sebi.gov.in/filings/public-issues/dec-2025/aarvee-engineering-consultants-limited-addendum-1_98418.html</t>
        </is>
      </c>
      <c r="S167" s="15" t="n"/>
      <c r="T167" s="15" t="n"/>
      <c r="U167" s="15" t="n"/>
      <c r="V167" s="15" t="n"/>
      <c r="W167" s="16" t="n"/>
      <c r="X167" s="16" t="n"/>
      <c r="Y167" s="16" t="n"/>
      <c r="Z167" s="15" t="inlineStr">
        <is>
          <t>Dates not announced</t>
        </is>
      </c>
      <c r="AA167" s="15" t="inlineStr">
        <is>
          <t>SEBI nod 4-Feb-2026; dates not yet announced</t>
        </is>
      </c>
      <c r="AB167" s="18" t="inlineStr">
        <is>
          <t>https://www.chittorgarh.com/ipo/aarvee-engineering-consultants-ipo/2637/</t>
        </is>
      </c>
    </row>
    <row r="168" ht="15" customHeight="1" s="12">
      <c r="A168" s="14" t="n">
        <v>167</v>
      </c>
      <c r="B168" s="16" t="n">
        <v>46015</v>
      </c>
      <c r="C168" s="15" t="n">
        <v>2025</v>
      </c>
      <c r="D168" s="15" t="inlineStr">
        <is>
          <t>Symbiotec Pharmalab Limited</t>
        </is>
      </c>
      <c r="E168" s="15" t="inlineStr">
        <is>
          <t>DRHP</t>
        </is>
      </c>
      <c r="F168" s="15" t="inlineStr">
        <is>
          <t>Symbiotec Pharmalab Limited - DRHP</t>
        </is>
      </c>
      <c r="G168" s="15" t="inlineStr">
        <is>
          <t>IPO launched</t>
        </is>
      </c>
      <c r="H168" s="15" t="inlineStr">
        <is>
          <t>Mainboard</t>
        </is>
      </c>
      <c r="I168" s="16" t="n">
        <v>46258</v>
      </c>
      <c r="J168" s="16" t="n">
        <v>46261</v>
      </c>
      <c r="K168" s="16" t="n">
        <v>46266</v>
      </c>
      <c r="L168" s="17" t="n">
        <v>1757</v>
      </c>
      <c r="M168" s="17" t="n">
        <v>150</v>
      </c>
      <c r="N168" s="17" t="n">
        <v>1607</v>
      </c>
      <c r="O168" s="15" t="inlineStr">
        <is>
          <t>Final issue (ipoplatform)</t>
        </is>
      </c>
      <c r="P168" s="15" t="n"/>
      <c r="Q168" s="18" t="inlineStr">
        <is>
          <t>https://www.sebi.gov.in/sebi_data/attachdocs/dec-2025/1766556401413.pdf</t>
        </is>
      </c>
      <c r="R168" s="18" t="inlineStr">
        <is>
          <t>https://www.sebi.gov.in/filings/public-issues/dec-2025/symbiotec-pharmalab-limited-drhp_98628.html</t>
        </is>
      </c>
      <c r="S168" s="15" t="n"/>
      <c r="T168" s="15" t="inlineStr">
        <is>
          <t>Company name + date window</t>
        </is>
      </c>
      <c r="U168" s="15" t="inlineStr">
        <is>
          <t>Symbiotec Pharmalab Limited</t>
        </is>
      </c>
      <c r="V168" s="15" t="n"/>
      <c r="W168" s="15" t="n"/>
      <c r="X168" s="15" t="n"/>
      <c r="Y168" s="15" t="n"/>
      <c r="Z168" s="15" t="n"/>
      <c r="AA168" s="15" t="n"/>
      <c r="AB168" s="15" t="n"/>
    </row>
    <row r="169" ht="15" customHeight="1" s="12">
      <c r="A169" s="14" t="n">
        <v>168</v>
      </c>
      <c r="B169" s="16" t="n">
        <v>46013</v>
      </c>
      <c r="C169" s="15" t="n">
        <v>2025</v>
      </c>
      <c r="D169" s="15" t="inlineStr">
        <is>
          <t>Crystal Crop Protection Limited</t>
        </is>
      </c>
      <c r="E169" s="15" t="inlineStr">
        <is>
          <t>DRHP</t>
        </is>
      </c>
      <c r="F169" s="15" t="inlineStr">
        <is>
          <t>Crystal Crop Protection Limited - DRHP</t>
        </is>
      </c>
      <c r="G169" s="15" t="inlineStr">
        <is>
          <t>Upcoming — IPO not yet opened</t>
        </is>
      </c>
      <c r="H169" s="15" t="n"/>
      <c r="I169" s="16" t="n"/>
      <c r="J169" s="16" t="n"/>
      <c r="K169" s="16" t="n"/>
      <c r="L169" s="17" t="n"/>
      <c r="M169" s="17" t="n">
        <v>60000</v>
      </c>
      <c r="N169" s="17" t="n"/>
      <c r="O169" s="15" t="inlineStr">
        <is>
          <t>DRHP cover</t>
        </is>
      </c>
      <c r="P169" s="15" t="inlineStr">
        <is>
          <t>Fresh issue up to ₹60,000.00 Cr + OFS up to 7,405,387 sh</t>
        </is>
      </c>
      <c r="Q169" s="18" t="inlineStr">
        <is>
          <t>https://www.sebi.gov.in/sebi_data/attachdocs/dec-2025/1766375089872.pdf</t>
        </is>
      </c>
      <c r="R169" s="18" t="inlineStr">
        <is>
          <t>https://www.sebi.gov.in/filings/public-issues/dec-2025/crystal-crop-protection-limited-drhp_98530.html</t>
        </is>
      </c>
      <c r="S169" s="15" t="n"/>
      <c r="T169" s="15" t="n"/>
      <c r="U169" s="15" t="n"/>
      <c r="V169" s="15" t="n"/>
      <c r="W169" s="16" t="n"/>
      <c r="X169" s="16" t="n"/>
      <c r="Y169" s="16" t="n"/>
      <c r="Z169" s="15" t="inlineStr">
        <is>
          <t>Dates not announced</t>
        </is>
      </c>
      <c r="AA169" s="15" t="inlineStr">
        <is>
          <t>Fresh Rs600cr + OFS; dates/price band not announced</t>
        </is>
      </c>
      <c r="AB169" s="18" t="inlineStr">
        <is>
          <t>https://ipowatch.in/crystal-crop-protection-ipo/</t>
        </is>
      </c>
    </row>
    <row r="170" ht="15" customHeight="1" s="12">
      <c r="A170" s="14" t="n">
        <v>169</v>
      </c>
      <c r="B170" s="16" t="n">
        <v>46010</v>
      </c>
      <c r="C170" s="15" t="n">
        <v>2025</v>
      </c>
      <c r="D170" s="15" t="inlineStr">
        <is>
          <t>Shivganga Drillers Limited</t>
        </is>
      </c>
      <c r="E170" s="15" t="inlineStr">
        <is>
          <t>DRHP</t>
        </is>
      </c>
      <c r="F170" s="15" t="inlineStr">
        <is>
          <t>Shivganga Drillers Limited - DRHP</t>
        </is>
      </c>
      <c r="G170" s="15" t="inlineStr">
        <is>
          <t>Upcoming — IPO not yet opened</t>
        </is>
      </c>
      <c r="H170" s="15" t="n"/>
      <c r="I170" s="16" t="n"/>
      <c r="J170" s="16" t="n"/>
      <c r="K170" s="16" t="n"/>
      <c r="L170" s="17" t="n">
        <v>400</v>
      </c>
      <c r="M170" s="17" t="n">
        <v>400</v>
      </c>
      <c r="N170" s="17" t="n"/>
      <c r="O170" s="15" t="inlineStr">
        <is>
          <t>DRHP cover</t>
        </is>
      </c>
      <c r="P170" s="15" t="inlineStr">
        <is>
          <t>Fresh issue up to ₹400.00 Cr</t>
        </is>
      </c>
      <c r="Q170" s="18" t="inlineStr">
        <is>
          <t>https://www.sebi.gov.in/sebi_data/attachdocs/dec-2025/1766142033748.pdf</t>
        </is>
      </c>
      <c r="R170" s="18" t="inlineStr">
        <is>
          <t>https://www.sebi.gov.in/filings/public-issues/dec-2025/shivganga-drillers-limited-drhp_98515.html</t>
        </is>
      </c>
      <c r="S170" s="15" t="n"/>
      <c r="T170" s="15" t="n"/>
      <c r="U170" s="15" t="n"/>
      <c r="V170" s="15" t="n"/>
      <c r="W170" s="16" t="n"/>
      <c r="X170" s="16" t="n"/>
      <c r="Y170" s="16" t="n"/>
      <c r="Z170" s="15" t="inlineStr">
        <is>
          <t>Withdrawn / approval lapsed</t>
        </is>
      </c>
      <c r="AA170" s="15" t="inlineStr">
        <is>
          <t>DRHP withdrawn from SEBI 30-Jun-2026</t>
        </is>
      </c>
      <c r="AB170" s="18" t="inlineStr">
        <is>
          <t>https://www.chittorgarh.com/ipo/shivganga-drillers-ipo/2810/</t>
        </is>
      </c>
    </row>
    <row r="171" ht="15" customHeight="1" s="12">
      <c r="A171" s="14" t="n">
        <v>170</v>
      </c>
      <c r="B171" s="16" t="n">
        <v>46010</v>
      </c>
      <c r="C171" s="15" t="n">
        <v>2025</v>
      </c>
      <c r="D171" s="15" t="inlineStr">
        <is>
          <t>Renny Strips Limited</t>
        </is>
      </c>
      <c r="E171" s="15" t="inlineStr">
        <is>
          <t>DRHP</t>
        </is>
      </c>
      <c r="F171" s="15" t="inlineStr">
        <is>
          <t>Renny Strips Limited</t>
        </is>
      </c>
      <c r="G171" s="15" t="inlineStr">
        <is>
          <t>Upcoming — IPO not yet opened</t>
        </is>
      </c>
      <c r="H171" s="15" t="n"/>
      <c r="I171" s="16" t="n"/>
      <c r="J171" s="16" t="n"/>
      <c r="K171" s="16" t="n"/>
      <c r="L171" s="17" t="n"/>
      <c r="M171" s="17" t="n">
        <v>300</v>
      </c>
      <c r="N171" s="17" t="n"/>
      <c r="O171" s="15" t="inlineStr">
        <is>
          <t>DRHP cover</t>
        </is>
      </c>
      <c r="P171" s="15" t="inlineStr">
        <is>
          <t>Fresh issue up to ₹300.00 Cr + OFS up to 12,000,000 sh</t>
        </is>
      </c>
      <c r="Q171" s="18" t="inlineStr">
        <is>
          <t>https://www.sebi.gov.in/sebi_data/attachdocs/dec-2025/1766129404848_1041.pdf</t>
        </is>
      </c>
      <c r="R171" s="18" t="inlineStr">
        <is>
          <t>https://www.sebi.gov.in/filings/public-issues/dec-2025/renny-strips-limited_98494.html</t>
        </is>
      </c>
      <c r="S171" s="15" t="n"/>
      <c r="T171" s="15" t="n"/>
      <c r="U171" s="15" t="n"/>
      <c r="V171" s="15" t="n"/>
      <c r="W171" s="16" t="n"/>
      <c r="X171" s="16" t="n"/>
      <c r="Y171" s="16" t="n"/>
      <c r="Z171" s="15" t="inlineStr">
        <is>
          <t>Dates not announced</t>
        </is>
      </c>
      <c r="AA171" s="15" t="inlineStr">
        <is>
          <t>Dates not announced</t>
        </is>
      </c>
      <c r="AB171" s="18" t="inlineStr">
        <is>
          <t>https://www.chittorgarh.com/ipo/renny-strips-ipo/2807/</t>
        </is>
      </c>
    </row>
    <row r="172" ht="15" customHeight="1" s="12">
      <c r="A172" s="14" t="n">
        <v>171</v>
      </c>
      <c r="B172" s="16" t="n">
        <v>46009</v>
      </c>
      <c r="C172" s="15" t="n">
        <v>2025</v>
      </c>
      <c r="D172" s="15" t="inlineStr">
        <is>
          <t>ASPRI SPIRITS LIMITED</t>
        </is>
      </c>
      <c r="E172" s="15" t="inlineStr">
        <is>
          <t>DRHP</t>
        </is>
      </c>
      <c r="F172" s="15" t="inlineStr">
        <is>
          <t>ASPRI SPIRITS LIMITED</t>
        </is>
      </c>
      <c r="G172" s="15" t="inlineStr">
        <is>
          <t>Upcoming — IPO not yet opened</t>
        </is>
      </c>
      <c r="H172" s="15" t="n"/>
      <c r="I172" s="16" t="n"/>
      <c r="J172" s="16" t="n"/>
      <c r="K172" s="16" t="n"/>
      <c r="L172" s="17" t="n"/>
      <c r="M172" s="17" t="n">
        <v>140</v>
      </c>
      <c r="N172" s="17" t="n"/>
      <c r="O172" s="15" t="inlineStr">
        <is>
          <t>DRHP cover</t>
        </is>
      </c>
      <c r="P172" s="15" t="inlineStr">
        <is>
          <t>Fresh issue up to ₹140.00 Cr + OFS up to 5,000,000 sh</t>
        </is>
      </c>
      <c r="Q172" s="18" t="inlineStr">
        <is>
          <t>https://www.sebi.gov.in/sebi_data/attachdocs/dec-2025/1766107805579_1040.pdf</t>
        </is>
      </c>
      <c r="R172" s="18" t="inlineStr">
        <is>
          <t>https://www.sebi.gov.in/filings/public-issues/dec-2025/aspri-spirits-limited_98473.html</t>
        </is>
      </c>
      <c r="S172" s="15" t="n"/>
      <c r="T172" s="15" t="n"/>
      <c r="U172" s="15" t="n"/>
      <c r="V172" s="15" t="n"/>
      <c r="W172" s="16" t="n"/>
      <c r="X172" s="16" t="n"/>
      <c r="Y172" s="16" t="n"/>
      <c r="Z172" s="15" t="inlineStr">
        <is>
          <t>Dates not announced</t>
        </is>
      </c>
      <c r="AA172" s="15" t="inlineStr">
        <is>
          <t>SEBI nod 6-May-2026; dates not announced</t>
        </is>
      </c>
      <c r="AB172" s="18" t="inlineStr">
        <is>
          <t>https://www.chittorgarh.com/ipo/aspri-spirits-ipo/2806/</t>
        </is>
      </c>
    </row>
    <row r="173" ht="15" customHeight="1" s="12">
      <c r="A173" s="14" t="n">
        <v>172</v>
      </c>
      <c r="B173" s="16" t="n">
        <v>46008</v>
      </c>
      <c r="C173" s="15" t="n">
        <v>2025</v>
      </c>
      <c r="D173" s="15" t="inlineStr">
        <is>
          <t>SONASELECTION INDIA LIMITED</t>
        </is>
      </c>
      <c r="E173" s="15" t="inlineStr">
        <is>
          <t>DRHP</t>
        </is>
      </c>
      <c r="F173" s="15" t="inlineStr">
        <is>
          <t>SONASELECTION INDIA LIMITED</t>
        </is>
      </c>
      <c r="G173" s="15" t="inlineStr">
        <is>
          <t>IPO launched</t>
        </is>
      </c>
      <c r="H173" s="15" t="inlineStr">
        <is>
          <t>Mainboard</t>
        </is>
      </c>
      <c r="I173" s="16" t="n">
        <v>46282</v>
      </c>
      <c r="J173" s="16" t="n">
        <v>46286</v>
      </c>
      <c r="K173" s="16" t="n">
        <v>46289</v>
      </c>
      <c r="L173" s="17" t="n">
        <v>141.57</v>
      </c>
      <c r="M173" s="17" t="n">
        <v>141.57</v>
      </c>
      <c r="N173" s="17" t="n">
        <v>0</v>
      </c>
      <c r="O173" s="15" t="inlineStr">
        <is>
          <t>Final issue (ipoplatform)</t>
        </is>
      </c>
      <c r="P173" s="15" t="n"/>
      <c r="Q173" s="18" t="inlineStr">
        <is>
          <t>https://www.sebi.gov.in/sebi_data/attachdocs/dec-2025/1765971005612_1036.pdf</t>
        </is>
      </c>
      <c r="R173" s="18" t="inlineStr">
        <is>
          <t>https://www.sebi.gov.in/filings/public-issues/dec-2025/sonaselection-india-limited_98429.html</t>
        </is>
      </c>
      <c r="S173" s="15" t="n"/>
      <c r="T173" s="15" t="inlineStr">
        <is>
          <t>Company name + date window</t>
        </is>
      </c>
      <c r="U173" s="15" t="inlineStr">
        <is>
          <t>Sonaselection India Limited</t>
        </is>
      </c>
      <c r="V173" s="15" t="n"/>
      <c r="W173" s="15" t="n"/>
      <c r="X173" s="15" t="n"/>
      <c r="Y173" s="15" t="n"/>
      <c r="Z173" s="15" t="n"/>
      <c r="AA173" s="15" t="n"/>
      <c r="AB173" s="15" t="n"/>
    </row>
    <row r="174" ht="15" customHeight="1" s="12">
      <c r="A174" s="14" t="n">
        <v>173</v>
      </c>
      <c r="B174" s="16" t="n">
        <v>46006</v>
      </c>
      <c r="C174" s="15" t="n">
        <v>2025</v>
      </c>
      <c r="D174" s="15" t="inlineStr">
        <is>
          <t>Shiprocket Limited</t>
        </is>
      </c>
      <c r="E174" s="15" t="inlineStr">
        <is>
          <t>UDRHP-I</t>
        </is>
      </c>
      <c r="F174" s="15" t="inlineStr">
        <is>
          <t>Shiprocket Limited - UDRHP</t>
        </is>
      </c>
      <c r="G174" s="15" t="inlineStr">
        <is>
          <t>IPO launched</t>
        </is>
      </c>
      <c r="H174" s="15" t="inlineStr">
        <is>
          <t>Mainboard</t>
        </is>
      </c>
      <c r="I174" s="16" t="n">
        <v>46246</v>
      </c>
      <c r="J174" s="16" t="n">
        <v>46248</v>
      </c>
      <c r="K174" s="16" t="n">
        <v>46253</v>
      </c>
      <c r="L174" s="17" t="n">
        <v>1617.48</v>
      </c>
      <c r="M174" s="17" t="n">
        <v>885.5</v>
      </c>
      <c r="N174" s="17" t="n">
        <v>731.98</v>
      </c>
      <c r="O174" s="15" t="inlineStr">
        <is>
          <t>Final issue (ipoplatform)</t>
        </is>
      </c>
      <c r="P174" s="15" t="n"/>
      <c r="Q174" s="18" t="inlineStr">
        <is>
          <t>https://www.sebi.gov.in/sebi_data/attachdocs/dec-2025/1765775578457.pdf</t>
        </is>
      </c>
      <c r="R174" s="18" t="inlineStr">
        <is>
          <t>https://www.sebi.gov.in/filings/public-issues/dec-2025/shiprocket-limited-udrhp_98357.html</t>
        </is>
      </c>
      <c r="S174" s="15" t="n"/>
      <c r="T174" s="15" t="inlineStr">
        <is>
          <t>Company name + date window</t>
        </is>
      </c>
      <c r="U174" s="15" t="inlineStr">
        <is>
          <t>Shiprocket Limited</t>
        </is>
      </c>
      <c r="V174" s="15" t="n"/>
      <c r="W174" s="15" t="n"/>
      <c r="X174" s="15" t="n"/>
      <c r="Y174" s="15" t="n"/>
      <c r="Z174" s="15" t="n"/>
      <c r="AA174" s="15" t="n"/>
      <c r="AB174" s="15" t="n"/>
    </row>
    <row r="175" ht="15" customHeight="1" s="12">
      <c r="A175" s="14" t="n">
        <v>174</v>
      </c>
      <c r="B175" s="16" t="n">
        <v>46003</v>
      </c>
      <c r="C175" s="15" t="n">
        <v>2025</v>
      </c>
      <c r="D175" s="15" t="inlineStr">
        <is>
          <t>SFC Environmental Technologies Limited</t>
        </is>
      </c>
      <c r="E175" s="15" t="inlineStr">
        <is>
          <t>Corrigendum</t>
        </is>
      </c>
      <c r="F175" s="15" t="inlineStr">
        <is>
          <t>SFC Environmental Technologies Limited - Corrigendum to DRHP</t>
        </is>
      </c>
      <c r="G175" s="15" t="inlineStr">
        <is>
          <t>Upcoming — IPO not yet opened</t>
        </is>
      </c>
      <c r="H175" s="15" t="n"/>
      <c r="I175" s="16" t="n"/>
      <c r="J175" s="16" t="n"/>
      <c r="K175" s="16" t="n"/>
      <c r="L175" s="17" t="n"/>
      <c r="M175" s="17" t="n"/>
      <c r="N175" s="17" t="n"/>
      <c r="O175" s="15" t="n"/>
      <c r="P175" s="15" t="n"/>
      <c r="Q175" s="18" t="inlineStr">
        <is>
          <t>https://www.sebi.gov.in/sebi_data/attachdocs/dec-2025/1765516904599.pdf</t>
        </is>
      </c>
      <c r="R175" s="18" t="inlineStr">
        <is>
          <t>https://www.sebi.gov.in/filings/public-issues/dec-2025/sfc-environmental-technologies-limited-corrigendum-to-drhp_98325.html</t>
        </is>
      </c>
      <c r="S175" s="15" t="n"/>
      <c r="T175" s="15" t="n"/>
      <c r="U175" s="15" t="n"/>
      <c r="V175" s="15" t="n"/>
      <c r="W175" s="16" t="n"/>
      <c r="X175" s="16" t="n"/>
      <c r="Y175" s="16" t="n"/>
      <c r="Z175" s="15" t="inlineStr">
        <is>
          <t>Dates not announced</t>
        </is>
      </c>
      <c r="AA175" s="15" t="inlineStr">
        <is>
          <t>SEBI nod 12-Dec-2025; refiled Sep-2025 after earlier withdrawal; dates not announced</t>
        </is>
      </c>
      <c r="AB175" s="18" t="inlineStr">
        <is>
          <t>https://www.chittorgarh.com/ipo/sfc-environmental-technologies-ipo/2070/</t>
        </is>
      </c>
    </row>
    <row r="176" ht="15" customHeight="1" s="12">
      <c r="A176" s="14" t="n">
        <v>175</v>
      </c>
      <c r="B176" s="16" t="n">
        <v>46002</v>
      </c>
      <c r="C176" s="15" t="n">
        <v>2025</v>
      </c>
      <c r="D176" s="15" t="inlineStr">
        <is>
          <t>Dhariwal Buildtech Limited</t>
        </is>
      </c>
      <c r="E176" s="15" t="inlineStr">
        <is>
          <t>Corrigendum</t>
        </is>
      </c>
      <c r="F176" s="15" t="inlineStr">
        <is>
          <t>Dhariwal Buildtech Limited - Corrigendum to DRHP</t>
        </is>
      </c>
      <c r="G176" s="15" t="inlineStr">
        <is>
          <t>Upcoming — IPO not yet opened</t>
        </is>
      </c>
      <c r="H176" s="15" t="n"/>
      <c r="I176" s="16" t="n"/>
      <c r="J176" s="16" t="n"/>
      <c r="K176" s="16" t="n"/>
      <c r="L176" s="17" t="n"/>
      <c r="M176" s="17" t="n"/>
      <c r="N176" s="17" t="n"/>
      <c r="O176" s="15" t="n"/>
      <c r="P176" s="15" t="n"/>
      <c r="Q176" s="18" t="inlineStr">
        <is>
          <t>https://www.sebi.gov.in/sebi_data/attachdocs/dec-2025/1765431615262.pdf</t>
        </is>
      </c>
      <c r="R176" s="18" t="inlineStr">
        <is>
          <t>https://www.sebi.gov.in/filings/public-issues/dec-2025/dhariwal-buildtech-limited-corrigendum-to-drhp_98304.html</t>
        </is>
      </c>
      <c r="S176" s="15" t="n"/>
      <c r="T176" s="15" t="n"/>
      <c r="U176" s="15" t="n"/>
      <c r="V176" s="15" t="n"/>
      <c r="W176" s="16" t="n"/>
      <c r="X176" s="16" t="n"/>
      <c r="Y176" s="16" t="n"/>
      <c r="Z176" s="15" t="inlineStr">
        <is>
          <t>Dates not announced</t>
        </is>
      </c>
      <c r="AA176" s="15" t="inlineStr">
        <is>
          <t>SEBI nod 15-Dec-2025; Rs950 cr fresh issue; dates not yet announced</t>
        </is>
      </c>
      <c r="AB176" s="18" t="inlineStr">
        <is>
          <t>https://www.chittorgarh.com/ipo/dhariwal-buildtech-ipo/2652/</t>
        </is>
      </c>
    </row>
    <row r="177" ht="15" customHeight="1" s="12">
      <c r="A177" s="14" t="n">
        <v>176</v>
      </c>
      <c r="B177" s="16" t="n">
        <v>46001</v>
      </c>
      <c r="C177" s="15" t="n">
        <v>2025</v>
      </c>
      <c r="D177" s="15" t="inlineStr">
        <is>
          <t>Jindal Supreme India Limited</t>
        </is>
      </c>
      <c r="E177" s="15" t="inlineStr">
        <is>
          <t>DRHP</t>
        </is>
      </c>
      <c r="F177" s="15" t="inlineStr">
        <is>
          <t>Jindal Supreme India Limited</t>
        </is>
      </c>
      <c r="G177" s="15" t="inlineStr">
        <is>
          <t>IPO launched</t>
        </is>
      </c>
      <c r="H177" s="15" t="inlineStr">
        <is>
          <t>Mainboard</t>
        </is>
      </c>
      <c r="I177" s="16" t="n">
        <v>46281</v>
      </c>
      <c r="J177" s="16" t="n">
        <v>46283</v>
      </c>
      <c r="K177" s="16" t="n">
        <v>46288</v>
      </c>
      <c r="L177" s="17" t="n">
        <v>124.88</v>
      </c>
      <c r="M177" s="17" t="n">
        <v>99.89</v>
      </c>
      <c r="N177" s="17" t="n">
        <v>24.99</v>
      </c>
      <c r="O177" s="15" t="inlineStr">
        <is>
          <t>Final issue (ipoplatform)</t>
        </is>
      </c>
      <c r="P177" s="15" t="n"/>
      <c r="Q177" s="18" t="inlineStr">
        <is>
          <t>https://www.sebi.gov.in/sebi_data/attachdocs/dec-2025/1765366208348_1033.pdf</t>
        </is>
      </c>
      <c r="R177" s="18" t="inlineStr">
        <is>
          <t>https://www.sebi.gov.in/filings/public-issues/dec-2025/jindal-supreme-india-limited_98282.html</t>
        </is>
      </c>
      <c r="S177" s="15" t="n"/>
      <c r="T177" s="15" t="inlineStr">
        <is>
          <t>Company name + date window</t>
        </is>
      </c>
      <c r="U177" s="15" t="inlineStr">
        <is>
          <t>Jindal Supreme (India) Limited</t>
        </is>
      </c>
      <c r="V177" s="15" t="n"/>
      <c r="W177" s="15" t="n"/>
      <c r="X177" s="15" t="n"/>
      <c r="Y177" s="15" t="n"/>
      <c r="Z177" s="15" t="n"/>
      <c r="AA177" s="15" t="n"/>
      <c r="AB177" s="15" t="n"/>
    </row>
    <row r="178" ht="15" customHeight="1" s="12">
      <c r="A178" s="14" t="n">
        <v>177</v>
      </c>
      <c r="B178" s="16" t="n">
        <v>46001</v>
      </c>
      <c r="C178" s="15" t="n">
        <v>2025</v>
      </c>
      <c r="D178" s="15" t="inlineStr">
        <is>
          <t>MV Electrosystems Limited</t>
        </is>
      </c>
      <c r="E178" s="15" t="inlineStr">
        <is>
          <t>DRHP</t>
        </is>
      </c>
      <c r="F178" s="15" t="inlineStr">
        <is>
          <t>MV Electrosystems Limited</t>
        </is>
      </c>
      <c r="G178" s="15" t="inlineStr">
        <is>
          <t>IPO launched</t>
        </is>
      </c>
      <c r="H178" s="15" t="inlineStr">
        <is>
          <t>Mainboard</t>
        </is>
      </c>
      <c r="I178" s="16" t="n">
        <v>46233</v>
      </c>
      <c r="J178" s="16" t="n">
        <v>46237</v>
      </c>
      <c r="K178" s="16" t="n">
        <v>46240</v>
      </c>
      <c r="L178" s="17" t="n">
        <v>290</v>
      </c>
      <c r="M178" s="17" t="n">
        <v>290</v>
      </c>
      <c r="N178" s="17" t="n">
        <v>0</v>
      </c>
      <c r="O178" s="15" t="inlineStr">
        <is>
          <t>Final issue (ipoplatform)</t>
        </is>
      </c>
      <c r="P178" s="15" t="n"/>
      <c r="Q178" s="18" t="inlineStr">
        <is>
          <t>https://www.sebi.gov.in/sebi_data/attachdocs/dec-2025/1765366208348_1032.pdf</t>
        </is>
      </c>
      <c r="R178" s="18" t="inlineStr">
        <is>
          <t>https://www.sebi.gov.in/filings/public-issues/dec-2025/mv-electrosystems-limited_98280.html</t>
        </is>
      </c>
      <c r="S178" s="15" t="n"/>
      <c r="T178" s="15" t="inlineStr">
        <is>
          <t>Company name + date window</t>
        </is>
      </c>
      <c r="U178" s="15" t="inlineStr">
        <is>
          <t>MV Electrosystems Limited</t>
        </is>
      </c>
      <c r="V178" s="15" t="n"/>
      <c r="W178" s="15" t="n"/>
      <c r="X178" s="15" t="n"/>
      <c r="Y178" s="15" t="n"/>
      <c r="Z178" s="15" t="n"/>
      <c r="AA178" s="15" t="n"/>
      <c r="AB178" s="15" t="n"/>
    </row>
    <row r="179" ht="15" customHeight="1" s="12">
      <c r="A179" s="14" t="n">
        <v>178</v>
      </c>
      <c r="B179" s="16" t="n">
        <v>46000</v>
      </c>
      <c r="C179" s="15" t="n">
        <v>2025</v>
      </c>
      <c r="D179" s="15" t="inlineStr">
        <is>
          <t>SteamHouse India Limited</t>
        </is>
      </c>
      <c r="E179" s="15" t="inlineStr">
        <is>
          <t>UDRHP-I</t>
        </is>
      </c>
      <c r="F179" s="15" t="inlineStr">
        <is>
          <t>SteamHouse India Limited - UDRHP</t>
        </is>
      </c>
      <c r="G179" s="15" t="inlineStr">
        <is>
          <t>IPO launched</t>
        </is>
      </c>
      <c r="H179" s="15" t="inlineStr">
        <is>
          <t>Mainboard</t>
        </is>
      </c>
      <c r="I179" s="16" t="n">
        <v>46274</v>
      </c>
      <c r="J179" s="16" t="n">
        <v>46276</v>
      </c>
      <c r="K179" s="16" t="n">
        <v>46282</v>
      </c>
      <c r="L179" s="17" t="n">
        <v>414</v>
      </c>
      <c r="M179" s="17" t="n">
        <v>353</v>
      </c>
      <c r="N179" s="17" t="n">
        <v>61</v>
      </c>
      <c r="O179" s="15" t="inlineStr">
        <is>
          <t>Final issue (ipoplatform)</t>
        </is>
      </c>
      <c r="P179" s="15" t="n"/>
      <c r="Q179" s="18" t="inlineStr">
        <is>
          <t>https://www.sebi.gov.in/sebi_data/attachdocs/dec-2025/1765261797723.pdf</t>
        </is>
      </c>
      <c r="R179" s="18" t="inlineStr">
        <is>
          <t>https://www.sebi.gov.in/filings/public-issues/dec-2025/steamhouse-india-limited-udrhp_98254.html</t>
        </is>
      </c>
      <c r="S179" s="15" t="n"/>
      <c r="T179" s="15" t="inlineStr">
        <is>
          <t>Company name + date window</t>
        </is>
      </c>
      <c r="U179" s="15" t="inlineStr">
        <is>
          <t>Steamhouse India Ltd.</t>
        </is>
      </c>
      <c r="V179" s="15" t="n"/>
      <c r="W179" s="15" t="n"/>
      <c r="X179" s="15" t="n"/>
      <c r="Y179" s="15" t="n"/>
      <c r="Z179" s="15" t="n"/>
      <c r="AA179" s="15" t="n"/>
      <c r="AB179" s="15" t="n"/>
    </row>
    <row r="180" ht="15" customHeight="1" s="12">
      <c r="A180" s="14" t="n">
        <v>179</v>
      </c>
      <c r="B180" s="16" t="n">
        <v>46000</v>
      </c>
      <c r="C180" s="15" t="n">
        <v>2025</v>
      </c>
      <c r="D180" s="15" t="inlineStr">
        <is>
          <t>AceVector Limited</t>
        </is>
      </c>
      <c r="E180" s="15" t="inlineStr">
        <is>
          <t>UDRHP-I</t>
        </is>
      </c>
      <c r="F180" s="15" t="inlineStr">
        <is>
          <t>AceVector Limited - UDRHP</t>
        </is>
      </c>
      <c r="G180" s="15" t="inlineStr">
        <is>
          <t>Upcoming — IPO not yet opened</t>
        </is>
      </c>
      <c r="H180" s="15" t="n"/>
      <c r="I180" s="16" t="n"/>
      <c r="J180" s="16" t="n"/>
      <c r="K180" s="16" t="n"/>
      <c r="L180" s="17" t="n"/>
      <c r="M180" s="17" t="n"/>
      <c r="N180" s="17" t="n"/>
      <c r="O180" s="15" t="n"/>
      <c r="P180" s="15" t="n"/>
      <c r="Q180" s="18" t="inlineStr">
        <is>
          <t>https://www.sebi.gov.in/sebi_data/attachdocs/dec-2025/1765261442709.pdf</t>
        </is>
      </c>
      <c r="R180" s="18" t="inlineStr">
        <is>
          <t>https://www.sebi.gov.in/filings/public-issues/dec-2025/acevector-limited-udrhp_98252.html</t>
        </is>
      </c>
      <c r="S180" s="15" t="n"/>
      <c r="T180" s="15" t="n"/>
      <c r="U180" s="15" t="n"/>
      <c r="V180" s="15" t="n"/>
      <c r="W180" s="19" t="n">
        <v>46290</v>
      </c>
      <c r="X180" s="19" t="n">
        <v>46294</v>
      </c>
      <c r="Y180" s="19" t="n">
        <v>46300</v>
      </c>
      <c r="Z180" s="20" t="inlineStr">
        <is>
          <t>Issue closed — listing pending</t>
        </is>
      </c>
      <c r="AA180" s="15" t="inlineStr">
        <is>
          <t>Snapdeal parent; Rs30-32; Rs420cr; subscribed 5.07x; listing tentative</t>
        </is>
      </c>
      <c r="AB180" s="18" t="inlineStr">
        <is>
          <t>https://www.ipoji.com/ipo/acevector-ipo</t>
        </is>
      </c>
    </row>
    <row r="181" ht="15" customHeight="1" s="12">
      <c r="A181" s="14" t="n">
        <v>180</v>
      </c>
      <c r="B181" s="16" t="n">
        <v>45996</v>
      </c>
      <c r="C181" s="15" t="n">
        <v>2025</v>
      </c>
      <c r="D181" s="15" t="inlineStr">
        <is>
          <t>Gaja Alternative Asset Management Limited</t>
        </is>
      </c>
      <c r="E181" s="15" t="inlineStr">
        <is>
          <t>DRHP</t>
        </is>
      </c>
      <c r="F181" s="15" t="inlineStr">
        <is>
          <t>Gaja Alternative Asset Management Limited</t>
        </is>
      </c>
      <c r="G181" s="15" t="inlineStr">
        <is>
          <t>IPO launched</t>
        </is>
      </c>
      <c r="H181" s="15" t="inlineStr">
        <is>
          <t>Mainboard</t>
        </is>
      </c>
      <c r="I181" s="16" t="n">
        <v>46253</v>
      </c>
      <c r="J181" s="16" t="n">
        <v>46255</v>
      </c>
      <c r="K181" s="16" t="n">
        <v>46260</v>
      </c>
      <c r="L181" s="17" t="n">
        <v>550</v>
      </c>
      <c r="M181" s="17" t="n">
        <v>450</v>
      </c>
      <c r="N181" s="17" t="n">
        <v>100</v>
      </c>
      <c r="O181" s="15" t="inlineStr">
        <is>
          <t>Final issue (ipoplatform)</t>
        </is>
      </c>
      <c r="P181" s="15" t="n"/>
      <c r="Q181" s="18" t="inlineStr">
        <is>
          <t>https://www.sebi.gov.in/sebi_data/attachdocs/dec-2025/1764928528769.pdf</t>
        </is>
      </c>
      <c r="R181" s="18" t="inlineStr">
        <is>
          <t>https://www.sebi.gov.in/filings/public-issues/dec-2025/gaja-alternative-asset-management-limited_98194.html</t>
        </is>
      </c>
      <c r="S181" s="15" t="n"/>
      <c r="T181" s="15" t="inlineStr">
        <is>
          <t>Company name + date window</t>
        </is>
      </c>
      <c r="U181" s="15" t="inlineStr">
        <is>
          <t>Gaja Alternative Asset Management Limited</t>
        </is>
      </c>
      <c r="V181" s="15" t="n"/>
      <c r="W181" s="15" t="n"/>
      <c r="X181" s="15" t="n"/>
      <c r="Y181" s="15" t="n"/>
      <c r="Z181" s="15" t="n"/>
      <c r="AA181" s="15" t="n"/>
      <c r="AB181" s="15" t="n"/>
    </row>
    <row r="182" ht="15" customHeight="1" s="12">
      <c r="A182" s="14" t="n">
        <v>181</v>
      </c>
      <c r="B182" s="16" t="n">
        <v>45994</v>
      </c>
      <c r="C182" s="15" t="n">
        <v>2025</v>
      </c>
      <c r="D182" s="15" t="inlineStr">
        <is>
          <t>Casagrand Premier Builder Limited</t>
        </is>
      </c>
      <c r="E182" s="15" t="inlineStr">
        <is>
          <t>Addendum</t>
        </is>
      </c>
      <c r="F182" s="15" t="inlineStr">
        <is>
          <t>Casagrand Premier Builder Limited - Addendum to DRHP</t>
        </is>
      </c>
      <c r="G182" s="15" t="inlineStr">
        <is>
          <t>Upcoming — IPO not yet opened</t>
        </is>
      </c>
      <c r="H182" s="15" t="n"/>
      <c r="I182" s="16" t="n"/>
      <c r="J182" s="16" t="n"/>
      <c r="K182" s="16" t="n"/>
      <c r="L182" s="17" t="n"/>
      <c r="M182" s="17" t="n"/>
      <c r="N182" s="17" t="n"/>
      <c r="O182" s="15" t="n"/>
      <c r="P182" s="15" t="n"/>
      <c r="Q182" s="18" t="inlineStr">
        <is>
          <t>https://www.sebi.gov.in/sebi_data/attachdocs/dec-2025/1764763148534.pdf</t>
        </is>
      </c>
      <c r="R182" s="18" t="inlineStr">
        <is>
          <t>https://www.sebi.gov.in/filings/public-issues/dec-2025/casagrand-premier-builder-limited-addendum-to-drhp_98148.html</t>
        </is>
      </c>
      <c r="S182" s="15" t="n"/>
      <c r="T182" s="15" t="n"/>
      <c r="U182" s="15" t="n"/>
      <c r="V182" s="15" t="n"/>
      <c r="W182" s="16" t="n"/>
      <c r="X182" s="16" t="n"/>
      <c r="Y182" s="16" t="n"/>
      <c r="Z182" s="15" t="inlineStr">
        <is>
          <t>Dates not announced</t>
        </is>
      </c>
      <c r="AA182" s="15" t="inlineStr">
        <is>
          <t>SEBI nod 8-Jun-2026; Rs1,220cr; dates not announced</t>
        </is>
      </c>
      <c r="AB182" s="18" t="inlineStr">
        <is>
          <t>https://www.chittorgarh.com/ipo/casagrand-premier-builder-ipo/2183/</t>
        </is>
      </c>
    </row>
    <row r="183" ht="15" customHeight="1" s="12">
      <c r="A183" s="14" t="n">
        <v>182</v>
      </c>
      <c r="B183" s="16" t="n">
        <v>45989</v>
      </c>
      <c r="C183" s="15" t="n">
        <v>2025</v>
      </c>
      <c r="D183" s="15" t="inlineStr">
        <is>
          <t>HERO FINCORP LIMITED</t>
        </is>
      </c>
      <c r="E183" s="15" t="inlineStr">
        <is>
          <t>DRHP</t>
        </is>
      </c>
      <c r="F183" s="15" t="inlineStr">
        <is>
          <t>HERO FINCORP LIMITED - DRHP</t>
        </is>
      </c>
      <c r="G183" s="15" t="inlineStr">
        <is>
          <t>Upcoming — IPO not yet opened</t>
        </is>
      </c>
      <c r="H183" s="15" t="n"/>
      <c r="I183" s="16" t="n"/>
      <c r="J183" s="16" t="n"/>
      <c r="K183" s="16" t="n"/>
      <c r="L183" s="17" t="n"/>
      <c r="M183" s="17" t="n"/>
      <c r="N183" s="17" t="n"/>
      <c r="O183" s="15" t="n"/>
      <c r="P183" s="15" t="n"/>
      <c r="Q183" s="18" t="inlineStr">
        <is>
          <t>https://www.sebi.gov.in/sebi_data/attachdocs/nov-2025/1764331093856.pdf</t>
        </is>
      </c>
      <c r="R183" s="18" t="inlineStr">
        <is>
          <t>https://www.sebi.gov.in/filings/public-issues/nov-2025/hero-fincorp-limited-drhp_98032.html</t>
        </is>
      </c>
      <c r="S183" s="15" t="n"/>
      <c r="T183" s="15" t="n"/>
      <c r="U183" s="15" t="n"/>
      <c r="V183" s="15" t="n"/>
      <c r="W183" s="16" t="n"/>
      <c r="X183" s="16" t="n"/>
      <c r="Y183" s="16" t="n"/>
      <c r="Z183" s="15" t="inlineStr">
        <is>
          <t>Withdrawn / approval lapsed</t>
        </is>
      </c>
      <c r="AA183" s="15" t="inlineStr">
        <is>
          <t>SEBI nod 22-May-2025; approval expired without IPO</t>
        </is>
      </c>
      <c r="AB183" s="18" t="inlineStr">
        <is>
          <t>https://www.chittorgarh.com/ipo/hero-fincorp-ipo/2250/</t>
        </is>
      </c>
    </row>
    <row r="184" ht="15" customHeight="1" s="12">
      <c r="A184" s="14" t="n">
        <v>183</v>
      </c>
      <c r="B184" s="16" t="n">
        <v>45989</v>
      </c>
      <c r="C184" s="15" t="n">
        <v>2025</v>
      </c>
      <c r="D184" s="15" t="inlineStr">
        <is>
          <t>Hexagon Nutrition Limited</t>
        </is>
      </c>
      <c r="E184" s="15" t="inlineStr">
        <is>
          <t>Addendum</t>
        </is>
      </c>
      <c r="F184" s="15" t="inlineStr">
        <is>
          <t>Hexagon Nutrition Limited - Addendum to DRHP</t>
        </is>
      </c>
      <c r="G184" s="15" t="inlineStr">
        <is>
          <t>IPO launched</t>
        </is>
      </c>
      <c r="H184" s="15" t="inlineStr">
        <is>
          <t>Mainboard</t>
        </is>
      </c>
      <c r="I184" s="16" t="n">
        <v>46178</v>
      </c>
      <c r="J184" s="16" t="n">
        <v>46182</v>
      </c>
      <c r="K184" s="16" t="n">
        <v>46185</v>
      </c>
      <c r="L184" s="17" t="n">
        <v>138.87</v>
      </c>
      <c r="M184" s="17" t="n"/>
      <c r="N184" s="17" t="n">
        <v>138.87</v>
      </c>
      <c r="O184" s="15" t="inlineStr">
        <is>
          <t>Final issue (ipoplatform)</t>
        </is>
      </c>
      <c r="P184" s="15" t="n"/>
      <c r="Q184" s="18" t="inlineStr">
        <is>
          <t>https://www.sebi.gov.in/sebi_data/attachdocs/nov-2025/1764308698651.pdf</t>
        </is>
      </c>
      <c r="R184" s="18" t="inlineStr">
        <is>
          <t>https://www.sebi.gov.in/filings/public-issues/nov-2025/hexagon-nutrition-limited-addendum-to-drhp_98001.html</t>
        </is>
      </c>
      <c r="S184" s="15" t="n"/>
      <c r="T184" s="15" t="inlineStr">
        <is>
          <t>Company name + date window</t>
        </is>
      </c>
      <c r="U184" s="15" t="inlineStr">
        <is>
          <t>Hexagon Nutrition Limited</t>
        </is>
      </c>
      <c r="V184" s="15" t="n"/>
      <c r="W184" s="15" t="n"/>
      <c r="X184" s="15" t="n"/>
      <c r="Y184" s="15" t="n"/>
      <c r="Z184" s="15" t="n"/>
      <c r="AA184" s="15" t="n"/>
      <c r="AB184" s="15" t="n"/>
    </row>
    <row r="185" ht="15" customHeight="1" s="12">
      <c r="A185" s="14" t="n">
        <v>184</v>
      </c>
      <c r="B185" s="16" t="n">
        <v>45988</v>
      </c>
      <c r="C185" s="15" t="n">
        <v>2025</v>
      </c>
      <c r="D185" s="15" t="inlineStr">
        <is>
          <t>Milestone Gears Limited</t>
        </is>
      </c>
      <c r="E185" s="15" t="inlineStr">
        <is>
          <t>DRHP</t>
        </is>
      </c>
      <c r="F185" s="15" t="inlineStr">
        <is>
          <t>Milestone Gears Limited - DRHP</t>
        </is>
      </c>
      <c r="G185" s="15" t="inlineStr">
        <is>
          <t>Upcoming — IPO not yet opened</t>
        </is>
      </c>
      <c r="H185" s="15" t="n"/>
      <c r="I185" s="16" t="n"/>
      <c r="J185" s="16" t="n"/>
      <c r="K185" s="16" t="n"/>
      <c r="L185" s="17" t="n">
        <v>1100</v>
      </c>
      <c r="M185" s="17" t="n">
        <v>800</v>
      </c>
      <c r="N185" s="17" t="n">
        <v>300</v>
      </c>
      <c r="O185" s="15" t="inlineStr">
        <is>
          <t>DRHP cover</t>
        </is>
      </c>
      <c r="P185" s="15" t="inlineStr">
        <is>
          <t>Fresh issue up to ₹800.00 Cr + OFS up to ₹300.00 Cr</t>
        </is>
      </c>
      <c r="Q185" s="18" t="inlineStr">
        <is>
          <t>https://www.sebi.gov.in/sebi_data/attachdocs/nov-2025/1764232197013.pdf</t>
        </is>
      </c>
      <c r="R185" s="18" t="inlineStr">
        <is>
          <t>https://www.sebi.gov.in/filings/public-issues/nov-2025/milestone-gears-limited-drhp_97973.html</t>
        </is>
      </c>
      <c r="S185" s="15" t="n"/>
      <c r="T185" s="15" t="n"/>
      <c r="U185" s="15" t="n"/>
      <c r="V185" s="15" t="n"/>
      <c r="W185" s="16" t="n"/>
      <c r="X185" s="16" t="n"/>
      <c r="Y185" s="16" t="n"/>
      <c r="Z185" s="15" t="inlineStr">
        <is>
          <t>Dates not announced</t>
        </is>
      </c>
      <c r="AA185" s="15" t="inlineStr">
        <is>
          <t>SEBI nod 6-Mar-2026; Rs1,100cr; dates not announced</t>
        </is>
      </c>
      <c r="AB185" s="18" t="inlineStr">
        <is>
          <t>https://www.chittorgarh.com/ipo/milestone-gears-ipo/2799/</t>
        </is>
      </c>
    </row>
    <row r="186" ht="15" customHeight="1" s="12">
      <c r="A186" s="14" t="n">
        <v>185</v>
      </c>
      <c r="B186" s="16" t="n">
        <v>45981</v>
      </c>
      <c r="C186" s="15" t="n">
        <v>2025</v>
      </c>
      <c r="D186" s="15" t="inlineStr">
        <is>
          <t>Orient Cables (India) Limited</t>
        </is>
      </c>
      <c r="E186" s="15" t="inlineStr">
        <is>
          <t>Addendum</t>
        </is>
      </c>
      <c r="F186" s="15" t="inlineStr">
        <is>
          <t>Orient Cables (India) Limited - addendum to DRHP</t>
        </is>
      </c>
      <c r="G186" s="15" t="inlineStr">
        <is>
          <t>Upcoming — IPO not yet opened</t>
        </is>
      </c>
      <c r="H186" s="15" t="n"/>
      <c r="I186" s="16" t="n"/>
      <c r="J186" s="16" t="n"/>
      <c r="K186" s="16" t="n"/>
      <c r="L186" s="17" t="n"/>
      <c r="M186" s="17" t="n"/>
      <c r="N186" s="17" t="n"/>
      <c r="O186" s="15" t="n"/>
      <c r="P186" s="15" t="n"/>
      <c r="Q186" s="18" t="inlineStr">
        <is>
          <t>https://www.sebi.gov.in/sebi_data/attachdocs/nov-2025/1763960032856.pdf</t>
        </is>
      </c>
      <c r="R186" s="18" t="inlineStr">
        <is>
          <t>https://www.sebi.gov.in/filings/public-issues/nov-2025/orient-cables-india-limited-addendum-to-drhp_97886.html</t>
        </is>
      </c>
      <c r="S186" s="15" t="n"/>
      <c r="T186" s="15" t="n"/>
      <c r="U186" s="15" t="n"/>
      <c r="V186" s="15" t="n"/>
      <c r="W186" s="19" t="n">
        <v>46290</v>
      </c>
      <c r="X186" s="19" t="n">
        <v>46294</v>
      </c>
      <c r="Y186" s="19" t="n">
        <v>46300</v>
      </c>
      <c r="Z186" s="20" t="inlineStr">
        <is>
          <t>Issue opened</t>
        </is>
      </c>
      <c r="AA186" s="15" t="inlineStr">
        <is>
          <t>Matched on chittorgarh.com</t>
        </is>
      </c>
      <c r="AB186" s="18" t="inlineStr">
        <is>
          <t>https://www.chittorgarh.com/ipo/orient-cables-ipo/2532/</t>
        </is>
      </c>
    </row>
    <row r="187" ht="15" customHeight="1" s="12">
      <c r="A187" s="14" t="n">
        <v>186</v>
      </c>
      <c r="B187" s="16" t="n">
        <v>45979</v>
      </c>
      <c r="C187" s="15" t="n">
        <v>2025</v>
      </c>
      <c r="D187" s="15" t="inlineStr">
        <is>
          <t>SEDEMAC Mechatronics Limited</t>
        </is>
      </c>
      <c r="E187" s="15" t="inlineStr">
        <is>
          <t>DRHP</t>
        </is>
      </c>
      <c r="F187" s="15" t="inlineStr">
        <is>
          <t>SEDEMAC Mechatronics Limited</t>
        </is>
      </c>
      <c r="G187" s="15" t="inlineStr">
        <is>
          <t>IPO launched</t>
        </is>
      </c>
      <c r="H187" s="15" t="inlineStr">
        <is>
          <t>Mainboard</t>
        </is>
      </c>
      <c r="I187" s="16" t="n">
        <v>46085</v>
      </c>
      <c r="J187" s="16" t="n">
        <v>46087</v>
      </c>
      <c r="K187" s="16" t="n">
        <v>46092</v>
      </c>
      <c r="L187" s="17" t="n">
        <v>1087.45</v>
      </c>
      <c r="M187" s="17" t="n"/>
      <c r="N187" s="17" t="n">
        <v>1087.45</v>
      </c>
      <c r="O187" s="15" t="inlineStr">
        <is>
          <t>Final issue (ipoplatform)</t>
        </is>
      </c>
      <c r="P187" s="15" t="n"/>
      <c r="Q187" s="18" t="inlineStr">
        <is>
          <t>https://www.sebi.gov.in/sebi_data/attachdocs/nov-2025/1763465405051_1025.pdf</t>
        </is>
      </c>
      <c r="R187" s="18" t="inlineStr">
        <is>
          <t>https://www.sebi.gov.in/filings/public-issues/nov-2025/sedemac-mechatronics-limited_97812.html</t>
        </is>
      </c>
      <c r="S187" s="15" t="n"/>
      <c r="T187" s="15" t="inlineStr">
        <is>
          <t>Company name + date window</t>
        </is>
      </c>
      <c r="U187" s="15" t="inlineStr">
        <is>
          <t>Sedemac Mechatronics Limited</t>
        </is>
      </c>
      <c r="V187" s="15" t="n"/>
      <c r="W187" s="15" t="n"/>
      <c r="X187" s="15" t="n"/>
      <c r="Y187" s="15" t="n"/>
      <c r="Z187" s="15" t="n"/>
      <c r="AA187" s="15" t="n"/>
      <c r="AB187" s="15" t="n"/>
    </row>
    <row r="188" ht="15" customHeight="1" s="12">
      <c r="A188" s="14" t="n">
        <v>187</v>
      </c>
      <c r="B188" s="16" t="n">
        <v>45972</v>
      </c>
      <c r="C188" s="15" t="n">
        <v>2025</v>
      </c>
      <c r="D188" s="15" t="inlineStr">
        <is>
          <t>Manipal Payment and Identity Solutions Limited</t>
        </is>
      </c>
      <c r="E188" s="15" t="inlineStr">
        <is>
          <t>UDRHP-I</t>
        </is>
      </c>
      <c r="F188" s="15" t="inlineStr">
        <is>
          <t>Manipal Payment and Identity Solutions Limited - UDRHP</t>
        </is>
      </c>
      <c r="G188" s="15" t="inlineStr">
        <is>
          <t>IPO launched</t>
        </is>
      </c>
      <c r="H188" s="15" t="inlineStr">
        <is>
          <t>Mainboard</t>
        </is>
      </c>
      <c r="I188" s="16" t="n">
        <v>46274</v>
      </c>
      <c r="J188" s="16" t="n">
        <v>46276</v>
      </c>
      <c r="K188" s="16" t="n">
        <v>46282</v>
      </c>
      <c r="L188" s="17" t="n">
        <v>805</v>
      </c>
      <c r="M188" s="17" t="n">
        <v>320</v>
      </c>
      <c r="N188" s="17" t="n">
        <v>485</v>
      </c>
      <c r="O188" s="15" t="inlineStr">
        <is>
          <t>Final issue (ipoplatform)</t>
        </is>
      </c>
      <c r="P188" s="15" t="n"/>
      <c r="Q188" s="18" t="inlineStr">
        <is>
          <t>https://www.sebi.gov.in/sebi_data/attachdocs/nov-2025/1762837361221.pdf</t>
        </is>
      </c>
      <c r="R188" s="18" t="inlineStr">
        <is>
          <t>https://www.sebi.gov.in/filings/public-issues/nov-2025/manipal-payment-and-identity-solutions-limited-udrhp_97699.html</t>
        </is>
      </c>
      <c r="S188" s="15" t="n"/>
      <c r="T188" s="15" t="inlineStr">
        <is>
          <t>SEBI filing link</t>
        </is>
      </c>
      <c r="U188" s="15" t="inlineStr">
        <is>
          <t>Manipal Payment and Identity Solutions Limited</t>
        </is>
      </c>
      <c r="V188" s="15" t="n"/>
      <c r="W188" s="15" t="n"/>
      <c r="X188" s="15" t="n"/>
      <c r="Y188" s="15" t="n"/>
      <c r="Z188" s="15" t="n"/>
      <c r="AA188" s="15" t="n"/>
      <c r="AB188" s="15" t="n"/>
    </row>
    <row r="189" ht="15" customHeight="1" s="12">
      <c r="A189" s="14" t="n">
        <v>188</v>
      </c>
      <c r="B189" s="16" t="n">
        <v>45968</v>
      </c>
      <c r="C189" s="15" t="n">
        <v>2025</v>
      </c>
      <c r="D189" s="15" t="inlineStr">
        <is>
          <t>SAEL INDUSTRIES LIMITED</t>
        </is>
      </c>
      <c r="E189" s="15" t="inlineStr">
        <is>
          <t>DRHP</t>
        </is>
      </c>
      <c r="F189" s="15" t="inlineStr">
        <is>
          <t>SAEL INDUSTRIES LIMITED</t>
        </is>
      </c>
      <c r="G189" s="15" t="inlineStr">
        <is>
          <t>Upcoming — IPO not yet opened</t>
        </is>
      </c>
      <c r="H189" s="15" t="n"/>
      <c r="I189" s="16" t="n"/>
      <c r="J189" s="16" t="n"/>
      <c r="K189" s="16" t="n"/>
      <c r="L189" s="17" t="n"/>
      <c r="M189" s="17" t="n"/>
      <c r="N189" s="17" t="n"/>
      <c r="O189" s="15" t="n"/>
      <c r="P189" s="15" t="n"/>
      <c r="Q189" s="18" t="inlineStr">
        <is>
          <t>https://www.sebi.gov.in/sebi_data/attachdocs/nov-2025/1762508222639.pdf</t>
        </is>
      </c>
      <c r="R189" s="18" t="inlineStr">
        <is>
          <t>https://www.sebi.gov.in/filings/public-issues/nov-2025/sael-industries-limited_97667.html</t>
        </is>
      </c>
      <c r="S189" s="15" t="n"/>
      <c r="T189" s="15" t="n"/>
      <c r="U189" s="15" t="n"/>
      <c r="V189" s="15" t="n"/>
      <c r="W189" s="16" t="n"/>
      <c r="X189" s="16" t="n"/>
      <c r="Y189" s="16" t="n"/>
      <c r="Z189" s="15" t="inlineStr">
        <is>
          <t>Dates not announced</t>
        </is>
      </c>
      <c r="AA189" s="15" t="inlineStr">
        <is>
          <t>SEBI nod 27-Mar-2026; Rs4,575cr; dates not announced</t>
        </is>
      </c>
      <c r="AB189" s="18" t="inlineStr">
        <is>
          <t>https://www.chittorgarh.com/ipo/sael-industries-ipo/2793/</t>
        </is>
      </c>
    </row>
    <row r="190" ht="15" customHeight="1" s="12">
      <c r="A190" s="14" t="n">
        <v>189</v>
      </c>
      <c r="B190" s="16" t="n">
        <v>45961</v>
      </c>
      <c r="C190" s="15" t="n">
        <v>2025</v>
      </c>
      <c r="D190" s="15" t="inlineStr">
        <is>
          <t>Shadowfax Technologies Limited</t>
        </is>
      </c>
      <c r="E190" s="15" t="inlineStr">
        <is>
          <t>UDRHP-I</t>
        </is>
      </c>
      <c r="F190" s="15" t="inlineStr">
        <is>
          <t>Shadowfax Technologies Limited UDRHP-I</t>
        </is>
      </c>
      <c r="G190" s="15" t="inlineStr">
        <is>
          <t>IPO launched</t>
        </is>
      </c>
      <c r="H190" s="15" t="inlineStr">
        <is>
          <t>Mainboard</t>
        </is>
      </c>
      <c r="I190" s="16" t="n">
        <v>46042</v>
      </c>
      <c r="J190" s="16" t="n">
        <v>46044</v>
      </c>
      <c r="K190" s="16" t="n">
        <v>46050</v>
      </c>
      <c r="L190" s="17" t="n">
        <v>1907.27</v>
      </c>
      <c r="M190" s="17" t="n">
        <v>1000</v>
      </c>
      <c r="N190" s="17" t="n">
        <v>907.27</v>
      </c>
      <c r="O190" s="15" t="inlineStr">
        <is>
          <t>Final issue (ipoplatform)</t>
        </is>
      </c>
      <c r="P190" s="15" t="n"/>
      <c r="Q190" s="18" t="inlineStr">
        <is>
          <t>https://www.sebi.gov.in/sebi_data/attachdocs/nov-2025/1762153184446.pdf</t>
        </is>
      </c>
      <c r="R190" s="18" t="inlineStr">
        <is>
          <t>https://www.sebi.gov.in/filings/public-issues/oct-2025/shadowfax-technologies-limited-udrhp-i_97586.html</t>
        </is>
      </c>
      <c r="S190" s="15" t="n"/>
      <c r="T190" s="15" t="inlineStr">
        <is>
          <t>SEBI filing link</t>
        </is>
      </c>
      <c r="U190" s="15" t="inlineStr">
        <is>
          <t>Shadowfax Technologies Limited</t>
        </is>
      </c>
      <c r="V190" s="15" t="n"/>
      <c r="W190" s="15" t="n"/>
      <c r="X190" s="15" t="n"/>
      <c r="Y190" s="15" t="n"/>
      <c r="Z190" s="15" t="n"/>
      <c r="AA190" s="15" t="n"/>
      <c r="AB190" s="15" t="n"/>
    </row>
    <row r="191" ht="15" customHeight="1" s="12">
      <c r="A191" s="14" t="n">
        <v>190</v>
      </c>
      <c r="B191" s="16" t="n">
        <v>45959</v>
      </c>
      <c r="C191" s="15" t="n">
        <v>2025</v>
      </c>
      <c r="D191" s="15" t="inlineStr">
        <is>
          <t>Imagine Marketing Limited</t>
        </is>
      </c>
      <c r="E191" s="15" t="inlineStr">
        <is>
          <t>UDRHP-I</t>
        </is>
      </c>
      <c r="F191" s="15" t="inlineStr">
        <is>
          <t>Imagine Marketing Limited - UDRHP</t>
        </is>
      </c>
      <c r="G191" s="15" t="inlineStr">
        <is>
          <t>Upcoming — IPO not yet opened</t>
        </is>
      </c>
      <c r="H191" s="15" t="n"/>
      <c r="I191" s="16" t="n"/>
      <c r="J191" s="16" t="n"/>
      <c r="K191" s="16" t="n"/>
      <c r="L191" s="17" t="n"/>
      <c r="M191" s="17" t="n"/>
      <c r="N191" s="17" t="n"/>
      <c r="O191" s="15" t="n"/>
      <c r="P191" s="15" t="n"/>
      <c r="Q191" s="18" t="inlineStr">
        <is>
          <t>https://www.sebi.gov.in/sebi_data/attachdocs/oct-2025/1761711834836.pdf</t>
        </is>
      </c>
      <c r="R191" s="18" t="inlineStr">
        <is>
          <t>https://www.sebi.gov.in/filings/public-issues/oct-2025/imagine-marketing-limited-udrhp_97510.html</t>
        </is>
      </c>
      <c r="S191" s="15" t="n"/>
      <c r="T191" s="15" t="n"/>
      <c r="U191" s="15" t="n"/>
      <c r="V191" s="15" t="n"/>
      <c r="W191" s="16" t="n"/>
      <c r="X191" s="16" t="n"/>
      <c r="Y191" s="16" t="n"/>
      <c r="Z191" s="15" t="inlineStr">
        <is>
          <t>Dates not announced</t>
        </is>
      </c>
      <c r="AA191" s="15" t="inlineStr">
        <is>
          <t>boAt; SEBI nod 1-Aug-2025; dates not announced</t>
        </is>
      </c>
      <c r="AB191" s="18" t="inlineStr">
        <is>
          <t>https://www.chittorgarh.com/ipo/boat-ipo/2310/</t>
        </is>
      </c>
    </row>
    <row r="192" ht="15" customHeight="1" s="12">
      <c r="A192" s="14" t="n">
        <v>191</v>
      </c>
      <c r="B192" s="16" t="n">
        <v>45957</v>
      </c>
      <c r="C192" s="15" t="n">
        <v>2025</v>
      </c>
      <c r="D192" s="15" t="inlineStr">
        <is>
          <t>Meesho Limited</t>
        </is>
      </c>
      <c r="E192" s="15" t="inlineStr">
        <is>
          <t>UDRHP-I</t>
        </is>
      </c>
      <c r="F192" s="15" t="inlineStr">
        <is>
          <t>Meesho Limited - UDRHP</t>
        </is>
      </c>
      <c r="G192" s="15" t="inlineStr">
        <is>
          <t>IPO launched</t>
        </is>
      </c>
      <c r="H192" s="15" t="inlineStr">
        <is>
          <t>Mainboard</t>
        </is>
      </c>
      <c r="I192" s="16" t="n">
        <v>45994</v>
      </c>
      <c r="J192" s="16" t="n">
        <v>45996</v>
      </c>
      <c r="K192" s="16" t="n">
        <v>46001</v>
      </c>
      <c r="L192" s="17" t="n">
        <v>5421.2</v>
      </c>
      <c r="M192" s="17" t="n">
        <v>4250</v>
      </c>
      <c r="N192" s="17" t="n">
        <v>1171.2</v>
      </c>
      <c r="O192" s="15" t="inlineStr">
        <is>
          <t>Final issue (ipoplatform)</t>
        </is>
      </c>
      <c r="P192" s="15" t="n"/>
      <c r="Q192" s="18" t="inlineStr">
        <is>
          <t>https://www.sebi.gov.in/sebi_data/attachdocs/oct-2025/1761562199414.pdf</t>
        </is>
      </c>
      <c r="R192" s="18" t="inlineStr">
        <is>
          <t>https://www.sebi.gov.in/filings/public-issues/oct-2025/meesho-limited-udrhp_97453.html</t>
        </is>
      </c>
      <c r="S192" s="15" t="n"/>
      <c r="T192" s="15" t="inlineStr">
        <is>
          <t>Company name + date window</t>
        </is>
      </c>
      <c r="U192" s="15" t="inlineStr">
        <is>
          <t>Meesho Limited</t>
        </is>
      </c>
      <c r="V192" s="15" t="n"/>
      <c r="W192" s="15" t="n"/>
      <c r="X192" s="15" t="n"/>
      <c r="Y192" s="15" t="n"/>
      <c r="Z192" s="15" t="n"/>
      <c r="AA192" s="15" t="n"/>
      <c r="AB192" s="15" t="n"/>
    </row>
    <row r="193" ht="15" customHeight="1" s="12">
      <c r="A193" s="14" t="n">
        <v>192</v>
      </c>
      <c r="B193" s="16" t="n">
        <v>45957</v>
      </c>
      <c r="C193" s="15" t="n">
        <v>2025</v>
      </c>
      <c r="D193" s="15" t="inlineStr">
        <is>
          <t>PRASOL CHEMICALS LIMITED</t>
        </is>
      </c>
      <c r="E193" s="15" t="inlineStr">
        <is>
          <t>DRHP</t>
        </is>
      </c>
      <c r="F193" s="15" t="inlineStr">
        <is>
          <t>PRASOL CHEMICALS LIMITED</t>
        </is>
      </c>
      <c r="G193" s="15" t="inlineStr">
        <is>
          <t>IPO launched</t>
        </is>
      </c>
      <c r="H193" s="15" t="inlineStr">
        <is>
          <t>Mainboard</t>
        </is>
      </c>
      <c r="I193" s="16" t="n">
        <v>46273</v>
      </c>
      <c r="J193" s="16" t="n">
        <v>46275</v>
      </c>
      <c r="K193" s="16" t="n">
        <v>46281</v>
      </c>
      <c r="L193" s="17" t="n">
        <v>500</v>
      </c>
      <c r="M193" s="17" t="n">
        <v>80</v>
      </c>
      <c r="N193" s="17" t="n">
        <v>420</v>
      </c>
      <c r="O193" s="15" t="inlineStr">
        <is>
          <t>Final issue (ipoplatform)</t>
        </is>
      </c>
      <c r="P193" s="15" t="n"/>
      <c r="Q193" s="18" t="inlineStr">
        <is>
          <t>https://www.sebi.gov.in/sebi_data/attachdocs/oct-2025/1761550204673_1023.pdf</t>
        </is>
      </c>
      <c r="R193" s="18" t="inlineStr">
        <is>
          <t>https://www.sebi.gov.in/filings/public-issues/oct-2025/prasol-chemicals-limited_97449.html</t>
        </is>
      </c>
      <c r="S193" s="15" t="n"/>
      <c r="T193" s="15" t="inlineStr">
        <is>
          <t>Company name + date window</t>
        </is>
      </c>
      <c r="U193" s="15" t="inlineStr">
        <is>
          <t>Prasol Chemicals Limited</t>
        </is>
      </c>
      <c r="V193" s="15" t="n"/>
      <c r="W193" s="15" t="n"/>
      <c r="X193" s="15" t="n"/>
      <c r="Y193" s="15" t="n"/>
      <c r="Z193" s="15" t="n"/>
      <c r="AA193" s="15" t="n"/>
      <c r="AB193" s="15" t="n"/>
    </row>
    <row r="194" ht="15" customHeight="1" s="12">
      <c r="A194" s="14" t="n">
        <v>193</v>
      </c>
      <c r="B194" s="16" t="n">
        <v>45953</v>
      </c>
      <c r="C194" s="15" t="n">
        <v>2025</v>
      </c>
      <c r="D194" s="15" t="inlineStr">
        <is>
          <t>Duroflex Limited</t>
        </is>
      </c>
      <c r="E194" s="15" t="inlineStr">
        <is>
          <t>DRHP</t>
        </is>
      </c>
      <c r="F194" s="15" t="inlineStr">
        <is>
          <t>Duroflex Limited</t>
        </is>
      </c>
      <c r="G194" s="15" t="inlineStr">
        <is>
          <t>Upcoming — IPO not yet opened</t>
        </is>
      </c>
      <c r="H194" s="15" t="n"/>
      <c r="I194" s="16" t="n"/>
      <c r="J194" s="16" t="n"/>
      <c r="K194" s="16" t="n"/>
      <c r="L194" s="17" t="n"/>
      <c r="M194" s="17" t="n"/>
      <c r="N194" s="17" t="n"/>
      <c r="O194" s="15" t="n"/>
      <c r="P194" s="15" t="n"/>
      <c r="Q194" s="18" t="inlineStr">
        <is>
          <t>https://www.sebi.gov.in/sebi_data/attachdocs/oct-2025/1761219007321_1021.pdf</t>
        </is>
      </c>
      <c r="R194" s="18" t="inlineStr">
        <is>
          <t>https://www.sebi.gov.in/filings/public-issues/oct-2025/duroflex-limited_97438.html</t>
        </is>
      </c>
      <c r="S194" s="15" t="n"/>
      <c r="T194" s="15" t="n"/>
      <c r="U194" s="15" t="n"/>
      <c r="V194" s="15" t="n"/>
      <c r="W194" s="16" t="n"/>
      <c r="X194" s="16" t="n"/>
      <c r="Y194" s="16" t="n"/>
      <c r="Z194" s="15" t="inlineStr">
        <is>
          <t>Dates not announced</t>
        </is>
      </c>
      <c r="AA194" s="15" t="inlineStr">
        <is>
          <t>SEBI nod 12-Feb-2026; dates not yet announced</t>
        </is>
      </c>
      <c r="AB194" s="18" t="inlineStr">
        <is>
          <t>https://www.chittorgarh.com/ipo/duroflex-ipo/2777/</t>
        </is>
      </c>
    </row>
    <row r="195" ht="15" customHeight="1" s="12">
      <c r="A195" s="14" t="n">
        <v>194</v>
      </c>
      <c r="B195" s="16" t="n">
        <v>45953</v>
      </c>
      <c r="C195" s="15" t="n">
        <v>2025</v>
      </c>
      <c r="D195" s="15" t="inlineStr">
        <is>
          <t>Integris Medtech Limited</t>
        </is>
      </c>
      <c r="E195" s="15" t="inlineStr">
        <is>
          <t>DRHP</t>
        </is>
      </c>
      <c r="F195" s="15" t="inlineStr">
        <is>
          <t>Integris Medtech Limited</t>
        </is>
      </c>
      <c r="G195" s="15" t="inlineStr">
        <is>
          <t>Upcoming — IPO not yet opened</t>
        </is>
      </c>
      <c r="H195" s="15" t="n"/>
      <c r="I195" s="16" t="n"/>
      <c r="J195" s="16" t="n"/>
      <c r="K195" s="16" t="n"/>
      <c r="L195" s="17" t="n"/>
      <c r="M195" s="17" t="n"/>
      <c r="N195" s="17" t="n"/>
      <c r="O195" s="15" t="n"/>
      <c r="P195" s="15" t="n"/>
      <c r="Q195" s="18" t="inlineStr">
        <is>
          <t>https://www.sebi.gov.in/sebi_data/attachdocs/oct-2025/1761204614130_1020.pdf</t>
        </is>
      </c>
      <c r="R195" s="18" t="inlineStr">
        <is>
          <t>https://www.sebi.gov.in/filings/public-issues/oct-2025/integris-medtech-limited_97425.html</t>
        </is>
      </c>
      <c r="S195" s="15" t="n"/>
      <c r="T195" s="15" t="n"/>
      <c r="U195" s="15" t="n"/>
      <c r="V195" s="15" t="n"/>
      <c r="W195" s="16" t="n"/>
      <c r="X195" s="16" t="n"/>
      <c r="Y195" s="16" t="n"/>
      <c r="Z195" s="15" t="inlineStr">
        <is>
          <t>Dates not announced</t>
        </is>
      </c>
      <c r="AA195" s="15" t="inlineStr">
        <is>
          <t>SEBI nod 13-Feb-2026; dates not announced</t>
        </is>
      </c>
      <c r="AB195" s="18" t="inlineStr">
        <is>
          <t>https://www.chittorgarh.com/ipo/integris-medtech-ipo/2774/</t>
        </is>
      </c>
    </row>
    <row r="196" ht="15" customHeight="1" s="12">
      <c r="A196" s="14" t="n">
        <v>195</v>
      </c>
      <c r="B196" s="16" t="n">
        <v>45947</v>
      </c>
      <c r="C196" s="15" t="n">
        <v>2025</v>
      </c>
      <c r="D196" s="15" t="inlineStr">
        <is>
          <t>Sify Infinit Spaces Limited</t>
        </is>
      </c>
      <c r="E196" s="15" t="inlineStr">
        <is>
          <t>DRHP</t>
        </is>
      </c>
      <c r="F196" s="15" t="inlineStr">
        <is>
          <t>Sify Infinit Spaces Limited - DRHP</t>
        </is>
      </c>
      <c r="G196" s="15" t="inlineStr">
        <is>
          <t>Upcoming — IPO not yet opened</t>
        </is>
      </c>
      <c r="H196" s="15" t="n"/>
      <c r="I196" s="16" t="n"/>
      <c r="J196" s="16" t="n"/>
      <c r="K196" s="16" t="n"/>
      <c r="L196" s="17" t="n"/>
      <c r="M196" s="17" t="n"/>
      <c r="N196" s="17" t="n"/>
      <c r="O196" s="15" t="n"/>
      <c r="P196" s="15" t="n"/>
      <c r="Q196" s="18" t="inlineStr">
        <is>
          <t>https://www.sebi.gov.in/sebi_data/attachdocs/oct-2025/1761628612556.pdf</t>
        </is>
      </c>
      <c r="R196" s="18" t="inlineStr">
        <is>
          <t>https://www.sebi.gov.in/filings/public-issues/oct-2025/sify-infinit-spaces-limited-drhp_97481.html</t>
        </is>
      </c>
      <c r="S196" s="15" t="n"/>
      <c r="T196" s="15" t="n"/>
      <c r="U196" s="15" t="n"/>
      <c r="V196" s="15" t="n"/>
      <c r="W196" s="16" t="n"/>
      <c r="X196" s="16" t="n"/>
      <c r="Y196" s="16" t="n"/>
      <c r="Z196" s="15" t="inlineStr">
        <is>
          <t>Dates not announced</t>
        </is>
      </c>
      <c r="AA196" s="15" t="inlineStr">
        <is>
          <t>SEBI nod 23-Jan-2026; Rs3,700cr issue; dates not announced</t>
        </is>
      </c>
      <c r="AB196" s="18" t="inlineStr">
        <is>
          <t>https://www.chittorgarh.com/ipo/sify-infinit-spaces-ipo/2781/</t>
        </is>
      </c>
    </row>
    <row r="197" ht="15" customHeight="1" s="12">
      <c r="A197" s="14" t="n">
        <v>196</v>
      </c>
      <c r="B197" s="16" t="n">
        <v>45946</v>
      </c>
      <c r="C197" s="15" t="n">
        <v>2025</v>
      </c>
      <c r="D197" s="15" t="inlineStr">
        <is>
          <t>Rays Power Infra Limited</t>
        </is>
      </c>
      <c r="E197" s="15" t="inlineStr">
        <is>
          <t>DRHP</t>
        </is>
      </c>
      <c r="F197" s="15" t="inlineStr">
        <is>
          <t>Rays Power Infra Limited - DRHP</t>
        </is>
      </c>
      <c r="G197" s="15" t="inlineStr">
        <is>
          <t>Upcoming — IPO not yet opened</t>
        </is>
      </c>
      <c r="H197" s="15" t="n"/>
      <c r="I197" s="16" t="n"/>
      <c r="J197" s="16" t="n"/>
      <c r="K197" s="16" t="n"/>
      <c r="L197" s="17" t="n"/>
      <c r="M197" s="17" t="n"/>
      <c r="N197" s="17" t="n"/>
      <c r="O197" s="15" t="n"/>
      <c r="P197" s="15" t="n"/>
      <c r="Q197" s="18" t="inlineStr">
        <is>
          <t>https://www.sebi.gov.in/sebi_data/attachdocs/oct-2025/1760605051795.pdf</t>
        </is>
      </c>
      <c r="R197" s="18" t="inlineStr">
        <is>
          <t>https://www.sebi.gov.in/filings/public-issues/oct-2025/rays-power-infra-limited-drhp_97355.html</t>
        </is>
      </c>
      <c r="S197" s="15" t="n"/>
      <c r="T197" s="15" t="n"/>
      <c r="U197" s="15" t="n"/>
      <c r="V197" s="15" t="n"/>
      <c r="W197" s="16" t="n"/>
      <c r="X197" s="16" t="n"/>
      <c r="Y197" s="16" t="n"/>
      <c r="Z197" s="15" t="inlineStr">
        <is>
          <t>Withdrawn / approval lapsed</t>
        </is>
      </c>
      <c r="AA197" s="15" t="inlineStr">
        <is>
          <t>DRHP withdrawn from SEBI on 13-Mar-2026</t>
        </is>
      </c>
      <c r="AB197" s="18" t="inlineStr">
        <is>
          <t>https://www.chittorgarh.com/ipo/rays-power-infra-ipo/2692/</t>
        </is>
      </c>
    </row>
    <row r="198" ht="15" customHeight="1" s="12">
      <c r="A198" s="14" t="n">
        <v>197</v>
      </c>
      <c r="B198" s="16" t="n">
        <v>45946</v>
      </c>
      <c r="C198" s="15" t="n">
        <v>2025</v>
      </c>
      <c r="D198" s="15" t="inlineStr">
        <is>
          <t>Technocraft Ventures Limited</t>
        </is>
      </c>
      <c r="E198" s="15" t="inlineStr">
        <is>
          <t>Addendum</t>
        </is>
      </c>
      <c r="F198" s="15" t="inlineStr">
        <is>
          <t>Technocraft Ventures Limited - Addendum to DRHP</t>
        </is>
      </c>
      <c r="G198" s="15" t="inlineStr">
        <is>
          <t>IPO launched</t>
        </is>
      </c>
      <c r="H198" s="15" t="inlineStr">
        <is>
          <t>Mainboard</t>
        </is>
      </c>
      <c r="I198" s="16" t="n">
        <v>46241</v>
      </c>
      <c r="J198" s="16" t="n">
        <v>46245</v>
      </c>
      <c r="K198" s="16" t="n">
        <v>46248</v>
      </c>
      <c r="L198" s="17" t="n">
        <v>251.88</v>
      </c>
      <c r="M198" s="17" t="n">
        <v>201.51</v>
      </c>
      <c r="N198" s="17" t="n">
        <v>50.37</v>
      </c>
      <c r="O198" s="15" t="inlineStr">
        <is>
          <t>Final issue (ipoplatform)</t>
        </is>
      </c>
      <c r="P198" s="15" t="n"/>
      <c r="Q198" s="18" t="inlineStr">
        <is>
          <t>https://www.sebi.gov.in/sebi_data/attachdocs/oct-2025/1760589175985.pdf</t>
        </is>
      </c>
      <c r="R198" s="18" t="inlineStr">
        <is>
          <t>https://www.sebi.gov.in/filings/public-issues/oct-2025/technocraft-ventures-limited-addendum-to-drhp_97350.html</t>
        </is>
      </c>
      <c r="S198" s="15" t="n"/>
      <c r="T198" s="15" t="inlineStr">
        <is>
          <t>Company name + date window</t>
        </is>
      </c>
      <c r="U198" s="15" t="inlineStr">
        <is>
          <t>Technocraft Ventures Limited</t>
        </is>
      </c>
      <c r="V198" s="15" t="n"/>
      <c r="W198" s="15" t="n"/>
      <c r="X198" s="15" t="n"/>
      <c r="Y198" s="15" t="n"/>
      <c r="Z198" s="15" t="n"/>
      <c r="AA198" s="15" t="n"/>
      <c r="AB198" s="15" t="n"/>
    </row>
    <row r="199" ht="15" customHeight="1" s="12">
      <c r="A199" s="14" t="n">
        <v>198</v>
      </c>
      <c r="B199" s="16" t="n">
        <v>45945</v>
      </c>
      <c r="C199" s="15" t="n">
        <v>2025</v>
      </c>
      <c r="D199" s="15" t="inlineStr">
        <is>
          <t>Integris Medtech Limited</t>
        </is>
      </c>
      <c r="E199" s="15" t="inlineStr">
        <is>
          <t>DRHP</t>
        </is>
      </c>
      <c r="F199" s="15" t="inlineStr">
        <is>
          <t>Integris Medtech Limited</t>
        </is>
      </c>
      <c r="G199" s="15" t="inlineStr">
        <is>
          <t>Upcoming — IPO not yet opened</t>
        </is>
      </c>
      <c r="H199" s="15" t="n"/>
      <c r="I199" s="16" t="n"/>
      <c r="J199" s="16" t="n"/>
      <c r="K199" s="16" t="n"/>
      <c r="L199" s="17" t="n"/>
      <c r="M199" s="17" t="n"/>
      <c r="N199" s="17" t="n"/>
      <c r="O199" s="15" t="n"/>
      <c r="P199" s="15" t="n"/>
      <c r="Q199" s="18" t="inlineStr">
        <is>
          <t>https://www.sebi.gov.in/sebi_data/attachdocs/oct-2025/1760527804402_1017.pdf</t>
        </is>
      </c>
      <c r="R199" s="18" t="inlineStr">
        <is>
          <t>https://www.sebi.gov.in/filings/public-issues/oct-2025/integris-medtech-limited_97342.html</t>
        </is>
      </c>
      <c r="S199" s="15" t="n"/>
      <c r="T199" s="15" t="n"/>
      <c r="U199" s="15" t="n"/>
      <c r="V199" s="15" t="n"/>
      <c r="W199" s="16" t="n"/>
      <c r="X199" s="16" t="n"/>
      <c r="Y199" s="16" t="n"/>
      <c r="Z199" s="15" t="inlineStr">
        <is>
          <t>Dates not announced</t>
        </is>
      </c>
      <c r="AA199" s="15" t="inlineStr">
        <is>
          <t>SEBI nod 13-Feb-2026; dates not announced</t>
        </is>
      </c>
      <c r="AB199" s="18" t="inlineStr">
        <is>
          <t>https://www.chittorgarh.com/ipo/integris-medtech-ipo/2774/</t>
        </is>
      </c>
    </row>
    <row r="200" ht="15" customHeight="1" s="12">
      <c r="A200" s="14" t="n">
        <v>199</v>
      </c>
      <c r="B200" s="16" t="n">
        <v>45940</v>
      </c>
      <c r="C200" s="15" t="n">
        <v>2025</v>
      </c>
      <c r="D200" s="15" t="inlineStr">
        <is>
          <t>ARDEE INDUSTRIES LIMITED</t>
        </is>
      </c>
      <c r="E200" s="15" t="inlineStr">
        <is>
          <t>DRHP</t>
        </is>
      </c>
      <c r="F200" s="15" t="inlineStr">
        <is>
          <t>ARDEE INDUSTRIES LIMITED</t>
        </is>
      </c>
      <c r="G200" s="15" t="inlineStr">
        <is>
          <t>IPO launched</t>
        </is>
      </c>
      <c r="H200" s="15" t="inlineStr">
        <is>
          <t>Mainboard</t>
        </is>
      </c>
      <c r="I200" s="16" t="n">
        <v>46239</v>
      </c>
      <c r="J200" s="16" t="n">
        <v>46241</v>
      </c>
      <c r="K200" s="16" t="n">
        <v>46246</v>
      </c>
      <c r="L200" s="17" t="n">
        <v>425.87</v>
      </c>
      <c r="M200" s="17" t="n">
        <v>320</v>
      </c>
      <c r="N200" s="17" t="n">
        <v>105.87</v>
      </c>
      <c r="O200" s="15" t="inlineStr">
        <is>
          <t>Final issue (ipoplatform)</t>
        </is>
      </c>
      <c r="P200" s="15" t="n"/>
      <c r="Q200" s="18" t="inlineStr">
        <is>
          <t>https://www.sebi.gov.in/sebi_data/attachdocs/oct-2025/1760081406764_1010.pdf</t>
        </is>
      </c>
      <c r="R200" s="18" t="inlineStr">
        <is>
          <t>https://www.sebi.gov.in/filings/public-issues/oct-2025/ardee-industries-limited_97225.html</t>
        </is>
      </c>
      <c r="S200" s="15" t="n"/>
      <c r="T200" s="15" t="inlineStr">
        <is>
          <t>Company name + date window</t>
        </is>
      </c>
      <c r="U200" s="15" t="inlineStr">
        <is>
          <t>Ardee Industries Limited</t>
        </is>
      </c>
      <c r="V200" s="15" t="n"/>
      <c r="W200" s="15" t="n"/>
      <c r="X200" s="15" t="n"/>
      <c r="Y200" s="15" t="n"/>
      <c r="Z200" s="15" t="n"/>
      <c r="AA200" s="15" t="n"/>
      <c r="AB200" s="15" t="n"/>
    </row>
    <row r="201" ht="15" customHeight="1" s="12">
      <c r="A201" s="14" t="n">
        <v>200</v>
      </c>
      <c r="B201" s="16" t="n">
        <v>45940</v>
      </c>
      <c r="C201" s="15" t="n">
        <v>2025</v>
      </c>
      <c r="D201" s="15" t="inlineStr">
        <is>
          <t>BVG India Limited</t>
        </is>
      </c>
      <c r="E201" s="15" t="inlineStr">
        <is>
          <t>DRHP</t>
        </is>
      </c>
      <c r="F201" s="15" t="inlineStr">
        <is>
          <t>BVG India Limited</t>
        </is>
      </c>
      <c r="G201" s="15" t="inlineStr">
        <is>
          <t>Upcoming — IPO not yet opened</t>
        </is>
      </c>
      <c r="H201" s="15" t="n"/>
      <c r="I201" s="16" t="n"/>
      <c r="J201" s="16" t="n"/>
      <c r="K201" s="16" t="n"/>
      <c r="L201" s="17" t="n"/>
      <c r="M201" s="17" t="n"/>
      <c r="N201" s="17" t="n"/>
      <c r="O201" s="15" t="n"/>
      <c r="P201" s="15" t="n"/>
      <c r="Q201" s="18" t="inlineStr">
        <is>
          <t>https://www.sebi.gov.in/sebi_data/attachdocs/oct-2025/1760081406764_1011.pdf</t>
        </is>
      </c>
      <c r="R201" s="18" t="inlineStr">
        <is>
          <t>https://www.sebi.gov.in/filings/public-issues/oct-2025/bvg-india-limited_97227.html</t>
        </is>
      </c>
      <c r="S201" s="15" t="n"/>
      <c r="T201" s="15" t="n"/>
      <c r="U201" s="15" t="n"/>
      <c r="V201" s="15" t="n"/>
      <c r="W201" s="16" t="n"/>
      <c r="X201" s="16" t="n"/>
      <c r="Y201" s="16" t="n"/>
      <c r="Z201" s="15" t="inlineStr">
        <is>
          <t>Dates not announced</t>
        </is>
      </c>
      <c r="AA201" s="15" t="inlineStr">
        <is>
          <t>SEBI nod 23-Jan-2026; dates not yet announced</t>
        </is>
      </c>
      <c r="AB201" s="18" t="inlineStr">
        <is>
          <t>https://www.chittorgarh.com/ipo/bvg-india-ipo/2684/</t>
        </is>
      </c>
    </row>
    <row r="202" ht="15" customHeight="1" s="12">
      <c r="A202" s="14" t="n">
        <v>201</v>
      </c>
      <c r="B202" s="16" t="n">
        <v>45940</v>
      </c>
      <c r="C202" s="15" t="n">
        <v>2025</v>
      </c>
      <c r="D202" s="15" t="inlineStr">
        <is>
          <t>Hotel Polo Towers Limited</t>
        </is>
      </c>
      <c r="E202" s="15" t="inlineStr">
        <is>
          <t>DRHP</t>
        </is>
      </c>
      <c r="F202" s="15" t="inlineStr">
        <is>
          <t>Hotel Polo Towers Limited DRHP</t>
        </is>
      </c>
      <c r="G202" s="15" t="inlineStr">
        <is>
          <t>Upcoming — IPO not yet opened</t>
        </is>
      </c>
      <c r="H202" s="15" t="n"/>
      <c r="I202" s="16" t="n"/>
      <c r="J202" s="16" t="n"/>
      <c r="K202" s="16" t="n"/>
      <c r="L202" s="17" t="n"/>
      <c r="M202" s="17" t="n"/>
      <c r="N202" s="17" t="n"/>
      <c r="O202" s="15" t="n"/>
      <c r="P202" s="15" t="n"/>
      <c r="Q202" s="18" t="inlineStr">
        <is>
          <t>https://www.sebi.gov.in/sebi_data/attachdocs/oct-2025/1760076891744.pdf</t>
        </is>
      </c>
      <c r="R202" s="18" t="inlineStr">
        <is>
          <t>https://www.sebi.gov.in/filings/public-issues/oct-2025/hotel-polo-towers-limited-drhp_97223.html</t>
        </is>
      </c>
      <c r="S202" s="15" t="n"/>
      <c r="T202" s="15" t="n"/>
      <c r="U202" s="15" t="n"/>
      <c r="V202" s="15" t="n"/>
      <c r="W202" s="16" t="n"/>
      <c r="X202" s="16" t="n"/>
      <c r="Y202" s="16" t="n"/>
      <c r="Z202" s="15" t="inlineStr">
        <is>
          <t>Dates not announced</t>
        </is>
      </c>
      <c r="AA202" s="15" t="inlineStr">
        <is>
          <t>SEBI nod May-2026; dates not yet announced</t>
        </is>
      </c>
      <c r="AB202" s="18" t="inlineStr">
        <is>
          <t>https://www.chittorgarh.com/ipo/hotel-polo-towers-ipo/2649/</t>
        </is>
      </c>
    </row>
    <row r="203" ht="15" customHeight="1" s="12">
      <c r="A203" s="14" t="n">
        <v>202</v>
      </c>
      <c r="B203" s="16" t="n">
        <v>45939</v>
      </c>
      <c r="C203" s="15" t="n">
        <v>2025</v>
      </c>
      <c r="D203" s="15" t="inlineStr">
        <is>
          <t>KUSUMGAR LIMITED</t>
        </is>
      </c>
      <c r="E203" s="15" t="inlineStr">
        <is>
          <t>DRHP</t>
        </is>
      </c>
      <c r="F203" s="15" t="inlineStr">
        <is>
          <t>KUSUMGAR LIMITED</t>
        </is>
      </c>
      <c r="G203" s="15" t="inlineStr">
        <is>
          <t>IPO launched</t>
        </is>
      </c>
      <c r="H203" s="15" t="inlineStr">
        <is>
          <t>Mainboard</t>
        </is>
      </c>
      <c r="I203" s="16" t="n">
        <v>46211</v>
      </c>
      <c r="J203" s="16" t="n">
        <v>46213</v>
      </c>
      <c r="K203" s="16" t="n">
        <v>46218</v>
      </c>
      <c r="L203" s="17" t="n">
        <v>650</v>
      </c>
      <c r="M203" s="17" t="n"/>
      <c r="N203" s="17" t="n">
        <v>650</v>
      </c>
      <c r="O203" s="15" t="inlineStr">
        <is>
          <t>Final issue (ipoplatform)</t>
        </is>
      </c>
      <c r="P203" s="15" t="n"/>
      <c r="Q203" s="18" t="inlineStr">
        <is>
          <t>https://www.sebi.gov.in/sebi_data/attachdocs/oct-2025/1760009417606_1009.pdf</t>
        </is>
      </c>
      <c r="R203" s="18" t="inlineStr">
        <is>
          <t>https://www.sebi.gov.in/filings/public-issues/oct-2025/kusumgar-limited_97201.html</t>
        </is>
      </c>
      <c r="S203" s="15" t="n"/>
      <c r="T203" s="15" t="inlineStr">
        <is>
          <t>Company name + date window</t>
        </is>
      </c>
      <c r="U203" s="15" t="inlineStr">
        <is>
          <t>Kusumgar Limited</t>
        </is>
      </c>
      <c r="V203" s="15" t="n"/>
      <c r="W203" s="15" t="n"/>
      <c r="X203" s="15" t="n"/>
      <c r="Y203" s="15" t="n"/>
      <c r="Z203" s="15" t="n"/>
      <c r="AA203" s="15" t="n"/>
      <c r="AB203" s="15" t="n"/>
    </row>
    <row r="204" ht="15" customHeight="1" s="12">
      <c r="A204" s="14" t="n">
        <v>203</v>
      </c>
      <c r="B204" s="16" t="n">
        <v>45939</v>
      </c>
      <c r="C204" s="15" t="n">
        <v>2025</v>
      </c>
      <c r="D204" s="15" t="inlineStr">
        <is>
          <t>Jerai Fitness Limited</t>
        </is>
      </c>
      <c r="E204" s="15" t="inlineStr">
        <is>
          <t>DRHP</t>
        </is>
      </c>
      <c r="F204" s="15" t="inlineStr">
        <is>
          <t>Jerai Fitness Limited</t>
        </is>
      </c>
      <c r="G204" s="15" t="inlineStr">
        <is>
          <t>Upcoming — IPO not yet opened</t>
        </is>
      </c>
      <c r="H204" s="15" t="n"/>
      <c r="I204" s="16" t="n"/>
      <c r="J204" s="16" t="n"/>
      <c r="K204" s="16" t="n"/>
      <c r="L204" s="17" t="n"/>
      <c r="M204" s="17" t="n"/>
      <c r="N204" s="17" t="n"/>
      <c r="O204" s="15" t="n"/>
      <c r="P204" s="15" t="n"/>
      <c r="Q204" s="18" t="inlineStr">
        <is>
          <t>https://www.sebi.gov.in/sebi_data/attachdocs/oct-2025/1760009417606_1008.pdf</t>
        </is>
      </c>
      <c r="R204" s="18" t="inlineStr">
        <is>
          <t>https://www.sebi.gov.in/filings/public-issues/oct-2025/jerai-fitness-limited_97199.html</t>
        </is>
      </c>
      <c r="S204" s="15" t="n"/>
      <c r="T204" s="15" t="n"/>
      <c r="U204" s="15" t="n"/>
      <c r="V204" s="15" t="n"/>
      <c r="W204" s="16" t="n"/>
      <c r="X204" s="16" t="n"/>
      <c r="Y204" s="16" t="n"/>
      <c r="Z204" s="15" t="inlineStr">
        <is>
          <t>Dates not announced</t>
        </is>
      </c>
      <c r="AA204" s="15" t="inlineStr">
        <is>
          <t>SEBI nod 31-Dec-2025; pure OFS; dates not announced</t>
        </is>
      </c>
      <c r="AB204" s="18" t="inlineStr">
        <is>
          <t>https://www.chittorgarh.com/ipo/jerai-fintess-ipo/2664/</t>
        </is>
      </c>
    </row>
    <row r="205" ht="15" customHeight="1" s="12">
      <c r="A205" s="14" t="n">
        <v>204</v>
      </c>
      <c r="B205" s="16" t="n">
        <v>45939</v>
      </c>
      <c r="C205" s="15" t="n">
        <v>2025</v>
      </c>
      <c r="D205" s="15" t="inlineStr">
        <is>
          <t>Learnfluence Education Limited</t>
        </is>
      </c>
      <c r="E205" s="15" t="inlineStr">
        <is>
          <t>DRHP</t>
        </is>
      </c>
      <c r="F205" s="15" t="inlineStr">
        <is>
          <t>Learnfluence Education Limited</t>
        </is>
      </c>
      <c r="G205" s="15" t="inlineStr">
        <is>
          <t>Upcoming — IPO not yet opened</t>
        </is>
      </c>
      <c r="H205" s="15" t="n"/>
      <c r="I205" s="16" t="n"/>
      <c r="J205" s="16" t="n"/>
      <c r="K205" s="16" t="n"/>
      <c r="L205" s="17" t="n"/>
      <c r="M205" s="17" t="n"/>
      <c r="N205" s="17" t="n"/>
      <c r="O205" s="15" t="n"/>
      <c r="P205" s="15" t="n"/>
      <c r="Q205" s="18" t="inlineStr">
        <is>
          <t>https://www.sebi.gov.in/sebi_data/attachdocs/oct-2025/1760009417606_1007.pdf</t>
        </is>
      </c>
      <c r="R205" s="18" t="inlineStr">
        <is>
          <t>https://www.sebi.gov.in/filings/public-issues/oct-2025/learnfluence-education-limited_97197.html</t>
        </is>
      </c>
      <c r="S205" s="15" t="n"/>
      <c r="T205" s="15" t="n"/>
      <c r="U205" s="15" t="n"/>
      <c r="V205" s="15" t="n"/>
      <c r="W205" s="16" t="n"/>
      <c r="X205" s="16" t="n"/>
      <c r="Y205" s="16" t="n"/>
      <c r="Z205" s="15" t="inlineStr">
        <is>
          <t>Dates not announced</t>
        </is>
      </c>
      <c r="AA205" s="15" t="inlineStr">
        <is>
          <t>SEBI nod 11-Mar-2026; dates not yet announced</t>
        </is>
      </c>
      <c r="AB205" s="18" t="inlineStr">
        <is>
          <t>https://www.chittorgarh.com/ipo/learnfluence-education-ipo/2669/</t>
        </is>
      </c>
    </row>
    <row r="206" ht="15" customHeight="1" s="12">
      <c r="A206" s="14" t="n">
        <v>205</v>
      </c>
      <c r="B206" s="16" t="n">
        <v>45939</v>
      </c>
      <c r="C206" s="15" t="n">
        <v>2025</v>
      </c>
      <c r="D206" s="15" t="inlineStr">
        <is>
          <t>Augmont Enterprises Limited</t>
        </is>
      </c>
      <c r="E206" s="15" t="inlineStr">
        <is>
          <t>DRHP</t>
        </is>
      </c>
      <c r="F206" s="15" t="inlineStr">
        <is>
          <t>Augmont Enterprises Limited</t>
        </is>
      </c>
      <c r="G206" s="15" t="inlineStr">
        <is>
          <t>IPO launched</t>
        </is>
      </c>
      <c r="H206" s="15" t="inlineStr">
        <is>
          <t>Mainboard</t>
        </is>
      </c>
      <c r="I206" s="16" t="n">
        <v>46255</v>
      </c>
      <c r="J206" s="16" t="n">
        <v>46259</v>
      </c>
      <c r="K206" s="16" t="n">
        <v>46265</v>
      </c>
      <c r="L206" s="17" t="n">
        <v>825</v>
      </c>
      <c r="M206" s="17" t="n">
        <v>620</v>
      </c>
      <c r="N206" s="17" t="n">
        <v>205</v>
      </c>
      <c r="O206" s="15" t="inlineStr">
        <is>
          <t>Final issue (ipoplatform)</t>
        </is>
      </c>
      <c r="P206" s="15" t="n"/>
      <c r="Q206" s="18" t="inlineStr">
        <is>
          <t>https://www.sebi.gov.in/sebi_data/attachdocs/oct-2025/1760009417606_1005.pdf</t>
        </is>
      </c>
      <c r="R206" s="18" t="inlineStr">
        <is>
          <t>https://www.sebi.gov.in/filings/public-issues/oct-2025/augmont-enterprises-limited_97193.html</t>
        </is>
      </c>
      <c r="S206" s="15" t="n"/>
      <c r="T206" s="15" t="inlineStr">
        <is>
          <t>Company name + date window</t>
        </is>
      </c>
      <c r="U206" s="15" t="inlineStr">
        <is>
          <t>Augmont Enterprises Limited</t>
        </is>
      </c>
      <c r="V206" s="15" t="n"/>
      <c r="W206" s="15" t="n"/>
      <c r="X206" s="15" t="n"/>
      <c r="Y206" s="15" t="n"/>
      <c r="Z206" s="15" t="n"/>
      <c r="AA206" s="15" t="n"/>
      <c r="AB206" s="15" t="n"/>
    </row>
    <row r="207" ht="15" customHeight="1" s="12">
      <c r="A207" s="14" t="n">
        <v>206</v>
      </c>
      <c r="B207" s="16" t="n">
        <v>45939</v>
      </c>
      <c r="C207" s="15" t="n">
        <v>2025</v>
      </c>
      <c r="D207" s="15" t="inlineStr">
        <is>
          <t>R.K. STEEL MANUFACTURING COMPANY LIMITED</t>
        </is>
      </c>
      <c r="E207" s="15" t="inlineStr">
        <is>
          <t>DRHP</t>
        </is>
      </c>
      <c r="F207" s="15" t="inlineStr">
        <is>
          <t>R.K. STEEL MANUFACTURING COMPANY LIMITED</t>
        </is>
      </c>
      <c r="G207" s="15" t="inlineStr">
        <is>
          <t>Upcoming — IPO not yet opened</t>
        </is>
      </c>
      <c r="H207" s="15" t="n"/>
      <c r="I207" s="16" t="n"/>
      <c r="J207" s="16" t="n"/>
      <c r="K207" s="16" t="n"/>
      <c r="L207" s="17" t="n"/>
      <c r="M207" s="17" t="n"/>
      <c r="N207" s="17" t="n"/>
      <c r="O207" s="15" t="n"/>
      <c r="P207" s="15" t="n"/>
      <c r="Q207" s="18" t="inlineStr">
        <is>
          <t>https://www.sebi.gov.in/sebi_data/attachdocs/oct-2025/1760009417606_1002.pdf</t>
        </is>
      </c>
      <c r="R207" s="18" t="inlineStr">
        <is>
          <t>https://www.sebi.gov.in/filings/public-issues/oct-2025/r-k-steel-manufacturing-company-limited_97187.html</t>
        </is>
      </c>
      <c r="S207" s="15" t="n"/>
      <c r="T207" s="15" t="n"/>
      <c r="U207" s="15" t="n"/>
      <c r="V207" s="15" t="n"/>
      <c r="W207" s="16" t="n"/>
      <c r="X207" s="16" t="n"/>
      <c r="Y207" s="16" t="n"/>
      <c r="Z207" s="15" t="inlineStr">
        <is>
          <t>Dates not announced</t>
        </is>
      </c>
      <c r="AA207" s="15" t="inlineStr">
        <is>
          <t>Fresh issue Rs2,000cr; dates not yet announced</t>
        </is>
      </c>
      <c r="AB207" s="18" t="inlineStr">
        <is>
          <t>https://www.chittorgarh.com/ipo/rk-steel-manufacturing-ipo/2687/</t>
        </is>
      </c>
    </row>
    <row r="208" ht="15" customHeight="1" s="12">
      <c r="A208" s="14" t="n">
        <v>207</v>
      </c>
      <c r="B208" s="16" t="n">
        <v>45939</v>
      </c>
      <c r="C208" s="15" t="n">
        <v>2025</v>
      </c>
      <c r="D208" s="15" t="inlineStr">
        <is>
          <t>SKY ALLOYS AND POWER LIMITED</t>
        </is>
      </c>
      <c r="E208" s="15" t="inlineStr">
        <is>
          <t>DRHP</t>
        </is>
      </c>
      <c r="F208" s="15" t="inlineStr">
        <is>
          <t>SKY ALLOYS AND POWER LIMITED</t>
        </is>
      </c>
      <c r="G208" s="15" t="inlineStr">
        <is>
          <t>Upcoming — IPO not yet opened</t>
        </is>
      </c>
      <c r="H208" s="15" t="n"/>
      <c r="I208" s="16" t="n"/>
      <c r="J208" s="16" t="n"/>
      <c r="K208" s="16" t="n"/>
      <c r="L208" s="17" t="n"/>
      <c r="M208" s="17" t="n"/>
      <c r="N208" s="17" t="n"/>
      <c r="O208" s="15" t="inlineStr">
        <is>
          <t>DRHP cover</t>
        </is>
      </c>
      <c r="P208" s="15" t="inlineStr">
        <is>
          <t>Fresh issue up to 16,084,000 sh + OFS up to 1,807,000 sh</t>
        </is>
      </c>
      <c r="Q208" s="18" t="inlineStr">
        <is>
          <t>https://www.sebi.gov.in/sebi_data/attachdocs/oct-2025/1760009417606_1003.pdf</t>
        </is>
      </c>
      <c r="R208" s="18" t="inlineStr">
        <is>
          <t>https://www.sebi.gov.in/filings/public-issues/oct-2025/sky-alloys-and-power-limited_97189.html</t>
        </is>
      </c>
      <c r="S208" s="15" t="n"/>
      <c r="T208" s="15" t="n"/>
      <c r="U208" s="15" t="n"/>
      <c r="V208" s="15" t="n"/>
      <c r="W208" s="16" t="n"/>
      <c r="X208" s="16" t="n"/>
      <c r="Y208" s="16" t="n"/>
      <c r="Z208" s="15" t="inlineStr">
        <is>
          <t>Dates not announced</t>
        </is>
      </c>
      <c r="AA208" s="15" t="inlineStr">
        <is>
          <t>Refiled DRHP Jun-2026 after Dec-2025 withdrawal; dates not announced</t>
        </is>
      </c>
      <c r="AB208" s="18" t="inlineStr">
        <is>
          <t>https://www.chittorgarh.com/ipo/sky-alloys-and-power-ipo/2776/</t>
        </is>
      </c>
    </row>
    <row r="209" ht="15" customHeight="1" s="12">
      <c r="A209" s="14" t="n">
        <v>208</v>
      </c>
      <c r="B209" s="16" t="n">
        <v>45939</v>
      </c>
      <c r="C209" s="15" t="n">
        <v>2025</v>
      </c>
      <c r="D209" s="15" t="inlineStr">
        <is>
          <t>Laser Power and Infra Limited</t>
        </is>
      </c>
      <c r="E209" s="15" t="inlineStr">
        <is>
          <t>DRHP</t>
        </is>
      </c>
      <c r="F209" s="15" t="inlineStr">
        <is>
          <t>Laser Power and Infra Limited - DRHP</t>
        </is>
      </c>
      <c r="G209" s="15" t="inlineStr">
        <is>
          <t>IPO launched</t>
        </is>
      </c>
      <c r="H209" s="15" t="inlineStr">
        <is>
          <t>Mainboard</t>
        </is>
      </c>
      <c r="I209" s="16" t="n">
        <v>46212</v>
      </c>
      <c r="J209" s="16" t="n">
        <v>46216</v>
      </c>
      <c r="K209" s="16" t="n">
        <v>46219</v>
      </c>
      <c r="L209" s="17" t="n">
        <v>742</v>
      </c>
      <c r="M209" s="17" t="n">
        <v>542</v>
      </c>
      <c r="N209" s="17" t="n">
        <v>200</v>
      </c>
      <c r="O209" s="15" t="inlineStr">
        <is>
          <t>Final issue (ipoplatform)</t>
        </is>
      </c>
      <c r="P209" s="15" t="n"/>
      <c r="Q209" s="18" t="inlineStr">
        <is>
          <t>https://www.sebi.gov.in/sebi_data/attachdocs/oct-2025/1760006215253.pdf</t>
        </is>
      </c>
      <c r="R209" s="18" t="inlineStr">
        <is>
          <t>https://www.sebi.gov.in/filings/public-issues/oct-2025/laser-power-and-infra-limited-drhp_97184.html</t>
        </is>
      </c>
      <c r="S209" s="15" t="n"/>
      <c r="T209" s="15" t="inlineStr">
        <is>
          <t>Company name + date window</t>
        </is>
      </c>
      <c r="U209" s="15" t="inlineStr">
        <is>
          <t>Laser Power &amp; Infra Limited</t>
        </is>
      </c>
      <c r="V209" s="15" t="n"/>
      <c r="W209" s="15" t="n"/>
      <c r="X209" s="15" t="n"/>
      <c r="Y209" s="15" t="n"/>
      <c r="Z209" s="15" t="n"/>
      <c r="AA209" s="15" t="n"/>
      <c r="AB209" s="15" t="n"/>
    </row>
    <row r="210" ht="15" customHeight="1" s="12">
      <c r="A210" s="14" t="n">
        <v>209</v>
      </c>
      <c r="B210" s="16" t="n">
        <v>45939</v>
      </c>
      <c r="C210" s="15" t="n">
        <v>2025</v>
      </c>
      <c r="D210" s="15" t="inlineStr">
        <is>
          <t>Vishvaraj Environment Limited</t>
        </is>
      </c>
      <c r="E210" s="15" t="inlineStr">
        <is>
          <t>DRHP</t>
        </is>
      </c>
      <c r="F210" s="15" t="inlineStr">
        <is>
          <t>Vishvaraj Environment Limited - DRHP</t>
        </is>
      </c>
      <c r="G210" s="15" t="inlineStr">
        <is>
          <t>Upcoming — IPO not yet opened</t>
        </is>
      </c>
      <c r="H210" s="15" t="n"/>
      <c r="I210" s="16" t="n"/>
      <c r="J210" s="16" t="n"/>
      <c r="K210" s="16" t="n"/>
      <c r="L210" s="17" t="n"/>
      <c r="M210" s="17" t="n"/>
      <c r="N210" s="17" t="n"/>
      <c r="O210" s="15" t="n"/>
      <c r="P210" s="15" t="n"/>
      <c r="Q210" s="18" t="inlineStr">
        <is>
          <t>https://www.sebi.gov.in/sebi_data/attachdocs/oct-2025/1760002256727.pdf</t>
        </is>
      </c>
      <c r="R210" s="18" t="inlineStr">
        <is>
          <t>https://www.sebi.gov.in/filings/public-issues/oct-2025/vishvaraj-environment-limited-drhp_97182.html</t>
        </is>
      </c>
      <c r="S210" s="15" t="n"/>
      <c r="T210" s="15" t="n"/>
      <c r="U210" s="15" t="n"/>
      <c r="V210" s="15" t="n"/>
      <c r="W210" s="16" t="n"/>
      <c r="X210" s="16" t="n"/>
      <c r="Y210" s="16" t="n"/>
      <c r="Z210" s="15" t="inlineStr">
        <is>
          <t>Dates not announced</t>
        </is>
      </c>
      <c r="AA210" s="15" t="inlineStr">
        <is>
          <t>SEBI nod 27-Mar-2026; dates not yet announced</t>
        </is>
      </c>
      <c r="AB210" s="18" t="inlineStr">
        <is>
          <t>https://www.chittorgarh.com/ipo/vishvaraj-environment-ipo/2672/</t>
        </is>
      </c>
    </row>
    <row r="211" ht="15" customHeight="1" s="12">
      <c r="A211" s="14" t="n">
        <v>210</v>
      </c>
      <c r="B211" s="16" t="n">
        <v>45939</v>
      </c>
      <c r="C211" s="15" t="n">
        <v>2025</v>
      </c>
      <c r="D211" s="15" t="inlineStr">
        <is>
          <t>Sterlite Electric Limited</t>
        </is>
      </c>
      <c r="E211" s="15" t="inlineStr">
        <is>
          <t>DRHP</t>
        </is>
      </c>
      <c r="F211" s="15" t="inlineStr">
        <is>
          <t>Sterlite Electric Limited DRHP</t>
        </is>
      </c>
      <c r="G211" s="15" t="inlineStr">
        <is>
          <t>Upcoming — IPO not yet opened</t>
        </is>
      </c>
      <c r="H211" s="15" t="n"/>
      <c r="I211" s="16" t="n"/>
      <c r="J211" s="16" t="n"/>
      <c r="K211" s="16" t="n"/>
      <c r="L211" s="17" t="n"/>
      <c r="M211" s="17" t="n"/>
      <c r="N211" s="17" t="n"/>
      <c r="O211" s="15" t="n"/>
      <c r="P211" s="15" t="n"/>
      <c r="Q211" s="18" t="inlineStr">
        <is>
          <t>https://www.sebi.gov.in/sebi_data/attachdocs/oct-2025/1760000743042.pdf</t>
        </is>
      </c>
      <c r="R211" s="18" t="inlineStr">
        <is>
          <t>https://www.sebi.gov.in/filings/public-issues/oct-2025/sterlite-electric-limited-drhp_97181.html</t>
        </is>
      </c>
      <c r="S211" s="15" t="n"/>
      <c r="T211" s="15" t="n"/>
      <c r="U211" s="15" t="n"/>
      <c r="V211" s="15" t="n"/>
      <c r="W211" s="16" t="n"/>
      <c r="X211" s="16" t="n"/>
      <c r="Y211" s="16" t="n"/>
      <c r="Z211" s="15" t="inlineStr">
        <is>
          <t>Dates not announced</t>
        </is>
      </c>
      <c r="AA211" s="15" t="inlineStr">
        <is>
          <t>DRHP filed; dates, price band not yet announced</t>
        </is>
      </c>
      <c r="AB211" s="18" t="inlineStr">
        <is>
          <t>https://www.chittorgarh.com/ipo/sterlite-electric-ipo/2679/</t>
        </is>
      </c>
    </row>
    <row r="212" ht="15" customHeight="1" s="12">
      <c r="A212" s="14" t="n">
        <v>211</v>
      </c>
      <c r="B212" s="16" t="n">
        <v>45939</v>
      </c>
      <c r="C212" s="15" t="n">
        <v>2025</v>
      </c>
      <c r="D212" s="15" t="inlineStr">
        <is>
          <t>Associated Power Structures Limited</t>
        </is>
      </c>
      <c r="E212" s="15" t="inlineStr">
        <is>
          <t>DRHP</t>
        </is>
      </c>
      <c r="F212" s="15" t="inlineStr">
        <is>
          <t>Associated Power Structures Limited</t>
        </is>
      </c>
      <c r="G212" s="15" t="inlineStr">
        <is>
          <t>Upcoming — IPO not yet opened</t>
        </is>
      </c>
      <c r="H212" s="15" t="n"/>
      <c r="I212" s="16" t="n"/>
      <c r="J212" s="16" t="n"/>
      <c r="K212" s="16" t="n"/>
      <c r="L212" s="17" t="n"/>
      <c r="M212" s="17" t="n">
        <v>400</v>
      </c>
      <c r="N212" s="17" t="n"/>
      <c r="O212" s="15" t="inlineStr">
        <is>
          <t>DRHP cover</t>
        </is>
      </c>
      <c r="P212" s="15" t="inlineStr">
        <is>
          <t>Fresh issue up to ₹400.00 Cr + OFS up to 7,142,860 sh</t>
        </is>
      </c>
      <c r="Q212" s="18" t="inlineStr">
        <is>
          <t>https://www.sebi.gov.in/sebi_data/attachdocs/oct-2025/1759995019453_1001.pdf</t>
        </is>
      </c>
      <c r="R212" s="18" t="inlineStr">
        <is>
          <t>https://www.sebi.gov.in/filings/public-issues/oct-2025/associated-power-structures-limited_97179.html</t>
        </is>
      </c>
      <c r="S212" s="15" t="n"/>
      <c r="T212" s="15" t="n"/>
      <c r="U212" s="15" t="n"/>
      <c r="V212" s="15" t="n"/>
      <c r="W212" s="16" t="n"/>
      <c r="X212" s="16" t="n"/>
      <c r="Y212" s="16" t="n"/>
      <c r="Z212" s="15" t="inlineStr">
        <is>
          <t>Dates not announced</t>
        </is>
      </c>
      <c r="AA212" s="15" t="inlineStr">
        <is>
          <t>DRHP filed; dates not yet announced</t>
        </is>
      </c>
      <c r="AB212" s="18" t="inlineStr">
        <is>
          <t>https://www.chittorgarh.com/ipo/associated-power-structures-ipo/2650/</t>
        </is>
      </c>
    </row>
    <row r="213" ht="15" customHeight="1" s="12">
      <c r="A213" s="14" t="n">
        <v>212</v>
      </c>
      <c r="B213" s="16" t="n">
        <v>45939</v>
      </c>
      <c r="C213" s="15" t="n">
        <v>2025</v>
      </c>
      <c r="D213" s="15" t="inlineStr">
        <is>
          <t>Aarvee Engineering Consultants Limited</t>
        </is>
      </c>
      <c r="E213" s="15" t="inlineStr">
        <is>
          <t>DRHP</t>
        </is>
      </c>
      <c r="F213" s="15" t="inlineStr">
        <is>
          <t>Aarvee Engineering Consultants Limited</t>
        </is>
      </c>
      <c r="G213" s="15" t="inlineStr">
        <is>
          <t>Upcoming — IPO not yet opened</t>
        </is>
      </c>
      <c r="H213" s="15" t="n"/>
      <c r="I213" s="16" t="n"/>
      <c r="J213" s="16" t="n"/>
      <c r="K213" s="16" t="n"/>
      <c r="L213" s="17" t="n"/>
      <c r="M213" s="17" t="n"/>
      <c r="N213" s="17" t="n"/>
      <c r="O213" s="15" t="n"/>
      <c r="P213" s="15" t="n"/>
      <c r="Q213" s="18" t="inlineStr">
        <is>
          <t>https://www.sebi.gov.in/sebi_data/attachdocs/oct-2025/1759995019453_999.pdf</t>
        </is>
      </c>
      <c r="R213" s="18" t="inlineStr">
        <is>
          <t>https://www.sebi.gov.in/filings/public-issues/oct-2025/aarvee-engineering-consultants-limited_97175.html</t>
        </is>
      </c>
      <c r="S213" s="15" t="n"/>
      <c r="T213" s="15" t="n"/>
      <c r="U213" s="15" t="n"/>
      <c r="V213" s="15" t="n"/>
      <c r="W213" s="16" t="n"/>
      <c r="X213" s="16" t="n"/>
      <c r="Y213" s="16" t="n"/>
      <c r="Z213" s="15" t="inlineStr">
        <is>
          <t>Dates not announced</t>
        </is>
      </c>
      <c r="AA213" s="15" t="inlineStr">
        <is>
          <t>SEBI nod 4-Feb-2026; dates not yet announced</t>
        </is>
      </c>
      <c r="AB213" s="18" t="inlineStr">
        <is>
          <t>https://www.chittorgarh.com/ipo/aarvee-engineering-consultants-ipo/2637/</t>
        </is>
      </c>
    </row>
    <row r="214" ht="15" customHeight="1" s="12">
      <c r="A214" s="14" t="n">
        <v>213</v>
      </c>
      <c r="B214" s="16" t="n">
        <v>45939</v>
      </c>
      <c r="C214" s="15" t="n">
        <v>2025</v>
      </c>
      <c r="D214" s="15" t="inlineStr">
        <is>
          <t>ALPINE TEXWORLD LIITED</t>
        </is>
      </c>
      <c r="E214" s="15" t="inlineStr">
        <is>
          <t>DRHP</t>
        </is>
      </c>
      <c r="F214" s="15" t="inlineStr">
        <is>
          <t>ALPINE TEXWORLD LIITED</t>
        </is>
      </c>
      <c r="G214" s="15" t="inlineStr">
        <is>
          <t>IPO launched</t>
        </is>
      </c>
      <c r="H214" s="15" t="inlineStr">
        <is>
          <t>Mainboard</t>
        </is>
      </c>
      <c r="I214" s="16" t="n">
        <v>46217</v>
      </c>
      <c r="J214" s="16" t="n">
        <v>46219</v>
      </c>
      <c r="K214" s="16" t="n">
        <v>46224</v>
      </c>
      <c r="L214" s="17" t="n">
        <v>126.25</v>
      </c>
      <c r="M214" s="17" t="n">
        <v>126.25</v>
      </c>
      <c r="N214" s="17" t="n">
        <v>0</v>
      </c>
      <c r="O214" s="15" t="inlineStr">
        <is>
          <t>Final issue (ipoplatform)</t>
        </is>
      </c>
      <c r="P214" s="15" t="n"/>
      <c r="Q214" s="18" t="inlineStr">
        <is>
          <t>https://www.sebi.gov.in/sebi_data/attachdocs/oct-2025/1759995019453_1000.pdf</t>
        </is>
      </c>
      <c r="R214" s="18" t="inlineStr">
        <is>
          <t>https://www.sebi.gov.in/filings/public-issues/oct-2025/alpine-texworld-liited_97177.html</t>
        </is>
      </c>
      <c r="S214" s="15" t="n"/>
      <c r="T214" s="15" t="inlineStr">
        <is>
          <t>Company name + date window</t>
        </is>
      </c>
      <c r="U214" s="15" t="inlineStr">
        <is>
          <t>Alpine Texworld Limited</t>
        </is>
      </c>
      <c r="V214" s="15" t="n"/>
      <c r="W214" s="15" t="n"/>
      <c r="X214" s="15" t="n"/>
      <c r="Y214" s="15" t="n"/>
      <c r="Z214" s="15" t="n"/>
      <c r="AA214" s="15" t="n"/>
      <c r="AB214" s="15" t="n"/>
    </row>
    <row r="215" ht="15" customHeight="1" s="12">
      <c r="A215" s="14" t="n">
        <v>214</v>
      </c>
      <c r="B215" s="16" t="n">
        <v>45939</v>
      </c>
      <c r="C215" s="15" t="n">
        <v>2025</v>
      </c>
      <c r="D215" s="15" t="inlineStr">
        <is>
          <t>PRIDE HOTELS LIMITED</t>
        </is>
      </c>
      <c r="E215" s="15" t="inlineStr">
        <is>
          <t>DRHP</t>
        </is>
      </c>
      <c r="F215" s="15" t="inlineStr">
        <is>
          <t>PRIDE HOTELS LIMITED</t>
        </is>
      </c>
      <c r="G215" s="15" t="inlineStr">
        <is>
          <t>Upcoming — IPO not yet opened</t>
        </is>
      </c>
      <c r="H215" s="15" t="n"/>
      <c r="I215" s="16" t="n"/>
      <c r="J215" s="16" t="n"/>
      <c r="K215" s="16" t="n"/>
      <c r="L215" s="17" t="n"/>
      <c r="M215" s="17" t="n"/>
      <c r="N215" s="17" t="n"/>
      <c r="O215" s="15" t="n"/>
      <c r="P215" s="15" t="n"/>
      <c r="Q215" s="18" t="inlineStr">
        <is>
          <t>https://www.sebi.gov.in/sebi_data/attachdocs/oct-2025/1759995019453_998.pdf</t>
        </is>
      </c>
      <c r="R215" s="18" t="inlineStr">
        <is>
          <t>https://www.sebi.gov.in/filings/public-issues/oct-2025/pride-hotels-limited_97173.html</t>
        </is>
      </c>
      <c r="S215" s="15" t="n"/>
      <c r="T215" s="15" t="n"/>
      <c r="U215" s="15" t="n"/>
      <c r="V215" s="15" t="n"/>
      <c r="W215" s="16" t="n"/>
      <c r="X215" s="16" t="n"/>
      <c r="Y215" s="16" t="n"/>
      <c r="Z215" s="15" t="inlineStr">
        <is>
          <t>Dates not announced</t>
        </is>
      </c>
      <c r="AA215" s="15" t="inlineStr">
        <is>
          <t>SEBI nod Jan-2026; company targets launch by Dec-2026; no dates</t>
        </is>
      </c>
      <c r="AB215" s="18" t="inlineStr">
        <is>
          <t>https://www.chittorgarh.com/ipo/pride-hotels-ipo/2683/</t>
        </is>
      </c>
    </row>
    <row r="216" ht="15" customHeight="1" s="12">
      <c r="A216" s="14" t="n">
        <v>215</v>
      </c>
      <c r="B216" s="16" t="n">
        <v>45939</v>
      </c>
      <c r="C216" s="15" t="n">
        <v>2025</v>
      </c>
      <c r="D216" s="15" t="inlineStr">
        <is>
          <t>SAI PARENTARALS LIMITED</t>
        </is>
      </c>
      <c r="E216" s="15" t="inlineStr">
        <is>
          <t>DRHP</t>
        </is>
      </c>
      <c r="F216" s="15" t="inlineStr">
        <is>
          <t>SAI PARENTARALS LIMITED</t>
        </is>
      </c>
      <c r="G216" s="15" t="inlineStr">
        <is>
          <t>IPO launched</t>
        </is>
      </c>
      <c r="H216" s="15" t="inlineStr">
        <is>
          <t>Mainboard</t>
        </is>
      </c>
      <c r="I216" s="16" t="n">
        <v>46105</v>
      </c>
      <c r="J216" s="16" t="n">
        <v>46108</v>
      </c>
      <c r="K216" s="16" t="n">
        <v>46114</v>
      </c>
      <c r="L216" s="17" t="n">
        <v>408.79</v>
      </c>
      <c r="M216" s="17" t="n">
        <v>285</v>
      </c>
      <c r="N216" s="17" t="n">
        <v>123.79</v>
      </c>
      <c r="O216" s="15" t="inlineStr">
        <is>
          <t>Final issue (ipoplatform)</t>
        </is>
      </c>
      <c r="P216" s="15" t="n"/>
      <c r="Q216" s="18" t="inlineStr">
        <is>
          <t>https://www.sebi.gov.in/sebi_data/attachdocs/oct-2025/1759995019453_997.pdf</t>
        </is>
      </c>
      <c r="R216" s="18" t="inlineStr">
        <is>
          <t>https://www.sebi.gov.in/filings/public-issues/oct-2025/sai-parentarals-limited_97171.html</t>
        </is>
      </c>
      <c r="S216" s="15" t="n"/>
      <c r="T216" s="15" t="inlineStr">
        <is>
          <t>Company name (close spelling) + date window</t>
        </is>
      </c>
      <c r="U216" s="15" t="inlineStr">
        <is>
          <t>Sai Parenteral's Limited</t>
        </is>
      </c>
      <c r="V216" s="15" t="n"/>
      <c r="W216" s="15" t="n"/>
      <c r="X216" s="15" t="n"/>
      <c r="Y216" s="15" t="n"/>
      <c r="Z216" s="15" t="n"/>
      <c r="AA216" s="15" t="n"/>
      <c r="AB216" s="15" t="n"/>
    </row>
    <row r="217" ht="15" customHeight="1" s="12">
      <c r="A217" s="14" t="n">
        <v>216</v>
      </c>
      <c r="B217" s="16" t="n">
        <v>45939</v>
      </c>
      <c r="C217" s="15" t="n">
        <v>2025</v>
      </c>
      <c r="D217" s="15" t="inlineStr">
        <is>
          <t>CJ Darcl Logistics Limited</t>
        </is>
      </c>
      <c r="E217" s="15" t="inlineStr">
        <is>
          <t>DRHP</t>
        </is>
      </c>
      <c r="F217" s="15" t="inlineStr">
        <is>
          <t>CJ Darcl Logistics Limited - DRHP</t>
        </is>
      </c>
      <c r="G217" s="15" t="inlineStr">
        <is>
          <t>Upcoming — IPO not yet opened</t>
        </is>
      </c>
      <c r="H217" s="15" t="n"/>
      <c r="I217" s="16" t="n"/>
      <c r="J217" s="16" t="n"/>
      <c r="K217" s="16" t="n"/>
      <c r="L217" s="17" t="n"/>
      <c r="M217" s="17" t="n"/>
      <c r="N217" s="17" t="n"/>
      <c r="O217" s="15" t="n"/>
      <c r="P217" s="15" t="n"/>
      <c r="Q217" s="18" t="inlineStr">
        <is>
          <t>https://www.sebi.gov.in/sebi_data/attachdocs/oct-2025/1759993428893.pdf</t>
        </is>
      </c>
      <c r="R217" s="18" t="inlineStr">
        <is>
          <t>https://www.sebi.gov.in/filings/public-issues/oct-2025/cj-darcl-logistics-limited-drhp_97166.html</t>
        </is>
      </c>
      <c r="S217" s="18" t="inlineStr">
        <is>
          <t>https://www.sebi.gov.in/sebi_data/commondocs/sep-2026/CJ%20Darcl%20-%20Addendum%20to%20DRHP%20-%20Final%20Layout_p.pdf</t>
        </is>
      </c>
      <c r="T217" s="15" t="n"/>
      <c r="U217" s="15" t="n"/>
      <c r="V217" s="15" t="n"/>
      <c r="W217" s="16" t="n"/>
      <c r="X217" s="16" t="n"/>
      <c r="Y217" s="16" t="n"/>
      <c r="Z217" s="15" t="inlineStr">
        <is>
          <t>Dates not announced</t>
        </is>
      </c>
      <c r="AA217" s="15" t="inlineStr">
        <is>
          <t>SEBI nod 14-Jan-2026; dates not yet announced</t>
        </is>
      </c>
      <c r="AB217" s="18" t="inlineStr">
        <is>
          <t>https://www.chittorgarh.com/ipo/cj-darcl-logistics-ipo/2680/</t>
        </is>
      </c>
    </row>
    <row r="218" ht="15" customHeight="1" s="12">
      <c r="A218" s="14" t="n">
        <v>217</v>
      </c>
      <c r="B218" s="16" t="n">
        <v>45939</v>
      </c>
      <c r="C218" s="15" t="n">
        <v>2025</v>
      </c>
      <c r="D218" s="15" t="inlineStr">
        <is>
          <t>Mann Fleet Partners Limited</t>
        </is>
      </c>
      <c r="E218" s="15" t="inlineStr">
        <is>
          <t>DRHP</t>
        </is>
      </c>
      <c r="F218" s="15" t="inlineStr">
        <is>
          <t>Mann Fleet Partners Limited - DRHP</t>
        </is>
      </c>
      <c r="G218" s="15" t="inlineStr">
        <is>
          <t>Upcoming — IPO not yet opened</t>
        </is>
      </c>
      <c r="H218" s="15" t="n"/>
      <c r="I218" s="16" t="n"/>
      <c r="J218" s="16" t="n"/>
      <c r="K218" s="16" t="n"/>
      <c r="L218" s="17" t="n"/>
      <c r="M218" s="17" t="n"/>
      <c r="N218" s="17" t="n"/>
      <c r="O218" s="15" t="n"/>
      <c r="P218" s="15" t="n"/>
      <c r="Q218" s="18" t="inlineStr">
        <is>
          <t>https://www.sebi.gov.in/sebi_data/attachdocs/oct-2025/1759988958816.pdf</t>
        </is>
      </c>
      <c r="R218" s="18" t="inlineStr">
        <is>
          <t>https://www.sebi.gov.in/filings/public-issues/oct-2025/mann-fleet-partners-limited-drhp_97164.html</t>
        </is>
      </c>
      <c r="S218" s="15" t="n"/>
      <c r="T218" s="15" t="n"/>
      <c r="U218" s="15" t="n"/>
      <c r="V218" s="15" t="n"/>
      <c r="W218" s="16" t="n"/>
      <c r="X218" s="16" t="n"/>
      <c r="Y218" s="16" t="n"/>
      <c r="Z218" s="15" t="inlineStr">
        <is>
          <t>Dates not announced</t>
        </is>
      </c>
      <c r="AA218" s="15" t="inlineStr">
        <is>
          <t>SEBI nod 8-Sep-2026; earlier DRHP withdrawn Mar-2026; dates not announced</t>
        </is>
      </c>
      <c r="AB218" s="18" t="inlineStr">
        <is>
          <t>https://www.chittorgarh.com/ipo/mann-fleet-partners-ipo/3166/</t>
        </is>
      </c>
    </row>
    <row r="219" ht="15" customHeight="1" s="12">
      <c r="A219" s="14" t="n">
        <v>218</v>
      </c>
      <c r="B219" s="16" t="n">
        <v>45939</v>
      </c>
      <c r="C219" s="15" t="n">
        <v>2025</v>
      </c>
      <c r="D219" s="15" t="inlineStr">
        <is>
          <t>Runwal Developers Limited</t>
        </is>
      </c>
      <c r="E219" s="15" t="inlineStr">
        <is>
          <t>DRHP</t>
        </is>
      </c>
      <c r="F219" s="15" t="inlineStr">
        <is>
          <t>Runwal Developers Limited - DRHP</t>
        </is>
      </c>
      <c r="G219" s="15" t="inlineStr">
        <is>
          <t>Upcoming — IPO not yet opened</t>
        </is>
      </c>
      <c r="H219" s="15" t="n"/>
      <c r="I219" s="16" t="n"/>
      <c r="J219" s="16" t="n"/>
      <c r="K219" s="16" t="n"/>
      <c r="L219" s="17" t="n"/>
      <c r="M219" s="17" t="n"/>
      <c r="N219" s="17" t="n"/>
      <c r="O219" s="15" t="n"/>
      <c r="P219" s="15" t="n"/>
      <c r="Q219" s="18" t="inlineStr">
        <is>
          <t>https://www.sebi.gov.in/sebi_data/attachdocs/oct-2025/1759988098283.pdf</t>
        </is>
      </c>
      <c r="R219" s="18" t="inlineStr">
        <is>
          <t>https://www.sebi.gov.in/filings/public-issues/oct-2025/runwal-developers-limited-drhp_97161.html</t>
        </is>
      </c>
      <c r="S219" s="15" t="n"/>
      <c r="T219" s="15" t="n"/>
      <c r="U219" s="15" t="n"/>
      <c r="V219" s="15" t="n"/>
      <c r="W219" s="16" t="n"/>
      <c r="X219" s="16" t="n"/>
      <c r="Y219" s="16" t="n"/>
      <c r="Z219" s="15" t="inlineStr">
        <is>
          <t>Dates not announced</t>
        </is>
      </c>
      <c r="AA219" s="15" t="inlineStr">
        <is>
          <t>SEBI nod 13-Jan-2026; Runwal Enterprises Sep-2026 IPO is a different entity</t>
        </is>
      </c>
      <c r="AB219" s="18" t="inlineStr">
        <is>
          <t>https://www.chittorgarh.com/ipo/runwal-developers-ipo/2690/</t>
        </is>
      </c>
    </row>
    <row r="220" ht="15" customHeight="1" s="12">
      <c r="A220" s="14" t="n">
        <v>219</v>
      </c>
      <c r="B220" s="16" t="n">
        <v>45939</v>
      </c>
      <c r="C220" s="15" t="n">
        <v>2025</v>
      </c>
      <c r="D220" s="15" t="inlineStr">
        <is>
          <t>Lalbaba Engineering Limited</t>
        </is>
      </c>
      <c r="E220" s="15" t="inlineStr">
        <is>
          <t>DRHP</t>
        </is>
      </c>
      <c r="F220" s="15" t="inlineStr">
        <is>
          <t>Lalbaba Engineering Limited DRHP</t>
        </is>
      </c>
      <c r="G220" s="15" t="inlineStr">
        <is>
          <t>Upcoming — IPO not yet opened</t>
        </is>
      </c>
      <c r="H220" s="15" t="n"/>
      <c r="I220" s="16" t="n"/>
      <c r="J220" s="16" t="n"/>
      <c r="K220" s="16" t="n"/>
      <c r="L220" s="17" t="n">
        <v>1000</v>
      </c>
      <c r="M220" s="17" t="n">
        <v>630</v>
      </c>
      <c r="N220" s="17" t="n">
        <v>370</v>
      </c>
      <c r="O220" s="15" t="inlineStr">
        <is>
          <t>DRHP cover</t>
        </is>
      </c>
      <c r="P220" s="15" t="inlineStr">
        <is>
          <t>Fresh issue up to ₹630.00 Cr + OFS up to ₹370.00 Cr</t>
        </is>
      </c>
      <c r="Q220" s="18" t="inlineStr">
        <is>
          <t>https://www.sebi.gov.in/sebi_data/attachdocs/oct-2025/1759985997171.pdf</t>
        </is>
      </c>
      <c r="R220" s="18" t="inlineStr">
        <is>
          <t>https://www.sebi.gov.in/filings/public-issues/oct-2025/lalbaba-engineering-limited-drhp_97160.html</t>
        </is>
      </c>
      <c r="S220" s="15" t="n"/>
      <c r="T220" s="15" t="n"/>
      <c r="U220" s="15" t="n"/>
      <c r="V220" s="15" t="n"/>
      <c r="W220" s="16" t="n"/>
      <c r="X220" s="16" t="n"/>
      <c r="Y220" s="16" t="n"/>
      <c r="Z220" s="15" t="inlineStr">
        <is>
          <t>Dates not announced</t>
        </is>
      </c>
      <c r="AA220" s="15" t="inlineStr">
        <is>
          <t>SEBI nod 13-Jan-2026; dates not yet announced</t>
        </is>
      </c>
      <c r="AB220" s="18" t="inlineStr">
        <is>
          <t>https://www.chittorgarh.com/ipo/lalbaba-engineering-ipo/2660/</t>
        </is>
      </c>
    </row>
    <row r="221" ht="15" customHeight="1" s="12">
      <c r="A221" s="14" t="n">
        <v>220</v>
      </c>
      <c r="B221" s="16" t="n">
        <v>45939</v>
      </c>
      <c r="C221" s="15" t="n">
        <v>2025</v>
      </c>
      <c r="D221" s="15" t="inlineStr">
        <is>
          <t>Aastha Spintex Limited</t>
        </is>
      </c>
      <c r="E221" s="15" t="inlineStr">
        <is>
          <t>DRHP</t>
        </is>
      </c>
      <c r="F221" s="15" t="inlineStr">
        <is>
          <t>Aastha Spintex Limited - DRHP</t>
        </is>
      </c>
      <c r="G221" s="15" t="inlineStr">
        <is>
          <t>IPO launched</t>
        </is>
      </c>
      <c r="H221" s="15" t="inlineStr">
        <is>
          <t>Mainboard</t>
        </is>
      </c>
      <c r="I221" s="16" t="n">
        <v>46202</v>
      </c>
      <c r="J221" s="16" t="n">
        <v>46204</v>
      </c>
      <c r="K221" s="16" t="n">
        <v>46209</v>
      </c>
      <c r="L221" s="17" t="n">
        <v>170</v>
      </c>
      <c r="M221" s="17" t="n">
        <v>170</v>
      </c>
      <c r="N221" s="17" t="n">
        <v>0</v>
      </c>
      <c r="O221" s="15" t="inlineStr">
        <is>
          <t>Final issue (ipoplatform)</t>
        </is>
      </c>
      <c r="P221" s="15" t="n"/>
      <c r="Q221" s="18" t="inlineStr">
        <is>
          <t>https://www.sebi.gov.in/sebi_data/attachdocs/oct-2025/1759982238782.pdf</t>
        </is>
      </c>
      <c r="R221" s="18" t="inlineStr">
        <is>
          <t>https://www.sebi.gov.in/filings/public-issues/oct-2025/aastha-spintex-limited-drhp_97148.html</t>
        </is>
      </c>
      <c r="S221" s="15" t="n"/>
      <c r="T221" s="15" t="inlineStr">
        <is>
          <t>Company name + date window</t>
        </is>
      </c>
      <c r="U221" s="15" t="inlineStr">
        <is>
          <t>Aastha Spintex Limited</t>
        </is>
      </c>
      <c r="V221" s="15" t="n"/>
      <c r="W221" s="15" t="n"/>
      <c r="X221" s="15" t="n"/>
      <c r="Y221" s="15" t="n"/>
      <c r="Z221" s="15" t="n"/>
      <c r="AA221" s="15" t="n"/>
      <c r="AB221" s="15" t="n"/>
    </row>
    <row r="222" ht="15" customHeight="1" s="12">
      <c r="A222" s="14" t="n">
        <v>221</v>
      </c>
      <c r="B222" s="16" t="n">
        <v>45938</v>
      </c>
      <c r="C222" s="15" t="n">
        <v>2025</v>
      </c>
      <c r="D222" s="15" t="inlineStr">
        <is>
          <t>HD Fire Protect Limited</t>
        </is>
      </c>
      <c r="E222" s="15" t="inlineStr">
        <is>
          <t>DRHP</t>
        </is>
      </c>
      <c r="F222" s="15" t="inlineStr">
        <is>
          <t>HD Fire Protect Limited DRHP</t>
        </is>
      </c>
      <c r="G222" s="15" t="inlineStr">
        <is>
          <t>Upcoming — IPO not yet opened</t>
        </is>
      </c>
      <c r="H222" s="15" t="n"/>
      <c r="I222" s="16" t="n"/>
      <c r="J222" s="16" t="n"/>
      <c r="K222" s="16" t="n"/>
      <c r="L222" s="17" t="n"/>
      <c r="M222" s="17" t="n"/>
      <c r="N222" s="17" t="n"/>
      <c r="O222" s="15" t="inlineStr">
        <is>
          <t>DRHP cover</t>
        </is>
      </c>
      <c r="P222" s="15" t="inlineStr">
        <is>
          <t>OFS up to 26,284,500 sh</t>
        </is>
      </c>
      <c r="Q222" s="18" t="inlineStr">
        <is>
          <t>https://www.sebi.gov.in/sebi_data/attachdocs/oct-2025/1759925748914.pdf</t>
        </is>
      </c>
      <c r="R222" s="18" t="inlineStr">
        <is>
          <t>https://www.sebi.gov.in/filings/public-issues/oct-2025/hd-fire-protect-limited-drhp_97144.html</t>
        </is>
      </c>
      <c r="S222" s="15" t="n"/>
      <c r="T222" s="15" t="n"/>
      <c r="U222" s="15" t="n"/>
      <c r="V222" s="15" t="n"/>
      <c r="W222" s="16" t="n"/>
      <c r="X222" s="16" t="n"/>
      <c r="Y222" s="16" t="n"/>
      <c r="Z222" s="15" t="inlineStr">
        <is>
          <t>Dates not announced</t>
        </is>
      </c>
      <c r="AA222" s="15" t="inlineStr">
        <is>
          <t>SEBI nod 29-Jan-2026; reportedly planning Oct-2026 launch; dates not announced</t>
        </is>
      </c>
      <c r="AB222" s="18" t="inlineStr">
        <is>
          <t>https://www.chittorgarh.com/ipo/hd-fire-protect-ipo/2628/</t>
        </is>
      </c>
    </row>
    <row r="223" ht="15" customHeight="1" s="12">
      <c r="A223" s="14" t="n">
        <v>222</v>
      </c>
      <c r="B223" s="16" t="n">
        <v>45938</v>
      </c>
      <c r="C223" s="15" t="n">
        <v>2025</v>
      </c>
      <c r="D223" s="15" t="inlineStr">
        <is>
          <t>BONBLOC TECHNOLOGIES LIMITED</t>
        </is>
      </c>
      <c r="E223" s="15" t="inlineStr">
        <is>
          <t>DRHP</t>
        </is>
      </c>
      <c r="F223" s="15" t="inlineStr">
        <is>
          <t>BONBLOC TECHNOLOGIES LIMITED</t>
        </is>
      </c>
      <c r="G223" s="15" t="inlineStr">
        <is>
          <t>Upcoming — IPO not yet opened</t>
        </is>
      </c>
      <c r="H223" s="15" t="n"/>
      <c r="I223" s="16" t="n"/>
      <c r="J223" s="16" t="n"/>
      <c r="K223" s="16" t="n"/>
      <c r="L223" s="17" t="n"/>
      <c r="M223" s="17" t="n">
        <v>230</v>
      </c>
      <c r="N223" s="17" t="n"/>
      <c r="O223" s="15" t="inlineStr">
        <is>
          <t>DRHP cover</t>
        </is>
      </c>
      <c r="P223" s="15" t="inlineStr">
        <is>
          <t>Fresh issue up to ₹230.00 Cr + OFS up to 30,000,000 sh</t>
        </is>
      </c>
      <c r="Q223" s="18" t="inlineStr">
        <is>
          <t>https://www.sebi.gov.in/sebi_data/attachdocs/oct-2025/1759923004723_994.pdf</t>
        </is>
      </c>
      <c r="R223" s="18" t="inlineStr">
        <is>
          <t>https://www.sebi.gov.in/filings/public-issues/oct-2025/bonbloc-technologies-limited_97141.html</t>
        </is>
      </c>
      <c r="S223" s="15" t="n"/>
      <c r="T223" s="15" t="n"/>
      <c r="U223" s="15" t="n"/>
      <c r="V223" s="15" t="n"/>
      <c r="W223" s="16" t="n"/>
      <c r="X223" s="16" t="n"/>
      <c r="Y223" s="16" t="n"/>
      <c r="Z223" s="15" t="inlineStr">
        <is>
          <t>Dates not announced</t>
        </is>
      </c>
      <c r="AA223" s="15" t="inlineStr">
        <is>
          <t>SEBI nod 5-Mar-2026; dates not yet announced</t>
        </is>
      </c>
      <c r="AB223" s="18" t="inlineStr">
        <is>
          <t>https://www.chittorgarh.com/ipo/bonbloc-technologies-ipo/2645/</t>
        </is>
      </c>
    </row>
    <row r="224" ht="15" customHeight="1" s="12">
      <c r="A224" s="14" t="n">
        <v>223</v>
      </c>
      <c r="B224" s="16" t="n">
        <v>45938</v>
      </c>
      <c r="C224" s="15" t="n">
        <v>2025</v>
      </c>
      <c r="D224" s="15" t="inlineStr">
        <is>
          <t>Hexagon Nutrition Limited</t>
        </is>
      </c>
      <c r="E224" s="15" t="inlineStr">
        <is>
          <t>DRHP</t>
        </is>
      </c>
      <c r="F224" s="15" t="inlineStr">
        <is>
          <t>Hexagon Nutrition Limited</t>
        </is>
      </c>
      <c r="G224" s="15" t="inlineStr">
        <is>
          <t>IPO launched</t>
        </is>
      </c>
      <c r="H224" s="15" t="inlineStr">
        <is>
          <t>Mainboard</t>
        </is>
      </c>
      <c r="I224" s="16" t="n">
        <v>46178</v>
      </c>
      <c r="J224" s="16" t="n">
        <v>46182</v>
      </c>
      <c r="K224" s="16" t="n">
        <v>46185</v>
      </c>
      <c r="L224" s="17" t="n">
        <v>138.87</v>
      </c>
      <c r="M224" s="17" t="n"/>
      <c r="N224" s="17" t="n">
        <v>138.87</v>
      </c>
      <c r="O224" s="15" t="inlineStr">
        <is>
          <t>Final issue (ipoplatform)</t>
        </is>
      </c>
      <c r="P224" s="15" t="n"/>
      <c r="Q224" s="18" t="inlineStr">
        <is>
          <t>https://www.sebi.gov.in/sebi_data/attachdocs/oct-2025/1759923004723_995.pdf</t>
        </is>
      </c>
      <c r="R224" s="18" t="inlineStr">
        <is>
          <t>https://www.sebi.gov.in/filings/public-issues/oct-2025/hexagon-nutrition-limited_97143.html</t>
        </is>
      </c>
      <c r="S224" s="15" t="n"/>
      <c r="T224" s="15" t="inlineStr">
        <is>
          <t>Company name + date window</t>
        </is>
      </c>
      <c r="U224" s="15" t="inlineStr">
        <is>
          <t>Hexagon Nutrition Limited</t>
        </is>
      </c>
      <c r="V224" s="15" t="n"/>
      <c r="W224" s="15" t="n"/>
      <c r="X224" s="15" t="n"/>
      <c r="Y224" s="15" t="n"/>
      <c r="Z224" s="15" t="n"/>
      <c r="AA224" s="15" t="n"/>
      <c r="AB224" s="15" t="n"/>
    </row>
    <row r="225" ht="15" customHeight="1" s="12">
      <c r="A225" s="14" t="n">
        <v>224</v>
      </c>
      <c r="B225" s="16" t="n">
        <v>45938</v>
      </c>
      <c r="C225" s="15" t="n">
        <v>2025</v>
      </c>
      <c r="D225" s="15" t="inlineStr">
        <is>
          <t>RKCPL Limited</t>
        </is>
      </c>
      <c r="E225" s="15" t="inlineStr">
        <is>
          <t>DRHP</t>
        </is>
      </c>
      <c r="F225" s="15" t="inlineStr">
        <is>
          <t>RKCPL Limited - DRHP</t>
        </is>
      </c>
      <c r="G225" s="15" t="inlineStr">
        <is>
          <t>Upcoming — IPO not yet opened</t>
        </is>
      </c>
      <c r="H225" s="15" t="n"/>
      <c r="I225" s="16" t="n"/>
      <c r="J225" s="16" t="n"/>
      <c r="K225" s="16" t="n"/>
      <c r="L225" s="17" t="n"/>
      <c r="M225" s="17" t="n"/>
      <c r="N225" s="17" t="n"/>
      <c r="O225" s="15" t="n"/>
      <c r="P225" s="15" t="n"/>
      <c r="Q225" s="18" t="inlineStr">
        <is>
          <t>https://www.sebi.gov.in/sebi_data/attachdocs/oct-2025/1759921908126.pdf</t>
        </is>
      </c>
      <c r="R225" s="18" t="inlineStr">
        <is>
          <t>https://www.sebi.gov.in/filings/public-issues/oct-2025/rkcpl-limited-drhp_97140.html</t>
        </is>
      </c>
      <c r="S225" s="15" t="n"/>
      <c r="T225" s="15" t="n"/>
      <c r="U225" s="15" t="n"/>
      <c r="V225" s="15" t="n"/>
      <c r="W225" s="16" t="n"/>
      <c r="X225" s="16" t="n"/>
      <c r="Y225" s="16" t="n"/>
      <c r="Z225" s="15" t="inlineStr">
        <is>
          <t>Dates not announced</t>
        </is>
      </c>
      <c r="AA225" s="15" t="inlineStr">
        <is>
          <t>SEBI nod 31-Dec-2025; Rs1,250cr; dates not yet announced</t>
        </is>
      </c>
      <c r="AB225" s="18" t="inlineStr">
        <is>
          <t>https://www.chittorgarh.com/ipo/rkcpl-ipo/2633/</t>
        </is>
      </c>
    </row>
    <row r="226" ht="15" customHeight="1" s="12">
      <c r="A226" s="14" t="n">
        <v>225</v>
      </c>
      <c r="B226" s="16" t="n">
        <v>45938</v>
      </c>
      <c r="C226" s="15" t="n">
        <v>2025</v>
      </c>
      <c r="D226" s="15" t="inlineStr">
        <is>
          <t>Deon Energy Limited</t>
        </is>
      </c>
      <c r="E226" s="15" t="inlineStr">
        <is>
          <t>DRHP</t>
        </is>
      </c>
      <c r="F226" s="15" t="inlineStr">
        <is>
          <t>Deon Energy Limited - DRHP</t>
        </is>
      </c>
      <c r="G226" s="15" t="inlineStr">
        <is>
          <t>Upcoming — IPO not yet opened</t>
        </is>
      </c>
      <c r="H226" s="15" t="n"/>
      <c r="I226" s="16" t="n"/>
      <c r="J226" s="16" t="n"/>
      <c r="K226" s="16" t="n"/>
      <c r="L226" s="17" t="n"/>
      <c r="M226" s="17" t="n"/>
      <c r="N226" s="17" t="n"/>
      <c r="O226" s="15" t="n"/>
      <c r="P226" s="15" t="n"/>
      <c r="Q226" s="18" t="inlineStr">
        <is>
          <t>https://www.sebi.gov.in/sebi_data/attachdocs/oct-2025/1759921018406.pdf</t>
        </is>
      </c>
      <c r="R226" s="18" t="inlineStr">
        <is>
          <t>https://www.sebi.gov.in/filings/public-issues/oct-2025/deon-energy-limited-drhp_97139.html</t>
        </is>
      </c>
      <c r="S226" s="15" t="n"/>
      <c r="T226" s="15" t="n"/>
      <c r="U226" s="15" t="n"/>
      <c r="V226" s="15" t="n"/>
      <c r="W226" s="16" t="n"/>
      <c r="X226" s="16" t="n"/>
      <c r="Y226" s="16" t="n"/>
      <c r="Z226" s="15" t="inlineStr">
        <is>
          <t>Withdrawn / approval lapsed</t>
        </is>
      </c>
      <c r="AA226" s="15" t="inlineStr">
        <is>
          <t>Offer document withdrawn from SEBI on 8-Jan-2026</t>
        </is>
      </c>
      <c r="AB226" s="18" t="inlineStr">
        <is>
          <t>https://www.chittorgarh.com/ipo/deon-energy-ipo/2642/</t>
        </is>
      </c>
    </row>
    <row r="227" ht="15" customHeight="1" s="12">
      <c r="A227" s="14" t="n">
        <v>226</v>
      </c>
      <c r="B227" s="16" t="n">
        <v>45938</v>
      </c>
      <c r="C227" s="15" t="n">
        <v>2025</v>
      </c>
      <c r="D227" s="15" t="inlineStr">
        <is>
          <t>Commtel Networks Limited</t>
        </is>
      </c>
      <c r="E227" s="15" t="inlineStr">
        <is>
          <t>DRHP</t>
        </is>
      </c>
      <c r="F227" s="15" t="inlineStr">
        <is>
          <t>Commtel Networks Limited - DRHP</t>
        </is>
      </c>
      <c r="G227" s="15" t="inlineStr">
        <is>
          <t>Upcoming — IPO not yet opened</t>
        </is>
      </c>
      <c r="H227" s="15" t="n"/>
      <c r="I227" s="16" t="n"/>
      <c r="J227" s="16" t="n"/>
      <c r="K227" s="16" t="n"/>
      <c r="L227" s="17" t="n"/>
      <c r="M227" s="17" t="n"/>
      <c r="N227" s="17" t="n"/>
      <c r="O227" s="15" t="n"/>
      <c r="P227" s="15" t="n"/>
      <c r="Q227" s="18" t="inlineStr">
        <is>
          <t>https://www.sebi.gov.in/sebi_data/attachdocs/oct-2025/1759918220979.pdf</t>
        </is>
      </c>
      <c r="R227" s="18" t="inlineStr">
        <is>
          <t>https://www.sebi.gov.in/filings/public-issues/oct-2025/commtel-networks-limited-drhp_97138.html</t>
        </is>
      </c>
      <c r="S227" s="15" t="n"/>
      <c r="T227" s="15" t="n"/>
      <c r="U227" s="15" t="n"/>
      <c r="V227" s="15" t="n"/>
      <c r="W227" s="16" t="n"/>
      <c r="X227" s="16" t="n"/>
      <c r="Y227" s="16" t="n"/>
      <c r="Z227" s="15" t="inlineStr">
        <is>
          <t>Dates not announced</t>
        </is>
      </c>
      <c r="AA227" s="15" t="inlineStr">
        <is>
          <t>SEBI nod 22-Jan-2026; dates not yet announced</t>
        </is>
      </c>
      <c r="AB227" s="18" t="inlineStr">
        <is>
          <t>https://www.chittorgarh.com/ipo/commtel-networks-ipo/2656/</t>
        </is>
      </c>
    </row>
    <row r="228" ht="15" customHeight="1" s="12">
      <c r="A228" s="14" t="n">
        <v>227</v>
      </c>
      <c r="B228" s="16" t="n">
        <v>45938</v>
      </c>
      <c r="C228" s="15" t="n">
        <v>2025</v>
      </c>
      <c r="D228" s="15" t="inlineStr">
        <is>
          <t>APPL Containers Limited</t>
        </is>
      </c>
      <c r="E228" s="15" t="inlineStr">
        <is>
          <t>DRHP</t>
        </is>
      </c>
      <c r="F228" s="15" t="inlineStr">
        <is>
          <t>APPL Containers Limited - DRHP</t>
        </is>
      </c>
      <c r="G228" s="15" t="inlineStr">
        <is>
          <t>Upcoming — IPO not yet opened</t>
        </is>
      </c>
      <c r="H228" s="15" t="n"/>
      <c r="I228" s="16" t="n"/>
      <c r="J228" s="16" t="n"/>
      <c r="K228" s="16" t="n"/>
      <c r="L228" s="17" t="n"/>
      <c r="M228" s="17" t="n"/>
      <c r="N228" s="17" t="n"/>
      <c r="O228" s="15" t="n"/>
      <c r="P228" s="15" t="n"/>
      <c r="Q228" s="18" t="inlineStr">
        <is>
          <t>https://www.sebi.gov.in/sebi_data/attachdocs/oct-2025/1759918166128.pdf</t>
        </is>
      </c>
      <c r="R228" s="18" t="inlineStr">
        <is>
          <t>https://www.sebi.gov.in/filings/public-issues/oct-2025/appl-containers-limited-drhp_97137.html</t>
        </is>
      </c>
      <c r="S228" s="15" t="n"/>
      <c r="T228" s="15" t="n"/>
      <c r="U228" s="15" t="n"/>
      <c r="V228" s="15" t="n"/>
      <c r="W228" s="16" t="n"/>
      <c r="X228" s="16" t="n"/>
      <c r="Y228" s="16" t="n"/>
      <c r="Z228" s="15" t="inlineStr">
        <is>
          <t>Dates not announced</t>
        </is>
      </c>
      <c r="AA228" s="15" t="inlineStr">
        <is>
          <t>SEBI nod 20-Feb-2026; dates not yet announced</t>
        </is>
      </c>
      <c r="AB228" s="18" t="inlineStr">
        <is>
          <t>https://www.chittorgarh.com/ipo/appl-containers-ipo/2643/</t>
        </is>
      </c>
    </row>
    <row r="229" ht="15" customHeight="1" s="12">
      <c r="A229" s="14" t="n">
        <v>228</v>
      </c>
      <c r="B229" s="16" t="n">
        <v>45938</v>
      </c>
      <c r="C229" s="15" t="n">
        <v>2025</v>
      </c>
      <c r="D229" s="15" t="inlineStr">
        <is>
          <t>SHAH INVESTOR'S HOME LIMITED</t>
        </is>
      </c>
      <c r="E229" s="15" t="inlineStr">
        <is>
          <t>DRHP</t>
        </is>
      </c>
      <c r="F229" s="15" t="inlineStr">
        <is>
          <t>SHAH INVESTOR'S HOME LIMITED - DRHP</t>
        </is>
      </c>
      <c r="G229" s="15" t="inlineStr">
        <is>
          <t>Upcoming — IPO not yet opened</t>
        </is>
      </c>
      <c r="H229" s="15" t="n"/>
      <c r="I229" s="16" t="n"/>
      <c r="J229" s="16" t="n"/>
      <c r="K229" s="16" t="n"/>
      <c r="L229" s="17" t="n"/>
      <c r="M229" s="17" t="n"/>
      <c r="N229" s="17" t="n"/>
      <c r="O229" s="15" t="n"/>
      <c r="P229" s="15" t="n"/>
      <c r="Q229" s="18" t="inlineStr">
        <is>
          <t>https://www.sebi.gov.in/sebi_data/attachdocs/oct-2025/1759918079758.pdf</t>
        </is>
      </c>
      <c r="R229" s="18" t="inlineStr">
        <is>
          <t>https://www.sebi.gov.in/filings/public-issues/oct-2025/shah-investor-s-home-limited-drhp_97135.html</t>
        </is>
      </c>
      <c r="S229" s="15" t="n"/>
      <c r="T229" s="15" t="n"/>
      <c r="U229" s="15" t="n"/>
      <c r="V229" s="15" t="n"/>
      <c r="W229" s="19" t="n">
        <v>46293</v>
      </c>
      <c r="X229" s="19" t="n">
        <v>46295</v>
      </c>
      <c r="Y229" s="19" t="n">
        <v>46301</v>
      </c>
      <c r="Z229" s="20" t="inlineStr">
        <is>
          <t>Issue opened</t>
        </is>
      </c>
      <c r="AA229" s="15" t="inlineStr">
        <is>
          <t>Matched on chittorgarh.com</t>
        </is>
      </c>
      <c r="AB229" s="18" t="inlineStr">
        <is>
          <t>https://www.chittorgarh.com/ipo/shah-investors-home-ipo/2657/</t>
        </is>
      </c>
    </row>
    <row r="230" ht="15" customHeight="1" s="12">
      <c r="A230" s="14" t="n">
        <v>229</v>
      </c>
      <c r="B230" s="16" t="n">
        <v>45938</v>
      </c>
      <c r="C230" s="15" t="n">
        <v>2025</v>
      </c>
      <c r="D230" s="15" t="inlineStr">
        <is>
          <t>Advit Jewels Limited</t>
        </is>
      </c>
      <c r="E230" s="15" t="inlineStr">
        <is>
          <t>DRHP</t>
        </is>
      </c>
      <c r="F230" s="15" t="inlineStr">
        <is>
          <t>Advit Jewels Limited</t>
        </is>
      </c>
      <c r="G230" s="15" t="inlineStr">
        <is>
          <t>IPO launched</t>
        </is>
      </c>
      <c r="H230" s="15" t="inlineStr">
        <is>
          <t>Mainboard</t>
        </is>
      </c>
      <c r="I230" s="16" t="n">
        <v>46196</v>
      </c>
      <c r="J230" s="16" t="n">
        <v>46198</v>
      </c>
      <c r="K230" s="16" t="n">
        <v>46204</v>
      </c>
      <c r="L230" s="17" t="n">
        <v>165.16</v>
      </c>
      <c r="M230" s="17" t="n">
        <v>165.16</v>
      </c>
      <c r="N230" s="17" t="n">
        <v>0</v>
      </c>
      <c r="O230" s="15" t="inlineStr">
        <is>
          <t>Final issue (ipoplatform)</t>
        </is>
      </c>
      <c r="P230" s="15" t="n"/>
      <c r="Q230" s="18" t="inlineStr">
        <is>
          <t>https://www.sebi.gov.in/sebi_data/attachdocs/oct-2025/1759908607630_993.pdf</t>
        </is>
      </c>
      <c r="R230" s="18" t="inlineStr">
        <is>
          <t>https://www.sebi.gov.in/filings/public-issues/oct-2025/advit-jewels-limited_97123.html</t>
        </is>
      </c>
      <c r="S230" s="15" t="n"/>
      <c r="T230" s="15" t="inlineStr">
        <is>
          <t>Company name + date window</t>
        </is>
      </c>
      <c r="U230" s="15" t="inlineStr">
        <is>
          <t>Advit Jewels Limited</t>
        </is>
      </c>
      <c r="V230" s="15" t="n"/>
      <c r="W230" s="15" t="n"/>
      <c r="X230" s="15" t="n"/>
      <c r="Y230" s="15" t="n"/>
      <c r="Z230" s="15" t="n"/>
      <c r="AA230" s="15" t="n"/>
      <c r="AB230" s="15" t="n"/>
    </row>
    <row r="231" ht="15" customHeight="1" s="12">
      <c r="A231" s="14" t="n">
        <v>230</v>
      </c>
      <c r="B231" s="16" t="n">
        <v>45938</v>
      </c>
      <c r="C231" s="15" t="n">
        <v>2025</v>
      </c>
      <c r="D231" s="15" t="inlineStr">
        <is>
          <t>Tempsens Instruments India Limited</t>
        </is>
      </c>
      <c r="E231" s="15" t="inlineStr">
        <is>
          <t>DRHP</t>
        </is>
      </c>
      <c r="F231" s="15" t="inlineStr">
        <is>
          <t>Tempsens Instruments India Limited</t>
        </is>
      </c>
      <c r="G231" s="15" t="inlineStr">
        <is>
          <t>IPO launched</t>
        </is>
      </c>
      <c r="H231" s="15" t="inlineStr">
        <is>
          <t>Mainboard</t>
        </is>
      </c>
      <c r="I231" s="16" t="n">
        <v>46254</v>
      </c>
      <c r="J231" s="16" t="n">
        <v>46258</v>
      </c>
      <c r="K231" s="16" t="n">
        <v>46262</v>
      </c>
      <c r="L231" s="17" t="n">
        <v>650</v>
      </c>
      <c r="M231" s="17" t="n">
        <v>95</v>
      </c>
      <c r="N231" s="17" t="n">
        <v>555</v>
      </c>
      <c r="O231" s="15" t="inlineStr">
        <is>
          <t>Final issue (ipoplatform)</t>
        </is>
      </c>
      <c r="P231" s="15" t="n"/>
      <c r="Q231" s="18" t="inlineStr">
        <is>
          <t>https://www.sebi.gov.in/sebi_data/attachdocs/oct-2025/1759908607630_992.pdf</t>
        </is>
      </c>
      <c r="R231" s="18" t="inlineStr">
        <is>
          <t>https://www.sebi.gov.in/filings/public-issues/oct-2025/tempsens-instruments-india-limited_97121.html</t>
        </is>
      </c>
      <c r="S231" s="15" t="n"/>
      <c r="T231" s="15" t="inlineStr">
        <is>
          <t>Company name + date window</t>
        </is>
      </c>
      <c r="U231" s="15" t="inlineStr">
        <is>
          <t>Tempsens Instruments (India) Limited</t>
        </is>
      </c>
      <c r="V231" s="15" t="n"/>
      <c r="W231" s="15" t="n"/>
      <c r="X231" s="15" t="n"/>
      <c r="Y231" s="15" t="n"/>
      <c r="Z231" s="15" t="n"/>
      <c r="AA231" s="15" t="n"/>
      <c r="AB231" s="15" t="n"/>
    </row>
    <row r="232" ht="15" customHeight="1" s="12">
      <c r="A232" s="14" t="n">
        <v>231</v>
      </c>
      <c r="B232" s="16" t="n">
        <v>45938</v>
      </c>
      <c r="C232" s="15" t="n">
        <v>2025</v>
      </c>
      <c r="D232" s="15" t="inlineStr">
        <is>
          <t>Virupaksha Organics Limited</t>
        </is>
      </c>
      <c r="E232" s="15" t="inlineStr">
        <is>
          <t>DRHP</t>
        </is>
      </c>
      <c r="F232" s="15" t="inlineStr">
        <is>
          <t>Virupaksha Organics Limited - DRHP</t>
        </is>
      </c>
      <c r="G232" s="15" t="inlineStr">
        <is>
          <t>Upcoming — IPO not yet opened</t>
        </is>
      </c>
      <c r="H232" s="15" t="n"/>
      <c r="I232" s="16" t="n"/>
      <c r="J232" s="16" t="n"/>
      <c r="K232" s="16" t="n"/>
      <c r="L232" s="17" t="n"/>
      <c r="M232" s="17" t="n"/>
      <c r="N232" s="17" t="n"/>
      <c r="O232" s="15" t="n"/>
      <c r="P232" s="15" t="n"/>
      <c r="Q232" s="18" t="inlineStr">
        <is>
          <t>https://www.sebi.gov.in/sebi_data/attachdocs/oct-2025/1759906912149.pdf</t>
        </is>
      </c>
      <c r="R232" s="18" t="inlineStr">
        <is>
          <t>https://www.sebi.gov.in/filings/public-issues/oct-2025/virupaksha-organics-limited-drhp_97120.html</t>
        </is>
      </c>
      <c r="S232" s="15" t="n"/>
      <c r="T232" s="15" t="n"/>
      <c r="U232" s="15" t="n"/>
      <c r="V232" s="15" t="n"/>
      <c r="W232" s="16" t="n"/>
      <c r="X232" s="16" t="n"/>
      <c r="Y232" s="16" t="n"/>
      <c r="Z232" s="15" t="inlineStr">
        <is>
          <t>Dates not announced</t>
        </is>
      </c>
      <c r="AA232" s="15" t="inlineStr">
        <is>
          <t>SEBI nod 12-Feb-2026; Rs740cr fresh issue; dates not announced</t>
        </is>
      </c>
      <c r="AB232" s="18" t="inlineStr">
        <is>
          <t>https://www.chittorgarh.com/ipo/virupaksha-organics-ipo/2691/</t>
        </is>
      </c>
    </row>
    <row r="233" ht="15" customHeight="1" s="12">
      <c r="A233" s="14" t="n">
        <v>232</v>
      </c>
      <c r="B233" s="16" t="n">
        <v>45938</v>
      </c>
      <c r="C233" s="15" t="n">
        <v>2025</v>
      </c>
      <c r="D233" s="15" t="inlineStr">
        <is>
          <t>Grand Housing Limited</t>
        </is>
      </c>
      <c r="E233" s="15" t="inlineStr">
        <is>
          <t>DRHP</t>
        </is>
      </c>
      <c r="F233" s="15" t="inlineStr">
        <is>
          <t>Grand Housing Limited - DRHP</t>
        </is>
      </c>
      <c r="G233" s="15" t="inlineStr">
        <is>
          <t>Upcoming — IPO not yet opened</t>
        </is>
      </c>
      <c r="H233" s="15" t="n"/>
      <c r="I233" s="16" t="n"/>
      <c r="J233" s="16" t="n"/>
      <c r="K233" s="16" t="n"/>
      <c r="L233" s="17" t="n"/>
      <c r="M233" s="17" t="n"/>
      <c r="N233" s="17" t="n"/>
      <c r="O233" s="15" t="n"/>
      <c r="P233" s="15" t="n"/>
      <c r="Q233" s="18" t="inlineStr">
        <is>
          <t>https://www.sebi.gov.in/sebi_data/attachdocs/oct-2025/1759901381010.pdf</t>
        </is>
      </c>
      <c r="R233" s="18" t="inlineStr">
        <is>
          <t>https://www.sebi.gov.in/filings/public-issues/oct-2025/grand-housing-limited-drhp_97117.html</t>
        </is>
      </c>
      <c r="S233" s="15" t="n"/>
      <c r="T233" s="15" t="n"/>
      <c r="U233" s="15" t="n"/>
      <c r="V233" s="15" t="n"/>
      <c r="W233" s="16" t="n"/>
      <c r="X233" s="16" t="n"/>
      <c r="Y233" s="16" t="n"/>
      <c r="Z233" s="15" t="inlineStr">
        <is>
          <t>Dates not announced</t>
        </is>
      </c>
      <c r="AA233" s="15" t="inlineStr">
        <is>
          <t>SEBI nod 20-Apr-2026; OFS 3.55 cr shares; dates not yet announced</t>
        </is>
      </c>
      <c r="AB233" s="18" t="inlineStr">
        <is>
          <t>https://www.chittorgarh.com/ipo/grand-housing-ipo/2685/</t>
        </is>
      </c>
    </row>
    <row r="234" ht="15" customHeight="1" s="12">
      <c r="A234" s="14" t="n">
        <v>233</v>
      </c>
      <c r="B234" s="16" t="n">
        <v>45937</v>
      </c>
      <c r="C234" s="15" t="n">
        <v>2025</v>
      </c>
      <c r="D234" s="15" t="inlineStr">
        <is>
          <t>ELEVATE CAMPUSES LIMITED</t>
        </is>
      </c>
      <c r="E234" s="15" t="inlineStr">
        <is>
          <t>DRHP</t>
        </is>
      </c>
      <c r="F234" s="15" t="inlineStr">
        <is>
          <t>ELEVATE CAMPUSES LIMITED - DRHP</t>
        </is>
      </c>
      <c r="G234" s="15" t="inlineStr">
        <is>
          <t>IPO launched</t>
        </is>
      </c>
      <c r="H234" s="15" t="inlineStr">
        <is>
          <t>Mainboard</t>
        </is>
      </c>
      <c r="I234" s="16" t="n">
        <v>46288</v>
      </c>
      <c r="J234" s="16" t="n">
        <v>46290</v>
      </c>
      <c r="K234" s="16" t="n">
        <v>46295</v>
      </c>
      <c r="L234" s="17" t="n">
        <v>2100</v>
      </c>
      <c r="M234" s="17" t="n">
        <v>2100</v>
      </c>
      <c r="N234" s="17" t="n">
        <v>0</v>
      </c>
      <c r="O234" s="15" t="inlineStr">
        <is>
          <t>Final issue (ipoplatform)</t>
        </is>
      </c>
      <c r="P234" s="15" t="n"/>
      <c r="Q234" s="18" t="inlineStr">
        <is>
          <t>https://www.sebi.gov.in/sebi_data/attachdocs/oct-2025/1759839551768.pdf</t>
        </is>
      </c>
      <c r="R234" s="18" t="inlineStr">
        <is>
          <t>https://www.sebi.gov.in/filings/public-issues/oct-2025/elevate-campuses-limited-drhp_97111.html</t>
        </is>
      </c>
      <c r="S234" s="15" t="n"/>
      <c r="T234" s="15" t="inlineStr">
        <is>
          <t>Company name + date window</t>
        </is>
      </c>
      <c r="U234" s="15" t="inlineStr">
        <is>
          <t>Elevate Campuses Limited</t>
        </is>
      </c>
      <c r="V234" s="15" t="n"/>
      <c r="W234" s="15" t="n"/>
      <c r="X234" s="15" t="n"/>
      <c r="Y234" s="15" t="n"/>
      <c r="Z234" s="15" t="n"/>
      <c r="AA234" s="15" t="n"/>
      <c r="AB234" s="15" t="n"/>
    </row>
    <row r="235" ht="15" customHeight="1" s="12">
      <c r="A235" s="14" t="n">
        <v>234</v>
      </c>
      <c r="B235" s="16" t="n">
        <v>45937</v>
      </c>
      <c r="C235" s="15" t="n">
        <v>2025</v>
      </c>
      <c r="D235" s="15" t="inlineStr">
        <is>
          <t>Dhariwal Buildtech Limited</t>
        </is>
      </c>
      <c r="E235" s="15" t="inlineStr">
        <is>
          <t>DRHP</t>
        </is>
      </c>
      <c r="F235" s="15" t="inlineStr">
        <is>
          <t>Dhariwal Buildtech Limited - DRHP</t>
        </is>
      </c>
      <c r="G235" s="15" t="inlineStr">
        <is>
          <t>Upcoming — IPO not yet opened</t>
        </is>
      </c>
      <c r="H235" s="15" t="n"/>
      <c r="I235" s="16" t="n"/>
      <c r="J235" s="16" t="n"/>
      <c r="K235" s="16" t="n"/>
      <c r="L235" s="17" t="n"/>
      <c r="M235" s="17" t="n"/>
      <c r="N235" s="17" t="n"/>
      <c r="O235" s="15" t="n"/>
      <c r="P235" s="15" t="n"/>
      <c r="Q235" s="18" t="inlineStr">
        <is>
          <t>https://www.sebi.gov.in/sebi_data/attachdocs/oct-2025/1759820241318.PDF</t>
        </is>
      </c>
      <c r="R235" s="18" t="inlineStr">
        <is>
          <t>https://www.sebi.gov.in/filings/public-issues/oct-2025/dhariwal-buildtech-limited-drhp_97090.html</t>
        </is>
      </c>
      <c r="S235" s="15" t="n"/>
      <c r="T235" s="15" t="n"/>
      <c r="U235" s="15" t="n"/>
      <c r="V235" s="15" t="n"/>
      <c r="W235" s="16" t="n"/>
      <c r="X235" s="16" t="n"/>
      <c r="Y235" s="16" t="n"/>
      <c r="Z235" s="15" t="inlineStr">
        <is>
          <t>Dates not announced</t>
        </is>
      </c>
      <c r="AA235" s="15" t="inlineStr">
        <is>
          <t>SEBI nod 15-Dec-2025; Rs950 cr fresh issue; dates not yet announced</t>
        </is>
      </c>
      <c r="AB235" s="18" t="inlineStr">
        <is>
          <t>https://www.chittorgarh.com/ipo/dhariwal-buildtech-ipo/2652/</t>
        </is>
      </c>
    </row>
    <row r="236" ht="15" customHeight="1" s="12">
      <c r="A236" s="14" t="n">
        <v>235</v>
      </c>
      <c r="B236" s="16" t="n">
        <v>45936</v>
      </c>
      <c r="C236" s="15" t="n">
        <v>2025</v>
      </c>
      <c r="D236" s="15" t="inlineStr">
        <is>
          <t>ARJUN JEWELLERS LIMITED</t>
        </is>
      </c>
      <c r="E236" s="15" t="inlineStr">
        <is>
          <t>DRHP</t>
        </is>
      </c>
      <c r="F236" s="15" t="inlineStr">
        <is>
          <t>ARJUN JEWELLERS LIMITED</t>
        </is>
      </c>
      <c r="G236" s="15" t="inlineStr">
        <is>
          <t>Upcoming — IPO not yet opened</t>
        </is>
      </c>
      <c r="H236" s="15" t="n"/>
      <c r="I236" s="16" t="n"/>
      <c r="J236" s="16" t="n"/>
      <c r="K236" s="16" t="n"/>
      <c r="L236" s="17" t="n"/>
      <c r="M236" s="17" t="n"/>
      <c r="N236" s="17" t="n"/>
      <c r="O236" s="15" t="n"/>
      <c r="P236" s="15" t="n"/>
      <c r="Q236" s="18" t="inlineStr">
        <is>
          <t>https://www.sebi.gov.in/sebi_data/attachdocs/oct-2025/1759800605786_991.pdf</t>
        </is>
      </c>
      <c r="R236" s="18" t="inlineStr">
        <is>
          <t>https://www.sebi.gov.in/filings/public-issues/oct-2025/arjun-jewellers-limited_97086.html</t>
        </is>
      </c>
      <c r="S236" s="15" t="n"/>
      <c r="T236" s="15" t="n"/>
      <c r="U236" s="15" t="n"/>
      <c r="V236" s="15" t="n"/>
      <c r="W236" s="16" t="n"/>
      <c r="X236" s="16" t="n"/>
      <c r="Y236" s="16" t="n"/>
      <c r="Z236" s="15" t="inlineStr">
        <is>
          <t>Dates not announced</t>
        </is>
      </c>
      <c r="AA236" s="15" t="inlineStr">
        <is>
          <t>Earlier DRHP withdrawn 12-Mar-2026; new draft Aug-2026; dates not announced</t>
        </is>
      </c>
      <c r="AB236" s="18" t="inlineStr">
        <is>
          <t>https://www.chittorgarh.com/ipo/arjun-jewellers-ipo/2741/</t>
        </is>
      </c>
    </row>
    <row r="237" ht="15" customHeight="1" s="12">
      <c r="A237" s="14" t="n">
        <v>236</v>
      </c>
      <c r="B237" s="16" t="n">
        <v>45936</v>
      </c>
      <c r="C237" s="15" t="n">
        <v>2025</v>
      </c>
      <c r="D237" s="15" t="inlineStr">
        <is>
          <t>ELDECO INFRASTRUCTURE AND PROPERTIES LIMITED</t>
        </is>
      </c>
      <c r="E237" s="15" t="inlineStr">
        <is>
          <t>DRHP</t>
        </is>
      </c>
      <c r="F237" s="15" t="inlineStr">
        <is>
          <t>ELDECO INFRASTRUCTURE AND PROPERTIES LIMITED</t>
        </is>
      </c>
      <c r="G237" s="15" t="inlineStr">
        <is>
          <t>Upcoming — IPO not yet opened</t>
        </is>
      </c>
      <c r="H237" s="15" t="n"/>
      <c r="I237" s="16" t="n"/>
      <c r="J237" s="16" t="n"/>
      <c r="K237" s="16" t="n"/>
      <c r="L237" s="17" t="n"/>
      <c r="M237" s="17" t="n"/>
      <c r="N237" s="17" t="n"/>
      <c r="O237" s="15" t="n"/>
      <c r="P237" s="15" t="n"/>
      <c r="Q237" s="18" t="inlineStr">
        <is>
          <t>https://www.sebi.gov.in/sebi_data/attachdocs/oct-2025/1759750210525_990.pdf</t>
        </is>
      </c>
      <c r="R237" s="18" t="inlineStr">
        <is>
          <t>https://www.sebi.gov.in/filings/public-issues/oct-2025/eldeco-infrastructure-and-properties-limited_97071.html</t>
        </is>
      </c>
      <c r="S237" s="15" t="n"/>
      <c r="T237" s="15" t="n"/>
      <c r="U237" s="15" t="n"/>
      <c r="V237" s="15" t="n"/>
      <c r="W237" s="16" t="n"/>
      <c r="X237" s="16" t="n"/>
      <c r="Y237" s="16" t="n"/>
      <c r="Z237" s="15" t="inlineStr">
        <is>
          <t>Dates not announced</t>
        </is>
      </c>
      <c r="AA237" s="15" t="inlineStr">
        <is>
          <t>SEBI nod 30-Jan-2026; dates not yet announced</t>
        </is>
      </c>
      <c r="AB237" s="18" t="inlineStr">
        <is>
          <t>https://www.chittorgarh.com/ipo/eldeco-infrastructure-properties-ipo/2689/</t>
        </is>
      </c>
    </row>
    <row r="238" ht="15" customHeight="1" s="12">
      <c r="A238" s="14" t="n">
        <v>237</v>
      </c>
      <c r="B238" s="16" t="n">
        <v>45936</v>
      </c>
      <c r="C238" s="15" t="n">
        <v>2025</v>
      </c>
      <c r="D238" s="15" t="inlineStr">
        <is>
          <t>INDO-MIM Limited</t>
        </is>
      </c>
      <c r="E238" s="15" t="inlineStr">
        <is>
          <t>DRHP</t>
        </is>
      </c>
      <c r="F238" s="15" t="inlineStr">
        <is>
          <t>INDO-MIM Limited</t>
        </is>
      </c>
      <c r="G238" s="15" t="inlineStr">
        <is>
          <t>IPO launched</t>
        </is>
      </c>
      <c r="H238" s="15" t="inlineStr">
        <is>
          <t>Mainboard</t>
        </is>
      </c>
      <c r="I238" s="16" t="n">
        <v>46226</v>
      </c>
      <c r="J238" s="16" t="n">
        <v>46230</v>
      </c>
      <c r="K238" s="16" t="n">
        <v>46233</v>
      </c>
      <c r="L238" s="17" t="n">
        <v>3811.21</v>
      </c>
      <c r="M238" s="17" t="n">
        <v>499.1</v>
      </c>
      <c r="N238" s="17" t="n">
        <v>3312.11</v>
      </c>
      <c r="O238" s="15" t="inlineStr">
        <is>
          <t>Final issue (ipoplatform)</t>
        </is>
      </c>
      <c r="P238" s="15" t="n"/>
      <c r="Q238" s="18" t="inlineStr">
        <is>
          <t>https://www.sebi.gov.in/sebi_data/attachdocs/oct-2025/1759750210525_989.pdf</t>
        </is>
      </c>
      <c r="R238" s="18" t="inlineStr">
        <is>
          <t>https://www.sebi.gov.in/filings/public-issues/oct-2025/indo-mim-limited_97069.html</t>
        </is>
      </c>
      <c r="S238" s="15" t="n"/>
      <c r="T238" s="15" t="inlineStr">
        <is>
          <t>Company name + date window</t>
        </is>
      </c>
      <c r="U238" s="15" t="inlineStr">
        <is>
          <t>Indo Mim Limited</t>
        </is>
      </c>
      <c r="V238" s="15" t="n"/>
      <c r="W238" s="15" t="n"/>
      <c r="X238" s="15" t="n"/>
      <c r="Y238" s="15" t="n"/>
      <c r="Z238" s="15" t="n"/>
      <c r="AA238" s="15" t="n"/>
      <c r="AB238" s="15" t="n"/>
    </row>
    <row r="239" ht="15" customHeight="1" s="12">
      <c r="A239" s="14" t="n">
        <v>238</v>
      </c>
      <c r="B239" s="16" t="n">
        <v>45936</v>
      </c>
      <c r="C239" s="15" t="n">
        <v>2025</v>
      </c>
      <c r="D239" s="15" t="inlineStr">
        <is>
          <t>Armee Infotech Limited</t>
        </is>
      </c>
      <c r="E239" s="15" t="inlineStr">
        <is>
          <t>DRHP</t>
        </is>
      </c>
      <c r="F239" s="15" t="inlineStr">
        <is>
          <t>Armee Infotech Limited - DRHP</t>
        </is>
      </c>
      <c r="G239" s="15" t="inlineStr">
        <is>
          <t>IPO launched</t>
        </is>
      </c>
      <c r="H239" s="15" t="inlineStr">
        <is>
          <t>Mainboard</t>
        </is>
      </c>
      <c r="I239" s="16" t="n">
        <v>46288</v>
      </c>
      <c r="J239" s="16" t="n">
        <v>46290</v>
      </c>
      <c r="K239" s="16" t="n">
        <v>46295</v>
      </c>
      <c r="L239" s="17" t="n">
        <v>300</v>
      </c>
      <c r="M239" s="17" t="n">
        <v>300</v>
      </c>
      <c r="N239" s="17" t="n">
        <v>0</v>
      </c>
      <c r="O239" s="15" t="inlineStr">
        <is>
          <t>Final issue (ipoplatform)</t>
        </is>
      </c>
      <c r="P239" s="15" t="n"/>
      <c r="Q239" s="18" t="inlineStr">
        <is>
          <t>https://www.sebi.gov.in/sebi_data/attachdocs/oct-2025/1759742511998.pdf</t>
        </is>
      </c>
      <c r="R239" s="18" t="inlineStr">
        <is>
          <t>https://www.sebi.gov.in/filings/public-issues/oct-2025/armee-infotech-limited-drhp_97062.html</t>
        </is>
      </c>
      <c r="S239" s="15" t="n"/>
      <c r="T239" s="15" t="inlineStr">
        <is>
          <t>Company name + date window</t>
        </is>
      </c>
      <c r="U239" s="15" t="inlineStr">
        <is>
          <t>ArMee Infotech Limited</t>
        </is>
      </c>
      <c r="V239" s="15" t="n"/>
      <c r="W239" s="15" t="n"/>
      <c r="X239" s="15" t="n"/>
      <c r="Y239" s="15" t="n"/>
      <c r="Z239" s="15" t="n"/>
      <c r="AA239" s="15" t="n"/>
      <c r="AB239" s="15" t="n"/>
    </row>
    <row r="240" ht="15" customHeight="1" s="12">
      <c r="A240" s="14" t="n">
        <v>239</v>
      </c>
      <c r="B240" s="16" t="n">
        <v>45933</v>
      </c>
      <c r="C240" s="15" t="n">
        <v>2025</v>
      </c>
      <c r="D240" s="15" t="inlineStr">
        <is>
          <t>OM POWER TRANSMISSION LIMITED</t>
        </is>
      </c>
      <c r="E240" s="15" t="inlineStr">
        <is>
          <t>DRHP</t>
        </is>
      </c>
      <c r="F240" s="15" t="inlineStr">
        <is>
          <t>OM POWER TRANSMISSION LIMITED</t>
        </is>
      </c>
      <c r="G240" s="15" t="inlineStr">
        <is>
          <t>IPO launched</t>
        </is>
      </c>
      <c r="H240" s="15" t="inlineStr">
        <is>
          <t>Mainboard</t>
        </is>
      </c>
      <c r="I240" s="16" t="n">
        <v>46121</v>
      </c>
      <c r="J240" s="16" t="n">
        <v>46125</v>
      </c>
      <c r="K240" s="16" t="n">
        <v>46129</v>
      </c>
      <c r="L240" s="17" t="n">
        <v>150.06</v>
      </c>
      <c r="M240" s="17" t="n">
        <v>132.56</v>
      </c>
      <c r="N240" s="17" t="n">
        <v>17.5</v>
      </c>
      <c r="O240" s="15" t="inlineStr">
        <is>
          <t>Final issue (ipoplatform)</t>
        </is>
      </c>
      <c r="P240" s="15" t="n"/>
      <c r="Q240" s="18" t="inlineStr">
        <is>
          <t>https://www.sebi.gov.in/sebi_data/attachdocs/oct-2025/1759900951695.pdf</t>
        </is>
      </c>
      <c r="R240" s="18" t="inlineStr">
        <is>
          <t>https://www.sebi.gov.in/filings/public-issues/oct-2025/om-power-transmission-limited_97116.html</t>
        </is>
      </c>
      <c r="S240" s="15" t="n"/>
      <c r="T240" s="15" t="inlineStr">
        <is>
          <t>Company name + date window</t>
        </is>
      </c>
      <c r="U240" s="15" t="inlineStr">
        <is>
          <t>Om Power Transmission Limited</t>
        </is>
      </c>
      <c r="V240" s="15" t="n"/>
      <c r="W240" s="15" t="n"/>
      <c r="X240" s="15" t="n"/>
      <c r="Y240" s="15" t="n"/>
      <c r="Z240" s="15" t="n"/>
      <c r="AA240" s="15" t="n"/>
      <c r="AB240" s="15" t="n"/>
    </row>
    <row r="241" ht="15" customHeight="1" s="12">
      <c r="A241" s="14" t="n">
        <v>240</v>
      </c>
      <c r="B241" s="16" t="n">
        <v>45933</v>
      </c>
      <c r="C241" s="15" t="n">
        <v>2025</v>
      </c>
      <c r="D241" s="15" t="inlineStr">
        <is>
          <t>VISHAL NIRMITI LIMITED</t>
        </is>
      </c>
      <c r="E241" s="15" t="inlineStr">
        <is>
          <t>DRHP</t>
        </is>
      </c>
      <c r="F241" s="15" t="inlineStr">
        <is>
          <t>VISHAL NIRMITI LIMITED</t>
        </is>
      </c>
      <c r="G241" s="15" t="inlineStr">
        <is>
          <t>Upcoming — IPO not yet opened</t>
        </is>
      </c>
      <c r="H241" s="15" t="n"/>
      <c r="I241" s="16" t="n"/>
      <c r="J241" s="16" t="n"/>
      <c r="K241" s="16" t="n"/>
      <c r="L241" s="17" t="n"/>
      <c r="M241" s="17" t="n"/>
      <c r="N241" s="17" t="n"/>
      <c r="O241" s="15" t="n"/>
      <c r="P241" s="15" t="n"/>
      <c r="Q241" s="18" t="inlineStr">
        <is>
          <t>https://www.sebi.gov.in/sebi_data/attachdocs/oct-2025/1759491005221_983.pdf</t>
        </is>
      </c>
      <c r="R241" s="18" t="inlineStr">
        <is>
          <t>https://www.sebi.gov.in/filings/public-issues/oct-2025/vishal-nirmiti-limited_97041.html</t>
        </is>
      </c>
      <c r="S241" s="15" t="n"/>
      <c r="T241" s="15" t="n"/>
      <c r="U241" s="15" t="n"/>
      <c r="V241" s="15" t="n"/>
      <c r="W241" s="19" t="n">
        <v>46295</v>
      </c>
      <c r="X241" s="19" t="n">
        <v>46300</v>
      </c>
      <c r="Y241" s="19" t="n">
        <v>46303</v>
      </c>
      <c r="Z241" s="20" t="inlineStr">
        <is>
          <t>Issue opened</t>
        </is>
      </c>
      <c r="AA241" s="15" t="inlineStr">
        <is>
          <t>Matched on chittorgarh.com</t>
        </is>
      </c>
      <c r="AB241" s="18" t="inlineStr">
        <is>
          <t>https://www.chittorgarh.com/ipo/vishal-nirmiti-ipo/2665/</t>
        </is>
      </c>
    </row>
    <row r="242" ht="15" customHeight="1" s="12">
      <c r="A242" s="14" t="n">
        <v>241</v>
      </c>
      <c r="B242" s="16" t="n">
        <v>45933</v>
      </c>
      <c r="C242" s="15" t="n">
        <v>2025</v>
      </c>
      <c r="D242" s="15" t="inlineStr">
        <is>
          <t>Premier Industrial Corporation Limited</t>
        </is>
      </c>
      <c r="E242" s="15" t="inlineStr">
        <is>
          <t>DRHP</t>
        </is>
      </c>
      <c r="F242" s="15" t="inlineStr">
        <is>
          <t>Premier Industrial Corporation Limited</t>
        </is>
      </c>
      <c r="G242" s="15" t="inlineStr">
        <is>
          <t>Upcoming — IPO not yet opened</t>
        </is>
      </c>
      <c r="H242" s="15" t="n"/>
      <c r="I242" s="16" t="n"/>
      <c r="J242" s="16" t="n"/>
      <c r="K242" s="16" t="n"/>
      <c r="L242" s="17" t="n"/>
      <c r="M242" s="17" t="n"/>
      <c r="N242" s="17" t="n"/>
      <c r="O242" s="15" t="n"/>
      <c r="P242" s="15" t="n"/>
      <c r="Q242" s="18" t="inlineStr">
        <is>
          <t>https://www.sebi.gov.in/sebi_data/attachdocs/oct-2025/1759476612614_982.pdf</t>
        </is>
      </c>
      <c r="R242" s="18" t="inlineStr">
        <is>
          <t>https://www.sebi.gov.in/filings/public-issues/oct-2025/premier-industrial-corporation-limited_97037.html</t>
        </is>
      </c>
      <c r="S242" s="15" t="n"/>
      <c r="T242" s="15" t="n"/>
      <c r="U242" s="15" t="n"/>
      <c r="V242" s="15" t="n"/>
      <c r="W242" s="16" t="n"/>
      <c r="X242" s="16" t="n"/>
      <c r="Y242" s="16" t="n"/>
      <c r="Z242" s="15" t="inlineStr">
        <is>
          <t>Dates not announced</t>
        </is>
      </c>
      <c r="AA242" s="15" t="inlineStr">
        <is>
          <t>DRHP filed; no IPO dates announced</t>
        </is>
      </c>
      <c r="AB242" s="18" t="inlineStr">
        <is>
          <t>https://www.chittorgarh.com/ipo/premier-industrial-corporation-ipo/2674/</t>
        </is>
      </c>
    </row>
    <row r="243" ht="15" customHeight="1" s="12">
      <c r="A243" s="14" t="n">
        <v>242</v>
      </c>
      <c r="B243" s="16" t="n">
        <v>45933</v>
      </c>
      <c r="C243" s="15" t="n">
        <v>2025</v>
      </c>
      <c r="D243" s="15" t="inlineStr">
        <is>
          <t>XTRANET TECHNOLOGIES LIMITED</t>
        </is>
      </c>
      <c r="E243" s="15" t="inlineStr">
        <is>
          <t>DRHP</t>
        </is>
      </c>
      <c r="F243" s="15" t="inlineStr">
        <is>
          <t>XTRANET TECHNOLOGIES LIMITED - DRHP</t>
        </is>
      </c>
      <c r="G243" s="15" t="inlineStr">
        <is>
          <t>IPO launched</t>
        </is>
      </c>
      <c r="H243" s="15" t="inlineStr">
        <is>
          <t>Mainboard</t>
        </is>
      </c>
      <c r="I243" s="16" t="n">
        <v>46226</v>
      </c>
      <c r="J243" s="16" t="n">
        <v>46230</v>
      </c>
      <c r="K243" s="16" t="n">
        <v>46233</v>
      </c>
      <c r="L243" s="17" t="n">
        <v>166.8</v>
      </c>
      <c r="M243" s="17" t="n">
        <v>166.8</v>
      </c>
      <c r="N243" s="17" t="n">
        <v>0</v>
      </c>
      <c r="O243" s="15" t="inlineStr">
        <is>
          <t>Final issue (ipoplatform)</t>
        </is>
      </c>
      <c r="P243" s="15" t="n"/>
      <c r="Q243" s="18" t="inlineStr">
        <is>
          <t>https://www.sebi.gov.in/sebi_data/attachdocs/oct-2025/1759464923045.pdf</t>
        </is>
      </c>
      <c r="R243" s="18" t="inlineStr">
        <is>
          <t>https://www.sebi.gov.in/filings/public-issues/oct-2025/xtranet-technologies-limited-drhp_97031.html</t>
        </is>
      </c>
      <c r="S243" s="15" t="n"/>
      <c r="T243" s="15" t="inlineStr">
        <is>
          <t>SEBI filing link</t>
        </is>
      </c>
      <c r="U243" s="15" t="inlineStr">
        <is>
          <t>Xtranet Technologies Limited</t>
        </is>
      </c>
      <c r="V243" s="15" t="n"/>
      <c r="W243" s="15" t="n"/>
      <c r="X243" s="15" t="n"/>
      <c r="Y243" s="15" t="n"/>
      <c r="Z243" s="15" t="n"/>
      <c r="AA243" s="15" t="n"/>
      <c r="AB243" s="15" t="n"/>
    </row>
    <row r="244" ht="15" customHeight="1" s="12">
      <c r="A244" s="14" t="n">
        <v>243</v>
      </c>
      <c r="B244" s="16" t="n">
        <v>45931</v>
      </c>
      <c r="C244" s="15" t="n">
        <v>2025</v>
      </c>
      <c r="D244" s="15" t="inlineStr">
        <is>
          <t>GAUDIUM IVF AND WOMEN HEALTH LIMITED</t>
        </is>
      </c>
      <c r="E244" s="15" t="inlineStr">
        <is>
          <t>DRHP</t>
        </is>
      </c>
      <c r="F244" s="15" t="inlineStr">
        <is>
          <t>GAUDIUM IVF AND WOMEN HEALTH LIMITED</t>
        </is>
      </c>
      <c r="G244" s="15" t="inlineStr">
        <is>
          <t>IPO launched</t>
        </is>
      </c>
      <c r="H244" s="15" t="inlineStr">
        <is>
          <t>Mainboard</t>
        </is>
      </c>
      <c r="I244" s="16" t="n">
        <v>46073</v>
      </c>
      <c r="J244" s="16" t="n">
        <v>46077</v>
      </c>
      <c r="K244" s="16" t="n">
        <v>46080</v>
      </c>
      <c r="L244" s="17" t="n">
        <v>165</v>
      </c>
      <c r="M244" s="17" t="n">
        <v>90</v>
      </c>
      <c r="N244" s="17" t="n">
        <v>75</v>
      </c>
      <c r="O244" s="15" t="inlineStr">
        <is>
          <t>Final issue (ipoplatform)</t>
        </is>
      </c>
      <c r="P244" s="15" t="n"/>
      <c r="Q244" s="18" t="inlineStr">
        <is>
          <t>https://www.sebi.gov.in/sebi_data/attachdocs/nov-2025/1762428605879_1024.pdf</t>
        </is>
      </c>
      <c r="R244" s="18" t="inlineStr">
        <is>
          <t>https://www.sebi.gov.in/filings/public-issues/oct-2025/gaudium-ivf-and-women-health-limited_97652.html</t>
        </is>
      </c>
      <c r="S244" s="15" t="n"/>
      <c r="T244" s="15" t="inlineStr">
        <is>
          <t>Company name + date window</t>
        </is>
      </c>
      <c r="U244" s="15" t="inlineStr">
        <is>
          <t>Gaudium IVF and Women Health Limited</t>
        </is>
      </c>
      <c r="V244" s="15" t="n"/>
      <c r="W244" s="15" t="n"/>
      <c r="X244" s="15" t="n"/>
      <c r="Y244" s="15" t="n"/>
      <c r="Z244" s="15" t="n"/>
      <c r="AA244" s="15" t="n"/>
      <c r="AB244" s="15" t="n"/>
    </row>
    <row r="245" ht="15" customHeight="1" s="12">
      <c r="A245" s="14" t="n">
        <v>244</v>
      </c>
      <c r="B245" s="16" t="n">
        <v>45931</v>
      </c>
      <c r="C245" s="15" t="n">
        <v>2025</v>
      </c>
      <c r="D245" s="15" t="inlineStr">
        <is>
          <t>Oswal Cables</t>
        </is>
      </c>
      <c r="E245" s="15" t="inlineStr">
        <is>
          <t>DRHP</t>
        </is>
      </c>
      <c r="F245" s="15" t="inlineStr">
        <is>
          <t>Oswal Cables - DRHP</t>
        </is>
      </c>
      <c r="G245" s="15" t="inlineStr">
        <is>
          <t>Upcoming — IPO not yet opened</t>
        </is>
      </c>
      <c r="H245" s="15" t="n"/>
      <c r="I245" s="16" t="n"/>
      <c r="J245" s="16" t="n"/>
      <c r="K245" s="16" t="n"/>
      <c r="L245" s="17" t="n"/>
      <c r="M245" s="17" t="n"/>
      <c r="N245" s="17" t="n"/>
      <c r="O245" s="15" t="n"/>
      <c r="P245" s="15" t="n"/>
      <c r="Q245" s="18" t="inlineStr">
        <is>
          <t>https://www.sebi.gov.in/sebi_data/attachdocs/oct-2025/1760415698411.PDF</t>
        </is>
      </c>
      <c r="R245" s="18" t="inlineStr">
        <is>
          <t>https://www.sebi.gov.in/filings/public-issues/oct-2025/oswal-cables-drhp_97284.html</t>
        </is>
      </c>
      <c r="S245" s="15" t="n"/>
      <c r="T245" s="15" t="n"/>
      <c r="U245" s="15" t="n"/>
      <c r="V245" s="15" t="n"/>
      <c r="W245" s="16" t="n"/>
      <c r="X245" s="16" t="n"/>
      <c r="Y245" s="16" t="n"/>
      <c r="Z245" s="15" t="inlineStr">
        <is>
          <t>Dates not announced</t>
        </is>
      </c>
      <c r="AA245" s="15" t="inlineStr">
        <is>
          <t>SEBI nod 19-Jan-2026; dates not yet announced</t>
        </is>
      </c>
      <c r="AB245" s="18" t="inlineStr">
        <is>
          <t>https://www.chittorgarh.com/ipo/oswal-cables-ipo/2677/</t>
        </is>
      </c>
    </row>
    <row r="246" ht="15" customHeight="1" s="12">
      <c r="A246" s="14" t="n">
        <v>245</v>
      </c>
      <c r="B246" s="16" t="n">
        <v>45931</v>
      </c>
      <c r="C246" s="15" t="n">
        <v>2025</v>
      </c>
      <c r="D246" s="15" t="inlineStr">
        <is>
          <t>APPL Containers Limited</t>
        </is>
      </c>
      <c r="E246" s="15" t="inlineStr">
        <is>
          <t>DRHP</t>
        </is>
      </c>
      <c r="F246" s="15" t="inlineStr">
        <is>
          <t>APPL Containers Limited</t>
        </is>
      </c>
      <c r="G246" s="15" t="inlineStr">
        <is>
          <t>Upcoming — IPO not yet opened</t>
        </is>
      </c>
      <c r="H246" s="15" t="n"/>
      <c r="I246" s="16" t="n"/>
      <c r="J246" s="16" t="n"/>
      <c r="K246" s="16" t="n"/>
      <c r="L246" s="17" t="n"/>
      <c r="M246" s="17" t="n"/>
      <c r="N246" s="17" t="n"/>
      <c r="O246" s="15" t="n"/>
      <c r="P246" s="15" t="n"/>
      <c r="Q246" s="18" t="inlineStr">
        <is>
          <t>https://www.sebi.gov.in/sebi_data/attachdocs/oct-2025/1759368606185_980.pdf</t>
        </is>
      </c>
      <c r="R246" s="18" t="inlineStr">
        <is>
          <t>https://www.sebi.gov.in/filings/public-issues/oct-2025/appl-containers-limited_97026.html</t>
        </is>
      </c>
      <c r="S246" s="15" t="n"/>
      <c r="T246" s="15" t="n"/>
      <c r="U246" s="15" t="n"/>
      <c r="V246" s="15" t="n"/>
      <c r="W246" s="16" t="n"/>
      <c r="X246" s="16" t="n"/>
      <c r="Y246" s="16" t="n"/>
      <c r="Z246" s="15" t="inlineStr">
        <is>
          <t>Dates not announced</t>
        </is>
      </c>
      <c r="AA246" s="15" t="inlineStr">
        <is>
          <t>SEBI nod 20-Feb-2026; dates not yet announced</t>
        </is>
      </c>
      <c r="AB246" s="18" t="inlineStr">
        <is>
          <t>https://www.chittorgarh.com/ipo/appl-containers-ipo/2643/</t>
        </is>
      </c>
    </row>
    <row r="247" ht="15" customHeight="1" s="12">
      <c r="A247" s="14" t="n">
        <v>246</v>
      </c>
      <c r="B247" s="16" t="n">
        <v>45931</v>
      </c>
      <c r="C247" s="15" t="n">
        <v>2025</v>
      </c>
      <c r="D247" s="15" t="inlineStr">
        <is>
          <t>Rotomag Enertec Limited</t>
        </is>
      </c>
      <c r="E247" s="15" t="inlineStr">
        <is>
          <t>DRHP</t>
        </is>
      </c>
      <c r="F247" s="15" t="inlineStr">
        <is>
          <t>Rotomag Enertec Limited</t>
        </is>
      </c>
      <c r="G247" s="15" t="inlineStr">
        <is>
          <t>Upcoming — IPO not yet opened</t>
        </is>
      </c>
      <c r="H247" s="15" t="n"/>
      <c r="I247" s="16" t="n"/>
      <c r="J247" s="16" t="n"/>
      <c r="K247" s="16" t="n"/>
      <c r="L247" s="17" t="n"/>
      <c r="M247" s="17" t="n"/>
      <c r="N247" s="17" t="n"/>
      <c r="O247" s="15" t="n"/>
      <c r="P247" s="15" t="n"/>
      <c r="Q247" s="18" t="inlineStr">
        <is>
          <t>https://www.sebi.gov.in/sebi_data/attachdocs/oct-2025/1759368606185_979.pdf</t>
        </is>
      </c>
      <c r="R247" s="18" t="inlineStr">
        <is>
          <t>https://www.sebi.gov.in/filings/public-issues/oct-2025/rotomag-enertec-limited_97024.html</t>
        </is>
      </c>
      <c r="S247" s="15" t="n"/>
      <c r="T247" s="15" t="n"/>
      <c r="U247" s="15" t="n"/>
      <c r="V247" s="15" t="n"/>
      <c r="W247" s="16" t="n"/>
      <c r="X247" s="16" t="n"/>
      <c r="Y247" s="16" t="n"/>
      <c r="Z247" s="15" t="inlineStr">
        <is>
          <t>Dates not announced</t>
        </is>
      </c>
      <c r="AA247" s="15" t="inlineStr">
        <is>
          <t>SEBI nod 30-Jan-2026; dates not yet announced</t>
        </is>
      </c>
      <c r="AB247" s="18" t="inlineStr">
        <is>
          <t>https://www.chittorgarh.com/ipo/rotomag-enertec-ipo/2662/</t>
        </is>
      </c>
    </row>
    <row r="248" ht="15" customHeight="1" s="12">
      <c r="A248" s="14" t="n">
        <v>247</v>
      </c>
      <c r="B248" s="16" t="n">
        <v>45931</v>
      </c>
      <c r="C248" s="15" t="n">
        <v>2025</v>
      </c>
      <c r="D248" s="15" t="inlineStr">
        <is>
          <t>BOMBAY COATED AND SPECIAL STEELS LIMITED</t>
        </is>
      </c>
      <c r="E248" s="15" t="inlineStr">
        <is>
          <t>DRHP</t>
        </is>
      </c>
      <c r="F248" s="15" t="inlineStr">
        <is>
          <t>BOMBAY COATED AND SPECIAL STEELS LIMITED</t>
        </is>
      </c>
      <c r="G248" s="15" t="inlineStr">
        <is>
          <t>Upcoming — IPO not yet opened</t>
        </is>
      </c>
      <c r="H248" s="15" t="n"/>
      <c r="I248" s="16" t="n"/>
      <c r="J248" s="16" t="n"/>
      <c r="K248" s="16" t="n"/>
      <c r="L248" s="17" t="n"/>
      <c r="M248" s="17" t="n"/>
      <c r="N248" s="17" t="n"/>
      <c r="O248" s="15" t="n"/>
      <c r="P248" s="15" t="n"/>
      <c r="Q248" s="18" t="inlineStr">
        <is>
          <t>https://www.sebi.gov.in/sebi_data/attachdocs/oct-2025/1759318215777_974.pdf</t>
        </is>
      </c>
      <c r="R248" s="18" t="inlineStr">
        <is>
          <t>https://www.sebi.gov.in/filings/public-issues/oct-2025/bombay-coated-and-special-steels-limited_97007.html</t>
        </is>
      </c>
      <c r="S248" s="15" t="n"/>
      <c r="T248" s="15" t="n"/>
      <c r="U248" s="15" t="n"/>
      <c r="V248" s="15" t="n"/>
      <c r="W248" s="16" t="n"/>
      <c r="X248" s="16" t="n"/>
      <c r="Y248" s="16" t="n"/>
      <c r="Z248" s="15" t="inlineStr">
        <is>
          <t>Dates not announced</t>
        </is>
      </c>
      <c r="AA248" s="15" t="inlineStr">
        <is>
          <t>SEBI nod 12-Jun-2026; dates not announced</t>
        </is>
      </c>
      <c r="AB248" s="18" t="inlineStr">
        <is>
          <t>https://www.chittorgarh.com/ipo/bombay-coated-and-special-steels-ipo/2671/</t>
        </is>
      </c>
    </row>
    <row r="249" ht="15" customHeight="1" s="12">
      <c r="A249" s="14" t="n">
        <v>248</v>
      </c>
      <c r="B249" s="16" t="n">
        <v>45931</v>
      </c>
      <c r="C249" s="15" t="n">
        <v>2025</v>
      </c>
      <c r="D249" s="15" t="inlineStr">
        <is>
          <t>ALCOBREW DISTILLERIES INDIA LIMITED</t>
        </is>
      </c>
      <c r="E249" s="15" t="inlineStr">
        <is>
          <t>DRHP</t>
        </is>
      </c>
      <c r="F249" s="15" t="inlineStr">
        <is>
          <t>ALCOBREW DISTILLERIES INDIA LIMITED</t>
        </is>
      </c>
      <c r="G249" s="15" t="inlineStr">
        <is>
          <t>Upcoming — IPO not yet opened</t>
        </is>
      </c>
      <c r="H249" s="15" t="n"/>
      <c r="I249" s="16" t="n"/>
      <c r="J249" s="16" t="n"/>
      <c r="K249" s="16" t="n"/>
      <c r="L249" s="17" t="n"/>
      <c r="M249" s="17" t="n"/>
      <c r="N249" s="17" t="n"/>
      <c r="O249" s="15" t="n"/>
      <c r="P249" s="15" t="n"/>
      <c r="Q249" s="18" t="inlineStr">
        <is>
          <t>https://www.sebi.gov.in/sebi_data/attachdocs/oct-2025/1759318215777_973.pdf</t>
        </is>
      </c>
      <c r="R249" s="18" t="inlineStr">
        <is>
          <t>https://www.sebi.gov.in/filings/public-issues/oct-2025/alcobrew-distilleries-india-limited_97005.html</t>
        </is>
      </c>
      <c r="S249" s="15" t="n"/>
      <c r="T249" s="15" t="n"/>
      <c r="U249" s="15" t="n"/>
      <c r="V249" s="15" t="n"/>
      <c r="W249" s="16" t="n"/>
      <c r="X249" s="16" t="n"/>
      <c r="Y249" s="16" t="n"/>
      <c r="Z249" s="15" t="inlineStr">
        <is>
          <t>Dates not announced</t>
        </is>
      </c>
      <c r="AA249" s="15" t="inlineStr">
        <is>
          <t>SEBI nod 8-Jan-2026; dates not yet announced</t>
        </is>
      </c>
      <c r="AB249" s="18" t="inlineStr">
        <is>
          <t>https://www.chittorgarh.com/ipo/alcobrew-distilleries-india-ipo/2639/</t>
        </is>
      </c>
    </row>
    <row r="250" ht="15" customHeight="1" s="12">
      <c r="A250" s="14" t="n">
        <v>249</v>
      </c>
      <c r="B250" s="16" t="n">
        <v>45931</v>
      </c>
      <c r="C250" s="15" t="n">
        <v>2025</v>
      </c>
      <c r="D250" s="15" t="inlineStr">
        <is>
          <t>Behari Lal Engineering Limited</t>
        </is>
      </c>
      <c r="E250" s="15" t="inlineStr">
        <is>
          <t>DRHP</t>
        </is>
      </c>
      <c r="F250" s="15" t="inlineStr">
        <is>
          <t>Behari Lal Engineering Limited - DRHP</t>
        </is>
      </c>
      <c r="G250" s="15" t="inlineStr">
        <is>
          <t>IPO launched</t>
        </is>
      </c>
      <c r="H250" s="15" t="inlineStr">
        <is>
          <t>Mainboard</t>
        </is>
      </c>
      <c r="I250" s="16" t="n">
        <v>46246</v>
      </c>
      <c r="J250" s="16" t="n">
        <v>46248</v>
      </c>
      <c r="K250" s="16" t="n">
        <v>46253</v>
      </c>
      <c r="L250" s="17" t="n">
        <v>301.62</v>
      </c>
      <c r="M250" s="17" t="n">
        <v>93</v>
      </c>
      <c r="N250" s="17" t="n">
        <v>208.62</v>
      </c>
      <c r="O250" s="15" t="inlineStr">
        <is>
          <t>Final issue (ipoplatform)</t>
        </is>
      </c>
      <c r="P250" s="15" t="n"/>
      <c r="Q250" s="18" t="inlineStr">
        <is>
          <t>https://www.sebi.gov.in/sebi_data/attachdocs/oct-2025/1759318215777_972.pdf</t>
        </is>
      </c>
      <c r="R250" s="18" t="inlineStr">
        <is>
          <t>https://www.sebi.gov.in/filings/public-issues/oct-2025/behari-lal-engineering-limited-drhp_97003.html</t>
        </is>
      </c>
      <c r="S250" s="15" t="n"/>
      <c r="T250" s="15" t="inlineStr">
        <is>
          <t>Company name + date window</t>
        </is>
      </c>
      <c r="U250" s="15" t="inlineStr">
        <is>
          <t>Behari Lal Engineering Limited</t>
        </is>
      </c>
      <c r="V250" s="15" t="n"/>
      <c r="W250" s="15" t="n"/>
      <c r="X250" s="15" t="n"/>
      <c r="Y250" s="15" t="n"/>
      <c r="Z250" s="15" t="n"/>
      <c r="AA250" s="15" t="n"/>
      <c r="AB250" s="15" t="n"/>
    </row>
    <row r="251" ht="15" customHeight="1" s="12">
      <c r="A251" s="14" t="n">
        <v>250</v>
      </c>
      <c r="B251" s="16" t="n">
        <v>45931</v>
      </c>
      <c r="C251" s="15" t="n">
        <v>2025</v>
      </c>
      <c r="D251" s="15" t="inlineStr">
        <is>
          <t>Aequs Limited</t>
        </is>
      </c>
      <c r="E251" s="15" t="inlineStr">
        <is>
          <t>UDRHP-I</t>
        </is>
      </c>
      <c r="F251" s="15" t="inlineStr">
        <is>
          <t>Aequs Limited - UDRHP-1</t>
        </is>
      </c>
      <c r="G251" s="15" t="inlineStr">
        <is>
          <t>IPO launched</t>
        </is>
      </c>
      <c r="H251" s="15" t="inlineStr">
        <is>
          <t>Mainboard</t>
        </is>
      </c>
      <c r="I251" s="16" t="n">
        <v>45994</v>
      </c>
      <c r="J251" s="16" t="n">
        <v>45996</v>
      </c>
      <c r="K251" s="16" t="n">
        <v>46001</v>
      </c>
      <c r="L251" s="17" t="n">
        <v>921.8099999999999</v>
      </c>
      <c r="M251" s="17" t="n">
        <v>670</v>
      </c>
      <c r="N251" s="17" t="n">
        <v>251.81</v>
      </c>
      <c r="O251" s="15" t="inlineStr">
        <is>
          <t>Final issue (ipoplatform)</t>
        </is>
      </c>
      <c r="P251" s="15" t="n"/>
      <c r="Q251" s="18" t="inlineStr">
        <is>
          <t>https://www.sebi.gov.in/sebi_data/attachdocs/oct-2025/1759310454488.pdf</t>
        </is>
      </c>
      <c r="R251" s="18" t="inlineStr">
        <is>
          <t>https://www.sebi.gov.in/filings/public-issues/oct-2025/aequs-limited-udrhp-1_97000.html</t>
        </is>
      </c>
      <c r="S251" s="15" t="n"/>
      <c r="T251" s="15" t="inlineStr">
        <is>
          <t>Company name + date window</t>
        </is>
      </c>
      <c r="U251" s="15" t="inlineStr">
        <is>
          <t>Aequs Limited</t>
        </is>
      </c>
      <c r="V251" s="15" t="n"/>
      <c r="W251" s="15" t="n"/>
      <c r="X251" s="15" t="n"/>
      <c r="Y251" s="15" t="n"/>
      <c r="Z251" s="15" t="n"/>
      <c r="AA251" s="15" t="n"/>
      <c r="AB251" s="15" t="n"/>
    </row>
    <row r="252" ht="15" customHeight="1" s="12">
      <c r="A252" s="14" t="n">
        <v>251</v>
      </c>
      <c r="B252" s="16" t="n">
        <v>45930</v>
      </c>
      <c r="C252" s="15" t="n">
        <v>2025</v>
      </c>
      <c r="D252" s="15" t="inlineStr">
        <is>
          <t>SHANKESH JEWELLERS LIMITED</t>
        </is>
      </c>
      <c r="E252" s="15" t="inlineStr">
        <is>
          <t>DRHP</t>
        </is>
      </c>
      <c r="F252" s="15" t="inlineStr">
        <is>
          <t>SHANKESH JEWELLERS LIMITED</t>
        </is>
      </c>
      <c r="G252" s="15" t="inlineStr">
        <is>
          <t>IPO launched</t>
        </is>
      </c>
      <c r="H252" s="15" t="inlineStr">
        <is>
          <t>Mainboard</t>
        </is>
      </c>
      <c r="I252" s="16" t="n">
        <v>46252</v>
      </c>
      <c r="J252" s="16" t="n">
        <v>46254</v>
      </c>
      <c r="K252" s="16" t="n">
        <v>46259</v>
      </c>
      <c r="L252" s="17" t="n">
        <v>367.18</v>
      </c>
      <c r="M252" s="17" t="n">
        <v>274.18</v>
      </c>
      <c r="N252" s="17" t="n">
        <v>93</v>
      </c>
      <c r="O252" s="15" t="inlineStr">
        <is>
          <t>Final issue (ipoplatform)</t>
        </is>
      </c>
      <c r="P252" s="15" t="n"/>
      <c r="Q252" s="18" t="inlineStr">
        <is>
          <t>https://www.sebi.gov.in/sebi_data/attachdocs/sep-2025/1759217407843_967.pdf</t>
        </is>
      </c>
      <c r="R252" s="18" t="inlineStr">
        <is>
          <t>https://www.sebi.gov.in/filings/public-issues/sep-2025/shankesh-jewellers-limited_96968.html</t>
        </is>
      </c>
      <c r="S252" s="15" t="n"/>
      <c r="T252" s="15" t="inlineStr">
        <is>
          <t>Company name + date window</t>
        </is>
      </c>
      <c r="U252" s="15" t="inlineStr">
        <is>
          <t>Shankesh Jewellers Limited</t>
        </is>
      </c>
      <c r="V252" s="15" t="n"/>
      <c r="W252" s="15" t="n"/>
      <c r="X252" s="15" t="n"/>
      <c r="Y252" s="15" t="n"/>
      <c r="Z252" s="15" t="n"/>
      <c r="AA252" s="15" t="n"/>
      <c r="AB252" s="15" t="n"/>
    </row>
    <row r="253" ht="15" customHeight="1" s="12">
      <c r="A253" s="14" t="n">
        <v>252</v>
      </c>
      <c r="B253" s="16" t="n">
        <v>45930</v>
      </c>
      <c r="C253" s="15" t="n">
        <v>2025</v>
      </c>
      <c r="D253" s="15" t="inlineStr">
        <is>
          <t>Parijat Industries India Limited</t>
        </is>
      </c>
      <c r="E253" s="15" t="inlineStr">
        <is>
          <t>DRHP</t>
        </is>
      </c>
      <c r="F253" s="15" t="inlineStr">
        <is>
          <t>Parijat Industries India Limited</t>
        </is>
      </c>
      <c r="G253" s="15" t="inlineStr">
        <is>
          <t>Upcoming — IPO not yet opened</t>
        </is>
      </c>
      <c r="H253" s="15" t="n"/>
      <c r="I253" s="16" t="n"/>
      <c r="J253" s="16" t="n"/>
      <c r="K253" s="16" t="n"/>
      <c r="L253" s="17" t="n"/>
      <c r="M253" s="17" t="n"/>
      <c r="N253" s="17" t="n"/>
      <c r="O253" s="15" t="n"/>
      <c r="P253" s="15" t="n"/>
      <c r="Q253" s="18" t="inlineStr">
        <is>
          <t>https://www.sebi.gov.in/sebi_data/attachdocs/sep-2025/1759217407843_966.pdf</t>
        </is>
      </c>
      <c r="R253" s="18" t="inlineStr">
        <is>
          <t>https://www.sebi.gov.in/filings/public-issues/sep-2025/parijat-industries-india-limited_96966.html</t>
        </is>
      </c>
      <c r="S253" s="15" t="n"/>
      <c r="T253" s="15" t="n"/>
      <c r="U253" s="15" t="n"/>
      <c r="V253" s="15" t="n"/>
      <c r="W253" s="16" t="n"/>
      <c r="X253" s="16" t="n"/>
      <c r="Y253" s="16" t="n"/>
      <c r="Z253" s="15" t="inlineStr">
        <is>
          <t>Dates not announced</t>
        </is>
      </c>
      <c r="AA253" s="15" t="inlineStr">
        <is>
          <t>SEBI nod 29-Jan-2026; dates not yet announced</t>
        </is>
      </c>
      <c r="AB253" s="18" t="inlineStr">
        <is>
          <t>https://www.chittorgarh.com/ipo/parijat-industries-ipo/2640/</t>
        </is>
      </c>
    </row>
    <row r="254" ht="15" customHeight="1" s="12">
      <c r="A254" s="14" t="n">
        <v>253</v>
      </c>
      <c r="B254" s="16" t="n">
        <v>45926</v>
      </c>
      <c r="C254" s="15" t="n">
        <v>2025</v>
      </c>
      <c r="D254" s="15" t="inlineStr">
        <is>
          <t>CSM Technologies Limited</t>
        </is>
      </c>
      <c r="E254" s="15" t="inlineStr">
        <is>
          <t>DRHP</t>
        </is>
      </c>
      <c r="F254" s="15" t="inlineStr">
        <is>
          <t>CSM Technologies Limited - DRHP</t>
        </is>
      </c>
      <c r="G254" s="15" t="inlineStr">
        <is>
          <t>IPO launched</t>
        </is>
      </c>
      <c r="H254" s="15" t="inlineStr">
        <is>
          <t>Mainboard</t>
        </is>
      </c>
      <c r="I254" s="16" t="n">
        <v>46197</v>
      </c>
      <c r="J254" s="16" t="n">
        <v>46202</v>
      </c>
      <c r="K254" s="16" t="n">
        <v>46205</v>
      </c>
      <c r="L254" s="17" t="n">
        <v>145.78</v>
      </c>
      <c r="M254" s="17" t="n">
        <v>145.78</v>
      </c>
      <c r="N254" s="17" t="n">
        <v>0</v>
      </c>
      <c r="O254" s="15" t="inlineStr">
        <is>
          <t>Final issue (ipoplatform)</t>
        </is>
      </c>
      <c r="P254" s="15" t="n"/>
      <c r="Q254" s="18" t="inlineStr">
        <is>
          <t>https://www.sebi.gov.in/sebi_data/attachdocs/sep-2025/1759136993582.pdf</t>
        </is>
      </c>
      <c r="R254" s="18" t="inlineStr">
        <is>
          <t>https://www.sebi.gov.in/filings/public-issues/sep-2025/csm-technologies-limited-drhp_96901.html</t>
        </is>
      </c>
      <c r="S254" s="15" t="n"/>
      <c r="T254" s="15" t="inlineStr">
        <is>
          <t>Company name + date window</t>
        </is>
      </c>
      <c r="U254" s="15" t="inlineStr">
        <is>
          <t>Csm Technologies Limited</t>
        </is>
      </c>
      <c r="V254" s="15" t="n"/>
      <c r="W254" s="15" t="n"/>
      <c r="X254" s="15" t="n"/>
      <c r="Y254" s="15" t="n"/>
      <c r="Z254" s="15" t="n"/>
      <c r="AA254" s="15" t="n"/>
      <c r="AB254" s="15" t="n"/>
    </row>
    <row r="255" ht="15" customHeight="1" s="12">
      <c r="A255" s="14" t="n">
        <v>254</v>
      </c>
      <c r="B255" s="16" t="n">
        <v>45926</v>
      </c>
      <c r="C255" s="15" t="n">
        <v>2025</v>
      </c>
      <c r="D255" s="15" t="inlineStr">
        <is>
          <t>MEDICAP HEALTHCARE LIMITED</t>
        </is>
      </c>
      <c r="E255" s="15" t="inlineStr">
        <is>
          <t>DRHP</t>
        </is>
      </c>
      <c r="F255" s="15" t="inlineStr">
        <is>
          <t>MEDICAP HEALTHCARE LIMITED</t>
        </is>
      </c>
      <c r="G255" s="15" t="inlineStr">
        <is>
          <t>Upcoming — IPO not yet opened</t>
        </is>
      </c>
      <c r="H255" s="15" t="n"/>
      <c r="I255" s="16" t="n"/>
      <c r="J255" s="16" t="n"/>
      <c r="K255" s="16" t="n"/>
      <c r="L255" s="17" t="n"/>
      <c r="M255" s="17" t="n"/>
      <c r="N255" s="17" t="n"/>
      <c r="O255" s="15" t="n"/>
      <c r="P255" s="15" t="n"/>
      <c r="Q255" s="18" t="inlineStr">
        <is>
          <t>https://www.sebi.gov.in/sebi_data/attachdocs/sep-2025/1758936615167_957.pdf</t>
        </is>
      </c>
      <c r="R255" s="18" t="inlineStr">
        <is>
          <t>https://www.sebi.gov.in/filings/public-issues/sep-2025/medicap-healthcare-limited_96876.html</t>
        </is>
      </c>
      <c r="S255" s="15" t="n"/>
      <c r="T255" s="15" t="n"/>
      <c r="U255" s="15" t="n"/>
      <c r="V255" s="15" t="n"/>
      <c r="W255" s="16" t="n"/>
      <c r="X255" s="16" t="n"/>
      <c r="Y255" s="16" t="n"/>
      <c r="Z255" s="15" t="inlineStr">
        <is>
          <t>Dates not announced</t>
        </is>
      </c>
      <c r="AA255" s="15" t="inlineStr">
        <is>
          <t>SEBI nod 23-Jan-2026; dates not yet announced</t>
        </is>
      </c>
      <c r="AB255" s="18" t="inlineStr">
        <is>
          <t>https://www.chittorgarh.com/ipo/medicap-healthcare-ipo/2619/</t>
        </is>
      </c>
    </row>
    <row r="256" ht="15" customHeight="1" s="12">
      <c r="A256" s="14" t="n">
        <v>255</v>
      </c>
      <c r="B256" s="16" t="n">
        <v>45926</v>
      </c>
      <c r="C256" s="15" t="n">
        <v>2025</v>
      </c>
      <c r="D256" s="15" t="inlineStr">
        <is>
          <t>Purple Style Labs Limited</t>
        </is>
      </c>
      <c r="E256" s="15" t="inlineStr">
        <is>
          <t>DRHP</t>
        </is>
      </c>
      <c r="F256" s="15" t="inlineStr">
        <is>
          <t>Purple Style Labs Limited</t>
        </is>
      </c>
      <c r="G256" s="15" t="inlineStr">
        <is>
          <t>IPO launched</t>
        </is>
      </c>
      <c r="H256" s="15" t="inlineStr">
        <is>
          <t>Mainboard</t>
        </is>
      </c>
      <c r="I256" s="16" t="n">
        <v>46265</v>
      </c>
      <c r="J256" s="16" t="n">
        <v>46267</v>
      </c>
      <c r="K256" s="16" t="n">
        <v>46272</v>
      </c>
      <c r="L256" s="17" t="n">
        <v>680</v>
      </c>
      <c r="M256" s="17" t="n">
        <v>680</v>
      </c>
      <c r="N256" s="17" t="n">
        <v>0</v>
      </c>
      <c r="O256" s="15" t="inlineStr">
        <is>
          <t>Final issue (ipoplatform)</t>
        </is>
      </c>
      <c r="P256" s="15" t="n"/>
      <c r="Q256" s="18" t="inlineStr">
        <is>
          <t>https://www.sebi.gov.in/sebi_data/attachdocs/sep-2025/1758936615167_956.pdf</t>
        </is>
      </c>
      <c r="R256" s="18" t="inlineStr">
        <is>
          <t>https://www.sebi.gov.in/filings/public-issues/sep-2025/purple-style-labs-limited_96874.html</t>
        </is>
      </c>
      <c r="S256" s="15" t="n"/>
      <c r="T256" s="15" t="inlineStr">
        <is>
          <t>Company name + date window</t>
        </is>
      </c>
      <c r="U256" s="15" t="inlineStr">
        <is>
          <t>Purple Style Labs Limited</t>
        </is>
      </c>
      <c r="V256" s="15" t="n"/>
      <c r="W256" s="15" t="n"/>
      <c r="X256" s="15" t="n"/>
      <c r="Y256" s="15" t="n"/>
      <c r="Z256" s="15" t="n"/>
      <c r="AA256" s="15" t="n"/>
      <c r="AB256" s="15" t="n"/>
    </row>
    <row r="257" ht="15" customHeight="1" s="12">
      <c r="A257" s="14" t="n">
        <v>256</v>
      </c>
      <c r="B257" s="16" t="n">
        <v>45923</v>
      </c>
      <c r="C257" s="15" t="n">
        <v>2025</v>
      </c>
      <c r="D257" s="15" t="inlineStr">
        <is>
          <t>SHRIRAM FOOD INDUSTRY LIMITED</t>
        </is>
      </c>
      <c r="E257" s="15" t="inlineStr">
        <is>
          <t>DRHP</t>
        </is>
      </c>
      <c r="F257" s="15" t="inlineStr">
        <is>
          <t>SHRIRAM FOOD INDUSTRY LIMITED</t>
        </is>
      </c>
      <c r="G257" s="15" t="inlineStr">
        <is>
          <t>Upcoming — IPO not yet opened</t>
        </is>
      </c>
      <c r="H257" s="15" t="n"/>
      <c r="I257" s="16" t="n"/>
      <c r="J257" s="16" t="n"/>
      <c r="K257" s="16" t="n"/>
      <c r="L257" s="17" t="n"/>
      <c r="M257" s="17" t="n"/>
      <c r="N257" s="17" t="n"/>
      <c r="O257" s="15" t="n"/>
      <c r="P257" s="15" t="n"/>
      <c r="Q257" s="18" t="inlineStr">
        <is>
          <t>https://www.sebi.gov.in/sebi_data/attachdocs/sep-2025/1758612610710_953.pdf</t>
        </is>
      </c>
      <c r="R257" s="18" t="inlineStr">
        <is>
          <t>https://www.sebi.gov.in/filings/public-issues/sep-2025/shriram-food-industry-limited_96783.html</t>
        </is>
      </c>
      <c r="S257" s="15" t="n"/>
      <c r="T257" s="15" t="n"/>
      <c r="U257" s="15" t="n"/>
      <c r="V257" s="15" t="n"/>
      <c r="W257" s="16" t="n"/>
      <c r="X257" s="16" t="n"/>
      <c r="Y257" s="16" t="n"/>
      <c r="Z257" s="15" t="inlineStr">
        <is>
          <t>Dates not announced</t>
        </is>
      </c>
      <c r="AA257" s="15" t="inlineStr">
        <is>
          <t>SEBI nod 30-Dec-2025; dates not yet announced</t>
        </is>
      </c>
      <c r="AB257" s="18" t="inlineStr">
        <is>
          <t>https://www.chittorgarh.com/ipo/shriram-food-industry-ipo/2613/</t>
        </is>
      </c>
    </row>
    <row r="258" ht="15" customHeight="1" s="12">
      <c r="A258" s="14" t="n">
        <v>257</v>
      </c>
      <c r="B258" s="16" t="n">
        <v>45919</v>
      </c>
      <c r="C258" s="15" t="n">
        <v>2025</v>
      </c>
      <c r="D258" s="15" t="inlineStr">
        <is>
          <t>Cotec Healthcare Limited</t>
        </is>
      </c>
      <c r="E258" s="15" t="inlineStr">
        <is>
          <t>DRHP</t>
        </is>
      </c>
      <c r="F258" s="15" t="inlineStr">
        <is>
          <t>Cotec Healthcare Limited - DRHP</t>
        </is>
      </c>
      <c r="G258" s="15" t="inlineStr">
        <is>
          <t>Upcoming — IPO not yet opened</t>
        </is>
      </c>
      <c r="H258" s="15" t="n"/>
      <c r="I258" s="16" t="n"/>
      <c r="J258" s="16" t="n"/>
      <c r="K258" s="16" t="n"/>
      <c r="L258" s="17" t="n"/>
      <c r="M258" s="17" t="n"/>
      <c r="N258" s="17" t="n"/>
      <c r="O258" s="15" t="n"/>
      <c r="P258" s="15" t="n"/>
      <c r="Q258" s="18" t="inlineStr">
        <is>
          <t>https://www.sebi.gov.in/sebi_data/attachdocs/sep-2025/1758279614350.pdf</t>
        </is>
      </c>
      <c r="R258" s="18" t="inlineStr">
        <is>
          <t>https://www.sebi.gov.in/filings/public-issues/sep-2025/cotec-healthcare-limited-drhp_96701.html</t>
        </is>
      </c>
      <c r="S258" s="15" t="n"/>
      <c r="T258" s="15" t="n"/>
      <c r="U258" s="15" t="n"/>
      <c r="V258" s="15" t="n"/>
      <c r="W258" s="16" t="n"/>
      <c r="X258" s="16" t="n"/>
      <c r="Y258" s="16" t="n"/>
      <c r="Z258" s="15" t="inlineStr">
        <is>
          <t>Dates not announced</t>
        </is>
      </c>
      <c r="AA258" s="15" t="inlineStr">
        <is>
          <t>SEBI nod 18-May-2026; dates not yet announced</t>
        </is>
      </c>
      <c r="AB258" s="18" t="inlineStr">
        <is>
          <t>https://www.chittorgarh.com/ipo/cotec-healthcare-ipo/2611/</t>
        </is>
      </c>
    </row>
    <row r="259" ht="15" customHeight="1" s="12">
      <c r="A259" s="14" t="n">
        <v>258</v>
      </c>
      <c r="B259" s="16" t="n">
        <v>45917</v>
      </c>
      <c r="C259" s="15" t="n">
        <v>2025</v>
      </c>
      <c r="D259" s="15" t="inlineStr">
        <is>
          <t>Billionbrains Garage Ventures Limited (Groww)</t>
        </is>
      </c>
      <c r="E259" s="15" t="inlineStr">
        <is>
          <t>UDRHP-I</t>
        </is>
      </c>
      <c r="F259" s="15" t="inlineStr">
        <is>
          <t>Billionbrains Garage Ventures Limited (Groww) - UDRHP- 1</t>
        </is>
      </c>
      <c r="G259" s="15" t="inlineStr">
        <is>
          <t>IPO launched</t>
        </is>
      </c>
      <c r="H259" s="15" t="inlineStr">
        <is>
          <t>Mainboard</t>
        </is>
      </c>
      <c r="I259" s="16" t="n">
        <v>45965</v>
      </c>
      <c r="J259" s="16" t="n">
        <v>45968</v>
      </c>
      <c r="K259" s="16" t="n">
        <v>45973</v>
      </c>
      <c r="L259" s="17" t="n">
        <v>6632.3</v>
      </c>
      <c r="M259" s="17" t="n">
        <v>1060</v>
      </c>
      <c r="N259" s="17" t="n">
        <v>5572.3</v>
      </c>
      <c r="O259" s="15" t="inlineStr">
        <is>
          <t>Final issue (ipoplatform)</t>
        </is>
      </c>
      <c r="P259" s="15" t="n"/>
      <c r="Q259" s="18" t="inlineStr">
        <is>
          <t>https://www.sebi.gov.in/sebi_data/attachdocs/sep-2025/1758089866332.pdf</t>
        </is>
      </c>
      <c r="R259" s="18" t="inlineStr">
        <is>
          <t>https://www.sebi.gov.in/filings/public-issues/sep-2025/billionbrains-garage-ventures-limited-groww-udrhp-1_96656.html</t>
        </is>
      </c>
      <c r="S259" s="15" t="n"/>
      <c r="T259" s="15" t="inlineStr">
        <is>
          <t>Company name (close spelling) + date window</t>
        </is>
      </c>
      <c r="U259" s="15" t="inlineStr">
        <is>
          <t>Groww - Billionbrains Garage Ventures Limited</t>
        </is>
      </c>
      <c r="V259" s="15" t="n"/>
      <c r="W259" s="15" t="n"/>
      <c r="X259" s="15" t="n"/>
      <c r="Y259" s="15" t="n"/>
      <c r="Z259" s="15" t="n"/>
      <c r="AA259" s="15" t="n"/>
      <c r="AB259" s="15" t="n"/>
    </row>
    <row r="260" ht="15" customHeight="1" s="12">
      <c r="A260" s="14" t="n">
        <v>259</v>
      </c>
      <c r="B260" s="16" t="n">
        <v>45915</v>
      </c>
      <c r="C260" s="15" t="n">
        <v>2025</v>
      </c>
      <c r="D260" s="15" t="inlineStr">
        <is>
          <t>Chartered Speed Limited</t>
        </is>
      </c>
      <c r="E260" s="15" t="inlineStr">
        <is>
          <t>DRHP</t>
        </is>
      </c>
      <c r="F260" s="15" t="inlineStr">
        <is>
          <t>Chartered Speed Limited - DRHP</t>
        </is>
      </c>
      <c r="G260" s="15" t="inlineStr">
        <is>
          <t>Upcoming — IPO not yet opened</t>
        </is>
      </c>
      <c r="H260" s="15" t="n"/>
      <c r="I260" s="16" t="n"/>
      <c r="J260" s="16" t="n"/>
      <c r="K260" s="16" t="n"/>
      <c r="L260" s="17" t="n"/>
      <c r="M260" s="17" t="n"/>
      <c r="N260" s="17" t="n"/>
      <c r="O260" s="15" t="n"/>
      <c r="P260" s="15" t="n"/>
      <c r="Q260" s="18" t="inlineStr">
        <is>
          <t>https://www.sebi.gov.in/sebi_data/attachdocs/sep-2025/1757932215749.pdf</t>
        </is>
      </c>
      <c r="R260" s="18" t="inlineStr">
        <is>
          <t>https://www.sebi.gov.in/filings/public-issues/sep-2025/chartered-speed-limited-drhp_96608.html</t>
        </is>
      </c>
      <c r="S260" s="15" t="n"/>
      <c r="T260" s="15" t="n"/>
      <c r="U260" s="15" t="n"/>
      <c r="V260" s="15" t="n"/>
      <c r="W260" s="16" t="n"/>
      <c r="X260" s="16" t="n"/>
      <c r="Y260" s="16" t="n"/>
      <c r="Z260" s="15" t="inlineStr">
        <is>
          <t>Dates not announced</t>
        </is>
      </c>
      <c r="AA260" s="15" t="inlineStr">
        <is>
          <t>SEBI nod 2-Jan-2026; Rs855 cr issue; dates not yet announced</t>
        </is>
      </c>
      <c r="AB260" s="18" t="inlineStr">
        <is>
          <t>https://www.chittorgarh.com/ipo/chartered-speed-ipo/2596/</t>
        </is>
      </c>
    </row>
    <row r="261" ht="15" customHeight="1" s="12">
      <c r="A261" s="14" t="n">
        <v>260</v>
      </c>
      <c r="B261" s="16" t="n">
        <v>45915</v>
      </c>
      <c r="C261" s="15" t="n">
        <v>2025</v>
      </c>
      <c r="D261" s="15" t="inlineStr">
        <is>
          <t>Aye finance Limited</t>
        </is>
      </c>
      <c r="E261" s="15" t="inlineStr">
        <is>
          <t>Addendum</t>
        </is>
      </c>
      <c r="F261" s="15" t="inlineStr">
        <is>
          <t>Aye finance Limited - Addendum to DRHP</t>
        </is>
      </c>
      <c r="G261" s="15" t="inlineStr">
        <is>
          <t>IPO launched</t>
        </is>
      </c>
      <c r="H261" s="15" t="inlineStr">
        <is>
          <t>Mainboard</t>
        </is>
      </c>
      <c r="I261" s="16" t="n">
        <v>46062</v>
      </c>
      <c r="J261" s="16" t="n">
        <v>46064</v>
      </c>
      <c r="K261" s="16" t="n">
        <v>46069</v>
      </c>
      <c r="L261" s="17" t="n">
        <v>1010</v>
      </c>
      <c r="M261" s="17" t="n">
        <v>710</v>
      </c>
      <c r="N261" s="17" t="n">
        <v>300</v>
      </c>
      <c r="O261" s="15" t="inlineStr">
        <is>
          <t>Final issue (ipoplatform)</t>
        </is>
      </c>
      <c r="P261" s="15" t="n"/>
      <c r="Q261" s="18" t="inlineStr">
        <is>
          <t>https://www.sebi.gov.in/sebi_data/attachdocs/sep-2025/1757926072065.pdf</t>
        </is>
      </c>
      <c r="R261" s="18" t="inlineStr">
        <is>
          <t>https://www.sebi.gov.in/filings/public-issues/sep-2025/aye-finance-limited-addendum-to-drhp_96607.html</t>
        </is>
      </c>
      <c r="S261" s="15" t="n"/>
      <c r="T261" s="15" t="inlineStr">
        <is>
          <t>Company name + date window</t>
        </is>
      </c>
      <c r="U261" s="15" t="inlineStr">
        <is>
          <t>Aye Finance Limited</t>
        </is>
      </c>
      <c r="V261" s="15" t="n"/>
      <c r="W261" s="15" t="n"/>
      <c r="X261" s="15" t="n"/>
      <c r="Y261" s="15" t="n"/>
      <c r="Z261" s="15" t="n"/>
      <c r="AA261" s="15" t="n"/>
      <c r="AB261" s="15" t="n"/>
    </row>
    <row r="262" ht="15" customHeight="1" s="12">
      <c r="A262" s="14" t="n">
        <v>261</v>
      </c>
      <c r="B262" s="16" t="n">
        <v>45912</v>
      </c>
      <c r="C262" s="15" t="n">
        <v>2025</v>
      </c>
      <c r="D262" s="15" t="inlineStr">
        <is>
          <t>Eldorado Agritech Limited</t>
        </is>
      </c>
      <c r="E262" s="15" t="inlineStr">
        <is>
          <t>DRHP</t>
        </is>
      </c>
      <c r="F262" s="15" t="inlineStr">
        <is>
          <t>Eldorado Agritech Limited - DRHP</t>
        </is>
      </c>
      <c r="G262" s="15" t="inlineStr">
        <is>
          <t>Upcoming — IPO not yet opened</t>
        </is>
      </c>
      <c r="H262" s="15" t="n"/>
      <c r="I262" s="16" t="n"/>
      <c r="J262" s="16" t="n"/>
      <c r="K262" s="16" t="n"/>
      <c r="L262" s="17" t="n"/>
      <c r="M262" s="17" t="n"/>
      <c r="N262" s="17" t="n"/>
      <c r="O262" s="15" t="n"/>
      <c r="P262" s="15" t="n"/>
      <c r="Q262" s="18" t="inlineStr">
        <is>
          <t>https://www.sebi.gov.in/sebi_data/attachdocs/sep-2025/1757668063664.pdf</t>
        </is>
      </c>
      <c r="R262" s="18" t="inlineStr">
        <is>
          <t>https://www.sebi.gov.in/filings/public-issues/sep-2025/eldorado-agritech-limited-drhp_96600.html</t>
        </is>
      </c>
      <c r="S262" s="15" t="n"/>
      <c r="T262" s="15" t="n"/>
      <c r="U262" s="15" t="n"/>
      <c r="V262" s="15" t="n"/>
      <c r="W262" s="16" t="n"/>
      <c r="X262" s="16" t="n"/>
      <c r="Y262" s="16" t="n"/>
      <c r="Z262" s="15" t="inlineStr">
        <is>
          <t>Dates not announced</t>
        </is>
      </c>
      <c r="AA262" s="15" t="inlineStr">
        <is>
          <t>SEBI nod 5-Dec-2025; dates not yet announced</t>
        </is>
      </c>
      <c r="AB262" s="18" t="inlineStr">
        <is>
          <t>https://www.chittorgarh.com/ipo/eldorado-agritech-ipo/2588/</t>
        </is>
      </c>
    </row>
    <row r="263" ht="15" customHeight="1" s="12">
      <c r="A263" s="14" t="n">
        <v>262</v>
      </c>
      <c r="B263" s="16" t="n">
        <v>45911</v>
      </c>
      <c r="C263" s="15" t="n">
        <v>2025</v>
      </c>
      <c r="D263" s="15" t="inlineStr">
        <is>
          <t>RSB Retail India Limited</t>
        </is>
      </c>
      <c r="E263" s="15" t="inlineStr">
        <is>
          <t>Corrigendum</t>
        </is>
      </c>
      <c r="F263" s="15" t="inlineStr">
        <is>
          <t>RSB Retail India Limited - Corrigendum to DRHP</t>
        </is>
      </c>
      <c r="G263" s="15" t="inlineStr">
        <is>
          <t>Upcoming — IPO not yet opened</t>
        </is>
      </c>
      <c r="H263" s="15" t="n"/>
      <c r="I263" s="16" t="n"/>
      <c r="J263" s="16" t="n"/>
      <c r="K263" s="16" t="n"/>
      <c r="L263" s="17" t="n"/>
      <c r="M263" s="17" t="n"/>
      <c r="N263" s="17" t="n"/>
      <c r="O263" s="15" t="n"/>
      <c r="P263" s="15" t="n"/>
      <c r="Q263" s="18" t="inlineStr">
        <is>
          <t>https://www.sebi.gov.in/sebi_data/attachdocs/dec-2025/1765275916503.pdf</t>
        </is>
      </c>
      <c r="R263" s="18" t="inlineStr">
        <is>
          <t>https://www.sebi.gov.in/filings/public-issues/sep-2025/rsb-retail-india-limited-corrigendum-to-drhp_98261.html</t>
        </is>
      </c>
      <c r="S263" s="15" t="n"/>
      <c r="T263" s="15" t="n"/>
      <c r="U263" s="15" t="n"/>
      <c r="V263" s="15" t="n"/>
      <c r="W263" s="16" t="n"/>
      <c r="X263" s="16" t="n"/>
      <c r="Y263" s="16" t="n"/>
      <c r="Z263" s="15" t="inlineStr">
        <is>
          <t>Dates not announced</t>
        </is>
      </c>
      <c r="AA263" s="15" t="inlineStr">
        <is>
          <t>SEBI nod 12-Dec-2025; dates not yet announced</t>
        </is>
      </c>
      <c r="AB263" s="18" t="inlineStr">
        <is>
          <t>https://www.chittorgarh.com/ipo/rsb-retail-india-ipo/2571/</t>
        </is>
      </c>
    </row>
    <row r="264" ht="15" customHeight="1" s="12">
      <c r="A264" s="14" t="n">
        <v>263</v>
      </c>
      <c r="B264" s="16" t="n">
        <v>45911</v>
      </c>
      <c r="C264" s="15" t="n">
        <v>2025</v>
      </c>
      <c r="D264" s="15" t="inlineStr">
        <is>
          <t>GLASS WALL SYSTEMS INDIA LIMITED</t>
        </is>
      </c>
      <c r="E264" s="15" t="inlineStr">
        <is>
          <t>DRHP</t>
        </is>
      </c>
      <c r="F264" s="15" t="inlineStr">
        <is>
          <t>GLASS WALL SYSTEMS INDIA LIMITED</t>
        </is>
      </c>
      <c r="G264" s="15" t="inlineStr">
        <is>
          <t>IPO launched</t>
        </is>
      </c>
      <c r="H264" s="15" t="inlineStr">
        <is>
          <t>Mainboard</t>
        </is>
      </c>
      <c r="I264" s="16" t="n">
        <v>46273</v>
      </c>
      <c r="J264" s="16" t="n">
        <v>46275</v>
      </c>
      <c r="K264" s="16" t="n">
        <v>46281</v>
      </c>
      <c r="L264" s="17" t="n">
        <v>427.89</v>
      </c>
      <c r="M264" s="17" t="n">
        <v>60</v>
      </c>
      <c r="N264" s="17" t="n">
        <v>367.89</v>
      </c>
      <c r="O264" s="15" t="inlineStr">
        <is>
          <t>Final issue (ipoplatform)</t>
        </is>
      </c>
      <c r="P264" s="15" t="n"/>
      <c r="Q264" s="18" t="inlineStr">
        <is>
          <t>https://www.sebi.gov.in/sebi_data/attachdocs/sep-2025/1757590205744_947.pdf</t>
        </is>
      </c>
      <c r="R264" s="18" t="inlineStr">
        <is>
          <t>https://www.sebi.gov.in/filings/public-issues/sep-2025/glass-wall-systems-india-limited_96579.html</t>
        </is>
      </c>
      <c r="S264" s="15" t="n"/>
      <c r="T264" s="15" t="inlineStr">
        <is>
          <t>Company name + date window</t>
        </is>
      </c>
      <c r="U264" s="15" t="inlineStr">
        <is>
          <t>Glass Wall Systems India Limited</t>
        </is>
      </c>
      <c r="V264" s="15" t="n"/>
      <c r="W264" s="15" t="n"/>
      <c r="X264" s="15" t="n"/>
      <c r="Y264" s="15" t="n"/>
      <c r="Z264" s="15" t="n"/>
      <c r="AA264" s="15" t="n"/>
      <c r="AB264" s="15" t="n"/>
    </row>
    <row r="265" ht="15" customHeight="1" s="12">
      <c r="A265" s="14" t="n">
        <v>264</v>
      </c>
      <c r="B265" s="16" t="n">
        <v>45910</v>
      </c>
      <c r="C265" s="15" t="n">
        <v>2025</v>
      </c>
      <c r="D265" s="15" t="inlineStr">
        <is>
          <t>CMR GREEN TECHNOLOGIES LIMITED</t>
        </is>
      </c>
      <c r="E265" s="15" t="inlineStr">
        <is>
          <t>DRHP</t>
        </is>
      </c>
      <c r="F265" s="15" t="inlineStr">
        <is>
          <t>CMR GREEN TECHNOLOGIES LIMITED</t>
        </is>
      </c>
      <c r="G265" s="15" t="inlineStr">
        <is>
          <t>IPO launched</t>
        </is>
      </c>
      <c r="H265" s="15" t="inlineStr">
        <is>
          <t>Mainboard</t>
        </is>
      </c>
      <c r="I265" s="16" t="n">
        <v>46176</v>
      </c>
      <c r="J265" s="16" t="n">
        <v>46178</v>
      </c>
      <c r="K265" s="16" t="n">
        <v>46183</v>
      </c>
      <c r="L265" s="17" t="n">
        <v>630.88</v>
      </c>
      <c r="M265" s="17" t="n"/>
      <c r="N265" s="17" t="n">
        <v>630.88</v>
      </c>
      <c r="O265" s="15" t="inlineStr">
        <is>
          <t>Final issue (ipoplatform)</t>
        </is>
      </c>
      <c r="P265" s="15" t="n"/>
      <c r="Q265" s="18" t="inlineStr">
        <is>
          <t>https://www.sebi.gov.in/sebi_data/attachdocs/sep-2025/1757489405487_946.pdf</t>
        </is>
      </c>
      <c r="R265" s="18" t="inlineStr">
        <is>
          <t>https://www.sebi.gov.in/filings/public-issues/sep-2025/cmr-green-technologies-limited_96516.html</t>
        </is>
      </c>
      <c r="S265" s="15" t="n"/>
      <c r="T265" s="15" t="inlineStr">
        <is>
          <t>Company name + date window</t>
        </is>
      </c>
      <c r="U265" s="15" t="inlineStr">
        <is>
          <t>CMR Green Technologies Limited</t>
        </is>
      </c>
      <c r="V265" s="15" t="n"/>
      <c r="W265" s="15" t="n"/>
      <c r="X265" s="15" t="n"/>
      <c r="Y265" s="15" t="n"/>
      <c r="Z265" s="15" t="n"/>
      <c r="AA265" s="15" t="n"/>
      <c r="AB265" s="15" t="n"/>
    </row>
    <row r="266" ht="15" customHeight="1" s="12">
      <c r="A266" s="14" t="n">
        <v>265</v>
      </c>
      <c r="B266" s="16" t="n">
        <v>45909</v>
      </c>
      <c r="C266" s="15" t="n">
        <v>2025</v>
      </c>
      <c r="D266" s="15" t="inlineStr">
        <is>
          <t>SHIVALAYA CONSTRUCTION LIMITED</t>
        </is>
      </c>
      <c r="E266" s="15" t="inlineStr">
        <is>
          <t>DRHP</t>
        </is>
      </c>
      <c r="F266" s="15" t="inlineStr">
        <is>
          <t>SHIVALAYA CONSTRUCTION LIMITED</t>
        </is>
      </c>
      <c r="G266" s="15" t="inlineStr">
        <is>
          <t>Upcoming — IPO not yet opened</t>
        </is>
      </c>
      <c r="H266" s="15" t="n"/>
      <c r="I266" s="16" t="n"/>
      <c r="J266" s="16" t="n"/>
      <c r="K266" s="16" t="n"/>
      <c r="L266" s="17" t="n"/>
      <c r="M266" s="17" t="n"/>
      <c r="N266" s="17" t="n"/>
      <c r="O266" s="15" t="n"/>
      <c r="P266" s="15" t="n"/>
      <c r="Q266" s="18" t="inlineStr">
        <is>
          <t>https://www.sebi.gov.in/sebi_data/attachdocs/sep-2025/1757417405397_945.pdf</t>
        </is>
      </c>
      <c r="R266" s="18" t="inlineStr">
        <is>
          <t>https://www.sebi.gov.in/filings/public-issues/sep-2025/shivalaya-construction-limited_96495.html</t>
        </is>
      </c>
      <c r="S266" s="15" t="n"/>
      <c r="T266" s="15" t="n"/>
      <c r="U266" s="15" t="n"/>
      <c r="V266" s="15" t="n"/>
      <c r="W266" s="16" t="n"/>
      <c r="X266" s="16" t="n"/>
      <c r="Y266" s="16" t="n"/>
      <c r="Z266" s="15" t="inlineStr">
        <is>
          <t>Dates not announced</t>
        </is>
      </c>
      <c r="AA266" s="15" t="inlineStr">
        <is>
          <t>SEBI nod 24-Dec-2025; dates not yet announced</t>
        </is>
      </c>
      <c r="AB266" s="18" t="inlineStr">
        <is>
          <t>https://www.chittorgarh.com/ipo/shivalaya-construction-ipo/2593/</t>
        </is>
      </c>
    </row>
    <row r="267" ht="15" customHeight="1" s="12">
      <c r="A267" s="14" t="n">
        <v>266</v>
      </c>
      <c r="B267" s="16" t="n">
        <v>45909</v>
      </c>
      <c r="C267" s="15" t="n">
        <v>2025</v>
      </c>
      <c r="D267" s="15" t="inlineStr">
        <is>
          <t>Knack Packaging Limited</t>
        </is>
      </c>
      <c r="E267" s="15" t="inlineStr">
        <is>
          <t>DRHP</t>
        </is>
      </c>
      <c r="F267" s="15" t="inlineStr">
        <is>
          <t>Knack Packaging Limited - DRHP</t>
        </is>
      </c>
      <c r="G267" s="15" t="inlineStr">
        <is>
          <t>IPO launched</t>
        </is>
      </c>
      <c r="H267" s="15" t="inlineStr">
        <is>
          <t>Mainboard</t>
        </is>
      </c>
      <c r="I267" s="16" t="n">
        <v>46204</v>
      </c>
      <c r="J267" s="16" t="n">
        <v>46206</v>
      </c>
      <c r="K267" s="16" t="n">
        <v>46211</v>
      </c>
      <c r="L267" s="17" t="n">
        <v>439.5</v>
      </c>
      <c r="M267" s="17" t="n">
        <v>380</v>
      </c>
      <c r="N267" s="17" t="n">
        <v>59.5</v>
      </c>
      <c r="O267" s="15" t="inlineStr">
        <is>
          <t>Final issue (ipoplatform)</t>
        </is>
      </c>
      <c r="P267" s="15" t="n"/>
      <c r="Q267" s="18" t="inlineStr">
        <is>
          <t>https://www.sebi.gov.in/sebi_data/attachdocs/sep-2025/1757416257155.pdf</t>
        </is>
      </c>
      <c r="R267" s="18" t="inlineStr">
        <is>
          <t>https://www.sebi.gov.in/filings/public-issues/sep-2025/knack-packaging-limited-drhp_96482.html</t>
        </is>
      </c>
      <c r="S267" s="15" t="n"/>
      <c r="T267" s="15" t="inlineStr">
        <is>
          <t>Company name + date window</t>
        </is>
      </c>
      <c r="U267" s="15" t="inlineStr">
        <is>
          <t>Knack Packaging Limited</t>
        </is>
      </c>
      <c r="V267" s="15" t="n"/>
      <c r="W267" s="15" t="n"/>
      <c r="X267" s="15" t="n"/>
      <c r="Y267" s="15" t="n"/>
      <c r="Z267" s="15" t="n"/>
      <c r="AA267" s="15" t="n"/>
      <c r="AB267" s="15" t="n"/>
    </row>
    <row r="268" ht="15" customHeight="1" s="12">
      <c r="A268" s="14" t="n">
        <v>267</v>
      </c>
      <c r="B268" s="16" t="n">
        <v>45909</v>
      </c>
      <c r="C268" s="15" t="n">
        <v>2025</v>
      </c>
      <c r="D268" s="15" t="inlineStr">
        <is>
          <t>SFC ENVIRONMENTAL TECHNOLOGIES LIMITED</t>
        </is>
      </c>
      <c r="E268" s="15" t="inlineStr">
        <is>
          <t>DRHP</t>
        </is>
      </c>
      <c r="F268" s="15" t="inlineStr">
        <is>
          <t>SFC ENVIRONMENTAL TECHNOLOGIES LIMITED</t>
        </is>
      </c>
      <c r="G268" s="15" t="inlineStr">
        <is>
          <t>Upcoming — IPO not yet opened</t>
        </is>
      </c>
      <c r="H268" s="15" t="n"/>
      <c r="I268" s="16" t="n"/>
      <c r="J268" s="16" t="n"/>
      <c r="K268" s="16" t="n"/>
      <c r="L268" s="17" t="n"/>
      <c r="M268" s="17" t="n"/>
      <c r="N268" s="17" t="n"/>
      <c r="O268" s="15" t="n"/>
      <c r="P268" s="15" t="n"/>
      <c r="Q268" s="18" t="inlineStr">
        <is>
          <t>https://www.sebi.gov.in/sebi_data/attachdocs/sep-2025/1757403007624_943.pdf</t>
        </is>
      </c>
      <c r="R268" s="18" t="inlineStr">
        <is>
          <t>https://www.sebi.gov.in/filings/public-issues/sep-2025/sfc-environmental-technologies-limited_96473.html</t>
        </is>
      </c>
      <c r="S268" s="15" t="n"/>
      <c r="T268" s="15" t="n"/>
      <c r="U268" s="15" t="n"/>
      <c r="V268" s="15" t="n"/>
      <c r="W268" s="16" t="n"/>
      <c r="X268" s="16" t="n"/>
      <c r="Y268" s="16" t="n"/>
      <c r="Z268" s="15" t="inlineStr">
        <is>
          <t>Dates not announced</t>
        </is>
      </c>
      <c r="AA268" s="15" t="inlineStr">
        <is>
          <t>SEBI nod 12-Dec-2025; refiled Sep-2025 after earlier withdrawal; dates not announced</t>
        </is>
      </c>
      <c r="AB268" s="18" t="inlineStr">
        <is>
          <t>https://www.chittorgarh.com/ipo/sfc-environmental-technologies-ipo/2070/</t>
        </is>
      </c>
    </row>
    <row r="269" ht="15" customHeight="1" s="12">
      <c r="A269" s="14" t="n">
        <v>268</v>
      </c>
      <c r="B269" s="16" t="n">
        <v>45909</v>
      </c>
      <c r="C269" s="15" t="n">
        <v>2025</v>
      </c>
      <c r="D269" s="15" t="inlineStr">
        <is>
          <t>Physicswallah Limited</t>
        </is>
      </c>
      <c r="E269" s="15" t="inlineStr">
        <is>
          <t>UDRHP-I</t>
        </is>
      </c>
      <c r="F269" s="15" t="inlineStr">
        <is>
          <t>Physicswallah Limited UDRHP-1</t>
        </is>
      </c>
      <c r="G269" s="15" t="inlineStr">
        <is>
          <t>IPO launched</t>
        </is>
      </c>
      <c r="H269" s="15" t="inlineStr">
        <is>
          <t>Mainboard</t>
        </is>
      </c>
      <c r="I269" s="16" t="n">
        <v>45972</v>
      </c>
      <c r="J269" s="16" t="n">
        <v>45974</v>
      </c>
      <c r="K269" s="16" t="n">
        <v>45979</v>
      </c>
      <c r="L269" s="17" t="n">
        <v>3480</v>
      </c>
      <c r="M269" s="17" t="n">
        <v>3100</v>
      </c>
      <c r="N269" s="17" t="n">
        <v>380</v>
      </c>
      <c r="O269" s="15" t="inlineStr">
        <is>
          <t>Final issue (ipoplatform)</t>
        </is>
      </c>
      <c r="P269" s="15" t="n"/>
      <c r="Q269" s="18" t="inlineStr">
        <is>
          <t>https://www.sebi.gov.in/sebi_data/attachdocs/sep-2025/1757394692994.pdf</t>
        </is>
      </c>
      <c r="R269" s="18" t="inlineStr">
        <is>
          <t>https://www.sebi.gov.in/filings/public-issues/sep-2025/physicswallah-limited-udrhp-1_96466.html</t>
        </is>
      </c>
      <c r="S269" s="15" t="n"/>
      <c r="T269" s="15" t="inlineStr">
        <is>
          <t>Company name + date window</t>
        </is>
      </c>
      <c r="U269" s="15" t="inlineStr">
        <is>
          <t>Physics Wallah Limited</t>
        </is>
      </c>
      <c r="V269" s="15" t="n"/>
      <c r="W269" s="15" t="n"/>
      <c r="X269" s="15" t="n"/>
      <c r="Y269" s="15" t="n"/>
      <c r="Z269" s="15" t="n"/>
      <c r="AA269" s="15" t="n"/>
      <c r="AB269" s="15" t="n"/>
    </row>
    <row r="270" ht="15" customHeight="1" s="12">
      <c r="A270" s="14" t="n">
        <v>269</v>
      </c>
      <c r="B270" s="16" t="n">
        <v>45905</v>
      </c>
      <c r="C270" s="15" t="n">
        <v>2025</v>
      </c>
      <c r="D270" s="15" t="inlineStr">
        <is>
          <t>Supreet Chemicals Limited</t>
        </is>
      </c>
      <c r="E270" s="15" t="inlineStr">
        <is>
          <t>DRHP</t>
        </is>
      </c>
      <c r="F270" s="15" t="inlineStr">
        <is>
          <t>Supreet Chemicals Limited - DRHP</t>
        </is>
      </c>
      <c r="G270" s="15" t="inlineStr">
        <is>
          <t>Upcoming — IPO not yet opened</t>
        </is>
      </c>
      <c r="H270" s="15" t="n"/>
      <c r="I270" s="16" t="n"/>
      <c r="J270" s="16" t="n"/>
      <c r="K270" s="16" t="n"/>
      <c r="L270" s="17" t="n"/>
      <c r="M270" s="17" t="n"/>
      <c r="N270" s="17" t="n"/>
      <c r="O270" s="15" t="n"/>
      <c r="P270" s="15" t="n"/>
      <c r="Q270" s="18" t="inlineStr">
        <is>
          <t>https://www.sebi.gov.in/sebi_data/attachdocs/sep-2025/1758514124562.pdf</t>
        </is>
      </c>
      <c r="R270" s="18" t="inlineStr">
        <is>
          <t>https://www.sebi.gov.in/filings/public-issues/sep-2025/supreet-chemicals-limited-drhp_96737.html</t>
        </is>
      </c>
      <c r="S270" s="15" t="n"/>
      <c r="T270" s="15" t="n"/>
      <c r="U270" s="15" t="n"/>
      <c r="V270" s="15" t="n"/>
      <c r="W270" s="16" t="n"/>
      <c r="X270" s="16" t="n"/>
      <c r="Y270" s="16" t="n"/>
      <c r="Z270" s="15" t="inlineStr">
        <is>
          <t>Dates not announced</t>
        </is>
      </c>
      <c r="AA270" s="15" t="inlineStr">
        <is>
          <t>SEBI nod 16-Jan-2026; Rs499cr fresh issue; dates not yet announced</t>
        </is>
      </c>
      <c r="AB270" s="18" t="inlineStr">
        <is>
          <t>https://www.chittorgarh.com/ipo/supreet-chemicals-ipo/2598/</t>
        </is>
      </c>
    </row>
    <row r="271" ht="15" customHeight="1" s="12">
      <c r="A271" s="14" t="n">
        <v>270</v>
      </c>
      <c r="B271" s="16" t="n">
        <v>45905</v>
      </c>
      <c r="C271" s="15" t="n">
        <v>2025</v>
      </c>
      <c r="D271" s="15" t="inlineStr">
        <is>
          <t>Hy-Tech Engineers Limited</t>
        </is>
      </c>
      <c r="E271" s="15" t="inlineStr">
        <is>
          <t>DRHP</t>
        </is>
      </c>
      <c r="F271" s="15" t="inlineStr">
        <is>
          <t>Hy-Tech Engineers Limited - DRHP</t>
        </is>
      </c>
      <c r="G271" s="15" t="inlineStr">
        <is>
          <t>IPO launched</t>
        </is>
      </c>
      <c r="H271" s="15" t="inlineStr">
        <is>
          <t>Mainboard</t>
        </is>
      </c>
      <c r="I271" s="16" t="n">
        <v>46258</v>
      </c>
      <c r="J271" s="16" t="n">
        <v>46261</v>
      </c>
      <c r="K271" s="16" t="n">
        <v>46266</v>
      </c>
      <c r="L271" s="17" t="n">
        <v>135.73</v>
      </c>
      <c r="M271" s="17" t="n">
        <v>60</v>
      </c>
      <c r="N271" s="17" t="n">
        <v>75.73</v>
      </c>
      <c r="O271" s="15" t="inlineStr">
        <is>
          <t>Final issue (ipoplatform)</t>
        </is>
      </c>
      <c r="P271" s="15" t="n"/>
      <c r="Q271" s="18" t="inlineStr">
        <is>
          <t>https://www.sebi.gov.in/sebi_data/attachdocs/sep-2025/1757483163801.pdf</t>
        </is>
      </c>
      <c r="R271" s="18" t="inlineStr">
        <is>
          <t>https://www.sebi.gov.in/filings/public-issues/sep-2025/hy-tech-engineers-limited-drhp_96514.html</t>
        </is>
      </c>
      <c r="S271" s="15" t="n"/>
      <c r="T271" s="15" t="inlineStr">
        <is>
          <t>Company name + date window</t>
        </is>
      </c>
      <c r="U271" s="15" t="inlineStr">
        <is>
          <t>Hytech Engineers Limited</t>
        </is>
      </c>
      <c r="V271" s="15" t="n"/>
      <c r="W271" s="15" t="n"/>
      <c r="X271" s="15" t="n"/>
      <c r="Y271" s="15" t="n"/>
      <c r="Z271" s="15" t="n"/>
      <c r="AA271" s="15" t="n"/>
      <c r="AB271" s="15" t="n"/>
    </row>
    <row r="272" ht="15" customHeight="1" s="12">
      <c r="A272" s="14" t="n">
        <v>271</v>
      </c>
      <c r="B272" s="16" t="n">
        <v>45905</v>
      </c>
      <c r="C272" s="15" t="n">
        <v>2025</v>
      </c>
      <c r="D272" s="15" t="inlineStr">
        <is>
          <t>ukb electronis limited</t>
        </is>
      </c>
      <c r="E272" s="15" t="inlineStr">
        <is>
          <t>DRHP</t>
        </is>
      </c>
      <c r="F272" s="15" t="inlineStr">
        <is>
          <t>ukb electronis limited</t>
        </is>
      </c>
      <c r="G272" s="15" t="inlineStr">
        <is>
          <t>Upcoming — IPO not yet opened</t>
        </is>
      </c>
      <c r="H272" s="15" t="n"/>
      <c r="I272" s="16" t="n"/>
      <c r="J272" s="16" t="n"/>
      <c r="K272" s="16" t="n"/>
      <c r="L272" s="17" t="n"/>
      <c r="M272" s="17" t="n"/>
      <c r="N272" s="17" t="n"/>
      <c r="O272" s="15" t="n"/>
      <c r="P272" s="15" t="n"/>
      <c r="Q272" s="18" t="inlineStr">
        <is>
          <t>https://www.sebi.gov.in/sebi_data/attachdocs/sep-2025/1757122205056_940.pdf</t>
        </is>
      </c>
      <c r="R272" s="18" t="inlineStr">
        <is>
          <t>https://www.sebi.gov.in/filings/public-issues/sep-2025/ukb-electronis-limited_96456.html</t>
        </is>
      </c>
      <c r="S272" s="15" t="n"/>
      <c r="T272" s="15" t="n"/>
      <c r="U272" s="15" t="n"/>
      <c r="V272" s="15" t="n"/>
      <c r="W272" s="16" t="n"/>
      <c r="X272" s="16" t="n"/>
      <c r="Y272" s="16" t="n"/>
      <c r="Z272" s="15" t="inlineStr">
        <is>
          <t>Dates not announced</t>
        </is>
      </c>
      <c r="AA272" s="15" t="inlineStr">
        <is>
          <t>SEBI nod 23-Jan-2026; Rs800 cr issue; dates not yet announced</t>
        </is>
      </c>
      <c r="AB272" s="18" t="inlineStr">
        <is>
          <t>https://www.chittorgarh.com/ipo/ukb-electronics-ipo/2587/</t>
        </is>
      </c>
    </row>
    <row r="273" ht="15" customHeight="1" s="12">
      <c r="A273" s="14" t="n">
        <v>272</v>
      </c>
      <c r="B273" s="16" t="n">
        <v>45902</v>
      </c>
      <c r="C273" s="15" t="n">
        <v>2025</v>
      </c>
      <c r="D273" s="15" t="inlineStr">
        <is>
          <t>LEAP INDIA LIMITED</t>
        </is>
      </c>
      <c r="E273" s="15" t="inlineStr">
        <is>
          <t>DRHP</t>
        </is>
      </c>
      <c r="F273" s="15" t="inlineStr">
        <is>
          <t>LEAP INDIA LIMITED</t>
        </is>
      </c>
      <c r="G273" s="15" t="inlineStr">
        <is>
          <t>IPO launched</t>
        </is>
      </c>
      <c r="H273" s="15" t="inlineStr">
        <is>
          <t>Mainboard</t>
        </is>
      </c>
      <c r="I273" s="16" t="n">
        <v>46241</v>
      </c>
      <c r="J273" s="16" t="n">
        <v>46245</v>
      </c>
      <c r="K273" s="16" t="n">
        <v>46248</v>
      </c>
      <c r="L273" s="17" t="n">
        <v>2480</v>
      </c>
      <c r="M273" s="17" t="n">
        <v>480</v>
      </c>
      <c r="N273" s="17" t="n">
        <v>2000</v>
      </c>
      <c r="O273" s="15" t="inlineStr">
        <is>
          <t>Final issue (ipoplatform)</t>
        </is>
      </c>
      <c r="P273" s="15" t="n"/>
      <c r="Q273" s="18" t="inlineStr">
        <is>
          <t>https://www.sebi.gov.in/sebi_data/attachdocs/sep-2025/1756798204736_932.pdf</t>
        </is>
      </c>
      <c r="R273" s="18" t="inlineStr">
        <is>
          <t>https://www.sebi.gov.in/filings/public-issues/sep-2025/leap-india-limited_96378.html</t>
        </is>
      </c>
      <c r="S273" s="15" t="n"/>
      <c r="T273" s="15" t="inlineStr">
        <is>
          <t>Company name + date window</t>
        </is>
      </c>
      <c r="U273" s="15" t="inlineStr">
        <is>
          <t>Leap India Limited</t>
        </is>
      </c>
      <c r="V273" s="15" t="n"/>
      <c r="W273" s="15" t="n"/>
      <c r="X273" s="15" t="n"/>
      <c r="Y273" s="15" t="n"/>
      <c r="Z273" s="15" t="n"/>
      <c r="AA273" s="15" t="n"/>
      <c r="AB273" s="15" t="n"/>
    </row>
    <row r="274" ht="15" customHeight="1" s="12">
      <c r="A274" s="14" t="n">
        <v>273</v>
      </c>
      <c r="B274" s="16" t="n">
        <v>45898</v>
      </c>
      <c r="C274" s="15" t="n">
        <v>2025</v>
      </c>
      <c r="D274" s="15" t="inlineStr">
        <is>
          <t>Molbio Diagnostics Limited</t>
        </is>
      </c>
      <c r="E274" s="15" t="inlineStr">
        <is>
          <t>DRHP</t>
        </is>
      </c>
      <c r="F274" s="15" t="inlineStr">
        <is>
          <t>Molbio Diagnostics Limited - DRHP</t>
        </is>
      </c>
      <c r="G274" s="15" t="inlineStr">
        <is>
          <t>IPO launched</t>
        </is>
      </c>
      <c r="H274" s="15" t="inlineStr">
        <is>
          <t>Mainboard</t>
        </is>
      </c>
      <c r="I274" s="16" t="n">
        <v>46244</v>
      </c>
      <c r="J274" s="16" t="n">
        <v>46246</v>
      </c>
      <c r="K274" s="16" t="n">
        <v>46251</v>
      </c>
      <c r="L274" s="17" t="n">
        <v>939.7</v>
      </c>
      <c r="M274" s="17" t="n">
        <v>200</v>
      </c>
      <c r="N274" s="17" t="n">
        <v>739.7</v>
      </c>
      <c r="O274" s="15" t="inlineStr">
        <is>
          <t>Final issue (ipoplatform)</t>
        </is>
      </c>
      <c r="P274" s="15" t="n"/>
      <c r="Q274" s="18" t="inlineStr">
        <is>
          <t>https://www.sebi.gov.in/sebi_data/attachdocs/aug-2025/1756449734699.pdf</t>
        </is>
      </c>
      <c r="R274" s="18" t="inlineStr">
        <is>
          <t>https://www.sebi.gov.in/filings/public-issues/aug-2025/molbio-diagnostics-limited-drhp_96343.html</t>
        </is>
      </c>
      <c r="S274" s="15" t="n"/>
      <c r="T274" s="15" t="inlineStr">
        <is>
          <t>Company name + date window</t>
        </is>
      </c>
      <c r="U274" s="15" t="inlineStr">
        <is>
          <t>Molbio Diagnostics Limited</t>
        </is>
      </c>
      <c r="V274" s="15" t="n"/>
      <c r="W274" s="15" t="n"/>
      <c r="X274" s="15" t="n"/>
      <c r="Y274" s="15" t="n"/>
      <c r="Z274" s="15" t="n"/>
      <c r="AA274" s="15" t="n"/>
      <c r="AB274" s="15" t="n"/>
    </row>
    <row r="275" ht="15" customHeight="1" s="12">
      <c r="A275" s="14" t="n">
        <v>274</v>
      </c>
      <c r="B275" s="16" t="n">
        <v>45894</v>
      </c>
      <c r="C275" s="15" t="n">
        <v>2025</v>
      </c>
      <c r="D275" s="15" t="inlineStr">
        <is>
          <t>ONEMI TECHNOLOGY SOLUTIONS LIMITED</t>
        </is>
      </c>
      <c r="E275" s="15" t="inlineStr">
        <is>
          <t>DRHP</t>
        </is>
      </c>
      <c r="F275" s="15" t="inlineStr">
        <is>
          <t>ONEMI TECHNOLOGY SOLUTIONS LIMITED</t>
        </is>
      </c>
      <c r="G275" s="15" t="inlineStr">
        <is>
          <t>IPO launched</t>
        </is>
      </c>
      <c r="H275" s="15" t="inlineStr">
        <is>
          <t>Mainboard</t>
        </is>
      </c>
      <c r="I275" s="16" t="n">
        <v>46142</v>
      </c>
      <c r="J275" s="16" t="n">
        <v>46147</v>
      </c>
      <c r="K275" s="16" t="n">
        <v>46150</v>
      </c>
      <c r="L275" s="17" t="n">
        <v>925.92</v>
      </c>
      <c r="M275" s="17" t="n">
        <v>850</v>
      </c>
      <c r="N275" s="17" t="n">
        <v>75.92</v>
      </c>
      <c r="O275" s="15" t="inlineStr">
        <is>
          <t>Final issue (ipoplatform)</t>
        </is>
      </c>
      <c r="P275" s="15" t="n"/>
      <c r="Q275" s="18" t="inlineStr">
        <is>
          <t>https://www.sebi.gov.in/sebi_data/attachdocs/aug-2025/1756107066531_929.pdf</t>
        </is>
      </c>
      <c r="R275" s="18" t="inlineStr">
        <is>
          <t>https://www.sebi.gov.in/filings/public-issues/aug-2025/onemi-technology-solutions-limited_96285.html</t>
        </is>
      </c>
      <c r="S275" s="15" t="n"/>
      <c r="T275" s="15" t="inlineStr">
        <is>
          <t>Company name + date window</t>
        </is>
      </c>
      <c r="U275" s="15" t="inlineStr">
        <is>
          <t>Onemi Technology (Kissht) Solutions Limited</t>
        </is>
      </c>
      <c r="V275" s="15" t="n"/>
      <c r="W275" s="15" t="n"/>
      <c r="X275" s="15" t="n"/>
      <c r="Y275" s="15" t="n"/>
      <c r="Z275" s="15" t="n"/>
      <c r="AA275" s="15" t="n"/>
      <c r="AB275" s="15" t="n"/>
    </row>
    <row r="276" ht="15" customHeight="1" s="12">
      <c r="A276" s="14" t="n">
        <v>275</v>
      </c>
      <c r="B276" s="16" t="n">
        <v>45894</v>
      </c>
      <c r="C276" s="15" t="n">
        <v>2025</v>
      </c>
      <c r="D276" s="15" t="inlineStr">
        <is>
          <t>RSB RETAIL INDIA LIMITED</t>
        </is>
      </c>
      <c r="E276" s="15" t="inlineStr">
        <is>
          <t>DRHP</t>
        </is>
      </c>
      <c r="F276" s="15" t="inlineStr">
        <is>
          <t>RSB RETAIL INDIA LIMITED</t>
        </is>
      </c>
      <c r="G276" s="15" t="inlineStr">
        <is>
          <t>Upcoming — IPO not yet opened</t>
        </is>
      </c>
      <c r="H276" s="15" t="n"/>
      <c r="I276" s="16" t="n"/>
      <c r="J276" s="16" t="n"/>
      <c r="K276" s="16" t="n"/>
      <c r="L276" s="17" t="n"/>
      <c r="M276" s="17" t="n"/>
      <c r="N276" s="17" t="n"/>
      <c r="O276" s="15" t="n"/>
      <c r="P276" s="15" t="n"/>
      <c r="Q276" s="18" t="inlineStr">
        <is>
          <t>https://www.sebi.gov.in/sebi_data/attachdocs/aug-2025/1756107066531_928.pdf</t>
        </is>
      </c>
      <c r="R276" s="18" t="inlineStr">
        <is>
          <t>https://www.sebi.gov.in/filings/public-issues/aug-2025/rsb-retail-india-limited_96283.html</t>
        </is>
      </c>
      <c r="S276" s="15" t="n"/>
      <c r="T276" s="15" t="n"/>
      <c r="U276" s="15" t="n"/>
      <c r="V276" s="15" t="n"/>
      <c r="W276" s="16" t="n"/>
      <c r="X276" s="16" t="n"/>
      <c r="Y276" s="16" t="n"/>
      <c r="Z276" s="15" t="inlineStr">
        <is>
          <t>Dates not announced</t>
        </is>
      </c>
      <c r="AA276" s="15" t="inlineStr">
        <is>
          <t>SEBI nod 12-Dec-2025; dates not yet announced</t>
        </is>
      </c>
      <c r="AB276" s="18" t="inlineStr">
        <is>
          <t>https://www.chittorgarh.com/ipo/rsb-retail-india-ipo/2571/</t>
        </is>
      </c>
    </row>
    <row r="277" ht="15" customHeight="1" s="12">
      <c r="A277" s="14" t="n">
        <v>276</v>
      </c>
      <c r="B277" s="16" t="n">
        <v>45894</v>
      </c>
      <c r="C277" s="15" t="n">
        <v>2025</v>
      </c>
      <c r="D277" s="15" t="inlineStr">
        <is>
          <t>LOHIA CORP LIMITED</t>
        </is>
      </c>
      <c r="E277" s="15" t="inlineStr">
        <is>
          <t>DRHP</t>
        </is>
      </c>
      <c r="F277" s="15" t="inlineStr">
        <is>
          <t>LOHIA CORP LIMITED</t>
        </is>
      </c>
      <c r="G277" s="15" t="inlineStr">
        <is>
          <t>IPO launched</t>
        </is>
      </c>
      <c r="H277" s="15" t="inlineStr">
        <is>
          <t>Mainboard</t>
        </is>
      </c>
      <c r="I277" s="16" t="n">
        <v>46226</v>
      </c>
      <c r="J277" s="16" t="n">
        <v>46230</v>
      </c>
      <c r="K277" s="16" t="n">
        <v>46233</v>
      </c>
      <c r="L277" s="17" t="n">
        <v>1101.28</v>
      </c>
      <c r="M277" s="17" t="n"/>
      <c r="N277" s="17" t="n">
        <v>1101.28</v>
      </c>
      <c r="O277" s="15" t="inlineStr">
        <is>
          <t>Final issue (ipoplatform)</t>
        </is>
      </c>
      <c r="P277" s="15" t="n"/>
      <c r="Q277" s="18" t="inlineStr">
        <is>
          <t>https://www.sebi.gov.in/sebi_data/attachdocs/aug-2025/1756107066531_923.pdf</t>
        </is>
      </c>
      <c r="R277" s="18" t="inlineStr">
        <is>
          <t>https://www.sebi.gov.in/filings/public-issues/aug-2025/lohia-corp-limited_96273.html</t>
        </is>
      </c>
      <c r="S277" s="15" t="n"/>
      <c r="T277" s="15" t="inlineStr">
        <is>
          <t>Company name + date window</t>
        </is>
      </c>
      <c r="U277" s="15" t="inlineStr">
        <is>
          <t>Lohia Corp Limited</t>
        </is>
      </c>
      <c r="V277" s="15" t="n"/>
      <c r="W277" s="15" t="n"/>
      <c r="X277" s="15" t="n"/>
      <c r="Y277" s="15" t="n"/>
      <c r="Z277" s="15" t="n"/>
      <c r="AA277" s="15" t="n"/>
      <c r="AB277" s="15" t="n"/>
    </row>
    <row r="278" ht="15" customHeight="1" s="12">
      <c r="A278" s="14" t="n">
        <v>277</v>
      </c>
      <c r="B278" s="16" t="n">
        <v>45894</v>
      </c>
      <c r="C278" s="15" t="n">
        <v>2025</v>
      </c>
      <c r="D278" s="15" t="inlineStr">
        <is>
          <t>Fractal Analytics Limited</t>
        </is>
      </c>
      <c r="E278" s="15" t="inlineStr">
        <is>
          <t>DRHP</t>
        </is>
      </c>
      <c r="F278" s="15" t="inlineStr">
        <is>
          <t>Fractal Analytics Limited</t>
        </is>
      </c>
      <c r="G278" s="15" t="inlineStr">
        <is>
          <t>IPO launched</t>
        </is>
      </c>
      <c r="H278" s="15" t="inlineStr">
        <is>
          <t>Mainboard</t>
        </is>
      </c>
      <c r="I278" s="16" t="n">
        <v>46062</v>
      </c>
      <c r="J278" s="16" t="n">
        <v>46064</v>
      </c>
      <c r="K278" s="16" t="n">
        <v>46069</v>
      </c>
      <c r="L278" s="17" t="n">
        <v>2833.9</v>
      </c>
      <c r="M278" s="17" t="n">
        <v>1023.5</v>
      </c>
      <c r="N278" s="17" t="n">
        <v>1810.4</v>
      </c>
      <c r="O278" s="15" t="inlineStr">
        <is>
          <t>Final issue (ipoplatform)</t>
        </is>
      </c>
      <c r="P278" s="15" t="n"/>
      <c r="Q278" s="18" t="inlineStr">
        <is>
          <t>https://www.sebi.gov.in/sebi_data/attachdocs/aug-2025/1756107066531_922.pdf</t>
        </is>
      </c>
      <c r="R278" s="18" t="inlineStr">
        <is>
          <t>https://www.sebi.gov.in/filings/public-issues/aug-2025/fractal-analytics-limited_96271.html</t>
        </is>
      </c>
      <c r="S278" s="15" t="n"/>
      <c r="T278" s="15" t="inlineStr">
        <is>
          <t>Company name + date window</t>
        </is>
      </c>
      <c r="U278" s="15" t="inlineStr">
        <is>
          <t>Fractal Analytics Limited</t>
        </is>
      </c>
      <c r="V278" s="15" t="n"/>
      <c r="W278" s="15" t="n"/>
      <c r="X278" s="15" t="n"/>
      <c r="Y278" s="15" t="n"/>
      <c r="Z278" s="15" t="n"/>
      <c r="AA278" s="15" t="n"/>
      <c r="AB278" s="15" t="n"/>
    </row>
    <row r="279" ht="15" customHeight="1" s="12">
      <c r="A279" s="14" t="n">
        <v>278</v>
      </c>
      <c r="B279" s="16" t="n">
        <v>45891</v>
      </c>
      <c r="C279" s="15" t="n">
        <v>2025</v>
      </c>
      <c r="D279" s="15" t="inlineStr">
        <is>
          <t>CLEAN MAX ENVIRO ENERGY SOLUTIONS LIMITED</t>
        </is>
      </c>
      <c r="E279" s="15" t="inlineStr">
        <is>
          <t>DRHP</t>
        </is>
      </c>
      <c r="F279" s="15" t="inlineStr">
        <is>
          <t>CLEAN MAX ENVIRO ENERGY SOLUTIONS LIMITED</t>
        </is>
      </c>
      <c r="G279" s="15" t="inlineStr">
        <is>
          <t>IPO launched</t>
        </is>
      </c>
      <c r="H279" s="15" t="inlineStr">
        <is>
          <t>Mainboard</t>
        </is>
      </c>
      <c r="I279" s="16" t="n">
        <v>46076</v>
      </c>
      <c r="J279" s="16" t="n">
        <v>46078</v>
      </c>
      <c r="K279" s="16" t="n">
        <v>46083</v>
      </c>
      <c r="L279" s="17" t="n">
        <v>5200</v>
      </c>
      <c r="M279" s="17" t="n">
        <v>1500</v>
      </c>
      <c r="N279" s="17" t="n">
        <v>3700</v>
      </c>
      <c r="O279" s="15" t="inlineStr">
        <is>
          <t>Final issue (ipoplatform)</t>
        </is>
      </c>
      <c r="P279" s="15" t="n"/>
      <c r="Q279" s="18" t="inlineStr">
        <is>
          <t>https://www.sebi.gov.in/sebi_data/attachdocs/aug-2025/1755847805524_921.pdf</t>
        </is>
      </c>
      <c r="R279" s="18" t="inlineStr">
        <is>
          <t>https://www.sebi.gov.in/filings/public-issues/aug-2025/clean-max-enviro-energy-solutions-limited_96203.html</t>
        </is>
      </c>
      <c r="S279" s="15" t="n"/>
      <c r="T279" s="15" t="inlineStr">
        <is>
          <t>Company name + date window</t>
        </is>
      </c>
      <c r="U279" s="15" t="inlineStr">
        <is>
          <t>Clean Max Enviro Energy Solutions Limited</t>
        </is>
      </c>
      <c r="V279" s="15" t="n"/>
      <c r="W279" s="15" t="n"/>
      <c r="X279" s="15" t="n"/>
      <c r="Y279" s="15" t="n"/>
      <c r="Z279" s="15" t="n"/>
      <c r="AA279" s="15" t="n"/>
      <c r="AB279" s="15" t="n"/>
    </row>
    <row r="280" ht="15" customHeight="1" s="12">
      <c r="A280" s="14" t="n">
        <v>279</v>
      </c>
      <c r="B280" s="16" t="n">
        <v>45890</v>
      </c>
      <c r="C280" s="15" t="n">
        <v>2025</v>
      </c>
      <c r="D280" s="15" t="inlineStr">
        <is>
          <t>Wework India Management Limited</t>
        </is>
      </c>
      <c r="E280" s="15" t="inlineStr">
        <is>
          <t>Addendum</t>
        </is>
      </c>
      <c r="F280" s="15" t="inlineStr">
        <is>
          <t>Wework India Management Limited - Addendum to DRHP</t>
        </is>
      </c>
      <c r="G280" s="15" t="inlineStr">
        <is>
          <t>IPO launched</t>
        </is>
      </c>
      <c r="H280" s="15" t="inlineStr">
        <is>
          <t>Mainboard</t>
        </is>
      </c>
      <c r="I280" s="16" t="n">
        <v>45933</v>
      </c>
      <c r="J280" s="16" t="n">
        <v>45937</v>
      </c>
      <c r="K280" s="16" t="n">
        <v>45940</v>
      </c>
      <c r="L280" s="17" t="n">
        <v>3000</v>
      </c>
      <c r="M280" s="17" t="n">
        <v>0</v>
      </c>
      <c r="N280" s="17" t="n">
        <v>3000</v>
      </c>
      <c r="O280" s="15" t="inlineStr">
        <is>
          <t>Final issue (ipoplatform)</t>
        </is>
      </c>
      <c r="P280" s="15" t="n"/>
      <c r="Q280" s="18" t="inlineStr">
        <is>
          <t>https://www.sebi.gov.in/sebi_data/attachdocs/aug-2025/1755749346140.pdf</t>
        </is>
      </c>
      <c r="R280" s="18" t="inlineStr">
        <is>
          <t>https://www.sebi.gov.in/filings/public-issues/aug-2025/wework-india-management-limited-addendum-to-drhp_96164.html</t>
        </is>
      </c>
      <c r="S280" s="15" t="n"/>
      <c r="T280" s="15" t="inlineStr">
        <is>
          <t>Company name + date window</t>
        </is>
      </c>
      <c r="U280" s="15" t="inlineStr">
        <is>
          <t>WeWork India Management Limited</t>
        </is>
      </c>
      <c r="V280" s="15" t="n"/>
      <c r="W280" s="15" t="n"/>
      <c r="X280" s="15" t="n"/>
      <c r="Y280" s="15" t="n"/>
      <c r="Z280" s="15" t="n"/>
      <c r="AA280" s="15" t="n"/>
      <c r="AB280" s="15" t="n"/>
    </row>
    <row r="281" ht="15" customHeight="1" s="12">
      <c r="A281" s="14" t="n">
        <v>280</v>
      </c>
      <c r="B281" s="16" t="n">
        <v>45888</v>
      </c>
      <c r="C281" s="15" t="n">
        <v>2025</v>
      </c>
      <c r="D281" s="15" t="inlineStr">
        <is>
          <t>Powerica Limited</t>
        </is>
      </c>
      <c r="E281" s="15" t="inlineStr">
        <is>
          <t>DRHP</t>
        </is>
      </c>
      <c r="F281" s="15" t="inlineStr">
        <is>
          <t>Powerica Limited</t>
        </is>
      </c>
      <c r="G281" s="15" t="inlineStr">
        <is>
          <t>IPO launched</t>
        </is>
      </c>
      <c r="H281" s="15" t="inlineStr">
        <is>
          <t>Mainboard</t>
        </is>
      </c>
      <c r="I281" s="16" t="n">
        <v>46105</v>
      </c>
      <c r="J281" s="16" t="n">
        <v>46108</v>
      </c>
      <c r="K281" s="16" t="n">
        <v>46114</v>
      </c>
      <c r="L281" s="17" t="n">
        <v>1100</v>
      </c>
      <c r="M281" s="17" t="n">
        <v>700</v>
      </c>
      <c r="N281" s="17" t="n">
        <v>400</v>
      </c>
      <c r="O281" s="15" t="inlineStr">
        <is>
          <t>Final issue (ipoplatform)</t>
        </is>
      </c>
      <c r="P281" s="15" t="n"/>
      <c r="Q281" s="18" t="inlineStr">
        <is>
          <t>https://www.sebi.gov.in/sebi_data/attachdocs/aug-2025/1755588605776_917.pdf</t>
        </is>
      </c>
      <c r="R281" s="18" t="inlineStr">
        <is>
          <t>https://www.sebi.gov.in/filings/public-issues/aug-2025/powerica-limited_96132.html</t>
        </is>
      </c>
      <c r="S281" s="15" t="n"/>
      <c r="T281" s="15" t="inlineStr">
        <is>
          <t>Company name + date window</t>
        </is>
      </c>
      <c r="U281" s="15" t="inlineStr">
        <is>
          <t>Powerica Limited</t>
        </is>
      </c>
      <c r="V281" s="15" t="n"/>
      <c r="W281" s="15" t="n"/>
      <c r="X281" s="15" t="n"/>
      <c r="Y281" s="15" t="n"/>
      <c r="Z281" s="15" t="n"/>
      <c r="AA281" s="15" t="n"/>
      <c r="AB281" s="15" t="n"/>
    </row>
    <row r="282" ht="15" customHeight="1" s="12">
      <c r="A282" s="14" t="n">
        <v>281</v>
      </c>
      <c r="B282" s="16" t="n">
        <v>45887</v>
      </c>
      <c r="C282" s="15" t="n">
        <v>2025</v>
      </c>
      <c r="D282" s="15" t="inlineStr">
        <is>
          <t>Varmora Granito Limited</t>
        </is>
      </c>
      <c r="E282" s="15" t="inlineStr">
        <is>
          <t>DRHP</t>
        </is>
      </c>
      <c r="F282" s="15" t="inlineStr">
        <is>
          <t>Varmora Granito Limited - DRHP</t>
        </is>
      </c>
      <c r="G282" s="15" t="inlineStr">
        <is>
          <t>IPO launched</t>
        </is>
      </c>
      <c r="H282" s="15" t="inlineStr">
        <is>
          <t>Mainboard</t>
        </is>
      </c>
      <c r="I282" s="16" t="n">
        <v>46287</v>
      </c>
      <c r="J282" s="16" t="n">
        <v>46289</v>
      </c>
      <c r="K282" s="16" t="n">
        <v>46294</v>
      </c>
      <c r="L282" s="17" t="n">
        <v>1096.04</v>
      </c>
      <c r="M282" s="17" t="n">
        <v>320</v>
      </c>
      <c r="N282" s="17" t="n">
        <v>776.04</v>
      </c>
      <c r="O282" s="15" t="inlineStr">
        <is>
          <t>Final issue (ipoplatform)</t>
        </is>
      </c>
      <c r="P282" s="15" t="n"/>
      <c r="Q282" s="18" t="inlineStr">
        <is>
          <t>https://www.sebi.gov.in/sebi_data/attachdocs/aug-2025/1755509998422.pdf</t>
        </is>
      </c>
      <c r="R282" s="18" t="inlineStr">
        <is>
          <t>https://www.sebi.gov.in/filings/public-issues/aug-2025/varmora-granito-limited-drhp_96122.html</t>
        </is>
      </c>
      <c r="S282" s="15" t="n"/>
      <c r="T282" s="15" t="inlineStr">
        <is>
          <t>Company name + date window</t>
        </is>
      </c>
      <c r="U282" s="15" t="inlineStr">
        <is>
          <t>Varmora Granito Limited</t>
        </is>
      </c>
      <c r="V282" s="15" t="n"/>
      <c r="W282" s="15" t="n"/>
      <c r="X282" s="15" t="n"/>
      <c r="Y282" s="15" t="n"/>
      <c r="Z282" s="15" t="n"/>
      <c r="AA282" s="15" t="n"/>
      <c r="AB282" s="15" t="n"/>
    </row>
    <row r="283" ht="15" customHeight="1" s="12">
      <c r="A283" s="14" t="n">
        <v>282</v>
      </c>
      <c r="B283" s="16" t="n">
        <v>45883</v>
      </c>
      <c r="C283" s="15" t="n">
        <v>2025</v>
      </c>
      <c r="D283" s="15" t="inlineStr">
        <is>
          <t>A One Steel Limited</t>
        </is>
      </c>
      <c r="E283" s="15" t="inlineStr">
        <is>
          <t>Addendum</t>
        </is>
      </c>
      <c r="F283" s="15" t="inlineStr">
        <is>
          <t>A One Steel Limited - Addendum</t>
        </is>
      </c>
      <c r="G283" s="15" t="inlineStr">
        <is>
          <t>IPO launched</t>
        </is>
      </c>
      <c r="H283" s="15" t="inlineStr">
        <is>
          <t>Mainboard</t>
        </is>
      </c>
      <c r="I283" s="16" t="n">
        <v>46289</v>
      </c>
      <c r="J283" s="16" t="n">
        <v>46293</v>
      </c>
      <c r="K283" s="16" t="n">
        <v>46296</v>
      </c>
      <c r="L283" s="17" t="n">
        <v>405</v>
      </c>
      <c r="M283" s="17" t="n">
        <v>355</v>
      </c>
      <c r="N283" s="17" t="n">
        <v>50</v>
      </c>
      <c r="O283" s="15" t="inlineStr">
        <is>
          <t>Final issue (ipoplatform)</t>
        </is>
      </c>
      <c r="P283" s="15" t="n"/>
      <c r="Q283" s="18" t="inlineStr">
        <is>
          <t>https://www.sebi.gov.in/sebi_data/attachdocs/aug-2025/1755173549342.PDF</t>
        </is>
      </c>
      <c r="R283" s="18" t="inlineStr">
        <is>
          <t>https://www.sebi.gov.in/filings/public-issues/aug-2025/a-one-steel-limited-addendum_96103.html</t>
        </is>
      </c>
      <c r="S283" s="15" t="n"/>
      <c r="T283" s="15" t="inlineStr">
        <is>
          <t>Company name (close spelling) + date window</t>
        </is>
      </c>
      <c r="U283" s="15" t="inlineStr">
        <is>
          <t>A-one Steels India Limited</t>
        </is>
      </c>
      <c r="V283" s="15" t="n"/>
      <c r="W283" s="15" t="n"/>
      <c r="X283" s="15" t="n"/>
      <c r="Y283" s="15" t="n"/>
      <c r="Z283" s="15" t="n"/>
      <c r="AA283" s="15" t="n"/>
      <c r="AB283" s="15" t="n"/>
    </row>
    <row r="284" ht="15" customHeight="1" s="12">
      <c r="A284" s="14" t="n">
        <v>283</v>
      </c>
      <c r="B284" s="16" t="n">
        <v>45883</v>
      </c>
      <c r="C284" s="15" t="n">
        <v>2025</v>
      </c>
      <c r="D284" s="15" t="inlineStr">
        <is>
          <t>Atlanta Electricals Limited</t>
        </is>
      </c>
      <c r="E284" s="15" t="inlineStr">
        <is>
          <t>Addendum</t>
        </is>
      </c>
      <c r="F284" s="15" t="inlineStr">
        <is>
          <t>Atlanta Electricals Limited - Addendum</t>
        </is>
      </c>
      <c r="G284" s="15" t="inlineStr">
        <is>
          <t>IPO launched</t>
        </is>
      </c>
      <c r="H284" s="15" t="inlineStr">
        <is>
          <t>Mainboard</t>
        </is>
      </c>
      <c r="I284" s="16" t="n">
        <v>45922</v>
      </c>
      <c r="J284" s="16" t="n">
        <v>45924</v>
      </c>
      <c r="K284" s="16" t="n">
        <v>45929</v>
      </c>
      <c r="L284" s="17" t="n">
        <v>687.34</v>
      </c>
      <c r="M284" s="17" t="n">
        <v>400</v>
      </c>
      <c r="N284" s="17" t="n">
        <v>287.34</v>
      </c>
      <c r="O284" s="15" t="inlineStr">
        <is>
          <t>Final issue (ipoplatform)</t>
        </is>
      </c>
      <c r="P284" s="15" t="n"/>
      <c r="Q284" s="18" t="inlineStr">
        <is>
          <t>https://www.sebi.gov.in/sebi_data/attachdocs/aug-2025/1755173472001.pdf</t>
        </is>
      </c>
      <c r="R284" s="18" t="inlineStr">
        <is>
          <t>https://www.sebi.gov.in/filings/public-issues/aug-2025/atlanta-electricals-limited-addendum_96101.html</t>
        </is>
      </c>
      <c r="S284" s="15" t="n"/>
      <c r="T284" s="15" t="inlineStr">
        <is>
          <t>Company name + date window</t>
        </is>
      </c>
      <c r="U284" s="15" t="inlineStr">
        <is>
          <t>Atlanta Electricals Limited</t>
        </is>
      </c>
      <c r="V284" s="15" t="n"/>
      <c r="W284" s="15" t="n"/>
      <c r="X284" s="15" t="n"/>
      <c r="Y284" s="15" t="n"/>
      <c r="Z284" s="15" t="n"/>
      <c r="AA284" s="15" t="n"/>
      <c r="AB284" s="15" t="n"/>
    </row>
    <row r="285" ht="15" customHeight="1" s="12">
      <c r="A285" s="14" t="n">
        <v>284</v>
      </c>
      <c r="B285" s="16" t="n">
        <v>45882</v>
      </c>
      <c r="C285" s="15" t="n">
        <v>2025</v>
      </c>
      <c r="D285" s="15" t="inlineStr">
        <is>
          <t>Transline Technologies Limited</t>
        </is>
      </c>
      <c r="E285" s="15" t="inlineStr">
        <is>
          <t>DRHP</t>
        </is>
      </c>
      <c r="F285" s="15" t="inlineStr">
        <is>
          <t>Transline Technologies Limited</t>
        </is>
      </c>
      <c r="G285" s="15" t="inlineStr">
        <is>
          <t>Upcoming — IPO not yet opened</t>
        </is>
      </c>
      <c r="H285" s="15" t="n"/>
      <c r="I285" s="16" t="n"/>
      <c r="J285" s="16" t="n"/>
      <c r="K285" s="16" t="n"/>
      <c r="L285" s="17" t="n"/>
      <c r="M285" s="17" t="n"/>
      <c r="N285" s="17" t="n"/>
      <c r="O285" s="15" t="n"/>
      <c r="P285" s="15" t="n"/>
      <c r="Q285" s="18" t="inlineStr">
        <is>
          <t>https://www.sebi.gov.in/sebi_data/attachdocs/aug-2025/1755070204199_915.pdf</t>
        </is>
      </c>
      <c r="R285" s="18" t="inlineStr">
        <is>
          <t>https://www.sebi.gov.in/filings/public-issues/aug-2025/transline-technologies-limited_96056.html</t>
        </is>
      </c>
      <c r="S285" s="15" t="n"/>
      <c r="T285" s="15" t="n"/>
      <c r="U285" s="15" t="n"/>
      <c r="V285" s="15" t="n"/>
      <c r="W285" s="16" t="n"/>
      <c r="X285" s="16" t="n"/>
      <c r="Y285" s="16" t="n"/>
      <c r="Z285" s="15" t="inlineStr">
        <is>
          <t>Dates not announced</t>
        </is>
      </c>
      <c r="AA285" s="15" t="inlineStr">
        <is>
          <t>SEBI nod 22-Jan-2026; 100% OFS; dates not yet announced</t>
        </is>
      </c>
      <c r="AB285" s="18" t="inlineStr">
        <is>
          <t>https://www.chittorgarh.com/ipo/transline-technologies-ipo/2575/</t>
        </is>
      </c>
    </row>
    <row r="286" ht="15" customHeight="1" s="12">
      <c r="A286" s="14" t="n">
        <v>285</v>
      </c>
      <c r="B286" s="16" t="n">
        <v>45882</v>
      </c>
      <c r="C286" s="15" t="n">
        <v>2025</v>
      </c>
      <c r="D286" s="15" t="inlineStr">
        <is>
          <t>Technocraft Ventures Limited</t>
        </is>
      </c>
      <c r="E286" s="15" t="inlineStr">
        <is>
          <t>DRHP</t>
        </is>
      </c>
      <c r="F286" s="15" t="inlineStr">
        <is>
          <t>Technocraft Ventures Limited - DRHP</t>
        </is>
      </c>
      <c r="G286" s="15" t="inlineStr">
        <is>
          <t>IPO launched</t>
        </is>
      </c>
      <c r="H286" s="15" t="inlineStr">
        <is>
          <t>Mainboard</t>
        </is>
      </c>
      <c r="I286" s="16" t="n">
        <v>46241</v>
      </c>
      <c r="J286" s="16" t="n">
        <v>46245</v>
      </c>
      <c r="K286" s="16" t="n">
        <v>46248</v>
      </c>
      <c r="L286" s="17" t="n">
        <v>251.88</v>
      </c>
      <c r="M286" s="17" t="n">
        <v>201.51</v>
      </c>
      <c r="N286" s="17" t="n">
        <v>50.37</v>
      </c>
      <c r="O286" s="15" t="inlineStr">
        <is>
          <t>Final issue (ipoplatform)</t>
        </is>
      </c>
      <c r="P286" s="15" t="n"/>
      <c r="Q286" s="18" t="inlineStr">
        <is>
          <t>https://www.sebi.gov.in/sebi_data/attachdocs/aug-2025/1755063721132.pdf</t>
        </is>
      </c>
      <c r="R286" s="18" t="inlineStr">
        <is>
          <t>https://www.sebi.gov.in/filings/public-issues/aug-2025/technocraft-ventures-limited-drhp_96055.html</t>
        </is>
      </c>
      <c r="S286" s="15" t="n"/>
      <c r="T286" s="15" t="inlineStr">
        <is>
          <t>Company name + date window</t>
        </is>
      </c>
      <c r="U286" s="15" t="inlineStr">
        <is>
          <t>Technocraft Ventures Limited</t>
        </is>
      </c>
      <c r="V286" s="15" t="n"/>
      <c r="W286" s="15" t="n"/>
      <c r="X286" s="15" t="n"/>
      <c r="Y286" s="15" t="n"/>
      <c r="Z286" s="15" t="n"/>
      <c r="AA286" s="15" t="n"/>
      <c r="AB286" s="15" t="n"/>
    </row>
    <row r="287" ht="15" customHeight="1" s="12">
      <c r="A287" s="14" t="n">
        <v>286</v>
      </c>
      <c r="B287" s="16" t="n">
        <v>45881</v>
      </c>
      <c r="C287" s="15" t="n">
        <v>2025</v>
      </c>
      <c r="D287" s="15" t="inlineStr">
        <is>
          <t>Nephrocare Health Services Limited</t>
        </is>
      </c>
      <c r="E287" s="15" t="inlineStr">
        <is>
          <t>DRHP</t>
        </is>
      </c>
      <c r="F287" s="15" t="inlineStr">
        <is>
          <t>Nephrocare Health Services Limited</t>
        </is>
      </c>
      <c r="G287" s="15" t="inlineStr">
        <is>
          <t>IPO launched</t>
        </is>
      </c>
      <c r="H287" s="15" t="inlineStr">
        <is>
          <t>Mainboard</t>
        </is>
      </c>
      <c r="I287" s="16" t="n">
        <v>46001</v>
      </c>
      <c r="J287" s="16" t="n">
        <v>46003</v>
      </c>
      <c r="K287" s="16" t="n">
        <v>46008</v>
      </c>
      <c r="L287" s="17" t="n">
        <v>871.05</v>
      </c>
      <c r="M287" s="17" t="n">
        <v>353.41</v>
      </c>
      <c r="N287" s="17" t="n">
        <v>517.64</v>
      </c>
      <c r="O287" s="15" t="inlineStr">
        <is>
          <t>Final issue (ipoplatform)</t>
        </is>
      </c>
      <c r="P287" s="15" t="n"/>
      <c r="Q287" s="18" t="inlineStr">
        <is>
          <t>https://www.sebi.gov.in/sebi_data/attachdocs/aug-2025/1755516604740_916.pdf</t>
        </is>
      </c>
      <c r="R287" s="18" t="inlineStr">
        <is>
          <t>https://www.sebi.gov.in/filings/public-issues/aug-2025/nephrocare-health-services-limited_96127.html</t>
        </is>
      </c>
      <c r="S287" s="15" t="n"/>
      <c r="T287" s="15" t="inlineStr">
        <is>
          <t>Company name + date window</t>
        </is>
      </c>
      <c r="U287" s="15" t="inlineStr">
        <is>
          <t>Nephrocare Health Services Limited</t>
        </is>
      </c>
      <c r="V287" s="15" t="n"/>
      <c r="W287" s="15" t="n"/>
      <c r="X287" s="15" t="n"/>
      <c r="Y287" s="15" t="n"/>
      <c r="Z287" s="15" t="n"/>
      <c r="AA287" s="15" t="n"/>
      <c r="AB287" s="15" t="n"/>
    </row>
    <row r="288" ht="15" customHeight="1" s="12">
      <c r="A288" s="14" t="n">
        <v>287</v>
      </c>
      <c r="B288" s="16" t="n">
        <v>45881</v>
      </c>
      <c r="C288" s="15" t="n">
        <v>2025</v>
      </c>
      <c r="D288" s="15" t="inlineStr">
        <is>
          <t>BLS Polymers Limited</t>
        </is>
      </c>
      <c r="E288" s="15" t="inlineStr">
        <is>
          <t>DRHP</t>
        </is>
      </c>
      <c r="F288" s="15" t="inlineStr">
        <is>
          <t>BLS Polymers Limited</t>
        </is>
      </c>
      <c r="G288" s="15" t="inlineStr">
        <is>
          <t>Upcoming — IPO not yet opened</t>
        </is>
      </c>
      <c r="H288" s="15" t="n"/>
      <c r="I288" s="16" t="n"/>
      <c r="J288" s="16" t="n"/>
      <c r="K288" s="16" t="n"/>
      <c r="L288" s="17" t="n"/>
      <c r="M288" s="17" t="n"/>
      <c r="N288" s="17" t="n"/>
      <c r="O288" s="15" t="n"/>
      <c r="P288" s="15" t="n"/>
      <c r="Q288" s="18" t="inlineStr">
        <is>
          <t>https://www.sebi.gov.in/sebi_data/attachdocs/aug-2025/1754998206920_914.pdf</t>
        </is>
      </c>
      <c r="R288" s="18" t="inlineStr">
        <is>
          <t>https://www.sebi.gov.in/filings/public-issues/aug-2025/bls-polymers-limited_96028.html</t>
        </is>
      </c>
      <c r="S288" s="15" t="n"/>
      <c r="T288" s="15" t="n"/>
      <c r="U288" s="15" t="n"/>
      <c r="V288" s="15" t="n"/>
      <c r="W288" s="16" t="n"/>
      <c r="X288" s="16" t="n"/>
      <c r="Y288" s="16" t="n"/>
      <c r="Z288" s="15" t="inlineStr">
        <is>
          <t>Dates not announced</t>
        </is>
      </c>
      <c r="AA288" s="15" t="inlineStr">
        <is>
          <t>SEBI nod 16-Dec-2025; dates not yet announced</t>
        </is>
      </c>
      <c r="AB288" s="18" t="inlineStr">
        <is>
          <t>https://www.chittorgarh.com/ipo/bls-polymers-ipo/2559/</t>
        </is>
      </c>
    </row>
    <row r="289" ht="15" customHeight="1" s="12">
      <c r="A289" s="14" t="n">
        <v>288</v>
      </c>
      <c r="B289" s="16" t="n">
        <v>45880</v>
      </c>
      <c r="C289" s="15" t="n">
        <v>2025</v>
      </c>
      <c r="D289" s="15" t="inlineStr">
        <is>
          <t>Steel Infra Solutions Company Limited</t>
        </is>
      </c>
      <c r="E289" s="15" t="inlineStr">
        <is>
          <t>DRHP</t>
        </is>
      </c>
      <c r="F289" s="15" t="inlineStr">
        <is>
          <t>Steel Infra Solutions Company Limited - DRHP</t>
        </is>
      </c>
      <c r="G289" s="15" t="inlineStr">
        <is>
          <t>Upcoming — IPO not yet opened</t>
        </is>
      </c>
      <c r="H289" s="15" t="n"/>
      <c r="I289" s="16" t="n"/>
      <c r="J289" s="16" t="n"/>
      <c r="K289" s="16" t="n"/>
      <c r="L289" s="17" t="n"/>
      <c r="M289" s="17" t="n"/>
      <c r="N289" s="17" t="n"/>
      <c r="O289" s="15" t="n"/>
      <c r="P289" s="15" t="n"/>
      <c r="Q289" s="18" t="inlineStr">
        <is>
          <t>https://www.sebi.gov.in/sebi_data/attachdocs/aug-2025/1754887182581.pdf</t>
        </is>
      </c>
      <c r="R289" s="18" t="inlineStr">
        <is>
          <t>https://www.sebi.gov.in/filings/public-issues/aug-2025/steel-infra-solutions-company-limited-drhp_95961.html</t>
        </is>
      </c>
      <c r="S289" s="15" t="n"/>
      <c r="T289" s="15" t="n"/>
      <c r="U289" s="15" t="n"/>
      <c r="V289" s="15" t="n"/>
      <c r="W289" s="16" t="n"/>
      <c r="X289" s="16" t="n"/>
      <c r="Y289" s="16" t="n"/>
      <c r="Z289" s="15" t="inlineStr">
        <is>
          <t>Dates not announced</t>
        </is>
      </c>
      <c r="AA289" s="15" t="inlineStr">
        <is>
          <t>SEBI nod 11-Nov-2025; dates not yet announced</t>
        </is>
      </c>
      <c r="AB289" s="18" t="inlineStr">
        <is>
          <t>https://www.chittorgarh.com/ipo/siscol-ipo/2553/</t>
        </is>
      </c>
    </row>
    <row r="290" ht="15" customHeight="1" s="12">
      <c r="A290" s="14" t="n">
        <v>289</v>
      </c>
      <c r="B290" s="16" t="n">
        <v>45880</v>
      </c>
      <c r="C290" s="15" t="n">
        <v>2025</v>
      </c>
      <c r="D290" s="15" t="inlineStr">
        <is>
          <t>Silver Consumers Electricals Limited</t>
        </is>
      </c>
      <c r="E290" s="15" t="inlineStr">
        <is>
          <t>DRHP</t>
        </is>
      </c>
      <c r="F290" s="15" t="inlineStr">
        <is>
          <t>Silver Consumers Electricals Limited - DRHP</t>
        </is>
      </c>
      <c r="G290" s="15" t="inlineStr">
        <is>
          <t>Upcoming — IPO not yet opened</t>
        </is>
      </c>
      <c r="H290" s="15" t="n"/>
      <c r="I290" s="16" t="n"/>
      <c r="J290" s="16" t="n"/>
      <c r="K290" s="16" t="n"/>
      <c r="L290" s="17" t="n"/>
      <c r="M290" s="17" t="n"/>
      <c r="N290" s="17" t="n"/>
      <c r="O290" s="15" t="n"/>
      <c r="P290" s="15" t="n"/>
      <c r="Q290" s="18" t="inlineStr">
        <is>
          <t>https://www.sebi.gov.in/sebi_data/attachdocs/aug-2025/1754887054517.pdf</t>
        </is>
      </c>
      <c r="R290" s="18" t="inlineStr">
        <is>
          <t>https://www.sebi.gov.in/filings/public-issues/aug-2025/silver-consumers-electricals-limited-drhp_95959.html</t>
        </is>
      </c>
      <c r="S290" s="15" t="n"/>
      <c r="T290" s="15" t="n"/>
      <c r="U290" s="15" t="n"/>
      <c r="V290" s="15" t="n"/>
      <c r="W290" s="16" t="n"/>
      <c r="X290" s="16" t="n"/>
      <c r="Y290" s="16" t="n"/>
      <c r="Z290" s="15" t="inlineStr">
        <is>
          <t>Dates not announced</t>
        </is>
      </c>
      <c r="AA290" s="15" t="inlineStr">
        <is>
          <t>SEBI nod 12-Nov-2025; Rs1,400cr issue; dates not yet announced</t>
        </is>
      </c>
      <c r="AB290" s="18" t="inlineStr">
        <is>
          <t>https://www.chittorgarh.com/ipo/silver-consumer-electricals-ipo/2562/</t>
        </is>
      </c>
    </row>
    <row r="291" ht="15" customHeight="1" s="12">
      <c r="A291" s="14" t="n">
        <v>290</v>
      </c>
      <c r="B291" s="16" t="n">
        <v>45873</v>
      </c>
      <c r="C291" s="15" t="n">
        <v>2025</v>
      </c>
      <c r="D291" s="15" t="inlineStr">
        <is>
          <t>Tata Capital Limited</t>
        </is>
      </c>
      <c r="E291" s="15" t="inlineStr">
        <is>
          <t>UDRHP-I</t>
        </is>
      </c>
      <c r="F291" s="15" t="inlineStr">
        <is>
          <t>Tata Capital Limited UDRHP-I</t>
        </is>
      </c>
      <c r="G291" s="15" t="inlineStr">
        <is>
          <t>IPO launched</t>
        </is>
      </c>
      <c r="H291" s="15" t="inlineStr">
        <is>
          <t>Mainboard</t>
        </is>
      </c>
      <c r="I291" s="16" t="n">
        <v>45936</v>
      </c>
      <c r="J291" s="16" t="n">
        <v>45938</v>
      </c>
      <c r="K291" s="16" t="n">
        <v>45943</v>
      </c>
      <c r="L291" s="17" t="n">
        <v>15511.87</v>
      </c>
      <c r="M291" s="17" t="n">
        <v>6846</v>
      </c>
      <c r="N291" s="17" t="n">
        <v>8665.870000000001</v>
      </c>
      <c r="O291" s="15" t="inlineStr">
        <is>
          <t>Final issue (ipoplatform)</t>
        </is>
      </c>
      <c r="P291" s="15" t="n"/>
      <c r="Q291" s="18" t="inlineStr">
        <is>
          <t>https://www.sebi.gov.in/sebi_data/attachdocs/aug-2025/1754368282948.pdf</t>
        </is>
      </c>
      <c r="R291" s="18" t="inlineStr">
        <is>
          <t>https://www.sebi.gov.in/filings/public-issues/aug-2025/tata-capital-limited-udrhp-i_95828.html</t>
        </is>
      </c>
      <c r="S291" s="15" t="n"/>
      <c r="T291" s="15" t="inlineStr">
        <is>
          <t>Company name + date window</t>
        </is>
      </c>
      <c r="U291" s="15" t="inlineStr">
        <is>
          <t>Tata Capital Limited</t>
        </is>
      </c>
      <c r="V291" s="15" t="n"/>
      <c r="W291" s="15" t="n"/>
      <c r="X291" s="15" t="n"/>
      <c r="Y291" s="15" t="n"/>
      <c r="Z291" s="15" t="n"/>
      <c r="AA291" s="15" t="n"/>
      <c r="AB291" s="15" t="n"/>
    </row>
    <row r="292" ht="15" customHeight="1" s="12">
      <c r="A292" s="14" t="n">
        <v>291</v>
      </c>
      <c r="B292" s="16" t="n">
        <v>45873</v>
      </c>
      <c r="C292" s="15" t="n">
        <v>2025</v>
      </c>
      <c r="D292" s="15" t="inlineStr">
        <is>
          <t>ASSET RECONSTRUCTION COMPANY (INDIA) LIMITED</t>
        </is>
      </c>
      <c r="E292" s="15" t="inlineStr">
        <is>
          <t>DRHP</t>
        </is>
      </c>
      <c r="F292" s="15" t="inlineStr">
        <is>
          <t>ASSET RECONSTRUCTION COMPANY (INDIA) LIMITED - DRHP</t>
        </is>
      </c>
      <c r="G292" s="15" t="inlineStr">
        <is>
          <t>IPO launched</t>
        </is>
      </c>
      <c r="H292" s="15" t="inlineStr">
        <is>
          <t>Mainboard</t>
        </is>
      </c>
      <c r="I292" s="16" t="n">
        <v>46274</v>
      </c>
      <c r="J292" s="16" t="n">
        <v>46276</v>
      </c>
      <c r="K292" s="16" t="n">
        <v>46282</v>
      </c>
      <c r="L292" s="17" t="n">
        <v>732.97</v>
      </c>
      <c r="M292" s="17" t="n"/>
      <c r="N292" s="17" t="n">
        <v>732.97</v>
      </c>
      <c r="O292" s="15" t="inlineStr">
        <is>
          <t>Final issue (ipoplatform)</t>
        </is>
      </c>
      <c r="P292" s="15" t="n"/>
      <c r="Q292" s="18" t="inlineStr">
        <is>
          <t>https://www.sebi.gov.in/sebi_data/attachdocs/aug-2025/1754291226095.pdf</t>
        </is>
      </c>
      <c r="R292" s="18" t="inlineStr">
        <is>
          <t>https://www.sebi.gov.in/filings/public-issues/aug-2025/asset-reconstruction-company-india-limited-drhp_95801.html</t>
        </is>
      </c>
      <c r="S292" s="15" t="n"/>
      <c r="T292" s="15" t="inlineStr">
        <is>
          <t>Company name + date window</t>
        </is>
      </c>
      <c r="U292" s="15" t="inlineStr">
        <is>
          <t>Asset Reconstruction Company India Limited</t>
        </is>
      </c>
      <c r="V292" s="15" t="n"/>
      <c r="W292" s="15" t="n"/>
      <c r="X292" s="15" t="n"/>
      <c r="Y292" s="15" t="n"/>
      <c r="Z292" s="15" t="n"/>
      <c r="AA292" s="15" t="n"/>
      <c r="AB292" s="15" t="n"/>
    </row>
    <row r="293" ht="15" customHeight="1" s="12">
      <c r="A293" s="14" t="n">
        <v>292</v>
      </c>
      <c r="B293" s="16" t="n">
        <v>45870</v>
      </c>
      <c r="C293" s="15" t="n">
        <v>2025</v>
      </c>
      <c r="D293" s="15" t="inlineStr">
        <is>
          <t>Lenskart Solutions Limited</t>
        </is>
      </c>
      <c r="E293" s="15" t="inlineStr">
        <is>
          <t>DRHP</t>
        </is>
      </c>
      <c r="F293" s="15" t="inlineStr">
        <is>
          <t>Lenskart Solutions Limited - DRHP</t>
        </is>
      </c>
      <c r="G293" s="15" t="inlineStr">
        <is>
          <t>IPO launched</t>
        </is>
      </c>
      <c r="H293" s="15" t="inlineStr">
        <is>
          <t>Mainboard</t>
        </is>
      </c>
      <c r="I293" s="16" t="n">
        <v>45961</v>
      </c>
      <c r="J293" s="16" t="n">
        <v>45965</v>
      </c>
      <c r="K293" s="16" t="n">
        <v>45971</v>
      </c>
      <c r="L293" s="17" t="n">
        <v>7278.02</v>
      </c>
      <c r="M293" s="17" t="n">
        <v>2150</v>
      </c>
      <c r="N293" s="17" t="n">
        <v>5128.02</v>
      </c>
      <c r="O293" s="15" t="inlineStr">
        <is>
          <t>Final issue (ipoplatform)</t>
        </is>
      </c>
      <c r="P293" s="15" t="n"/>
      <c r="Q293" s="18" t="inlineStr">
        <is>
          <t>https://www.sebi.gov.in/sebi_data/attachdocs/aug-2025/1754035664963.pdf</t>
        </is>
      </c>
      <c r="R293" s="18" t="inlineStr">
        <is>
          <t>https://www.sebi.gov.in/filings/public-issues/aug-2025/lenskart-solutions-limited-drhp_95763.html</t>
        </is>
      </c>
      <c r="S293" s="15" t="n"/>
      <c r="T293" s="15" t="inlineStr">
        <is>
          <t>Company name + date window</t>
        </is>
      </c>
      <c r="U293" s="15" t="inlineStr">
        <is>
          <t>Lenskart Solutions Limited</t>
        </is>
      </c>
      <c r="V293" s="15" t="n"/>
      <c r="W293" s="15" t="n"/>
      <c r="X293" s="15" t="n"/>
      <c r="Y293" s="15" t="n"/>
      <c r="Z293" s="15" t="n"/>
      <c r="AA293" s="15" t="n"/>
      <c r="AB293" s="15" t="n"/>
    </row>
    <row r="294" ht="15" customHeight="1" s="12">
      <c r="A294" s="14" t="n">
        <v>293</v>
      </c>
      <c r="B294" s="16" t="n">
        <v>45870</v>
      </c>
      <c r="C294" s="15" t="n">
        <v>2025</v>
      </c>
      <c r="D294" s="15" t="inlineStr">
        <is>
          <t>Lamtuf Limited</t>
        </is>
      </c>
      <c r="E294" s="15" t="inlineStr">
        <is>
          <t>DRHP</t>
        </is>
      </c>
      <c r="F294" s="15" t="inlineStr">
        <is>
          <t>Lamtuf Limited</t>
        </is>
      </c>
      <c r="G294" s="15" t="inlineStr">
        <is>
          <t>Upcoming — IPO not yet opened</t>
        </is>
      </c>
      <c r="H294" s="15" t="n"/>
      <c r="I294" s="16" t="n"/>
      <c r="J294" s="16" t="n"/>
      <c r="K294" s="16" t="n"/>
      <c r="L294" s="17" t="n"/>
      <c r="M294" s="17" t="n"/>
      <c r="N294" s="17" t="n"/>
      <c r="O294" s="15" t="n"/>
      <c r="P294" s="15" t="n"/>
      <c r="Q294" s="18" t="inlineStr">
        <is>
          <t>https://www.sebi.gov.in/sebi_data/attachdocs/aug-2025/1754031254931.pdf</t>
        </is>
      </c>
      <c r="R294" s="18" t="inlineStr">
        <is>
          <t>https://www.sebi.gov.in/filings/public-issues/aug-2025/lamtuf-limited_95754.html</t>
        </is>
      </c>
      <c r="S294" s="15" t="n"/>
      <c r="T294" s="15" t="n"/>
      <c r="U294" s="15" t="n"/>
      <c r="V294" s="15" t="n"/>
      <c r="W294" s="16" t="n"/>
      <c r="X294" s="16" t="n"/>
      <c r="Y294" s="16" t="n"/>
      <c r="Z294" s="15" t="inlineStr">
        <is>
          <t>Dates not announced</t>
        </is>
      </c>
      <c r="AA294" s="15" t="inlineStr">
        <is>
          <t>SEBI nod 26-Sep-2025 (valid 12 months); dates not announced</t>
        </is>
      </c>
      <c r="AB294" s="18" t="inlineStr">
        <is>
          <t>https://www.chittorgarh.com/ipo/lamtuf-ipo/2537/</t>
        </is>
      </c>
    </row>
    <row r="295" ht="15" customHeight="1" s="12">
      <c r="A295" s="14" t="n">
        <v>294</v>
      </c>
      <c r="B295" s="16" t="n">
        <v>45869</v>
      </c>
      <c r="C295" s="15" t="n">
        <v>2025</v>
      </c>
      <c r="D295" s="15" t="inlineStr">
        <is>
          <t>Amagi Media Labs Limited</t>
        </is>
      </c>
      <c r="E295" s="15" t="inlineStr">
        <is>
          <t>DRHP</t>
        </is>
      </c>
      <c r="F295" s="15" t="inlineStr">
        <is>
          <t>Amagi Media Labs Limited</t>
        </is>
      </c>
      <c r="G295" s="15" t="inlineStr">
        <is>
          <t>IPO launched</t>
        </is>
      </c>
      <c r="H295" s="15" t="inlineStr">
        <is>
          <t>Mainboard</t>
        </is>
      </c>
      <c r="I295" s="16" t="n">
        <v>46035</v>
      </c>
      <c r="J295" s="16" t="n">
        <v>46038</v>
      </c>
      <c r="K295" s="16" t="n">
        <v>46043</v>
      </c>
      <c r="L295" s="17" t="n">
        <v>1788.62</v>
      </c>
      <c r="M295" s="17" t="n">
        <v>816</v>
      </c>
      <c r="N295" s="17" t="n">
        <v>972.62</v>
      </c>
      <c r="O295" s="15" t="inlineStr">
        <is>
          <t>Final issue (ipoplatform)</t>
        </is>
      </c>
      <c r="P295" s="15" t="n"/>
      <c r="Q295" s="18" t="inlineStr">
        <is>
          <t>https://www.sebi.gov.in/sebi_data/attachdocs/jul-2025/1753961405691_888.pdf</t>
        </is>
      </c>
      <c r="R295" s="18" t="inlineStr">
        <is>
          <t>https://www.sebi.gov.in/filings/public-issues/jul-2025/amagi-media-labs-limited_95739.html</t>
        </is>
      </c>
      <c r="S295" s="15" t="n"/>
      <c r="T295" s="15" t="inlineStr">
        <is>
          <t>Company name + date window</t>
        </is>
      </c>
      <c r="U295" s="15" t="inlineStr">
        <is>
          <t>Amagi Media Labs Limited</t>
        </is>
      </c>
      <c r="V295" s="15" t="n"/>
      <c r="W295" s="15" t="n"/>
      <c r="X295" s="15" t="n"/>
      <c r="Y295" s="15" t="n"/>
      <c r="Z295" s="15" t="n"/>
      <c r="AA295" s="15" t="n"/>
      <c r="AB295" s="15" t="n"/>
    </row>
    <row r="296" ht="15" customHeight="1" s="12">
      <c r="A296" s="14" t="n">
        <v>295</v>
      </c>
      <c r="B296" s="16" t="n">
        <v>45869</v>
      </c>
      <c r="C296" s="15" t="n">
        <v>2025</v>
      </c>
      <c r="D296" s="15" t="inlineStr">
        <is>
          <t>SAHAJANAND MEDICAL TECHNOLOGIES LIMITED</t>
        </is>
      </c>
      <c r="E296" s="15" t="inlineStr">
        <is>
          <t>DRHP</t>
        </is>
      </c>
      <c r="F296" s="15" t="inlineStr">
        <is>
          <t>SAHAJANAND MEDICAL TECHNOLOGIES LIMITED</t>
        </is>
      </c>
      <c r="G296" s="15" t="inlineStr">
        <is>
          <t>Upcoming — IPO not yet opened</t>
        </is>
      </c>
      <c r="H296" s="15" t="n"/>
      <c r="I296" s="16" t="n"/>
      <c r="J296" s="16" t="n"/>
      <c r="K296" s="16" t="n"/>
      <c r="L296" s="17" t="n"/>
      <c r="M296" s="17" t="n"/>
      <c r="N296" s="17" t="n"/>
      <c r="O296" s="15" t="n"/>
      <c r="P296" s="15" t="n"/>
      <c r="Q296" s="18" t="inlineStr">
        <is>
          <t>https://www.sebi.gov.in/sebi_data/attachdocs/jul-2025/1753961405691_889.pdf</t>
        </is>
      </c>
      <c r="R296" s="18" t="inlineStr">
        <is>
          <t>https://www.sebi.gov.in/filings/public-issues/jul-2025/sahajanand-medical-technologies-limited_95741.html</t>
        </is>
      </c>
      <c r="S296" s="15" t="n"/>
      <c r="T296" s="15" t="n"/>
      <c r="U296" s="15" t="n"/>
      <c r="V296" s="15" t="n"/>
      <c r="W296" s="16" t="n"/>
      <c r="X296" s="16" t="n"/>
      <c r="Y296" s="16" t="n"/>
      <c r="Z296" s="15" t="inlineStr">
        <is>
          <t>Dates not announced</t>
        </is>
      </c>
      <c r="AA296" s="15" t="inlineStr">
        <is>
          <t>SEBI nod 17-Nov-2025; 100% OFS; dates not yet announced</t>
        </is>
      </c>
      <c r="AB296" s="18" t="inlineStr">
        <is>
          <t>https://www.chittorgarh.com/ipo/sahajanand-medical-technologies-ipo/2550/</t>
        </is>
      </c>
    </row>
    <row r="297" ht="15" customHeight="1" s="12">
      <c r="A297" s="14" t="n">
        <v>296</v>
      </c>
      <c r="B297" s="16" t="n">
        <v>45868</v>
      </c>
      <c r="C297" s="15" t="n">
        <v>2025</v>
      </c>
      <c r="D297" s="15" t="inlineStr">
        <is>
          <t>Executive Centre India Limited</t>
        </is>
      </c>
      <c r="E297" s="15" t="inlineStr">
        <is>
          <t>DRHP</t>
        </is>
      </c>
      <c r="F297" s="15" t="inlineStr">
        <is>
          <t>Executive Centre India Limited</t>
        </is>
      </c>
      <c r="G297" s="15" t="inlineStr">
        <is>
          <t>Upcoming — IPO not yet opened</t>
        </is>
      </c>
      <c r="H297" s="15" t="n"/>
      <c r="I297" s="16" t="n"/>
      <c r="J297" s="16" t="n"/>
      <c r="K297" s="16" t="n"/>
      <c r="L297" s="17" t="n"/>
      <c r="M297" s="17" t="n"/>
      <c r="N297" s="17" t="n"/>
      <c r="O297" s="15" t="n"/>
      <c r="P297" s="15" t="n"/>
      <c r="Q297" s="18" t="inlineStr">
        <is>
          <t>https://www.sebi.gov.in/sebi_data/attachdocs/jul-2025/1753925406298_885.pdf</t>
        </is>
      </c>
      <c r="R297" s="18" t="inlineStr">
        <is>
          <t>https://www.sebi.gov.in/filings/public-issues/jul-2025/executive-centre-india-limited_95722.html</t>
        </is>
      </c>
      <c r="S297" s="15" t="n"/>
      <c r="T297" s="15" t="n"/>
      <c r="U297" s="15" t="n"/>
      <c r="V297" s="15" t="n"/>
      <c r="W297" s="16" t="n"/>
      <c r="X297" s="16" t="n"/>
      <c r="Y297" s="16" t="n"/>
      <c r="Z297" s="15" t="inlineStr">
        <is>
          <t>Dates not announced</t>
        </is>
      </c>
      <c r="AA297" s="15" t="inlineStr">
        <is>
          <t>SEBI nod 15-Jan-2026; Rs2,600cr fresh issue; dates not announced</t>
        </is>
      </c>
      <c r="AB297" s="18" t="inlineStr">
        <is>
          <t>https://www.chittorgarh.com/ipo/executive-centre-ipo/2544/</t>
        </is>
      </c>
    </row>
    <row r="298" ht="15" customHeight="1" s="12">
      <c r="A298" s="14" t="n">
        <v>297</v>
      </c>
      <c r="B298" s="16" t="n">
        <v>45868</v>
      </c>
      <c r="C298" s="15" t="n">
        <v>2025</v>
      </c>
      <c r="D298" s="15" t="inlineStr">
        <is>
          <t>Wakefit Innovations Limited</t>
        </is>
      </c>
      <c r="E298" s="15" t="inlineStr">
        <is>
          <t>Addendum</t>
        </is>
      </c>
      <c r="F298" s="15" t="inlineStr">
        <is>
          <t>Wakefit Innovations Limited - Addendum to DRHP</t>
        </is>
      </c>
      <c r="G298" s="15" t="inlineStr">
        <is>
          <t>IPO launched</t>
        </is>
      </c>
      <c r="H298" s="15" t="inlineStr">
        <is>
          <t>Mainboard</t>
        </is>
      </c>
      <c r="I298" s="16" t="n">
        <v>45999</v>
      </c>
      <c r="J298" s="16" t="n">
        <v>46001</v>
      </c>
      <c r="K298" s="16" t="n">
        <v>46006</v>
      </c>
      <c r="L298" s="17" t="n">
        <v>1288.89</v>
      </c>
      <c r="M298" s="17" t="n">
        <v>377.18</v>
      </c>
      <c r="N298" s="17" t="n">
        <v>911.71</v>
      </c>
      <c r="O298" s="15" t="inlineStr">
        <is>
          <t>Final issue (ipoplatform)</t>
        </is>
      </c>
      <c r="P298" s="15" t="n"/>
      <c r="Q298" s="18" t="inlineStr">
        <is>
          <t>https://www.sebi.gov.in/sebi_data/attachdocs/jul-2025/1753873453319.pdf</t>
        </is>
      </c>
      <c r="R298" s="18" t="inlineStr">
        <is>
          <t>https://www.sebi.gov.in/filings/public-issues/jul-2025/wakefit-innovations-limited-addendum-to-drhp_95708.html</t>
        </is>
      </c>
      <c r="S298" s="15" t="n"/>
      <c r="T298" s="15" t="inlineStr">
        <is>
          <t>Company name + date window</t>
        </is>
      </c>
      <c r="U298" s="15" t="inlineStr">
        <is>
          <t>Wakefit Innovations Limited</t>
        </is>
      </c>
      <c r="V298" s="15" t="n"/>
      <c r="W298" s="15" t="n"/>
      <c r="X298" s="15" t="n"/>
      <c r="Y298" s="15" t="n"/>
      <c r="Z298" s="15" t="n"/>
      <c r="AA298" s="15" t="n"/>
      <c r="AB298" s="15" t="n"/>
    </row>
    <row r="299" ht="15" customHeight="1" s="12">
      <c r="A299" s="14" t="n">
        <v>298</v>
      </c>
      <c r="B299" s="16" t="n">
        <v>45862</v>
      </c>
      <c r="C299" s="15" t="n">
        <v>2025</v>
      </c>
      <c r="D299" s="15" t="inlineStr">
        <is>
          <t>MILKY MIST DAIRY FOOD LIMITED</t>
        </is>
      </c>
      <c r="E299" s="15" t="inlineStr">
        <is>
          <t>DRHP</t>
        </is>
      </c>
      <c r="F299" s="15" t="inlineStr">
        <is>
          <t>MILKY MIST DAIRY FOOD LIMITED</t>
        </is>
      </c>
      <c r="G299" s="15" t="inlineStr">
        <is>
          <t>IPO launched</t>
        </is>
      </c>
      <c r="H299" s="15" t="inlineStr">
        <is>
          <t>Mainboard</t>
        </is>
      </c>
      <c r="I299" s="16" t="n">
        <v>46245</v>
      </c>
      <c r="J299" s="16" t="n">
        <v>46247</v>
      </c>
      <c r="K299" s="16" t="n">
        <v>46252</v>
      </c>
      <c r="L299" s="17" t="n">
        <v>2035</v>
      </c>
      <c r="M299" s="17" t="n">
        <v>1785</v>
      </c>
      <c r="N299" s="17" t="n">
        <v>250</v>
      </c>
      <c r="O299" s="15" t="inlineStr">
        <is>
          <t>Final issue (ipoplatform)</t>
        </is>
      </c>
      <c r="P299" s="15" t="n"/>
      <c r="Q299" s="18" t="inlineStr">
        <is>
          <t>https://www.sebi.gov.in/sebi_data/attachdocs/jul-2025/1753407006225_880.pdf</t>
        </is>
      </c>
      <c r="R299" s="18" t="inlineStr">
        <is>
          <t>https://www.sebi.gov.in/filings/public-issues/jul-2025/milky-mist-dairy-food-limited_95576.html</t>
        </is>
      </c>
      <c r="S299" s="15" t="n"/>
      <c r="T299" s="15" t="inlineStr">
        <is>
          <t>Company name + date window</t>
        </is>
      </c>
      <c r="U299" s="15" t="inlineStr">
        <is>
          <t>Milky Mist Dairy Food Limited</t>
        </is>
      </c>
      <c r="V299" s="15" t="n"/>
      <c r="W299" s="15" t="n"/>
      <c r="X299" s="15" t="n"/>
      <c r="Y299" s="15" t="n"/>
      <c r="Z299" s="15" t="n"/>
      <c r="AA299" s="15" t="n"/>
      <c r="AB299" s="15" t="n"/>
    </row>
    <row r="300" ht="15" customHeight="1" s="12">
      <c r="A300" s="14" t="n">
        <v>299</v>
      </c>
      <c r="B300" s="16" t="n">
        <v>45861</v>
      </c>
      <c r="C300" s="15" t="n">
        <v>2025</v>
      </c>
      <c r="D300" s="15" t="inlineStr">
        <is>
          <t>Oswal Energies Limited</t>
        </is>
      </c>
      <c r="E300" s="15" t="inlineStr">
        <is>
          <t>DRHP</t>
        </is>
      </c>
      <c r="F300" s="15" t="inlineStr">
        <is>
          <t>Oswal Energies Limited</t>
        </is>
      </c>
      <c r="G300" s="15" t="inlineStr">
        <is>
          <t>Upcoming — IPO not yet opened</t>
        </is>
      </c>
      <c r="H300" s="15" t="n"/>
      <c r="I300" s="16" t="n"/>
      <c r="J300" s="16" t="n"/>
      <c r="K300" s="16" t="n"/>
      <c r="L300" s="17" t="n"/>
      <c r="M300" s="17" t="n"/>
      <c r="N300" s="17" t="n"/>
      <c r="O300" s="15" t="n"/>
      <c r="P300" s="15" t="n"/>
      <c r="Q300" s="18" t="inlineStr">
        <is>
          <t>https://www.sebi.gov.in/sebi_data/attachdocs/jul-2025/1753270215879_878.pdf</t>
        </is>
      </c>
      <c r="R300" s="18" t="inlineStr">
        <is>
          <t>https://www.sebi.gov.in/filings/public-issues/jul-2025/oswal-energies-limited_95557.html</t>
        </is>
      </c>
      <c r="S300" s="15" t="n"/>
      <c r="T300" s="15" t="n"/>
      <c r="U300" s="15" t="n"/>
      <c r="V300" s="15" t="n"/>
      <c r="W300" s="16" t="n"/>
      <c r="X300" s="16" t="n"/>
      <c r="Y300" s="16" t="n"/>
      <c r="Z300" s="15" t="inlineStr">
        <is>
          <t>Dates not announced</t>
        </is>
      </c>
      <c r="AA300" s="15" t="inlineStr">
        <is>
          <t>SEBI nod 9-Dec-2025; dates not yet announced</t>
        </is>
      </c>
      <c r="AB300" s="18" t="inlineStr">
        <is>
          <t>https://www.chittorgarh.com/ipo/oswal-energies-ipo/2540/</t>
        </is>
      </c>
    </row>
    <row r="301" ht="15" customHeight="1" s="12">
      <c r="A301" s="14" t="n">
        <v>300</v>
      </c>
      <c r="B301" s="16" t="n">
        <v>45860</v>
      </c>
      <c r="C301" s="15" t="n">
        <v>2025</v>
      </c>
      <c r="D301" s="15" t="inlineStr">
        <is>
          <t>Orient Cables Limited</t>
        </is>
      </c>
      <c r="E301" s="15" t="inlineStr">
        <is>
          <t>DRHP</t>
        </is>
      </c>
      <c r="F301" s="15" t="inlineStr">
        <is>
          <t>Orient Cables Limited - DRHP</t>
        </is>
      </c>
      <c r="G301" s="15" t="inlineStr">
        <is>
          <t>Upcoming — IPO not yet opened</t>
        </is>
      </c>
      <c r="H301" s="15" t="n"/>
      <c r="I301" s="16" t="n"/>
      <c r="J301" s="16" t="n"/>
      <c r="K301" s="16" t="n"/>
      <c r="L301" s="17" t="n"/>
      <c r="M301" s="17" t="n"/>
      <c r="N301" s="17" t="n"/>
      <c r="O301" s="15" t="n"/>
      <c r="P301" s="15" t="n"/>
      <c r="Q301" s="18" t="inlineStr">
        <is>
          <t>https://www.sebi.gov.in/sebi_data/attachdocs/jul-2025/1753171926581.pdf</t>
        </is>
      </c>
      <c r="R301" s="18" t="inlineStr">
        <is>
          <t>https://www.sebi.gov.in/filings/public-issues/jul-2025/orient-cables-limited-drhp_95503.html</t>
        </is>
      </c>
      <c r="S301" s="15" t="n"/>
      <c r="T301" s="15" t="n"/>
      <c r="U301" s="15" t="n"/>
      <c r="V301" s="15" t="n"/>
      <c r="W301" s="19" t="n">
        <v>46290</v>
      </c>
      <c r="X301" s="19" t="n">
        <v>46294</v>
      </c>
      <c r="Y301" s="19" t="n">
        <v>46300</v>
      </c>
      <c r="Z301" s="20" t="inlineStr">
        <is>
          <t>Issue opened</t>
        </is>
      </c>
      <c r="AA301" s="15" t="inlineStr">
        <is>
          <t>Matched on chittorgarh.com</t>
        </is>
      </c>
      <c r="AB301" s="18" t="inlineStr">
        <is>
          <t>https://www.chittorgarh.com/ipo/orient-cables-ipo/2532/</t>
        </is>
      </c>
    </row>
    <row r="302" ht="15" customHeight="1" s="12">
      <c r="A302" s="14" t="n">
        <v>301</v>
      </c>
      <c r="B302" s="16" t="n">
        <v>45855</v>
      </c>
      <c r="C302" s="15" t="n">
        <v>2025</v>
      </c>
      <c r="D302" s="15" t="inlineStr">
        <is>
          <t>ICICI PRUDENTIAL ASSET MANAGEMENT COMPANY LIMITED</t>
        </is>
      </c>
      <c r="E302" s="15" t="inlineStr">
        <is>
          <t>DRHP</t>
        </is>
      </c>
      <c r="F302" s="15" t="inlineStr">
        <is>
          <t>ICICI PRUDENTIAL ASSET MANAGEMENT COMPANY LIMITED</t>
        </is>
      </c>
      <c r="G302" s="15" t="inlineStr">
        <is>
          <t>IPO launched</t>
        </is>
      </c>
      <c r="H302" s="15" t="inlineStr">
        <is>
          <t>Mainboard</t>
        </is>
      </c>
      <c r="I302" s="16" t="n">
        <v>46003</v>
      </c>
      <c r="J302" s="16" t="n">
        <v>46007</v>
      </c>
      <c r="K302" s="16" t="n">
        <v>46010</v>
      </c>
      <c r="L302" s="17" t="n">
        <v>10602.65</v>
      </c>
      <c r="M302" s="17" t="n"/>
      <c r="N302" s="17" t="n">
        <v>10602.65</v>
      </c>
      <c r="O302" s="15" t="inlineStr">
        <is>
          <t>Final issue (ipoplatform)</t>
        </is>
      </c>
      <c r="P302" s="15" t="n"/>
      <c r="Q302" s="18" t="inlineStr">
        <is>
          <t>https://www.sebi.gov.in/sebi_data/attachdocs/jul-2025/1752842148576.pdf</t>
        </is>
      </c>
      <c r="R302" s="18" t="inlineStr">
        <is>
          <t>https://www.sebi.gov.in/filings/public-issues/jul-2025/icici-prudential-asset-management-company-limited_95357.html</t>
        </is>
      </c>
      <c r="S302" s="15" t="n"/>
      <c r="T302" s="15" t="inlineStr">
        <is>
          <t>Company name + date window</t>
        </is>
      </c>
      <c r="U302" s="15" t="inlineStr">
        <is>
          <t>ICICI Prudential Asset Management Company Limited</t>
        </is>
      </c>
      <c r="V302" s="15" t="n"/>
      <c r="W302" s="15" t="n"/>
      <c r="X302" s="15" t="n"/>
      <c r="Y302" s="15" t="n"/>
      <c r="Z302" s="15" t="n"/>
      <c r="AA302" s="15" t="n"/>
      <c r="AB302" s="15" t="n"/>
    </row>
    <row r="303" ht="15" customHeight="1" s="12">
      <c r="A303" s="14" t="n">
        <v>302</v>
      </c>
      <c r="B303" s="16" t="n">
        <v>45854</v>
      </c>
      <c r="C303" s="15" t="n">
        <v>2025</v>
      </c>
      <c r="D303" s="15" t="inlineStr">
        <is>
          <t>AGGCON EQUIPMENTS INTERNATIONAL LIMITED</t>
        </is>
      </c>
      <c r="E303" s="15" t="inlineStr">
        <is>
          <t>DRHP</t>
        </is>
      </c>
      <c r="F303" s="15" t="inlineStr">
        <is>
          <t>AGGCON EQUIPMENTS INTERNATIONAL LIMITED</t>
        </is>
      </c>
      <c r="G303" s="15" t="inlineStr">
        <is>
          <t>Upcoming — IPO not yet opened</t>
        </is>
      </c>
      <c r="H303" s="15" t="n"/>
      <c r="I303" s="16" t="n"/>
      <c r="J303" s="16" t="n"/>
      <c r="K303" s="16" t="n"/>
      <c r="L303" s="17" t="n"/>
      <c r="M303" s="17" t="n"/>
      <c r="N303" s="17" t="n"/>
      <c r="O303" s="15" t="n"/>
      <c r="P303" s="15" t="n"/>
      <c r="Q303" s="18" t="inlineStr">
        <is>
          <t>https://www.sebi.gov.in/sebi_data/attachdocs/jul-2025/1752665404329_867.pdf</t>
        </is>
      </c>
      <c r="R303" s="18" t="inlineStr">
        <is>
          <t>https://www.sebi.gov.in/filings/public-issues/jul-2025/aggcon-equipments-international-limited_95349.html</t>
        </is>
      </c>
      <c r="S303" s="15" t="n"/>
      <c r="T303" s="15" t="n"/>
      <c r="U303" s="15" t="n"/>
      <c r="V303" s="15" t="n"/>
      <c r="W303" s="16" t="n"/>
      <c r="X303" s="16" t="n"/>
      <c r="Y303" s="16" t="n"/>
      <c r="Z303" s="15" t="inlineStr">
        <is>
          <t>Dates not announced</t>
        </is>
      </c>
      <c r="AA303" s="15" t="inlineStr">
        <is>
          <t>SEBI nod 17-Oct-2025; dates not yet announced</t>
        </is>
      </c>
      <c r="AB303" s="18" t="inlineStr">
        <is>
          <t>https://www.chittorgarh.com/ipo/aggcon-equipments-international-ipo/2531/</t>
        </is>
      </c>
    </row>
    <row r="304" ht="15" customHeight="1" s="12">
      <c r="A304" s="14" t="n">
        <v>303</v>
      </c>
      <c r="B304" s="16" t="n">
        <v>45853</v>
      </c>
      <c r="C304" s="15" t="n">
        <v>2025</v>
      </c>
      <c r="D304" s="15" t="inlineStr">
        <is>
          <t>EMMVEE PHOTOVOLTAIC POWER LIMITED</t>
        </is>
      </c>
      <c r="E304" s="15" t="inlineStr">
        <is>
          <t>DRHP</t>
        </is>
      </c>
      <c r="F304" s="15" t="inlineStr">
        <is>
          <t>EMMVEE PHOTOVOLTAIC POWER LIMITED</t>
        </is>
      </c>
      <c r="G304" s="15" t="inlineStr">
        <is>
          <t>IPO launched</t>
        </is>
      </c>
      <c r="H304" s="15" t="inlineStr">
        <is>
          <t>Mainboard</t>
        </is>
      </c>
      <c r="I304" s="16" t="n">
        <v>45972</v>
      </c>
      <c r="J304" s="16" t="n">
        <v>45974</v>
      </c>
      <c r="K304" s="16" t="n">
        <v>45979</v>
      </c>
      <c r="L304" s="17" t="n">
        <v>2900</v>
      </c>
      <c r="M304" s="17" t="n">
        <v>2143.86</v>
      </c>
      <c r="N304" s="17" t="n">
        <v>756.14</v>
      </c>
      <c r="O304" s="15" t="inlineStr">
        <is>
          <t>Final issue (ipoplatform)</t>
        </is>
      </c>
      <c r="P304" s="15" t="n"/>
      <c r="Q304" s="18" t="inlineStr">
        <is>
          <t>https://www.sebi.gov.in/sebi_data/attachdocs/jul-2025/1752564604858_864.pdf</t>
        </is>
      </c>
      <c r="R304" s="18" t="inlineStr">
        <is>
          <t>https://www.sebi.gov.in/filings/public-issues/jul-2025/emmvee-photovoltaic-power-limited_95264.html</t>
        </is>
      </c>
      <c r="S304" s="15" t="n"/>
      <c r="T304" s="15" t="inlineStr">
        <is>
          <t>Company name + date window</t>
        </is>
      </c>
      <c r="U304" s="15" t="inlineStr">
        <is>
          <t>Emmvee Photovoltaic Power Limited</t>
        </is>
      </c>
      <c r="V304" s="15" t="n"/>
      <c r="W304" s="15" t="n"/>
      <c r="X304" s="15" t="n"/>
      <c r="Y304" s="15" t="n"/>
      <c r="Z304" s="15" t="n"/>
      <c r="AA304" s="15" t="n"/>
      <c r="AB304" s="15" t="n"/>
    </row>
    <row r="305" ht="15" customHeight="1" s="12">
      <c r="A305" s="14" t="n">
        <v>304</v>
      </c>
      <c r="B305" s="16" t="n">
        <v>45852</v>
      </c>
      <c r="C305" s="15" t="n">
        <v>2025</v>
      </c>
      <c r="D305" s="15" t="inlineStr">
        <is>
          <t>AGGCON EQUIPMENTS INTERNATIONAL LIMITED</t>
        </is>
      </c>
      <c r="E305" s="15" t="inlineStr">
        <is>
          <t>DRHP</t>
        </is>
      </c>
      <c r="F305" s="15" t="inlineStr">
        <is>
          <t>AGGCON EQUIPMENTS INTERNATIONAL LIMITED</t>
        </is>
      </c>
      <c r="G305" s="15" t="inlineStr">
        <is>
          <t>Upcoming — IPO not yet opened</t>
        </is>
      </c>
      <c r="H305" s="15" t="n"/>
      <c r="I305" s="16" t="n"/>
      <c r="J305" s="16" t="n"/>
      <c r="K305" s="16" t="n"/>
      <c r="L305" s="17" t="n"/>
      <c r="M305" s="17" t="n"/>
      <c r="N305" s="17" t="n"/>
      <c r="O305" s="15" t="n"/>
      <c r="P305" s="15" t="n"/>
      <c r="Q305" s="18" t="inlineStr">
        <is>
          <t>https://www.sebi.gov.in/sebi_data/attachdocs/jul-2025/1752478204835_863.pdf</t>
        </is>
      </c>
      <c r="R305" s="18" t="inlineStr">
        <is>
          <t>https://www.sebi.gov.in/filings/public-issues/jul-2025/aggcon-equipments-international-limited_95252.html</t>
        </is>
      </c>
      <c r="S305" s="15" t="n"/>
      <c r="T305" s="15" t="n"/>
      <c r="U305" s="15" t="n"/>
      <c r="V305" s="15" t="n"/>
      <c r="W305" s="16" t="n"/>
      <c r="X305" s="16" t="n"/>
      <c r="Y305" s="16" t="n"/>
      <c r="Z305" s="15" t="inlineStr">
        <is>
          <t>Dates not announced</t>
        </is>
      </c>
      <c r="AA305" s="15" t="inlineStr">
        <is>
          <t>SEBI nod 17-Oct-2025; dates not yet announced</t>
        </is>
      </c>
      <c r="AB305" s="18" t="inlineStr">
        <is>
          <t>https://www.chittorgarh.com/ipo/aggcon-equipments-international-ipo/2531/</t>
        </is>
      </c>
    </row>
    <row r="306" ht="15" customHeight="1" s="12">
      <c r="A306" s="14" t="n">
        <v>305</v>
      </c>
      <c r="B306" s="16" t="n">
        <v>45849</v>
      </c>
      <c r="C306" s="15" t="n">
        <v>2025</v>
      </c>
      <c r="D306" s="15" t="inlineStr">
        <is>
          <t>Allied Engineering Works Limited</t>
        </is>
      </c>
      <c r="E306" s="15" t="inlineStr">
        <is>
          <t>DRHP</t>
        </is>
      </c>
      <c r="F306" s="15" t="inlineStr">
        <is>
          <t>Allied Engineering Works Limited</t>
        </is>
      </c>
      <c r="G306" s="15" t="inlineStr">
        <is>
          <t>Upcoming — IPO not yet opened</t>
        </is>
      </c>
      <c r="H306" s="15" t="n"/>
      <c r="I306" s="16" t="n"/>
      <c r="J306" s="16" t="n"/>
      <c r="K306" s="16" t="n"/>
      <c r="L306" s="17" t="n"/>
      <c r="M306" s="17" t="n"/>
      <c r="N306" s="17" t="n"/>
      <c r="O306" s="15" t="n"/>
      <c r="P306" s="15" t="n"/>
      <c r="Q306" s="18" t="inlineStr">
        <is>
          <t>https://www.sebi.gov.in/sebi_data/attachdocs/jul-2025/1752219016712_862.pdf</t>
        </is>
      </c>
      <c r="R306" s="18" t="inlineStr">
        <is>
          <t>https://www.sebi.gov.in/filings/public-issues/jul-2025/allied-engineering-works-limited_95201.html</t>
        </is>
      </c>
      <c r="S306" s="15" t="n"/>
      <c r="T306" s="15" t="n"/>
      <c r="U306" s="15" t="n"/>
      <c r="V306" s="15" t="n"/>
      <c r="W306" s="16" t="n"/>
      <c r="X306" s="16" t="n"/>
      <c r="Y306" s="16" t="n"/>
      <c r="Z306" s="15" t="inlineStr">
        <is>
          <t>Dates not announced</t>
        </is>
      </c>
      <c r="AA306" s="15" t="inlineStr">
        <is>
          <t>SEBI nod 30-Oct-2025; dates not yet announced</t>
        </is>
      </c>
      <c r="AB306" s="18" t="inlineStr">
        <is>
          <t>https://www.chittorgarh.com/ipo/allied-engineering-works-ipo/2519/</t>
        </is>
      </c>
    </row>
    <row r="307" ht="15" customHeight="1" s="12">
      <c r="A307" s="14" t="n">
        <v>306</v>
      </c>
      <c r="B307" s="16" t="n">
        <v>45849</v>
      </c>
      <c r="C307" s="15" t="n">
        <v>2025</v>
      </c>
      <c r="D307" s="15" t="inlineStr">
        <is>
          <t>SHREE RAM TWISTEX LIMITED</t>
        </is>
      </c>
      <c r="E307" s="15" t="inlineStr">
        <is>
          <t>DRHP</t>
        </is>
      </c>
      <c r="F307" s="15" t="inlineStr">
        <is>
          <t>SHREE RAM TWISTEX LIMITED</t>
        </is>
      </c>
      <c r="G307" s="15" t="inlineStr">
        <is>
          <t>IPO launched</t>
        </is>
      </c>
      <c r="H307" s="15" t="inlineStr">
        <is>
          <t>Mainboard</t>
        </is>
      </c>
      <c r="I307" s="16" t="n">
        <v>46076</v>
      </c>
      <c r="J307" s="16" t="n">
        <v>46078</v>
      </c>
      <c r="K307" s="16" t="n">
        <v>46083</v>
      </c>
      <c r="L307" s="17" t="n">
        <v>110.24</v>
      </c>
      <c r="M307" s="17" t="n">
        <v>110.24</v>
      </c>
      <c r="N307" s="17" t="n">
        <v>0</v>
      </c>
      <c r="O307" s="15" t="inlineStr">
        <is>
          <t>Final issue (ipoplatform)</t>
        </is>
      </c>
      <c r="P307" s="15" t="n"/>
      <c r="Q307" s="18" t="inlineStr">
        <is>
          <t>https://www.sebi.gov.in/sebi_data/attachdocs/jul-2025/1752219016712_861.pdf</t>
        </is>
      </c>
      <c r="R307" s="18" t="inlineStr">
        <is>
          <t>https://www.sebi.gov.in/filings/public-issues/jul-2025/shree-ram-twistex-limited_95199.html</t>
        </is>
      </c>
      <c r="S307" s="15" t="n"/>
      <c r="T307" s="15" t="inlineStr">
        <is>
          <t>Company name + date window</t>
        </is>
      </c>
      <c r="U307" s="15" t="inlineStr">
        <is>
          <t>Shree Ram Twistex Limited</t>
        </is>
      </c>
      <c r="V307" s="15" t="n"/>
      <c r="W307" s="15" t="n"/>
      <c r="X307" s="15" t="n"/>
      <c r="Y307" s="15" t="n"/>
      <c r="Z307" s="15" t="n"/>
      <c r="AA307" s="15" t="n"/>
      <c r="AB307" s="15" t="n"/>
    </row>
    <row r="308" ht="15" customHeight="1" s="12">
      <c r="A308" s="14" t="n">
        <v>307</v>
      </c>
      <c r="B308" s="16" t="n">
        <v>45849</v>
      </c>
      <c r="C308" s="15" t="n">
        <v>2025</v>
      </c>
      <c r="D308" s="15" t="inlineStr">
        <is>
          <t>Juniper Green Energy Limited</t>
        </is>
      </c>
      <c r="E308" s="15" t="inlineStr">
        <is>
          <t>DRHP</t>
        </is>
      </c>
      <c r="F308" s="15" t="inlineStr">
        <is>
          <t>Juniper Green Energy Limited</t>
        </is>
      </c>
      <c r="G308" s="15" t="inlineStr">
        <is>
          <t>IPO launched</t>
        </is>
      </c>
      <c r="H308" s="15" t="inlineStr">
        <is>
          <t>Mainboard</t>
        </is>
      </c>
      <c r="I308" s="16" t="n">
        <v>46233</v>
      </c>
      <c r="J308" s="16" t="n">
        <v>46237</v>
      </c>
      <c r="K308" s="16" t="n">
        <v>46240</v>
      </c>
      <c r="L308" s="17" t="n">
        <v>1800</v>
      </c>
      <c r="M308" s="17" t="n">
        <v>1800</v>
      </c>
      <c r="N308" s="17" t="n">
        <v>0</v>
      </c>
      <c r="O308" s="15" t="inlineStr">
        <is>
          <t>Final issue (ipoplatform)</t>
        </is>
      </c>
      <c r="P308" s="15" t="n"/>
      <c r="Q308" s="18" t="inlineStr">
        <is>
          <t>https://www.sebi.gov.in/sebi_data/attachdocs/jul-2025/1752219016712_860.pdf</t>
        </is>
      </c>
      <c r="R308" s="18" t="inlineStr">
        <is>
          <t>https://www.sebi.gov.in/filings/public-issues/jul-2025/juniper-green-energy-limited_95197.html</t>
        </is>
      </c>
      <c r="S308" s="15" t="n"/>
      <c r="T308" s="15" t="inlineStr">
        <is>
          <t>Company name + date window</t>
        </is>
      </c>
      <c r="U308" s="15" t="inlineStr">
        <is>
          <t>Juniper Green Energy Limited</t>
        </is>
      </c>
      <c r="V308" s="15" t="n"/>
      <c r="W308" s="15" t="n"/>
      <c r="X308" s="15" t="n"/>
      <c r="Y308" s="15" t="n"/>
      <c r="Z308" s="15" t="n"/>
      <c r="AA308" s="15" t="n"/>
      <c r="AB308" s="15" t="n"/>
    </row>
    <row r="309" ht="15" customHeight="1" s="12">
      <c r="A309" s="14" t="n">
        <v>308</v>
      </c>
      <c r="B309" s="16" t="n">
        <v>45848</v>
      </c>
      <c r="C309" s="15" t="n">
        <v>2025</v>
      </c>
      <c r="D309" s="15" t="inlineStr">
        <is>
          <t>EMMVEE PHOTOVOLTAIC POWER LIMITED</t>
        </is>
      </c>
      <c r="E309" s="15" t="inlineStr">
        <is>
          <t>DRHP</t>
        </is>
      </c>
      <c r="F309" s="15" t="inlineStr">
        <is>
          <t>EMMVEE PHOTOVOLTAIC POWER LIMITED</t>
        </is>
      </c>
      <c r="G309" s="15" t="inlineStr">
        <is>
          <t>IPO launched</t>
        </is>
      </c>
      <c r="H309" s="15" t="inlineStr">
        <is>
          <t>Mainboard</t>
        </is>
      </c>
      <c r="I309" s="16" t="n">
        <v>45972</v>
      </c>
      <c r="J309" s="16" t="n">
        <v>45974</v>
      </c>
      <c r="K309" s="16" t="n">
        <v>45979</v>
      </c>
      <c r="L309" s="17" t="n">
        <v>2900</v>
      </c>
      <c r="M309" s="17" t="n">
        <v>2143.86</v>
      </c>
      <c r="N309" s="17" t="n">
        <v>756.14</v>
      </c>
      <c r="O309" s="15" t="inlineStr">
        <is>
          <t>Final issue (ipoplatform)</t>
        </is>
      </c>
      <c r="P309" s="15" t="n"/>
      <c r="Q309" s="18" t="inlineStr">
        <is>
          <t>https://www.sebi.gov.in/sebi_data/attachdocs/jul-2025/1752197404710_858.pdf</t>
        </is>
      </c>
      <c r="R309" s="18" t="inlineStr">
        <is>
          <t>https://www.sebi.gov.in/filings/public-issues/jul-2025/emmvee-photovoltaic-power-limited_95189.html</t>
        </is>
      </c>
      <c r="S309" s="15" t="n"/>
      <c r="T309" s="15" t="inlineStr">
        <is>
          <t>Company name + date window</t>
        </is>
      </c>
      <c r="U309" s="15" t="inlineStr">
        <is>
          <t>Emmvee Photovoltaic Power Limited</t>
        </is>
      </c>
      <c r="V309" s="15" t="n"/>
      <c r="W309" s="15" t="n"/>
      <c r="X309" s="15" t="n"/>
      <c r="Y309" s="15" t="n"/>
      <c r="Z309" s="15" t="n"/>
      <c r="AA309" s="15" t="n"/>
      <c r="AB309" s="15" t="n"/>
    </row>
    <row r="310" ht="15" customHeight="1" s="12">
      <c r="A310" s="14" t="n">
        <v>309</v>
      </c>
      <c r="B310" s="16" t="n">
        <v>45848</v>
      </c>
      <c r="C310" s="15" t="n">
        <v>2025</v>
      </c>
      <c r="D310" s="15" t="inlineStr">
        <is>
          <t>Hero Motors Limited</t>
        </is>
      </c>
      <c r="E310" s="15" t="inlineStr">
        <is>
          <t>DRHP</t>
        </is>
      </c>
      <c r="F310" s="15" t="inlineStr">
        <is>
          <t>Hero Motors Limited</t>
        </is>
      </c>
      <c r="G310" s="15" t="inlineStr">
        <is>
          <t>IPO launched</t>
        </is>
      </c>
      <c r="H310" s="15" t="inlineStr">
        <is>
          <t>Mainboard</t>
        </is>
      </c>
      <c r="I310" s="16" t="n">
        <v>46281</v>
      </c>
      <c r="J310" s="16" t="n">
        <v>46283</v>
      </c>
      <c r="K310" s="16" t="n">
        <v>46288</v>
      </c>
      <c r="L310" s="17" t="n">
        <v>1000</v>
      </c>
      <c r="M310" s="17" t="n">
        <v>600</v>
      </c>
      <c r="N310" s="17" t="n">
        <v>400</v>
      </c>
      <c r="O310" s="15" t="inlineStr">
        <is>
          <t>Final issue (ipoplatform)</t>
        </is>
      </c>
      <c r="P310" s="15" t="n"/>
      <c r="Q310" s="18" t="inlineStr">
        <is>
          <t>https://www.sebi.gov.in/sebi_data/attachdocs/jul-2025/1752123211746_856.pdf</t>
        </is>
      </c>
      <c r="R310" s="18" t="inlineStr">
        <is>
          <t>https://www.sebi.gov.in/filings/public-issues/jul-2025/hero-motors-limited_95172.html</t>
        </is>
      </c>
      <c r="S310" s="15" t="n"/>
      <c r="T310" s="15" t="inlineStr">
        <is>
          <t>Company name + date window</t>
        </is>
      </c>
      <c r="U310" s="15" t="inlineStr">
        <is>
          <t>Hero Motors Limited</t>
        </is>
      </c>
      <c r="V310" s="15" t="n"/>
      <c r="W310" s="15" t="n"/>
      <c r="X310" s="15" t="n"/>
      <c r="Y310" s="15" t="n"/>
      <c r="Z310" s="15" t="n"/>
      <c r="AA310" s="15" t="n"/>
      <c r="AB310" s="15" t="n"/>
    </row>
    <row r="311" ht="15" customHeight="1" s="12">
      <c r="A311" s="14" t="n">
        <v>310</v>
      </c>
      <c r="B311" s="16" t="n">
        <v>45846</v>
      </c>
      <c r="C311" s="15" t="n">
        <v>2025</v>
      </c>
      <c r="D311" s="15" t="inlineStr">
        <is>
          <t>SAFEX CHEMICALS INDIA LIMITED</t>
        </is>
      </c>
      <c r="E311" s="15" t="inlineStr">
        <is>
          <t>DRHP</t>
        </is>
      </c>
      <c r="F311" s="15" t="inlineStr">
        <is>
          <t>SAFEX CHEMICALS INDIA LIMITED</t>
        </is>
      </c>
      <c r="G311" s="15" t="inlineStr">
        <is>
          <t>Upcoming — IPO not yet opened</t>
        </is>
      </c>
      <c r="H311" s="15" t="n"/>
      <c r="I311" s="16" t="n"/>
      <c r="J311" s="16" t="n"/>
      <c r="K311" s="16" t="n"/>
      <c r="L311" s="17" t="n"/>
      <c r="M311" s="17" t="n"/>
      <c r="N311" s="17" t="n"/>
      <c r="O311" s="15" t="n"/>
      <c r="P311" s="15" t="n"/>
      <c r="Q311" s="18" t="inlineStr">
        <is>
          <t>https://www.sebi.gov.in/sebi_data/attachdocs/jul-2025/1751959819550_855.pdf</t>
        </is>
      </c>
      <c r="R311" s="18" t="inlineStr">
        <is>
          <t>https://www.sebi.gov.in/filings/public-issues/jul-2025/safex-chemicals-india-limited_95115.html</t>
        </is>
      </c>
      <c r="S311" s="15" t="n"/>
      <c r="T311" s="15" t="n"/>
      <c r="U311" s="15" t="n"/>
      <c r="V311" s="15" t="n"/>
      <c r="W311" s="16" t="n"/>
      <c r="X311" s="16" t="n"/>
      <c r="Y311" s="16" t="n"/>
      <c r="Z311" s="15" t="inlineStr">
        <is>
          <t>Dates not announced</t>
        </is>
      </c>
      <c r="AA311" s="15" t="inlineStr">
        <is>
          <t>SEBI nod 17-Oct-2025; dates not yet announced</t>
        </is>
      </c>
      <c r="AB311" s="18" t="inlineStr">
        <is>
          <t>https://www.chittorgarh.com/ipo/safex-chemicals-ipo/2520/</t>
        </is>
      </c>
    </row>
    <row r="312" ht="15" customHeight="1" s="12">
      <c r="A312" s="14" t="n">
        <v>311</v>
      </c>
      <c r="B312" s="16" t="n">
        <v>45846</v>
      </c>
      <c r="C312" s="15" t="n">
        <v>2025</v>
      </c>
      <c r="D312" s="15" t="inlineStr">
        <is>
          <t>German Green Steel and Power Limited</t>
        </is>
      </c>
      <c r="E312" s="15" t="inlineStr">
        <is>
          <t>DRHP</t>
        </is>
      </c>
      <c r="F312" s="15" t="inlineStr">
        <is>
          <t>German Green Steel and Power Limited - DRHP</t>
        </is>
      </c>
      <c r="G312" s="15" t="inlineStr">
        <is>
          <t>Upcoming — IPO not yet opened</t>
        </is>
      </c>
      <c r="H312" s="15" t="n"/>
      <c r="I312" s="16" t="n"/>
      <c r="J312" s="16" t="n"/>
      <c r="K312" s="16" t="n"/>
      <c r="L312" s="17" t="n"/>
      <c r="M312" s="17" t="n"/>
      <c r="N312" s="17" t="n"/>
      <c r="O312" s="15" t="n"/>
      <c r="P312" s="15" t="n"/>
      <c r="Q312" s="18" t="inlineStr">
        <is>
          <t>https://www.sebi.gov.in/sebi_data/attachdocs/aug-2026/1787315835585.pdf</t>
        </is>
      </c>
      <c r="R312" s="18" t="inlineStr">
        <is>
          <t>https://www.sebi.gov.in/filings/public-issues/jul-2025/german-green-steel-and-power-limited-drhp_95113.html</t>
        </is>
      </c>
      <c r="S312" s="15" t="n"/>
      <c r="T312" s="15" t="n"/>
      <c r="U312" s="15" t="n"/>
      <c r="V312" s="15" t="n"/>
      <c r="W312" s="19" t="n">
        <v>46290</v>
      </c>
      <c r="X312" s="19" t="n">
        <v>46294</v>
      </c>
      <c r="Y312" s="19" t="n">
        <v>46300</v>
      </c>
      <c r="Z312" s="20" t="inlineStr">
        <is>
          <t>Issue closed — listing pending</t>
        </is>
      </c>
      <c r="AA312" s="15" t="inlineStr">
        <is>
          <t>Price band Rs132-139; subscribed 30.4x; listing 5-Oct-2026 tentative</t>
        </is>
      </c>
      <c r="AB312" s="18" t="inlineStr">
        <is>
          <t>https://www.chittorgarh.com/ipo/german-green-steel-and-power-ipo/2497/</t>
        </is>
      </c>
    </row>
    <row r="313" ht="15" customHeight="1" s="12">
      <c r="A313" s="14" t="n">
        <v>312</v>
      </c>
      <c r="B313" s="16" t="n">
        <v>45845</v>
      </c>
      <c r="C313" s="15" t="n">
        <v>2025</v>
      </c>
      <c r="D313" s="15" t="inlineStr">
        <is>
          <t>PINE LABS LIMITED</t>
        </is>
      </c>
      <c r="E313" s="15" t="inlineStr">
        <is>
          <t>DRHP</t>
        </is>
      </c>
      <c r="F313" s="15" t="inlineStr">
        <is>
          <t>PINE LABS LIMITED</t>
        </is>
      </c>
      <c r="G313" s="15" t="inlineStr">
        <is>
          <t>IPO launched</t>
        </is>
      </c>
      <c r="H313" s="15" t="inlineStr">
        <is>
          <t>Mainboard</t>
        </is>
      </c>
      <c r="I313" s="16" t="n">
        <v>45968</v>
      </c>
      <c r="J313" s="16" t="n">
        <v>45972</v>
      </c>
      <c r="K313" s="16" t="n">
        <v>45975</v>
      </c>
      <c r="L313" s="17" t="n">
        <v>3899.91</v>
      </c>
      <c r="M313" s="17" t="n">
        <v>2080</v>
      </c>
      <c r="N313" s="17" t="n">
        <v>1819.91</v>
      </c>
      <c r="O313" s="15" t="inlineStr">
        <is>
          <t>Final issue (ipoplatform)</t>
        </is>
      </c>
      <c r="P313" s="15" t="n"/>
      <c r="Q313" s="18" t="inlineStr">
        <is>
          <t>https://www.sebi.gov.in/sebi_data/attachdocs/jul-2025/1751887810927_850.pdf</t>
        </is>
      </c>
      <c r="R313" s="18" t="inlineStr">
        <is>
          <t>https://www.sebi.gov.in/filings/public-issues/jul-2025/pine-labs-limited_95077.html</t>
        </is>
      </c>
      <c r="S313" s="15" t="n"/>
      <c r="T313" s="15" t="inlineStr">
        <is>
          <t>Company name + date window</t>
        </is>
      </c>
      <c r="U313" s="15" t="inlineStr">
        <is>
          <t>Pine Labs Limited</t>
        </is>
      </c>
      <c r="V313" s="15" t="n"/>
      <c r="W313" s="15" t="n"/>
      <c r="X313" s="15" t="n"/>
      <c r="Y313" s="15" t="n"/>
      <c r="Z313" s="15" t="n"/>
      <c r="AA313" s="15" t="n"/>
      <c r="AB313" s="15" t="n"/>
    </row>
    <row r="314" ht="15" customHeight="1" s="12">
      <c r="A314" s="14" t="n">
        <v>313</v>
      </c>
      <c r="B314" s="16" t="n">
        <v>45845</v>
      </c>
      <c r="C314" s="15" t="n">
        <v>2025</v>
      </c>
      <c r="D314" s="15" t="inlineStr">
        <is>
          <t>TENNECO CLEAN AIR INDIA LIMITED</t>
        </is>
      </c>
      <c r="E314" s="15" t="inlineStr">
        <is>
          <t>DRHP</t>
        </is>
      </c>
      <c r="F314" s="15" t="inlineStr">
        <is>
          <t>TENNECO CLEAN AIR INDIA LIMITED</t>
        </is>
      </c>
      <c r="G314" s="15" t="inlineStr">
        <is>
          <t>IPO launched</t>
        </is>
      </c>
      <c r="H314" s="15" t="inlineStr">
        <is>
          <t>Mainboard</t>
        </is>
      </c>
      <c r="I314" s="16" t="n">
        <v>45973</v>
      </c>
      <c r="J314" s="16" t="n">
        <v>45975</v>
      </c>
      <c r="K314" s="16" t="n">
        <v>45980</v>
      </c>
      <c r="L314" s="17" t="n">
        <v>3600</v>
      </c>
      <c r="M314" s="17" t="n"/>
      <c r="N314" s="17" t="n">
        <v>3600</v>
      </c>
      <c r="O314" s="15" t="inlineStr">
        <is>
          <t>Final issue (ipoplatform)</t>
        </is>
      </c>
      <c r="P314" s="15" t="n"/>
      <c r="Q314" s="18" t="inlineStr">
        <is>
          <t>https://www.sebi.gov.in/sebi_data/attachdocs/jul-2025/1751887810927_851.pdf</t>
        </is>
      </c>
      <c r="R314" s="18" t="inlineStr">
        <is>
          <t>https://www.sebi.gov.in/filings/public-issues/jul-2025/tenneco-clean-air-india-limited_95079.html</t>
        </is>
      </c>
      <c r="S314" s="15" t="n"/>
      <c r="T314" s="15" t="inlineStr">
        <is>
          <t>Company name + date window</t>
        </is>
      </c>
      <c r="U314" s="15" t="inlineStr">
        <is>
          <t>Tenneco Clean Air India Limited</t>
        </is>
      </c>
      <c r="V314" s="15" t="n"/>
      <c r="W314" s="15" t="n"/>
      <c r="X314" s="15" t="n"/>
      <c r="Y314" s="15" t="n"/>
      <c r="Z314" s="15" t="n"/>
      <c r="AA314" s="15" t="n"/>
      <c r="AB314" s="15" t="n"/>
    </row>
    <row r="315" ht="15" customHeight="1" s="12">
      <c r="A315" s="14" t="n">
        <v>314</v>
      </c>
      <c r="B315" s="16" t="n">
        <v>45845</v>
      </c>
      <c r="C315" s="15" t="n">
        <v>2025</v>
      </c>
      <c r="D315" s="15" t="inlineStr">
        <is>
          <t>Annu Projects Limited</t>
        </is>
      </c>
      <c r="E315" s="15" t="inlineStr">
        <is>
          <t>DRHP</t>
        </is>
      </c>
      <c r="F315" s="15" t="inlineStr">
        <is>
          <t>Annu Projects Limited</t>
        </is>
      </c>
      <c r="G315" s="15" t="inlineStr">
        <is>
          <t>IPO launched</t>
        </is>
      </c>
      <c r="H315" s="15" t="inlineStr">
        <is>
          <t>Mainboard</t>
        </is>
      </c>
      <c r="I315" s="16" t="n">
        <v>46259</v>
      </c>
      <c r="J315" s="16" t="n">
        <v>46262</v>
      </c>
      <c r="K315" s="16" t="n">
        <v>46267</v>
      </c>
      <c r="L315" s="17" t="n">
        <v>175.06</v>
      </c>
      <c r="M315" s="17" t="n">
        <v>175.06</v>
      </c>
      <c r="N315" s="17" t="n">
        <v>0</v>
      </c>
      <c r="O315" s="15" t="inlineStr">
        <is>
          <t>Final issue (ipoplatform)</t>
        </is>
      </c>
      <c r="P315" s="15" t="n"/>
      <c r="Q315" s="18" t="inlineStr">
        <is>
          <t>https://www.sebi.gov.in/sebi_data/attachdocs/jul-2025/1751873409036_848.pdf</t>
        </is>
      </c>
      <c r="R315" s="18" t="inlineStr">
        <is>
          <t>https://www.sebi.gov.in/filings/public-issues/jul-2025/annu-projects-limited_95072.html</t>
        </is>
      </c>
      <c r="S315" s="15" t="n"/>
      <c r="T315" s="15" t="inlineStr">
        <is>
          <t>Company name + date window</t>
        </is>
      </c>
      <c r="U315" s="15" t="inlineStr">
        <is>
          <t>Annu Projects Limited</t>
        </is>
      </c>
      <c r="V315" s="15" t="n"/>
      <c r="W315" s="15" t="n"/>
      <c r="X315" s="15" t="n"/>
      <c r="Y315" s="15" t="n"/>
      <c r="Z315" s="15" t="n"/>
      <c r="AA315" s="15" t="n"/>
      <c r="AB315" s="15" t="n"/>
    </row>
    <row r="316" ht="15" customHeight="1" s="12">
      <c r="A316" s="14" t="n">
        <v>315</v>
      </c>
      <c r="B316" s="16" t="n">
        <v>45841</v>
      </c>
      <c r="C316" s="15" t="n">
        <v>2025</v>
      </c>
      <c r="D316" s="15" t="inlineStr">
        <is>
          <t>AMIR CHAND JAGDISH KUMAR EXPORTS LIMITED</t>
        </is>
      </c>
      <c r="E316" s="15" t="inlineStr">
        <is>
          <t>DRHP</t>
        </is>
      </c>
      <c r="F316" s="15" t="inlineStr">
        <is>
          <t>AMIR CHAND JAGDISH KUMAR EXPORTS LIMITED</t>
        </is>
      </c>
      <c r="G316" s="15" t="inlineStr">
        <is>
          <t>Upcoming — IPO not yet opened</t>
        </is>
      </c>
      <c r="H316" s="15" t="n"/>
      <c r="I316" s="16" t="n"/>
      <c r="J316" s="16" t="n"/>
      <c r="K316" s="16" t="n"/>
      <c r="L316" s="17" t="n"/>
      <c r="M316" s="17" t="n"/>
      <c r="N316" s="17" t="n"/>
      <c r="O316" s="15" t="n"/>
      <c r="P316" s="15" t="n"/>
      <c r="Q316" s="18" t="inlineStr">
        <is>
          <t>https://www.sebi.gov.in/sebi_data/attachdocs/jul-2025/1751542207660_845.pdf</t>
        </is>
      </c>
      <c r="R316" s="18" t="inlineStr">
        <is>
          <t>https://www.sebi.gov.in/filings/public-issues/jul-2025/amir-chand-jagdish-kumar-exports-limited_95027.html</t>
        </is>
      </c>
      <c r="S316" s="15" t="n"/>
      <c r="T316" s="15" t="n"/>
      <c r="U316" s="15" t="n"/>
      <c r="V316" s="15" t="n"/>
      <c r="W316" s="19" t="n">
        <v>46105</v>
      </c>
      <c r="X316" s="19" t="n">
        <v>46108</v>
      </c>
      <c r="Y316" s="19" t="n">
        <v>46114</v>
      </c>
      <c r="Z316" s="20" t="inlineStr">
        <is>
          <t>Issue opened</t>
        </is>
      </c>
      <c r="AA316" s="15" t="inlineStr">
        <is>
          <t>Price band Rs201-212; issue price Rs212; Rs440cr</t>
        </is>
      </c>
      <c r="AB316" s="18" t="inlineStr">
        <is>
          <t>https://www.chittorgarh.com/ipo/amir-chand-jagdish-kumar-ipo/2501/</t>
        </is>
      </c>
    </row>
    <row r="317" ht="15" customHeight="1" s="12">
      <c r="A317" s="14" t="n">
        <v>316</v>
      </c>
      <c r="B317" s="16" t="n">
        <v>45841</v>
      </c>
      <c r="C317" s="15" t="n">
        <v>2025</v>
      </c>
      <c r="D317" s="15" t="inlineStr">
        <is>
          <t>SHREE RAM TWISTEX LIMITED</t>
        </is>
      </c>
      <c r="E317" s="15" t="inlineStr">
        <is>
          <t>DRHP</t>
        </is>
      </c>
      <c r="F317" s="15" t="inlineStr">
        <is>
          <t>SHREE RAM TWISTEX LIMITED</t>
        </is>
      </c>
      <c r="G317" s="15" t="inlineStr">
        <is>
          <t>IPO launched</t>
        </is>
      </c>
      <c r="H317" s="15" t="inlineStr">
        <is>
          <t>Mainboard</t>
        </is>
      </c>
      <c r="I317" s="16" t="n">
        <v>46076</v>
      </c>
      <c r="J317" s="16" t="n">
        <v>46078</v>
      </c>
      <c r="K317" s="16" t="n">
        <v>46083</v>
      </c>
      <c r="L317" s="17" t="n">
        <v>110.24</v>
      </c>
      <c r="M317" s="17" t="n">
        <v>110.24</v>
      </c>
      <c r="N317" s="17" t="n">
        <v>0</v>
      </c>
      <c r="O317" s="15" t="inlineStr">
        <is>
          <t>Final issue (ipoplatform)</t>
        </is>
      </c>
      <c r="P317" s="15" t="n"/>
      <c r="Q317" s="18" t="inlineStr">
        <is>
          <t>https://www.sebi.gov.in/sebi_data/attachdocs/jul-2025/1751542207660_844.pdf</t>
        </is>
      </c>
      <c r="R317" s="18" t="inlineStr">
        <is>
          <t>https://www.sebi.gov.in/filings/public-issues/jul-2025/shree-ram-twistex-limited_95025.html</t>
        </is>
      </c>
      <c r="S317" s="15" t="n"/>
      <c r="T317" s="15" t="inlineStr">
        <is>
          <t>Company name + date window</t>
        </is>
      </c>
      <c r="U317" s="15" t="inlineStr">
        <is>
          <t>Shree Ram Twistex Limited</t>
        </is>
      </c>
      <c r="V317" s="15" t="n"/>
      <c r="W317" s="15" t="n"/>
      <c r="X317" s="15" t="n"/>
      <c r="Y317" s="15" t="n"/>
      <c r="Z317" s="15" t="n"/>
      <c r="AA317" s="15" t="n"/>
      <c r="AB317" s="15" t="n"/>
    </row>
    <row r="318" ht="15" customHeight="1" s="12">
      <c r="A318" s="14" t="n">
        <v>317</v>
      </c>
      <c r="B318" s="16" t="n">
        <v>45841</v>
      </c>
      <c r="C318" s="15" t="n">
        <v>2025</v>
      </c>
      <c r="D318" s="15" t="inlineStr">
        <is>
          <t>Sillverton Industries Limited</t>
        </is>
      </c>
      <c r="E318" s="15" t="inlineStr">
        <is>
          <t>DRHP</t>
        </is>
      </c>
      <c r="F318" s="15" t="inlineStr">
        <is>
          <t>Sillverton Industries Limited</t>
        </is>
      </c>
      <c r="G318" s="15" t="inlineStr">
        <is>
          <t>Upcoming — IPO not yet opened</t>
        </is>
      </c>
      <c r="H318" s="15" t="n"/>
      <c r="I318" s="16" t="n"/>
      <c r="J318" s="16" t="n"/>
      <c r="K318" s="16" t="n"/>
      <c r="L318" s="17" t="n"/>
      <c r="M318" s="17" t="n"/>
      <c r="N318" s="17" t="n"/>
      <c r="O318" s="15" t="n"/>
      <c r="P318" s="15" t="n"/>
      <c r="Q318" s="18" t="inlineStr">
        <is>
          <t>https://www.sebi.gov.in/sebi_data/attachdocs/jul-2025/1751542207660_843.pdf</t>
        </is>
      </c>
      <c r="R318" s="18" t="inlineStr">
        <is>
          <t>https://www.sebi.gov.in/filings/public-issues/jul-2025/sillverton-industries-limited_95023.html</t>
        </is>
      </c>
      <c r="S318" s="15" t="n"/>
      <c r="T318" s="15" t="n"/>
      <c r="U318" s="15" t="n"/>
      <c r="V318" s="15" t="n"/>
      <c r="W318" s="16" t="n"/>
      <c r="X318" s="16" t="n"/>
      <c r="Y318" s="16" t="n"/>
      <c r="Z318" s="15" t="inlineStr">
        <is>
          <t>Dates not announced</t>
        </is>
      </c>
      <c r="AA318" s="15" t="inlineStr">
        <is>
          <t>SEBI nod 12-Jan-2026; dates not yet announced</t>
        </is>
      </c>
      <c r="AB318" s="18" t="inlineStr">
        <is>
          <t>https://www.chittorgarh.com/ipo/sillverton-industries-ipo/2499/</t>
        </is>
      </c>
    </row>
    <row r="319" ht="15" customHeight="1" s="12">
      <c r="A319" s="14" t="n">
        <v>318</v>
      </c>
      <c r="B319" s="16" t="n">
        <v>45841</v>
      </c>
      <c r="C319" s="15" t="n">
        <v>2025</v>
      </c>
      <c r="D319" s="15" t="inlineStr">
        <is>
          <t>Curefoods India Limited</t>
        </is>
      </c>
      <c r="E319" s="15" t="inlineStr">
        <is>
          <t>DRHP</t>
        </is>
      </c>
      <c r="F319" s="15" t="inlineStr">
        <is>
          <t>Curefoods India Limited</t>
        </is>
      </c>
      <c r="G319" s="15" t="inlineStr">
        <is>
          <t>Upcoming — IPO not yet opened</t>
        </is>
      </c>
      <c r="H319" s="15" t="n"/>
      <c r="I319" s="16" t="n"/>
      <c r="J319" s="16" t="n"/>
      <c r="K319" s="16" t="n"/>
      <c r="L319" s="17" t="n"/>
      <c r="M319" s="17" t="n"/>
      <c r="N319" s="17" t="n"/>
      <c r="O319" s="15" t="n"/>
      <c r="P319" s="15" t="n"/>
      <c r="Q319" s="18" t="inlineStr">
        <is>
          <t>https://www.sebi.gov.in/sebi_data/attachdocs/jul-2025/1751527808198_841.pdf</t>
        </is>
      </c>
      <c r="R319" s="18" t="inlineStr">
        <is>
          <t>https://www.sebi.gov.in/filings/public-issues/jul-2025/curefoods-india-limited_95013.html</t>
        </is>
      </c>
      <c r="S319" s="15" t="n"/>
      <c r="T319" s="15" t="n"/>
      <c r="U319" s="15" t="n"/>
      <c r="V319" s="15" t="n"/>
      <c r="W319" s="16" t="n"/>
      <c r="X319" s="16" t="n"/>
      <c r="Y319" s="16" t="n"/>
      <c r="Z319" s="15" t="inlineStr">
        <is>
          <t>Dates not announced</t>
        </is>
      </c>
      <c r="AA319" s="15" t="inlineStr">
        <is>
          <t>SEBI nod 24-Oct-2025; IPO reportedly shelved Jun-2026; no dates (secondary source)</t>
        </is>
      </c>
      <c r="AB319" s="18" t="inlineStr">
        <is>
          <t>https://curvedtrading.com/articles/en/investing/curefoods-ipo/</t>
        </is>
      </c>
    </row>
    <row r="320" ht="15" customHeight="1" s="12">
      <c r="A320" s="14" t="n">
        <v>319</v>
      </c>
      <c r="B320" s="16" t="n">
        <v>45841</v>
      </c>
      <c r="C320" s="15" t="n">
        <v>2025</v>
      </c>
      <c r="D320" s="15" t="inlineStr">
        <is>
          <t>SKYWAYS AIR SERVICES LIMITED</t>
        </is>
      </c>
      <c r="E320" s="15" t="inlineStr">
        <is>
          <t>DRHP</t>
        </is>
      </c>
      <c r="F320" s="15" t="inlineStr">
        <is>
          <t>SKYWAYS AIR SERVICES LIMITED</t>
        </is>
      </c>
      <c r="G320" s="15" t="inlineStr">
        <is>
          <t>IPO launched</t>
        </is>
      </c>
      <c r="H320" s="15" t="inlineStr">
        <is>
          <t>Mainboard</t>
        </is>
      </c>
      <c r="I320" s="16" t="n">
        <v>46258</v>
      </c>
      <c r="J320" s="16" t="n">
        <v>46261</v>
      </c>
      <c r="K320" s="16" t="n">
        <v>46266</v>
      </c>
      <c r="L320" s="17" t="n">
        <v>582.8</v>
      </c>
      <c r="M320" s="17" t="n">
        <v>398.8</v>
      </c>
      <c r="N320" s="17" t="n">
        <v>184</v>
      </c>
      <c r="O320" s="15" t="inlineStr">
        <is>
          <t>Final issue (ipoplatform)</t>
        </is>
      </c>
      <c r="P320" s="15" t="n"/>
      <c r="Q320" s="18" t="inlineStr">
        <is>
          <t>https://www.sebi.gov.in/sebi_data/attachdocs/jul-2025/1751527808198_842.pdf</t>
        </is>
      </c>
      <c r="R320" s="18" t="inlineStr">
        <is>
          <t>https://www.sebi.gov.in/filings/public-issues/jul-2025/skyways-air-services-limited_95015.html</t>
        </is>
      </c>
      <c r="S320" s="15" t="n"/>
      <c r="T320" s="15" t="inlineStr">
        <is>
          <t>Company name + date window</t>
        </is>
      </c>
      <c r="U320" s="15" t="inlineStr">
        <is>
          <t>Skyways Air Services Limited</t>
        </is>
      </c>
      <c r="V320" s="15" t="n"/>
      <c r="W320" s="15" t="n"/>
      <c r="X320" s="15" t="n"/>
      <c r="Y320" s="15" t="n"/>
      <c r="Z320" s="15" t="n"/>
      <c r="AA320" s="15" t="n"/>
      <c r="AB320" s="15" t="n"/>
    </row>
    <row r="321" ht="15" customHeight="1" s="12">
      <c r="A321" s="14" t="n">
        <v>320</v>
      </c>
      <c r="B321" s="16" t="n">
        <v>45841</v>
      </c>
      <c r="C321" s="15" t="n">
        <v>2025</v>
      </c>
      <c r="D321" s="15" t="inlineStr">
        <is>
          <t>Rayzon Solar Limited</t>
        </is>
      </c>
      <c r="E321" s="15" t="inlineStr">
        <is>
          <t>DRHP</t>
        </is>
      </c>
      <c r="F321" s="15" t="inlineStr">
        <is>
          <t>Rayzon Solar Limited</t>
        </is>
      </c>
      <c r="G321" s="15" t="inlineStr">
        <is>
          <t>Upcoming — IPO not yet opened</t>
        </is>
      </c>
      <c r="H321" s="15" t="n"/>
      <c r="I321" s="16" t="n"/>
      <c r="J321" s="16" t="n"/>
      <c r="K321" s="16" t="n"/>
      <c r="L321" s="17" t="n"/>
      <c r="M321" s="17" t="n"/>
      <c r="N321" s="17" t="n"/>
      <c r="O321" s="15" t="n"/>
      <c r="P321" s="15" t="n"/>
      <c r="Q321" s="18" t="inlineStr">
        <is>
          <t>https://www.sebi.gov.in/sebi_data/attachdocs/jul-2025/1751527808198_840.pdf</t>
        </is>
      </c>
      <c r="R321" s="18" t="inlineStr">
        <is>
          <t>https://www.sebi.gov.in/filings/public-issues/jul-2025/rayzon-solar-limited_95011.html</t>
        </is>
      </c>
      <c r="S321" s="15" t="n"/>
      <c r="T321" s="15" t="n"/>
      <c r="U321" s="15" t="n"/>
      <c r="V321" s="15" t="n"/>
      <c r="W321" s="16" t="n"/>
      <c r="X321" s="16" t="n"/>
      <c r="Y321" s="16" t="n"/>
      <c r="Z321" s="15" t="inlineStr">
        <is>
          <t>Dates not announced</t>
        </is>
      </c>
      <c r="AA321" s="15" t="inlineStr">
        <is>
          <t>SEBI nod 13-Oct-2025 (valid till Oct-2026); dates not announced</t>
        </is>
      </c>
      <c r="AB321" s="18" t="inlineStr">
        <is>
          <t>https://www.chittorgarh.com/ipo/rayzon-solar-ipo/2490/</t>
        </is>
      </c>
    </row>
    <row r="322" ht="15" customHeight="1" s="12">
      <c r="A322" s="14" t="n">
        <v>321</v>
      </c>
      <c r="B322" s="16" t="n">
        <v>45840</v>
      </c>
      <c r="C322" s="15" t="n">
        <v>2025</v>
      </c>
      <c r="D322" s="15" t="inlineStr">
        <is>
          <t>MANIKA PLASTECH LIMITED</t>
        </is>
      </c>
      <c r="E322" s="15" t="inlineStr">
        <is>
          <t>DRHP</t>
        </is>
      </c>
      <c r="F322" s="15" t="inlineStr">
        <is>
          <t>MANIKA PLASTECH LIMITED</t>
        </is>
      </c>
      <c r="G322" s="15" t="inlineStr">
        <is>
          <t>IPO launched</t>
        </is>
      </c>
      <c r="H322" s="15" t="inlineStr">
        <is>
          <t>Mainboard</t>
        </is>
      </c>
      <c r="I322" s="16" t="n">
        <v>46276</v>
      </c>
      <c r="J322" s="16" t="n">
        <v>46281</v>
      </c>
      <c r="K322" s="16" t="n">
        <v>46286</v>
      </c>
      <c r="L322" s="17" t="n">
        <v>125.5</v>
      </c>
      <c r="M322" s="17" t="n">
        <v>92.5</v>
      </c>
      <c r="N322" s="17" t="n">
        <v>33</v>
      </c>
      <c r="O322" s="15" t="inlineStr">
        <is>
          <t>Final issue (ipoplatform)</t>
        </is>
      </c>
      <c r="P322" s="15" t="n"/>
      <c r="Q322" s="18" t="inlineStr">
        <is>
          <t>https://www.sebi.gov.in/sebi_data/attachdocs/jul-2025/1751455806758_839.pdf</t>
        </is>
      </c>
      <c r="R322" s="18" t="inlineStr">
        <is>
          <t>https://www.sebi.gov.in/filings/public-issues/jul-2025/manika-plastech-limited_94990.html</t>
        </is>
      </c>
      <c r="S322" s="15" t="n"/>
      <c r="T322" s="15" t="inlineStr">
        <is>
          <t>Company name + date window</t>
        </is>
      </c>
      <c r="U322" s="15" t="inlineStr">
        <is>
          <t>Manika Plastech Limited</t>
        </is>
      </c>
      <c r="V322" s="15" t="n"/>
      <c r="W322" s="15" t="n"/>
      <c r="X322" s="15" t="n"/>
      <c r="Y322" s="15" t="n"/>
      <c r="Z322" s="15" t="n"/>
      <c r="AA322" s="15" t="n"/>
      <c r="AB322" s="15" t="n"/>
    </row>
    <row r="323" ht="15" customHeight="1" s="12">
      <c r="A323" s="14" t="n">
        <v>322</v>
      </c>
      <c r="B323" s="16" t="n">
        <v>45840</v>
      </c>
      <c r="C323" s="15" t="n">
        <v>2025</v>
      </c>
      <c r="D323" s="15" t="inlineStr">
        <is>
          <t>Foodlink F&amp;B Holdings India Limited</t>
        </is>
      </c>
      <c r="E323" s="15" t="inlineStr">
        <is>
          <t>DRHP</t>
        </is>
      </c>
      <c r="F323" s="15" t="inlineStr">
        <is>
          <t>Foodlink F&amp;B Holdings India Limited</t>
        </is>
      </c>
      <c r="G323" s="15" t="inlineStr">
        <is>
          <t>Upcoming — IPO not yet opened</t>
        </is>
      </c>
      <c r="H323" s="15" t="n"/>
      <c r="I323" s="16" t="n"/>
      <c r="J323" s="16" t="n"/>
      <c r="K323" s="16" t="n"/>
      <c r="L323" s="17" t="n"/>
      <c r="M323" s="17" t="n"/>
      <c r="N323" s="17" t="n"/>
      <c r="O323" s="15" t="n"/>
      <c r="P323" s="15" t="n"/>
      <c r="Q323" s="18" t="inlineStr">
        <is>
          <t>https://www.sebi.gov.in/sebi_data/attachdocs/jul-2025/1751455806758_838.pdf</t>
        </is>
      </c>
      <c r="R323" s="18" t="inlineStr">
        <is>
          <t>https://www.sebi.gov.in/filings/public-issues/jul-2025/foodlink-fandb-holdings-india-limited_94988.html</t>
        </is>
      </c>
      <c r="S323" s="15" t="n"/>
      <c r="T323" s="15" t="n"/>
      <c r="U323" s="15" t="n"/>
      <c r="V323" s="15" t="n"/>
      <c r="W323" s="16" t="n"/>
      <c r="X323" s="16" t="n"/>
      <c r="Y323" s="16" t="n"/>
      <c r="Z323" s="15" t="inlineStr">
        <is>
          <t>Dates not announced</t>
        </is>
      </c>
      <c r="AA323" s="15" t="inlineStr">
        <is>
          <t>SEBI nod 28-Nov-2025; dates not yet announced</t>
        </is>
      </c>
      <c r="AB323" s="18" t="inlineStr">
        <is>
          <t>https://www.chittorgarh.com/ipo/foodlink-fb-ipo/2493/</t>
        </is>
      </c>
    </row>
    <row r="324" ht="15" customHeight="1" s="12">
      <c r="A324" s="14" t="n">
        <v>323</v>
      </c>
      <c r="B324" s="16" t="n">
        <v>45840</v>
      </c>
      <c r="C324" s="15" t="n">
        <v>2025</v>
      </c>
      <c r="D324" s="15" t="inlineStr">
        <is>
          <t>Omnitech Engineering Limited</t>
        </is>
      </c>
      <c r="E324" s="15" t="inlineStr">
        <is>
          <t>DRHP</t>
        </is>
      </c>
      <c r="F324" s="15" t="inlineStr">
        <is>
          <t>Omnitech Engineering Limited</t>
        </is>
      </c>
      <c r="G324" s="15" t="inlineStr">
        <is>
          <t>IPO launched</t>
        </is>
      </c>
      <c r="H324" s="15" t="inlineStr">
        <is>
          <t>Mainboard</t>
        </is>
      </c>
      <c r="I324" s="16" t="n">
        <v>46078</v>
      </c>
      <c r="J324" s="16" t="n">
        <v>46080</v>
      </c>
      <c r="K324" s="16" t="n">
        <v>46086</v>
      </c>
      <c r="L324" s="17" t="n">
        <v>583</v>
      </c>
      <c r="M324" s="17" t="n">
        <v>418</v>
      </c>
      <c r="N324" s="17" t="n">
        <v>165</v>
      </c>
      <c r="O324" s="15" t="inlineStr">
        <is>
          <t>Final issue (ipoplatform)</t>
        </is>
      </c>
      <c r="P324" s="15" t="n"/>
      <c r="Q324" s="18" t="inlineStr">
        <is>
          <t>https://www.sebi.gov.in/sebi_data/attachdocs/jul-2025/1751441407213_836.pdf</t>
        </is>
      </c>
      <c r="R324" s="18" t="inlineStr">
        <is>
          <t>https://www.sebi.gov.in/filings/public-issues/jul-2025/omnitech-engineering-limited_94969.html</t>
        </is>
      </c>
      <c r="S324" s="15" t="n"/>
      <c r="T324" s="15" t="inlineStr">
        <is>
          <t>Company name + date window</t>
        </is>
      </c>
      <c r="U324" s="15" t="inlineStr">
        <is>
          <t>Omnitech Engineering Limited</t>
        </is>
      </c>
      <c r="V324" s="15" t="n"/>
      <c r="W324" s="15" t="n"/>
      <c r="X324" s="15" t="n"/>
      <c r="Y324" s="15" t="n"/>
      <c r="Z324" s="15" t="n"/>
      <c r="AA324" s="15" t="n"/>
      <c r="AB324" s="15" t="n"/>
    </row>
    <row r="325" ht="15" customHeight="1" s="12">
      <c r="A325" s="14" t="n">
        <v>324</v>
      </c>
      <c r="B325" s="16" t="n">
        <v>45839</v>
      </c>
      <c r="C325" s="15" t="n">
        <v>2025</v>
      </c>
      <c r="D325" s="15" t="inlineStr">
        <is>
          <t>Sudeep Pharma Limited</t>
        </is>
      </c>
      <c r="E325" s="15" t="inlineStr">
        <is>
          <t>DRHP</t>
        </is>
      </c>
      <c r="F325" s="15" t="inlineStr">
        <is>
          <t>Sudeep Pharma Limited</t>
        </is>
      </c>
      <c r="G325" s="15" t="inlineStr">
        <is>
          <t>IPO launched</t>
        </is>
      </c>
      <c r="H325" s="15" t="inlineStr">
        <is>
          <t>Mainboard</t>
        </is>
      </c>
      <c r="I325" s="16" t="n">
        <v>45982</v>
      </c>
      <c r="J325" s="16" t="n">
        <v>45986</v>
      </c>
      <c r="K325" s="16" t="n">
        <v>45989</v>
      </c>
      <c r="L325" s="17" t="n">
        <v>895</v>
      </c>
      <c r="M325" s="17" t="n">
        <v>95</v>
      </c>
      <c r="N325" s="17" t="n">
        <v>800</v>
      </c>
      <c r="O325" s="15" t="inlineStr">
        <is>
          <t>Final issue (ipoplatform)</t>
        </is>
      </c>
      <c r="P325" s="15" t="n"/>
      <c r="Q325" s="18" t="inlineStr">
        <is>
          <t>https://www.sebi.gov.in/sebi_data/attachdocs/jul-2025/1751369404647_833.pdf</t>
        </is>
      </c>
      <c r="R325" s="18" t="inlineStr">
        <is>
          <t>https://www.sebi.gov.in/filings/public-issues/jul-2025/sudeep-pharma-limited_94935.html</t>
        </is>
      </c>
      <c r="S325" s="15" t="n"/>
      <c r="T325" s="15" t="inlineStr">
        <is>
          <t>Company name + date window</t>
        </is>
      </c>
      <c r="U325" s="15" t="inlineStr">
        <is>
          <t>Sudeep Pharma Limited</t>
        </is>
      </c>
      <c r="V325" s="15" t="n"/>
      <c r="W325" s="15" t="n"/>
      <c r="X325" s="15" t="n"/>
      <c r="Y325" s="15" t="n"/>
      <c r="Z325" s="15" t="n"/>
      <c r="AA325" s="15" t="n"/>
      <c r="AB325" s="15" t="n"/>
    </row>
    <row r="326" ht="15" customHeight="1" s="12">
      <c r="A326" s="14" t="n">
        <v>325</v>
      </c>
      <c r="B326" s="16" t="n">
        <v>45839</v>
      </c>
      <c r="C326" s="15" t="n">
        <v>2025</v>
      </c>
      <c r="D326" s="15" t="inlineStr">
        <is>
          <t>Wakefit Innovations Limited</t>
        </is>
      </c>
      <c r="E326" s="15" t="inlineStr">
        <is>
          <t>DRHP</t>
        </is>
      </c>
      <c r="F326" s="15" t="inlineStr">
        <is>
          <t>Wakefit Innovations Limited</t>
        </is>
      </c>
      <c r="G326" s="15" t="inlineStr">
        <is>
          <t>IPO launched</t>
        </is>
      </c>
      <c r="H326" s="15" t="inlineStr">
        <is>
          <t>Mainboard</t>
        </is>
      </c>
      <c r="I326" s="16" t="n">
        <v>45999</v>
      </c>
      <c r="J326" s="16" t="n">
        <v>46001</v>
      </c>
      <c r="K326" s="16" t="n">
        <v>46006</v>
      </c>
      <c r="L326" s="17" t="n">
        <v>1288.89</v>
      </c>
      <c r="M326" s="17" t="n">
        <v>377.18</v>
      </c>
      <c r="N326" s="17" t="n">
        <v>911.71</v>
      </c>
      <c r="O326" s="15" t="inlineStr">
        <is>
          <t>Final issue (ipoplatform)</t>
        </is>
      </c>
      <c r="P326" s="15" t="n"/>
      <c r="Q326" s="18" t="inlineStr">
        <is>
          <t>https://www.sebi.gov.in/sebi_data/attachdocs/jul-2025/1751369404647_832.pdf</t>
        </is>
      </c>
      <c r="R326" s="18" t="inlineStr">
        <is>
          <t>https://www.sebi.gov.in/filings/public-issues/jul-2025/wakefit-innovations-limited_94933.html</t>
        </is>
      </c>
      <c r="S326" s="15" t="n"/>
      <c r="T326" s="15" t="inlineStr">
        <is>
          <t>Company name + date window</t>
        </is>
      </c>
      <c r="U326" s="15" t="inlineStr">
        <is>
          <t>Wakefit Innovations Limited</t>
        </is>
      </c>
      <c r="V326" s="15" t="n"/>
      <c r="W326" s="15" t="n"/>
      <c r="X326" s="15" t="n"/>
      <c r="Y326" s="15" t="n"/>
      <c r="Z326" s="15" t="n"/>
      <c r="AA326" s="15" t="n"/>
      <c r="AB326" s="15" t="n"/>
    </row>
    <row r="327" ht="15" customHeight="1" s="12">
      <c r="A327" s="14" t="n">
        <v>326</v>
      </c>
      <c r="B327" s="16" t="n">
        <v>45838</v>
      </c>
      <c r="C327" s="15" t="n">
        <v>2025</v>
      </c>
      <c r="D327" s="15" t="inlineStr">
        <is>
          <t>Earthood Services Limited</t>
        </is>
      </c>
      <c r="E327" s="15" t="inlineStr">
        <is>
          <t>DRHP</t>
        </is>
      </c>
      <c r="F327" s="15" t="inlineStr">
        <is>
          <t>Earthood Services Limited</t>
        </is>
      </c>
      <c r="G327" s="15" t="inlineStr">
        <is>
          <t>Upcoming — IPO not yet opened</t>
        </is>
      </c>
      <c r="H327" s="15" t="n"/>
      <c r="I327" s="16" t="n"/>
      <c r="J327" s="16" t="n"/>
      <c r="K327" s="16" t="n"/>
      <c r="L327" s="17" t="n"/>
      <c r="M327" s="17" t="n"/>
      <c r="N327" s="17" t="n"/>
      <c r="O327" s="15" t="n"/>
      <c r="P327" s="15" t="n"/>
      <c r="Q327" s="18" t="inlineStr">
        <is>
          <t>https://www.sebi.gov.in/sebi_data/attachdocs/jun-2025/1751268605601_824.pdf</t>
        </is>
      </c>
      <c r="R327" s="18" t="inlineStr">
        <is>
          <t>https://www.sebi.gov.in/filings/public-issues/jun-2025/earthood-services-limited_94857.html</t>
        </is>
      </c>
      <c r="S327" s="15" t="n"/>
      <c r="T327" s="15" t="n"/>
      <c r="U327" s="15" t="n"/>
      <c r="V327" s="15" t="n"/>
      <c r="W327" s="16" t="n"/>
      <c r="X327" s="16" t="n"/>
      <c r="Y327" s="16" t="n"/>
      <c r="Z327" s="15" t="inlineStr">
        <is>
          <t>Withdrawn / approval lapsed</t>
        </is>
      </c>
      <c r="AA327" s="15" t="inlineStr">
        <is>
          <t>DRHP withdrawn from SEBI on 2026-02-23</t>
        </is>
      </c>
      <c r="AB327" s="18" t="inlineStr">
        <is>
          <t>https://www.chittorgarh.com/ipo/earthood-services-ipo/2071/</t>
        </is>
      </c>
    </row>
    <row r="328" ht="15" customHeight="1" s="12">
      <c r="A328" s="14" t="n">
        <v>327</v>
      </c>
      <c r="B328" s="16" t="n">
        <v>45835</v>
      </c>
      <c r="C328" s="15" t="n">
        <v>2025</v>
      </c>
      <c r="D328" s="15" t="inlineStr">
        <is>
          <t>Credila Financial Services Limited</t>
        </is>
      </c>
      <c r="E328" s="15" t="inlineStr">
        <is>
          <t>UDRHP-I</t>
        </is>
      </c>
      <c r="F328" s="15" t="inlineStr">
        <is>
          <t>Credila Financial Services Limited - UDRHP -1</t>
        </is>
      </c>
      <c r="G328" s="15" t="inlineStr">
        <is>
          <t>Upcoming — IPO not yet opened</t>
        </is>
      </c>
      <c r="H328" s="15" t="n"/>
      <c r="I328" s="16" t="n"/>
      <c r="J328" s="16" t="n"/>
      <c r="K328" s="16" t="n"/>
      <c r="L328" s="17" t="n"/>
      <c r="M328" s="17" t="n"/>
      <c r="N328" s="17" t="n"/>
      <c r="O328" s="15" t="n"/>
      <c r="P328" s="15" t="n"/>
      <c r="Q328" s="18" t="inlineStr">
        <is>
          <t>https://www.sebi.gov.in/sebi_data/attachdocs/jul-2025/1751348686934.pdf</t>
        </is>
      </c>
      <c r="R328" s="18" t="inlineStr">
        <is>
          <t>https://www.sebi.gov.in/filings/public-issues/jun-2025/credila-financial-services-limited-udrhp-1_94914.html</t>
        </is>
      </c>
      <c r="S328" s="15" t="n"/>
      <c r="T328" s="15" t="n"/>
      <c r="U328" s="15" t="n"/>
      <c r="V328" s="15" t="n"/>
      <c r="W328" s="16" t="n"/>
      <c r="X328" s="16" t="n"/>
      <c r="Y328" s="16" t="n"/>
      <c r="Z328" s="15" t="inlineStr">
        <is>
          <t>Dates not announced</t>
        </is>
      </c>
      <c r="AA328" s="15" t="inlineStr">
        <is>
          <t>SEBI nod 15-May-2025 (18-month validity); dates not announced</t>
        </is>
      </c>
      <c r="AB328" s="18" t="inlineStr">
        <is>
          <t>https://www.chittorgarh.com/ipo/credila-financial-services-ipo/2263/</t>
        </is>
      </c>
    </row>
    <row r="329" ht="15" customHeight="1" s="12">
      <c r="A329" s="14" t="n">
        <v>328</v>
      </c>
      <c r="B329" s="16" t="n">
        <v>45834</v>
      </c>
      <c r="C329" s="15" t="n">
        <v>2025</v>
      </c>
      <c r="D329" s="15" t="inlineStr">
        <is>
          <t>Patel Retail Limited</t>
        </is>
      </c>
      <c r="E329" s="15" t="inlineStr">
        <is>
          <t>Addendum</t>
        </is>
      </c>
      <c r="F329" s="15" t="inlineStr">
        <is>
          <t>Patel Retail Limited- Addendum to DRHP</t>
        </is>
      </c>
      <c r="G329" s="15" t="inlineStr">
        <is>
          <t>IPO launched</t>
        </is>
      </c>
      <c r="H329" s="15" t="inlineStr">
        <is>
          <t>Mainboard</t>
        </is>
      </c>
      <c r="I329" s="16" t="n">
        <v>45888</v>
      </c>
      <c r="J329" s="16" t="n">
        <v>45890</v>
      </c>
      <c r="K329" s="16" t="n">
        <v>45895</v>
      </c>
      <c r="L329" s="17" t="n">
        <v>242.76</v>
      </c>
      <c r="M329" s="17" t="n">
        <v>217.21</v>
      </c>
      <c r="N329" s="17" t="n">
        <v>25.55</v>
      </c>
      <c r="O329" s="15" t="inlineStr">
        <is>
          <t>Final issue (ipoplatform)</t>
        </is>
      </c>
      <c r="P329" s="15" t="n"/>
      <c r="Q329" s="18" t="inlineStr">
        <is>
          <t>https://www.sebi.gov.in/sebi_data/attachdocs/jul-2025/1751363891872.pdf</t>
        </is>
      </c>
      <c r="R329" s="18" t="inlineStr">
        <is>
          <t>https://www.sebi.gov.in/filings/public-issues/jun-2025/patel-retail-limited-addendum-to-drhp_94922.html</t>
        </is>
      </c>
      <c r="S329" s="15" t="n"/>
      <c r="T329" s="15" t="inlineStr">
        <is>
          <t>Company name + date window</t>
        </is>
      </c>
      <c r="U329" s="15" t="inlineStr">
        <is>
          <t>Patel Retail Limited</t>
        </is>
      </c>
      <c r="V329" s="15" t="n"/>
      <c r="W329" s="15" t="n"/>
      <c r="X329" s="15" t="n"/>
      <c r="Y329" s="15" t="n"/>
      <c r="Z329" s="15" t="n"/>
      <c r="AA329" s="15" t="n"/>
      <c r="AB329" s="15" t="n"/>
    </row>
    <row r="330" ht="15" customHeight="1" s="12">
      <c r="A330" s="14" t="n">
        <v>329</v>
      </c>
      <c r="B330" s="16" t="n">
        <v>45834</v>
      </c>
      <c r="C330" s="15" t="n">
        <v>2025</v>
      </c>
      <c r="D330" s="15" t="inlineStr">
        <is>
          <t>RAJPUTANA STAINLESS LIMITED</t>
        </is>
      </c>
      <c r="E330" s="15" t="inlineStr">
        <is>
          <t>DRHP</t>
        </is>
      </c>
      <c r="F330" s="15" t="inlineStr">
        <is>
          <t>RAJPUTANA STAINLESS LIMITED</t>
        </is>
      </c>
      <c r="G330" s="15" t="inlineStr">
        <is>
          <t>IPO launched</t>
        </is>
      </c>
      <c r="H330" s="15" t="inlineStr">
        <is>
          <t>Mainboard</t>
        </is>
      </c>
      <c r="I330" s="16" t="n">
        <v>46090</v>
      </c>
      <c r="J330" s="16" t="n">
        <v>46092</v>
      </c>
      <c r="K330" s="16" t="n">
        <v>46097</v>
      </c>
      <c r="L330" s="17" t="n">
        <v>254.98</v>
      </c>
      <c r="M330" s="17" t="n">
        <v>178.73</v>
      </c>
      <c r="N330" s="17" t="n">
        <v>76.25</v>
      </c>
      <c r="O330" s="15" t="inlineStr">
        <is>
          <t>Final issue (ipoplatform)</t>
        </is>
      </c>
      <c r="P330" s="15" t="n"/>
      <c r="Q330" s="18" t="inlineStr">
        <is>
          <t>https://www.sebi.gov.in/sebi_data/attachdocs/jun-2025/1750937404154_823.pdf</t>
        </is>
      </c>
      <c r="R330" s="18" t="inlineStr">
        <is>
          <t>https://www.sebi.gov.in/filings/public-issues/jun-2025/rajputana-stainless-limited_94803.html</t>
        </is>
      </c>
      <c r="S330" s="15" t="n"/>
      <c r="T330" s="15" t="inlineStr">
        <is>
          <t>Company name + date window</t>
        </is>
      </c>
      <c r="U330" s="15" t="inlineStr">
        <is>
          <t>Rajputana Stainless Limited</t>
        </is>
      </c>
      <c r="V330" s="15" t="n"/>
      <c r="W330" s="15" t="n"/>
      <c r="X330" s="15" t="n"/>
      <c r="Y330" s="15" t="n"/>
      <c r="Z330" s="15" t="n"/>
      <c r="AA330" s="15" t="n"/>
      <c r="AB330" s="15" t="n"/>
    </row>
    <row r="331" ht="15" customHeight="1" s="12">
      <c r="A331" s="14" t="n">
        <v>330</v>
      </c>
      <c r="B331" s="16" t="n">
        <v>45831</v>
      </c>
      <c r="C331" s="15" t="n">
        <v>2025</v>
      </c>
      <c r="D331" s="15" t="inlineStr">
        <is>
          <t>Bluestone Jewellery and Lifestyle Limited</t>
        </is>
      </c>
      <c r="E331" s="15" t="inlineStr">
        <is>
          <t>Addendum</t>
        </is>
      </c>
      <c r="F331" s="15" t="inlineStr">
        <is>
          <t>Bluestone Jewellery and Lifestyle Limited- Addendum to DRHP</t>
        </is>
      </c>
      <c r="G331" s="15" t="inlineStr">
        <is>
          <t>IPO launched</t>
        </is>
      </c>
      <c r="H331" s="15" t="inlineStr">
        <is>
          <t>Mainboard</t>
        </is>
      </c>
      <c r="I331" s="16" t="n">
        <v>45880</v>
      </c>
      <c r="J331" s="16" t="n">
        <v>45882</v>
      </c>
      <c r="K331" s="16" t="n">
        <v>45888</v>
      </c>
      <c r="L331" s="17" t="n">
        <v>1540.65</v>
      </c>
      <c r="M331" s="17" t="n">
        <v>820</v>
      </c>
      <c r="N331" s="17" t="n">
        <v>720.65</v>
      </c>
      <c r="O331" s="15" t="inlineStr">
        <is>
          <t>Final issue (ipoplatform)</t>
        </is>
      </c>
      <c r="P331" s="15" t="n"/>
      <c r="Q331" s="18" t="inlineStr">
        <is>
          <t>https://www.sebi.gov.in/sebi_data/attachdocs/jun-2025/1750670992881.pdf</t>
        </is>
      </c>
      <c r="R331" s="18" t="inlineStr">
        <is>
          <t>https://www.sebi.gov.in/filings/public-issues/jun-2025/bluestone-jewellery-and-lifestyle-limited-addendum-to-drhp_94734.html</t>
        </is>
      </c>
      <c r="S331" s="15" t="n"/>
      <c r="T331" s="15" t="inlineStr">
        <is>
          <t>Company name + date window</t>
        </is>
      </c>
      <c r="U331" s="15" t="inlineStr">
        <is>
          <t>Bluestone Jewellery And Lifestyle Limited</t>
        </is>
      </c>
      <c r="V331" s="15" t="n"/>
      <c r="W331" s="15" t="n"/>
      <c r="X331" s="15" t="n"/>
      <c r="Y331" s="15" t="n"/>
      <c r="Z331" s="15" t="n"/>
      <c r="AA331" s="15" t="n"/>
      <c r="AB331" s="15" t="n"/>
    </row>
    <row r="332" ht="15" customHeight="1" s="12">
      <c r="A332" s="14" t="n">
        <v>331</v>
      </c>
      <c r="B332" s="16" t="n">
        <v>45828</v>
      </c>
      <c r="C332" s="15" t="n">
        <v>2025</v>
      </c>
      <c r="D332" s="15" t="inlineStr">
        <is>
          <t>CAPILLARY TECHNOLOGIES INDIA LIMITED</t>
        </is>
      </c>
      <c r="E332" s="15" t="inlineStr">
        <is>
          <t>DRHP</t>
        </is>
      </c>
      <c r="F332" s="15" t="inlineStr">
        <is>
          <t>CAPILLARY TECHNOLOGIES INDIA LIMITED</t>
        </is>
      </c>
      <c r="G332" s="15" t="inlineStr">
        <is>
          <t>IPO launched</t>
        </is>
      </c>
      <c r="H332" s="15" t="inlineStr">
        <is>
          <t>Mainboard</t>
        </is>
      </c>
      <c r="I332" s="16" t="n">
        <v>45975</v>
      </c>
      <c r="J332" s="16" t="n">
        <v>45979</v>
      </c>
      <c r="K332" s="16" t="n">
        <v>45982</v>
      </c>
      <c r="L332" s="17" t="n">
        <v>877.5</v>
      </c>
      <c r="M332" s="17" t="n">
        <v>345</v>
      </c>
      <c r="N332" s="17" t="n">
        <v>532.5</v>
      </c>
      <c r="O332" s="15" t="inlineStr">
        <is>
          <t>Final issue (ipoplatform)</t>
        </is>
      </c>
      <c r="P332" s="15" t="n"/>
      <c r="Q332" s="18" t="inlineStr">
        <is>
          <t>https://www.sebi.gov.in/sebi_data/attachdocs/jun-2025/1750419007609_820.pdf</t>
        </is>
      </c>
      <c r="R332" s="18" t="inlineStr">
        <is>
          <t>https://www.sebi.gov.in/filings/public-issues/jun-2025/capillary-technologies-india-limited_94691.html</t>
        </is>
      </c>
      <c r="S332" s="15" t="n"/>
      <c r="T332" s="15" t="inlineStr">
        <is>
          <t>SEBI filing link</t>
        </is>
      </c>
      <c r="U332" s="15" t="inlineStr">
        <is>
          <t>Capillary Technologies India Limited</t>
        </is>
      </c>
      <c r="V332" s="15" t="n"/>
      <c r="W332" s="15" t="n"/>
      <c r="X332" s="15" t="n"/>
      <c r="Y332" s="15" t="n"/>
      <c r="Z332" s="15" t="n"/>
      <c r="AA332" s="15" t="n"/>
      <c r="AB332" s="15" t="n"/>
    </row>
    <row r="333" ht="15" customHeight="1" s="12">
      <c r="A333" s="14" t="n">
        <v>332</v>
      </c>
      <c r="B333" s="16" t="n">
        <v>45826</v>
      </c>
      <c r="C333" s="15" t="n">
        <v>2025</v>
      </c>
      <c r="D333" s="15" t="inlineStr">
        <is>
          <t>PNGS Reva Diamond Jewellery Limited</t>
        </is>
      </c>
      <c r="E333" s="15" t="inlineStr">
        <is>
          <t>DRHP</t>
        </is>
      </c>
      <c r="F333" s="15" t="inlineStr">
        <is>
          <t>PNGS Reva Diamond Jewellery Limited</t>
        </is>
      </c>
      <c r="G333" s="15" t="inlineStr">
        <is>
          <t>IPO launched</t>
        </is>
      </c>
      <c r="H333" s="15" t="inlineStr">
        <is>
          <t>Mainboard</t>
        </is>
      </c>
      <c r="I333" s="16" t="n">
        <v>46077</v>
      </c>
      <c r="J333" s="16" t="n">
        <v>46079</v>
      </c>
      <c r="K333" s="16" t="n">
        <v>46085</v>
      </c>
      <c r="L333" s="17" t="n">
        <v>380</v>
      </c>
      <c r="M333" s="17" t="n">
        <v>380</v>
      </c>
      <c r="N333" s="17" t="n">
        <v>0</v>
      </c>
      <c r="O333" s="15" t="inlineStr">
        <is>
          <t>Final issue (ipoplatform)</t>
        </is>
      </c>
      <c r="P333" s="15" t="n"/>
      <c r="Q333" s="18" t="inlineStr">
        <is>
          <t>https://www.sebi.gov.in/sebi_data/attachdocs/jun-2025/1750246204892_819.pdf</t>
        </is>
      </c>
      <c r="R333" s="18" t="inlineStr">
        <is>
          <t>https://www.sebi.gov.in/filings/public-issues/jun-2025/pngs-reva-diamond-jewellery-limited_94650.html</t>
        </is>
      </c>
      <c r="S333" s="15" t="n"/>
      <c r="T333" s="15" t="inlineStr">
        <is>
          <t>Company name + date window</t>
        </is>
      </c>
      <c r="U333" s="15" t="inlineStr">
        <is>
          <t>PNGS Reva Diamond Jewellery Limited</t>
        </is>
      </c>
      <c r="V333" s="15" t="n"/>
      <c r="W333" s="15" t="n"/>
      <c r="X333" s="15" t="n"/>
      <c r="Y333" s="15" t="n"/>
      <c r="Z333" s="15" t="n"/>
      <c r="AA333" s="15" t="n"/>
      <c r="AB333" s="15" t="n"/>
    </row>
    <row r="334" ht="15" customHeight="1" s="12">
      <c r="A334" s="14" t="n">
        <v>333</v>
      </c>
      <c r="B334" s="16" t="n">
        <v>45825</v>
      </c>
      <c r="C334" s="15" t="n">
        <v>2025</v>
      </c>
      <c r="D334" s="15" t="inlineStr">
        <is>
          <t>Waterways Leisure Tourism Limited</t>
        </is>
      </c>
      <c r="E334" s="15" t="inlineStr">
        <is>
          <t>DRHP</t>
        </is>
      </c>
      <c r="F334" s="15" t="inlineStr">
        <is>
          <t>Waterways Leisure Tourism Limited</t>
        </is>
      </c>
      <c r="G334" s="15" t="inlineStr">
        <is>
          <t>IPO launched</t>
        </is>
      </c>
      <c r="H334" s="15" t="inlineStr">
        <is>
          <t>Mainboard</t>
        </is>
      </c>
      <c r="I334" s="16" t="n">
        <v>46196</v>
      </c>
      <c r="J334" s="16" t="n">
        <v>46198</v>
      </c>
      <c r="K334" s="16" t="n">
        <v>46204</v>
      </c>
      <c r="L334" s="17" t="n">
        <v>585</v>
      </c>
      <c r="M334" s="17" t="n">
        <v>585</v>
      </c>
      <c r="N334" s="17" t="n">
        <v>0</v>
      </c>
      <c r="O334" s="15" t="inlineStr">
        <is>
          <t>Final issue (ipoplatform)</t>
        </is>
      </c>
      <c r="P334" s="15" t="n"/>
      <c r="Q334" s="18" t="inlineStr">
        <is>
          <t>https://www.sebi.gov.in/sebi_data/attachdocs/jun-2025/1750159804908_818.pdf</t>
        </is>
      </c>
      <c r="R334" s="18" t="inlineStr">
        <is>
          <t>https://www.sebi.gov.in/filings/public-issues/jun-2025/waterways-leisure-tourism-limited_94626.html</t>
        </is>
      </c>
      <c r="S334" s="15" t="n"/>
      <c r="T334" s="15" t="inlineStr">
        <is>
          <t>Company name + date window</t>
        </is>
      </c>
      <c r="U334" s="15" t="inlineStr">
        <is>
          <t>Waterways Leisure Tourism Limited</t>
        </is>
      </c>
      <c r="V334" s="15" t="n"/>
      <c r="W334" s="15" t="n"/>
      <c r="X334" s="15" t="n"/>
      <c r="Y334" s="15" t="n"/>
      <c r="Z334" s="15" t="n"/>
      <c r="AA334" s="15" t="n"/>
      <c r="AB334" s="15" t="n"/>
    </row>
    <row r="335" ht="15" customHeight="1" s="12">
      <c r="A335" s="14" t="n">
        <v>334</v>
      </c>
      <c r="B335" s="16" t="n">
        <v>45824</v>
      </c>
      <c r="C335" s="15" t="n">
        <v>2025</v>
      </c>
      <c r="D335" s="15" t="inlineStr">
        <is>
          <t>Orkla India Limited</t>
        </is>
      </c>
      <c r="E335" s="15" t="inlineStr">
        <is>
          <t>DRHP</t>
        </is>
      </c>
      <c r="F335" s="15" t="inlineStr">
        <is>
          <t>Orkla India Limited</t>
        </is>
      </c>
      <c r="G335" s="15" t="inlineStr">
        <is>
          <t>IPO launched</t>
        </is>
      </c>
      <c r="H335" s="15" t="inlineStr">
        <is>
          <t>Mainboard</t>
        </is>
      </c>
      <c r="I335" s="16" t="n">
        <v>45959</v>
      </c>
      <c r="J335" s="16" t="n">
        <v>45961</v>
      </c>
      <c r="K335" s="16" t="n">
        <v>45967</v>
      </c>
      <c r="L335" s="17" t="n">
        <v>1667.54</v>
      </c>
      <c r="M335" s="17" t="n"/>
      <c r="N335" s="17" t="n">
        <v>1667.54</v>
      </c>
      <c r="O335" s="15" t="inlineStr">
        <is>
          <t>Final issue (ipoplatform)</t>
        </is>
      </c>
      <c r="P335" s="15" t="n"/>
      <c r="Q335" s="18" t="inlineStr">
        <is>
          <t>https://www.sebi.gov.in/sebi_data/attachdocs/jun-2025/1750073406923_817.pdf</t>
        </is>
      </c>
      <c r="R335" s="18" t="inlineStr">
        <is>
          <t>https://www.sebi.gov.in/filings/public-issues/jun-2025/orkla-india-limited_94619.html</t>
        </is>
      </c>
      <c r="S335" s="15" t="n"/>
      <c r="T335" s="15" t="inlineStr">
        <is>
          <t>Company name + date window</t>
        </is>
      </c>
      <c r="U335" s="15" t="inlineStr">
        <is>
          <t>Orkla India Limited</t>
        </is>
      </c>
      <c r="V335" s="15" t="n"/>
      <c r="W335" s="15" t="n"/>
      <c r="X335" s="15" t="n"/>
      <c r="Y335" s="15" t="n"/>
      <c r="Z335" s="15" t="n"/>
      <c r="AA335" s="15" t="n"/>
      <c r="AB335" s="15" t="n"/>
    </row>
    <row r="336" ht="15" customHeight="1" s="12">
      <c r="A336" s="14" t="n">
        <v>335</v>
      </c>
      <c r="B336" s="16" t="n">
        <v>45821</v>
      </c>
      <c r="C336" s="15" t="n">
        <v>2025</v>
      </c>
      <c r="D336" s="15" t="inlineStr">
        <is>
          <t>Corrigendum to DRHP - ALLCHEM LIFESCIENCES LIMITED</t>
        </is>
      </c>
      <c r="E336" s="15" t="inlineStr">
        <is>
          <t>Corrigendum</t>
        </is>
      </c>
      <c r="F336" s="15" t="inlineStr">
        <is>
          <t>Corrigendum to DRHP - ALLCHEM LIFESCIENCES LIMITED</t>
        </is>
      </c>
      <c r="G336" s="15" t="inlineStr">
        <is>
          <t>Upcoming — IPO not yet opened</t>
        </is>
      </c>
      <c r="H336" s="15" t="n"/>
      <c r="I336" s="16" t="n"/>
      <c r="J336" s="16" t="n"/>
      <c r="K336" s="16" t="n"/>
      <c r="L336" s="17" t="n"/>
      <c r="M336" s="17" t="n"/>
      <c r="N336" s="17" t="n"/>
      <c r="O336" s="15" t="n"/>
      <c r="P336" s="15" t="n"/>
      <c r="Q336" s="18" t="inlineStr">
        <is>
          <t>https://www.sebi.gov.in/sebi_data/attachdocs/jun-2025/1749810183338.pdf</t>
        </is>
      </c>
      <c r="R336" s="18" t="inlineStr">
        <is>
          <t>https://www.sebi.gov.in/filings/public-issues/jun-2025/corrigendum-to-drhp-allchem-lifesciences-limited_94591.html</t>
        </is>
      </c>
      <c r="S336" s="15" t="n"/>
      <c r="T336" s="15" t="n"/>
      <c r="U336" s="15" t="n"/>
      <c r="V336" s="15" t="n"/>
      <c r="W336" s="16" t="n"/>
      <c r="X336" s="16" t="n"/>
      <c r="Y336" s="16" t="n"/>
      <c r="Z336" s="15" t="inlineStr">
        <is>
          <t>No issue found</t>
        </is>
      </c>
      <c r="AA336" s="15" t="inlineStr">
        <is>
          <t>Business Standard lists the company but shows no issue dates; web search limit reached</t>
        </is>
      </c>
      <c r="AB336" s="18" t="inlineStr">
        <is>
          <t>https://www.business-standard.com/markets/ipo/allchem-lifescience-ltd-ipo-94617</t>
        </is>
      </c>
    </row>
    <row r="337" ht="15" customHeight="1" s="12">
      <c r="A337" s="14" t="n">
        <v>336</v>
      </c>
      <c r="B337" s="16" t="n">
        <v>45821</v>
      </c>
      <c r="C337" s="15" t="n">
        <v>2025</v>
      </c>
      <c r="D337" s="15" t="inlineStr">
        <is>
          <t>Lalithaa Jewellery Mart Limited</t>
        </is>
      </c>
      <c r="E337" s="15" t="inlineStr">
        <is>
          <t>DRHP</t>
        </is>
      </c>
      <c r="F337" s="15" t="inlineStr">
        <is>
          <t>Lalithaa Jewellery Mart Limited</t>
        </is>
      </c>
      <c r="G337" s="15" t="inlineStr">
        <is>
          <t>IPO launched</t>
        </is>
      </c>
      <c r="H337" s="15" t="inlineStr">
        <is>
          <t>Mainboard</t>
        </is>
      </c>
      <c r="I337" s="16" t="n">
        <v>46251</v>
      </c>
      <c r="J337" s="16" t="n">
        <v>46253</v>
      </c>
      <c r="K337" s="16" t="n">
        <v>46258</v>
      </c>
      <c r="L337" s="17" t="n">
        <v>1700.63</v>
      </c>
      <c r="M337" s="17" t="n">
        <v>1200.63</v>
      </c>
      <c r="N337" s="17" t="n">
        <v>500</v>
      </c>
      <c r="O337" s="15" t="inlineStr">
        <is>
          <t>Final issue (ipoplatform)</t>
        </is>
      </c>
      <c r="P337" s="15" t="n"/>
      <c r="Q337" s="18" t="inlineStr">
        <is>
          <t>https://www.sebi.gov.in/sebi_data/attachdocs/jun-2025/1749799807042_816.pdf</t>
        </is>
      </c>
      <c r="R337" s="18" t="inlineStr">
        <is>
          <t>https://www.sebi.gov.in/filings/public-issues/jun-2025/lalithaa-jewellery-mart-limited_94576.html</t>
        </is>
      </c>
      <c r="S337" s="15" t="n"/>
      <c r="T337" s="15" t="inlineStr">
        <is>
          <t>Company name + date window</t>
        </is>
      </c>
      <c r="U337" s="15" t="inlineStr">
        <is>
          <t>Lalithaa Jewellery Mart Limited</t>
        </is>
      </c>
      <c r="V337" s="15" t="n"/>
      <c r="W337" s="15" t="n"/>
      <c r="X337" s="15" t="n"/>
      <c r="Y337" s="15" t="n"/>
      <c r="Z337" s="15" t="n"/>
      <c r="AA337" s="15" t="n"/>
      <c r="AB337" s="15" t="n"/>
    </row>
    <row r="338" ht="15" customHeight="1" s="12">
      <c r="A338" s="14" t="n">
        <v>337</v>
      </c>
      <c r="B338" s="16" t="n">
        <v>45820</v>
      </c>
      <c r="C338" s="15" t="n">
        <v>2025</v>
      </c>
      <c r="D338" s="15" t="inlineStr">
        <is>
          <t>Tea Post Limited</t>
        </is>
      </c>
      <c r="E338" s="15" t="inlineStr">
        <is>
          <t>DRHP</t>
        </is>
      </c>
      <c r="F338" s="15" t="inlineStr">
        <is>
          <t>Tea Post Limited</t>
        </is>
      </c>
      <c r="G338" s="15" t="inlineStr">
        <is>
          <t>Upcoming — IPO not yet opened</t>
        </is>
      </c>
      <c r="H338" s="15" t="n"/>
      <c r="I338" s="16" t="n"/>
      <c r="J338" s="16" t="n"/>
      <c r="K338" s="16" t="n"/>
      <c r="L338" s="17" t="n"/>
      <c r="M338" s="17" t="n"/>
      <c r="N338" s="17" t="n"/>
      <c r="O338" s="15" t="n"/>
      <c r="P338" s="15" t="n"/>
      <c r="Q338" s="18" t="inlineStr">
        <is>
          <t>https://www.sebi.gov.in/sebi_data/attachdocs/jun-2025/1749727806894_815.pdf</t>
        </is>
      </c>
      <c r="R338" s="18" t="inlineStr">
        <is>
          <t>https://www.sebi.gov.in/filings/public-issues/jun-2025/tea-post-limited_94561.html</t>
        </is>
      </c>
      <c r="S338" s="15" t="n"/>
      <c r="T338" s="15" t="n"/>
      <c r="U338" s="15" t="n"/>
      <c r="V338" s="15" t="n"/>
      <c r="W338" s="16" t="n"/>
      <c r="X338" s="16" t="n"/>
      <c r="Y338" s="16" t="n"/>
      <c r="Z338" s="15" t="inlineStr">
        <is>
          <t>Dates not announced</t>
        </is>
      </c>
      <c r="AA338" s="15" t="inlineStr">
        <is>
          <t>SEBI nod 10-Mar-2026; dates not yet announced</t>
        </is>
      </c>
      <c r="AB338" s="18" t="inlineStr">
        <is>
          <t>https://www.chittorgarh.com/ipo/tea-post-ipo/2442/</t>
        </is>
      </c>
    </row>
    <row r="339" ht="15" customHeight="1" s="12">
      <c r="A339" s="14" t="n">
        <v>338</v>
      </c>
      <c r="B339" s="16" t="n">
        <v>45819</v>
      </c>
      <c r="C339" s="15" t="n">
        <v>2025</v>
      </c>
      <c r="D339" s="15" t="inlineStr">
        <is>
          <t>ADDENDUM CUM CORRIGENDUM to DRHP of Vinir Engineering Limited</t>
        </is>
      </c>
      <c r="E339" s="15" t="inlineStr">
        <is>
          <t>Addendum cum Corrigendum</t>
        </is>
      </c>
      <c r="F339" s="15" t="inlineStr">
        <is>
          <t>ADDENDUM CUM CORRIGENDUM to DRHP of Vinir Engineering Limited</t>
        </is>
      </c>
      <c r="G339" s="15" t="inlineStr">
        <is>
          <t>Upcoming — IPO not yet opened</t>
        </is>
      </c>
      <c r="H339" s="15" t="n"/>
      <c r="I339" s="16" t="n"/>
      <c r="J339" s="16" t="n"/>
      <c r="K339" s="16" t="n"/>
      <c r="L339" s="17" t="n"/>
      <c r="M339" s="17" t="n"/>
      <c r="N339" s="17" t="n"/>
      <c r="O339" s="15" t="n"/>
      <c r="P339" s="15" t="n"/>
      <c r="Q339" s="18" t="inlineStr">
        <is>
          <t>https://www.sebi.gov.in/sebi_data/attachdocs/jun-2025/1749701144206.pdf</t>
        </is>
      </c>
      <c r="R339" s="18" t="inlineStr">
        <is>
          <t>https://www.sebi.gov.in/filings/public-issues/jun-2025/addendum-cum-corrigendum-to-drhp-of-vinir-engineering-limited_94541.html</t>
        </is>
      </c>
      <c r="S339" s="15" t="n"/>
      <c r="T339" s="15" t="n"/>
      <c r="U339" s="15" t="n"/>
      <c r="V339" s="15" t="n"/>
      <c r="W339" s="16" t="n"/>
      <c r="X339" s="16" t="n"/>
      <c r="Y339" s="16" t="n"/>
      <c r="Z339" s="15" t="inlineStr">
        <is>
          <t>No issue found</t>
        </is>
      </c>
      <c r="AA339" s="15" t="inlineStr">
        <is>
          <t>Business Standard lists the company but shows no issue dates; web search limit reached</t>
        </is>
      </c>
      <c r="AB339" s="18" t="inlineStr">
        <is>
          <t>https://www.business-standard.com/markets/ipo/vinir-engineering-ltd-ipo-38907</t>
        </is>
      </c>
    </row>
    <row r="340" ht="15" customHeight="1" s="12">
      <c r="A340" s="14" t="n">
        <v>339</v>
      </c>
      <c r="B340" s="16" t="n">
        <v>45813</v>
      </c>
      <c r="C340" s="15" t="n">
        <v>2025</v>
      </c>
      <c r="D340" s="15" t="inlineStr">
        <is>
          <t>Bharat Coking Coal Limited</t>
        </is>
      </c>
      <c r="E340" s="15" t="inlineStr">
        <is>
          <t>DRHP</t>
        </is>
      </c>
      <c r="F340" s="15" t="inlineStr">
        <is>
          <t>Bharat Coking Coal Limited</t>
        </is>
      </c>
      <c r="G340" s="15" t="inlineStr">
        <is>
          <t>IPO launched</t>
        </is>
      </c>
      <c r="H340" s="15" t="inlineStr">
        <is>
          <t>Mainboard</t>
        </is>
      </c>
      <c r="I340" s="16" t="n">
        <v>46031</v>
      </c>
      <c r="J340" s="16" t="n">
        <v>46035</v>
      </c>
      <c r="K340" s="16" t="n">
        <v>46038</v>
      </c>
      <c r="L340" s="17" t="n">
        <v>1071.11</v>
      </c>
      <c r="M340" s="17" t="n"/>
      <c r="N340" s="17" t="n">
        <v>1071.11</v>
      </c>
      <c r="O340" s="15" t="inlineStr">
        <is>
          <t>Final issue (ipoplatform)</t>
        </is>
      </c>
      <c r="P340" s="15" t="n"/>
      <c r="Q340" s="18" t="inlineStr">
        <is>
          <t>https://www.sebi.gov.in/sebi_data/attachdocs/jun-2025/1749108606557_811.pdf</t>
        </is>
      </c>
      <c r="R340" s="18" t="inlineStr">
        <is>
          <t>https://www.sebi.gov.in/filings/public-issues/jun-2025/bharat-coking-coal-limited_94412.html</t>
        </is>
      </c>
      <c r="S340" s="15" t="n"/>
      <c r="T340" s="15" t="inlineStr">
        <is>
          <t>Company name + date window</t>
        </is>
      </c>
      <c r="U340" s="15" t="inlineStr">
        <is>
          <t>Bharat Coking Coal Limited</t>
        </is>
      </c>
      <c r="V340" s="15" t="n"/>
      <c r="W340" s="15" t="n"/>
      <c r="X340" s="15" t="n"/>
      <c r="Y340" s="15" t="n"/>
      <c r="Z340" s="15" t="n"/>
      <c r="AA340" s="15" t="n"/>
      <c r="AB340" s="15" t="n"/>
    </row>
    <row r="341" ht="15" customHeight="1" s="12">
      <c r="A341" s="14" t="n">
        <v>340</v>
      </c>
      <c r="B341" s="16" t="n">
        <v>45812</v>
      </c>
      <c r="C341" s="15" t="n">
        <v>2025</v>
      </c>
      <c r="D341" s="15" t="inlineStr">
        <is>
          <t>DRHP of Neilsoft Limited</t>
        </is>
      </c>
      <c r="E341" s="15" t="inlineStr">
        <is>
          <t>DRHP</t>
        </is>
      </c>
      <c r="F341" s="15" t="inlineStr">
        <is>
          <t>DRHP of Neilsoft Limited</t>
        </is>
      </c>
      <c r="G341" s="15" t="inlineStr">
        <is>
          <t>Upcoming — IPO not yet opened</t>
        </is>
      </c>
      <c r="H341" s="15" t="n"/>
      <c r="I341" s="16" t="n"/>
      <c r="J341" s="16" t="n"/>
      <c r="K341" s="16" t="n"/>
      <c r="L341" s="17" t="n"/>
      <c r="M341" s="17" t="n"/>
      <c r="N341" s="17" t="n"/>
      <c r="O341" s="15" t="n"/>
      <c r="P341" s="15" t="n"/>
      <c r="Q341" s="18" t="inlineStr">
        <is>
          <t>https://www.sebi.gov.in/sebi_data/attachdocs/jun-2025/1749024129717.PDF</t>
        </is>
      </c>
      <c r="R341" s="18" t="inlineStr">
        <is>
          <t>https://www.sebi.gov.in/filings/public-issues/jun-2025/drhp-of-neilsoft-limited_94392.html</t>
        </is>
      </c>
      <c r="S341" s="15" t="n"/>
      <c r="T341" s="15" t="n"/>
      <c r="U341" s="15" t="n"/>
      <c r="V341" s="15" t="n"/>
      <c r="W341" s="16" t="n"/>
      <c r="X341" s="16" t="n"/>
      <c r="Y341" s="16" t="n"/>
      <c r="Z341" s="15" t="inlineStr">
        <is>
          <t>Withdrawn / approval lapsed</t>
        </is>
      </c>
      <c r="AA341" s="15" t="inlineStr">
        <is>
          <t>Earlier draft returned Mar-2025; refiled, SEBI nod Sep-2025, approval expired Sep-2026 without IPO</t>
        </is>
      </c>
      <c r="AB341" s="18" t="inlineStr">
        <is>
          <t>https://www.chittorgarh.com/ipo/neilsoft-ipo/2056/</t>
        </is>
      </c>
    </row>
    <row r="342" ht="15" customHeight="1" s="12">
      <c r="A342" s="14" t="n">
        <v>341</v>
      </c>
      <c r="B342" s="16" t="n">
        <v>45811</v>
      </c>
      <c r="C342" s="15" t="n">
        <v>2025</v>
      </c>
      <c r="D342" s="15" t="inlineStr">
        <is>
          <t>Central Mine Planning &amp; Design Institute Limited</t>
        </is>
      </c>
      <c r="E342" s="15" t="inlineStr">
        <is>
          <t>DRHP</t>
        </is>
      </c>
      <c r="F342" s="15" t="inlineStr">
        <is>
          <t>Central Mine Planning &amp; Design Institute Limited</t>
        </is>
      </c>
      <c r="G342" s="15" t="inlineStr">
        <is>
          <t>IPO launched</t>
        </is>
      </c>
      <c r="H342" s="15" t="inlineStr">
        <is>
          <t>Mainboard</t>
        </is>
      </c>
      <c r="I342" s="16" t="n">
        <v>46101</v>
      </c>
      <c r="J342" s="16" t="n">
        <v>46105</v>
      </c>
      <c r="K342" s="16" t="n">
        <v>46108</v>
      </c>
      <c r="L342" s="17" t="n">
        <v>1842.12</v>
      </c>
      <c r="M342" s="17" t="n"/>
      <c r="N342" s="17" t="n">
        <v>1842.12</v>
      </c>
      <c r="O342" s="15" t="inlineStr">
        <is>
          <t>Final issue (ipoplatform)</t>
        </is>
      </c>
      <c r="P342" s="15" t="n"/>
      <c r="Q342" s="18" t="inlineStr">
        <is>
          <t>https://www.sebi.gov.in/sebi_data/attachdocs/jun-2025/1748950207076_810.pdf</t>
        </is>
      </c>
      <c r="R342" s="18" t="inlineStr">
        <is>
          <t>https://www.sebi.gov.in/filings/public-issues/jun-2025/central-mine-planning-and-design-institute-limited_94376.html</t>
        </is>
      </c>
      <c r="S342" s="15" t="n"/>
      <c r="T342" s="15" t="inlineStr">
        <is>
          <t>Company name + date window</t>
        </is>
      </c>
      <c r="U342" s="15" t="inlineStr">
        <is>
          <t>Central Mine Planning &amp; Design Institute Limited</t>
        </is>
      </c>
      <c r="V342" s="15" t="n"/>
      <c r="W342" s="15" t="n"/>
      <c r="X342" s="15" t="n"/>
      <c r="Y342" s="15" t="n"/>
      <c r="Z342" s="15" t="n"/>
      <c r="AA342" s="15" t="n"/>
      <c r="AB342" s="15" t="n"/>
    </row>
    <row r="343" ht="15" customHeight="1" s="12">
      <c r="A343" s="14" t="n">
        <v>342</v>
      </c>
      <c r="B343" s="16" t="n">
        <v>45810</v>
      </c>
      <c r="C343" s="15" t="n">
        <v>2025</v>
      </c>
      <c r="D343" s="15" t="inlineStr">
        <is>
          <t>Addendum to DRHP of Excelsoft Technologies Limited</t>
        </is>
      </c>
      <c r="E343" s="15" t="inlineStr">
        <is>
          <t>Addendum</t>
        </is>
      </c>
      <c r="F343" s="15" t="inlineStr">
        <is>
          <t>Addendum to DRHP of Excelsoft Technologies Limited</t>
        </is>
      </c>
      <c r="G343" s="15" t="inlineStr">
        <is>
          <t>Upcoming — IPO not yet opened</t>
        </is>
      </c>
      <c r="H343" s="15" t="n"/>
      <c r="I343" s="16" t="n"/>
      <c r="J343" s="16" t="n"/>
      <c r="K343" s="16" t="n"/>
      <c r="L343" s="17" t="n"/>
      <c r="M343" s="17" t="n"/>
      <c r="N343" s="17" t="n"/>
      <c r="O343" s="15" t="n"/>
      <c r="P343" s="15" t="n"/>
      <c r="Q343" s="18" t="inlineStr">
        <is>
          <t>https://www.sebi.gov.in/sebi_data/attachdocs/jun-2025/1748862444460.pdf</t>
        </is>
      </c>
      <c r="R343" s="18" t="inlineStr">
        <is>
          <t>https://www.sebi.gov.in/filings/public-issues/jun-2025/addendum-to-drhp-of-excelsoft-technologies-limited_94353.html</t>
        </is>
      </c>
      <c r="S343" s="15" t="n"/>
      <c r="T343" s="15" t="n"/>
      <c r="U343" s="15" t="n"/>
      <c r="V343" s="15" t="n"/>
      <c r="W343" s="19" t="n">
        <v>45980</v>
      </c>
      <c r="X343" s="19" t="n">
        <v>45982</v>
      </c>
      <c r="Y343" s="19" t="n">
        <v>45987</v>
      </c>
      <c r="Z343" s="20" t="inlineStr">
        <is>
          <t>Issue opened</t>
        </is>
      </c>
      <c r="AA343" s="15" t="inlineStr">
        <is>
          <t>Matched on chittorgarh.com</t>
        </is>
      </c>
      <c r="AB343" s="18" t="inlineStr">
        <is>
          <t>https://www.chittorgarh.com/ipo/excelsoft-technologies-ipo/2148/</t>
        </is>
      </c>
    </row>
    <row r="344" ht="15" customHeight="1" s="12">
      <c r="A344" s="14" t="n">
        <v>343</v>
      </c>
      <c r="B344" s="16" t="n">
        <v>45807</v>
      </c>
      <c r="C344" s="15" t="n">
        <v>2025</v>
      </c>
      <c r="D344" s="15" t="inlineStr">
        <is>
          <t>FUSION CX LIMITED</t>
        </is>
      </c>
      <c r="E344" s="15" t="inlineStr">
        <is>
          <t>DRHP</t>
        </is>
      </c>
      <c r="F344" s="15" t="inlineStr">
        <is>
          <t>FUSION CX LIMITED</t>
        </is>
      </c>
      <c r="G344" s="15" t="inlineStr">
        <is>
          <t>Upcoming — IPO not yet opened</t>
        </is>
      </c>
      <c r="H344" s="15" t="n"/>
      <c r="I344" s="16" t="n"/>
      <c r="J344" s="16" t="n"/>
      <c r="K344" s="16" t="n"/>
      <c r="L344" s="17" t="n"/>
      <c r="M344" s="17" t="n"/>
      <c r="N344" s="17" t="n"/>
      <c r="O344" s="15" t="n"/>
      <c r="P344" s="15" t="n"/>
      <c r="Q344" s="18" t="inlineStr">
        <is>
          <t>https://www.sebi.gov.in/sebi_data/attachdocs/may-2025/1748604604661_809.pdf</t>
        </is>
      </c>
      <c r="R344" s="18" t="inlineStr">
        <is>
          <t>https://www.sebi.gov.in/filings/public-issues/may-2025/fusion-cx-limited_94311.html</t>
        </is>
      </c>
      <c r="S344" s="15" t="n"/>
      <c r="T344" s="15" t="n"/>
      <c r="U344" s="15" t="n"/>
      <c r="V344" s="15" t="n"/>
      <c r="W344" s="16" t="n"/>
      <c r="X344" s="16" t="n"/>
      <c r="Y344" s="16" t="n"/>
      <c r="Z344" s="15" t="inlineStr">
        <is>
          <t>Dates not announced</t>
        </is>
      </c>
      <c r="AA344" s="15" t="inlineStr">
        <is>
          <t>SEBI nod 11-Dec-2025; dates not announced (Mar-2026 dates on some sites are template errors)</t>
        </is>
      </c>
      <c r="AB344" s="18" t="inlineStr">
        <is>
          <t>https://www.chittorgarh.com/ipo/fusion-cx-ipo/2455/</t>
        </is>
      </c>
    </row>
    <row r="345" ht="15" customHeight="1" s="12">
      <c r="A345" s="14" t="n">
        <v>344</v>
      </c>
      <c r="B345" s="16" t="n">
        <v>45806</v>
      </c>
      <c r="C345" s="15" t="n">
        <v>2025</v>
      </c>
      <c r="D345" s="15" t="inlineStr">
        <is>
          <t>Kanodia Cement Limited</t>
        </is>
      </c>
      <c r="E345" s="15" t="inlineStr">
        <is>
          <t>DRHP</t>
        </is>
      </c>
      <c r="F345" s="15" t="inlineStr">
        <is>
          <t>Kanodia Cement Limited</t>
        </is>
      </c>
      <c r="G345" s="15" t="inlineStr">
        <is>
          <t>Upcoming — IPO not yet opened</t>
        </is>
      </c>
      <c r="H345" s="15" t="n"/>
      <c r="I345" s="16" t="n"/>
      <c r="J345" s="16" t="n"/>
      <c r="K345" s="16" t="n"/>
      <c r="L345" s="17" t="n"/>
      <c r="M345" s="17" t="n"/>
      <c r="N345" s="17" t="n"/>
      <c r="O345" s="15" t="n"/>
      <c r="P345" s="15" t="n"/>
      <c r="Q345" s="18" t="inlineStr">
        <is>
          <t>https://www.sebi.gov.in/sebi_data/attachdocs/may-2025/1748518220350_802.pdf</t>
        </is>
      </c>
      <c r="R345" s="18" t="inlineStr">
        <is>
          <t>https://www.sebi.gov.in/filings/public-issues/may-2025/kanodia-cement-limited_94269.html</t>
        </is>
      </c>
      <c r="S345" s="15" t="n"/>
      <c r="T345" s="15" t="n"/>
      <c r="U345" s="15" t="n"/>
      <c r="V345" s="15" t="n"/>
      <c r="W345" s="16" t="n"/>
      <c r="X345" s="16" t="n"/>
      <c r="Y345" s="16" t="n"/>
      <c r="Z345" s="15" t="inlineStr">
        <is>
          <t>Dates not announced</t>
        </is>
      </c>
      <c r="AA345" s="15" t="inlineStr">
        <is>
          <t>SEBI nod 20-Oct-2025 (valid to Oct-2026); dates not announced</t>
        </is>
      </c>
      <c r="AB345" s="18" t="inlineStr">
        <is>
          <t>https://www.chittorgarh.com/ipo/kanodia-cement-ipo/2452/</t>
        </is>
      </c>
    </row>
    <row r="346" ht="15" customHeight="1" s="12">
      <c r="A346" s="14" t="n">
        <v>345</v>
      </c>
      <c r="B346" s="16" t="n">
        <v>45806</v>
      </c>
      <c r="C346" s="15" t="n">
        <v>2025</v>
      </c>
      <c r="D346" s="15" t="inlineStr">
        <is>
          <t>Pranav Constructions Limited</t>
        </is>
      </c>
      <c r="E346" s="15" t="inlineStr">
        <is>
          <t>Corrigendum</t>
        </is>
      </c>
      <c r="F346" s="15" t="inlineStr">
        <is>
          <t>Pranav Constructions Limited - Corrigendum to the DRHP</t>
        </is>
      </c>
      <c r="G346" s="15" t="inlineStr">
        <is>
          <t>IPO launched</t>
        </is>
      </c>
      <c r="H346" s="15" t="inlineStr">
        <is>
          <t>Mainboard</t>
        </is>
      </c>
      <c r="I346" s="16" t="n">
        <v>46272</v>
      </c>
      <c r="J346" s="16" t="n">
        <v>46274</v>
      </c>
      <c r="K346" s="16" t="n">
        <v>46279</v>
      </c>
      <c r="L346" s="17" t="n">
        <v>351.03</v>
      </c>
      <c r="M346" s="17" t="n">
        <v>315.6</v>
      </c>
      <c r="N346" s="17" t="n">
        <v>35.43</v>
      </c>
      <c r="O346" s="15" t="inlineStr">
        <is>
          <t>Final issue (ipoplatform)</t>
        </is>
      </c>
      <c r="P346" s="15" t="n"/>
      <c r="Q346" s="18" t="inlineStr">
        <is>
          <t>https://www.sebi.gov.in/sebi_data/attachdocs/may-2025/1748509881652.pdf</t>
        </is>
      </c>
      <c r="R346" s="18" t="inlineStr">
        <is>
          <t>https://www.sebi.gov.in/filings/public-issues/may-2025/pranav-constructions-limited-corrigendum-to-the-drhp_94263.html</t>
        </is>
      </c>
      <c r="S346" s="15" t="n"/>
      <c r="T346" s="15" t="inlineStr">
        <is>
          <t>Company name (close spelling) + date window</t>
        </is>
      </c>
      <c r="U346" s="15" t="inlineStr">
        <is>
          <t>Pranav Construction Limited</t>
        </is>
      </c>
      <c r="V346" s="15" t="n"/>
      <c r="W346" s="15" t="n"/>
      <c r="X346" s="15" t="n"/>
      <c r="Y346" s="15" t="n"/>
      <c r="Z346" s="15" t="n"/>
      <c r="AA346" s="15" t="n"/>
      <c r="AB346" s="15" t="n"/>
    </row>
    <row r="347" ht="15" customHeight="1" s="12">
      <c r="A347" s="14" t="n">
        <v>346</v>
      </c>
      <c r="B347" s="16" t="n">
        <v>45805</v>
      </c>
      <c r="C347" s="15" t="n">
        <v>2025</v>
      </c>
      <c r="D347" s="15" t="inlineStr">
        <is>
          <t>KSH INTERNATIONAL LIMITED</t>
        </is>
      </c>
      <c r="E347" s="15" t="inlineStr">
        <is>
          <t>DRHP</t>
        </is>
      </c>
      <c r="F347" s="15" t="inlineStr">
        <is>
          <t>KSH INTERNATIONAL LIMITED</t>
        </is>
      </c>
      <c r="G347" s="15" t="inlineStr">
        <is>
          <t>IPO launched</t>
        </is>
      </c>
      <c r="H347" s="15" t="inlineStr">
        <is>
          <t>Mainboard</t>
        </is>
      </c>
      <c r="I347" s="16" t="n">
        <v>46007</v>
      </c>
      <c r="J347" s="16" t="n">
        <v>46009</v>
      </c>
      <c r="K347" s="16" t="n">
        <v>46014</v>
      </c>
      <c r="L347" s="17" t="n">
        <v>745</v>
      </c>
      <c r="M347" s="17" t="n">
        <v>420</v>
      </c>
      <c r="N347" s="17" t="n">
        <v>325</v>
      </c>
      <c r="O347" s="15" t="inlineStr">
        <is>
          <t>Final issue (ipoplatform)</t>
        </is>
      </c>
      <c r="P347" s="15" t="n"/>
      <c r="Q347" s="18" t="inlineStr">
        <is>
          <t>https://www.sebi.gov.in/sebi_data/attachdocs/may-2025/1748431807980_798.pdf</t>
        </is>
      </c>
      <c r="R347" s="18" t="inlineStr">
        <is>
          <t>https://www.sebi.gov.in/filings/public-issues/may-2025/ksh-international-limited_94244.html</t>
        </is>
      </c>
      <c r="S347" s="15" t="n"/>
      <c r="T347" s="15" t="inlineStr">
        <is>
          <t>Company name + date window</t>
        </is>
      </c>
      <c r="U347" s="15" t="inlineStr">
        <is>
          <t>KSH International Limited</t>
        </is>
      </c>
      <c r="V347" s="15" t="n"/>
      <c r="W347" s="15" t="n"/>
      <c r="X347" s="15" t="n"/>
      <c r="Y347" s="15" t="n"/>
      <c r="Z347" s="15" t="n"/>
      <c r="AA347" s="15" t="n"/>
      <c r="AB347" s="15" t="n"/>
    </row>
    <row r="348" ht="15" customHeight="1" s="12">
      <c r="A348" s="14" t="n">
        <v>347</v>
      </c>
      <c r="B348" s="16" t="n">
        <v>45804</v>
      </c>
      <c r="C348" s="15" t="n">
        <v>2025</v>
      </c>
      <c r="D348" s="15" t="inlineStr">
        <is>
          <t>Caliber Mining and Logistics Ltd</t>
        </is>
      </c>
      <c r="E348" s="15" t="inlineStr">
        <is>
          <t>Addendum</t>
        </is>
      </c>
      <c r="F348" s="15" t="inlineStr">
        <is>
          <t>Caliber Mining and Logistics Ltd - Addendum</t>
        </is>
      </c>
      <c r="G348" s="15" t="inlineStr">
        <is>
          <t>IPO launched</t>
        </is>
      </c>
      <c r="H348" s="15" t="inlineStr">
        <is>
          <t>Mainboard</t>
        </is>
      </c>
      <c r="I348" s="16" t="n">
        <v>46220</v>
      </c>
      <c r="J348" s="16" t="n">
        <v>46224</v>
      </c>
      <c r="K348" s="16" t="n">
        <v>46227</v>
      </c>
      <c r="L348" s="17" t="n">
        <v>450</v>
      </c>
      <c r="M348" s="17" t="n">
        <v>400</v>
      </c>
      <c r="N348" s="17" t="n">
        <v>50</v>
      </c>
      <c r="O348" s="15" t="inlineStr">
        <is>
          <t>Final issue (ipoplatform)</t>
        </is>
      </c>
      <c r="P348" s="15" t="n"/>
      <c r="Q348" s="18" t="inlineStr">
        <is>
          <t>https://www.sebi.gov.in/sebi_data/attachdocs/may-2025/1748342290859.pdf</t>
        </is>
      </c>
      <c r="R348" s="18" t="inlineStr">
        <is>
          <t>https://www.sebi.gov.in/filings/public-issues/may-2025/caliber-mining-and-logistics-ltd-addendum_94211.html</t>
        </is>
      </c>
      <c r="S348" s="15" t="n"/>
      <c r="T348" s="15" t="inlineStr">
        <is>
          <t>Company name + date window</t>
        </is>
      </c>
      <c r="U348" s="15" t="inlineStr">
        <is>
          <t>Caliber Mining and Logistics Limited</t>
        </is>
      </c>
      <c r="V348" s="15" t="n"/>
      <c r="W348" s="15" t="n"/>
      <c r="X348" s="15" t="n"/>
      <c r="Y348" s="15" t="n"/>
      <c r="Z348" s="15" t="n"/>
      <c r="AA348" s="15" t="n"/>
      <c r="AB348" s="15" t="n"/>
    </row>
    <row r="349" ht="15" customHeight="1" s="12">
      <c r="A349" s="14" t="n">
        <v>348</v>
      </c>
      <c r="B349" s="16" t="n">
        <v>45803</v>
      </c>
      <c r="C349" s="15" t="n">
        <v>2025</v>
      </c>
      <c r="D349" s="15" t="inlineStr">
        <is>
          <t>CIEL HR SERVICES LIMITED</t>
        </is>
      </c>
      <c r="E349" s="15" t="inlineStr">
        <is>
          <t>Addendum</t>
        </is>
      </c>
      <c r="F349" s="15" t="inlineStr">
        <is>
          <t>CIEL HR SERVICES LIMITED - Addendum to DRHP</t>
        </is>
      </c>
      <c r="G349" s="15" t="inlineStr">
        <is>
          <t>Upcoming — IPO not yet opened</t>
        </is>
      </c>
      <c r="H349" s="15" t="n"/>
      <c r="I349" s="16" t="n"/>
      <c r="J349" s="16" t="n"/>
      <c r="K349" s="16" t="n"/>
      <c r="L349" s="17" t="n"/>
      <c r="M349" s="17" t="n"/>
      <c r="N349" s="17" t="n"/>
      <c r="O349" s="15" t="n"/>
      <c r="P349" s="15" t="n"/>
      <c r="Q349" s="18" t="inlineStr">
        <is>
          <t>https://www.sebi.gov.in/sebi_data/attachdocs/may-2025/1748250339511.pdf</t>
        </is>
      </c>
      <c r="R349" s="18" t="inlineStr">
        <is>
          <t>https://www.sebi.gov.in/filings/public-issues/may-2025/ciel-hr-services-limited-addendum-to-drhp_94148.html</t>
        </is>
      </c>
      <c r="S349" s="15" t="n"/>
      <c r="T349" s="15" t="n"/>
      <c r="U349" s="15" t="n"/>
      <c r="V349" s="15" t="n"/>
      <c r="W349" s="16" t="n"/>
      <c r="X349" s="16" t="n"/>
      <c r="Y349" s="16" t="n"/>
      <c r="Z349" s="15" t="inlineStr">
        <is>
          <t>No issue found</t>
        </is>
      </c>
      <c r="AA349" s="15" t="inlineStr">
        <is>
          <t>Business Standard lists the company but shows no issue dates; web search limit reached</t>
        </is>
      </c>
      <c r="AB349" s="18" t="inlineStr">
        <is>
          <t>https://www.business-standard.com/markets/ipo/ciel-hr-services-ltd-ipo-89497</t>
        </is>
      </c>
    </row>
    <row r="350" ht="15" customHeight="1" s="12">
      <c r="A350" s="14" t="n">
        <v>349</v>
      </c>
      <c r="B350" s="16" t="n">
        <v>45796</v>
      </c>
      <c r="C350" s="15" t="n">
        <v>2025</v>
      </c>
      <c r="D350" s="15" t="inlineStr">
        <is>
          <t>RAVI INFRABUILD PROJECTS LIMITED</t>
        </is>
      </c>
      <c r="E350" s="15" t="inlineStr">
        <is>
          <t>DRHP</t>
        </is>
      </c>
      <c r="F350" s="15" t="inlineStr">
        <is>
          <t>RAVI INFRABUILD PROJECTS LIMITED</t>
        </is>
      </c>
      <c r="G350" s="15" t="inlineStr">
        <is>
          <t>Upcoming — IPO not yet opened</t>
        </is>
      </c>
      <c r="H350" s="15" t="n"/>
      <c r="I350" s="16" t="n"/>
      <c r="J350" s="16" t="n"/>
      <c r="K350" s="16" t="n"/>
      <c r="L350" s="17" t="n"/>
      <c r="M350" s="17" t="n"/>
      <c r="N350" s="17" t="n"/>
      <c r="O350" s="15" t="n"/>
      <c r="P350" s="15" t="n"/>
      <c r="Q350" s="18" t="inlineStr">
        <is>
          <t>https://www.sebi.gov.in/sebi_data/attachdocs/may-2025/1747654204318_791.pdf</t>
        </is>
      </c>
      <c r="R350" s="18" t="inlineStr">
        <is>
          <t>https://www.sebi.gov.in/filings/public-issues/may-2025/ravi-infrabuild-projects-limited_94029.html</t>
        </is>
      </c>
      <c r="S350" s="15" t="n"/>
      <c r="T350" s="15" t="n"/>
      <c r="U350" s="15" t="n"/>
      <c r="V350" s="15" t="n"/>
      <c r="W350" s="16" t="n"/>
      <c r="X350" s="16" t="n"/>
      <c r="Y350" s="16" t="n"/>
      <c r="Z350" s="15" t="inlineStr">
        <is>
          <t>Withdrawn / approval lapsed</t>
        </is>
      </c>
      <c r="AA350" s="15" t="inlineStr">
        <is>
          <t>SEBI nod 21-Aug-2025; 12-month validity expired Aug-2026, no IPO dates</t>
        </is>
      </c>
      <c r="AB350" s="18" t="inlineStr">
        <is>
          <t>https://www.chittorgarh.com/ipo/ravi-infrabuild-ipo/2436/</t>
        </is>
      </c>
    </row>
    <row r="351" ht="15" customHeight="1" s="12">
      <c r="A351" s="14" t="n">
        <v>350</v>
      </c>
      <c r="B351" s="16" t="n">
        <v>45796</v>
      </c>
      <c r="C351" s="15" t="n">
        <v>2025</v>
      </c>
      <c r="D351" s="15" t="inlineStr">
        <is>
          <t>Addendum to DRHP - National Securities Depository Limited</t>
        </is>
      </c>
      <c r="E351" s="15" t="inlineStr">
        <is>
          <t>Addendum</t>
        </is>
      </c>
      <c r="F351" s="15" t="inlineStr">
        <is>
          <t>Addendum to DRHP - National Securities Depository Limited</t>
        </is>
      </c>
      <c r="G351" s="15" t="inlineStr">
        <is>
          <t>Upcoming — IPO not yet opened</t>
        </is>
      </c>
      <c r="H351" s="15" t="n"/>
      <c r="I351" s="16" t="n"/>
      <c r="J351" s="16" t="n"/>
      <c r="K351" s="16" t="n"/>
      <c r="L351" s="17" t="n"/>
      <c r="M351" s="17" t="n"/>
      <c r="N351" s="17" t="n"/>
      <c r="O351" s="15" t="n"/>
      <c r="P351" s="15" t="n"/>
      <c r="Q351" s="18" t="inlineStr">
        <is>
          <t>https://www.sebi.gov.in/sebi_data/attachdocs/may-2025/1747629795593.pdf</t>
        </is>
      </c>
      <c r="R351" s="18" t="inlineStr">
        <is>
          <t>https://www.sebi.gov.in/filings/public-issues/may-2025/addendum-to-drhp-national-securities-depository-limited_94022.html</t>
        </is>
      </c>
      <c r="S351" s="15" t="n"/>
      <c r="T351" s="15" t="n"/>
      <c r="U351" s="15" t="n"/>
      <c r="V351" s="15" t="n"/>
      <c r="W351" s="19" t="n">
        <v>45868</v>
      </c>
      <c r="X351" s="19" t="n">
        <v>45870</v>
      </c>
      <c r="Y351" s="19" t="n">
        <v>45875</v>
      </c>
      <c r="Z351" s="20" t="inlineStr">
        <is>
          <t>Issue opened</t>
        </is>
      </c>
      <c r="AA351" s="15" t="inlineStr">
        <is>
          <t>Business Standard IPO page</t>
        </is>
      </c>
      <c r="AB351" s="18" t="inlineStr">
        <is>
          <t>https://www.business-standard.com/markets/ipo/national-securities-depository-ltd-ipo-67048</t>
        </is>
      </c>
    </row>
    <row r="352" ht="15" customHeight="1" s="12">
      <c r="A352" s="14" t="n">
        <v>351</v>
      </c>
      <c r="B352" s="16" t="n">
        <v>45793</v>
      </c>
      <c r="C352" s="15" t="n">
        <v>2025</v>
      </c>
      <c r="D352" s="15" t="inlineStr">
        <is>
          <t>DRHP of Mouri Tech Limited</t>
        </is>
      </c>
      <c r="E352" s="15" t="inlineStr">
        <is>
          <t>DRHP</t>
        </is>
      </c>
      <c r="F352" s="15" t="inlineStr">
        <is>
          <t>DRHP of Mouri Tech Limited</t>
        </is>
      </c>
      <c r="G352" s="15" t="inlineStr">
        <is>
          <t>Upcoming — IPO not yet opened</t>
        </is>
      </c>
      <c r="H352" s="15" t="n"/>
      <c r="I352" s="16" t="n"/>
      <c r="J352" s="16" t="n"/>
      <c r="K352" s="16" t="n"/>
      <c r="L352" s="17" t="n"/>
      <c r="M352" s="17" t="n"/>
      <c r="N352" s="17" t="n"/>
      <c r="O352" s="15" t="n"/>
      <c r="P352" s="15" t="n"/>
      <c r="Q352" s="18" t="inlineStr">
        <is>
          <t>https://www.sebi.gov.in/sebi_data/attachdocs/may-2025/1747395399489.pdf</t>
        </is>
      </c>
      <c r="R352" s="18" t="inlineStr">
        <is>
          <t>https://www.sebi.gov.in/filings/public-issues/may-2025/drhp-of-mouri-tech-limited_93994.html</t>
        </is>
      </c>
      <c r="S352" s="15" t="n"/>
      <c r="T352" s="15" t="n"/>
      <c r="U352" s="15" t="n"/>
      <c r="V352" s="15" t="n"/>
      <c r="W352" s="16" t="n"/>
      <c r="X352" s="16" t="n"/>
      <c r="Y352" s="16" t="n"/>
      <c r="Z352" s="15" t="inlineStr">
        <is>
          <t>Withdrawn / approval lapsed</t>
        </is>
      </c>
      <c r="AA352" s="15" t="inlineStr">
        <is>
          <t>SEBI nod 29-Aug-2025; validity expired by 30-Sep-2026, no IPO dates</t>
        </is>
      </c>
      <c r="AB352" s="18" t="inlineStr">
        <is>
          <t>https://www.chittorgarh.com/ipo/mouri-tech-ipo/2151/</t>
        </is>
      </c>
    </row>
    <row r="353" ht="15" customHeight="1" s="12">
      <c r="A353" s="14" t="n">
        <v>352</v>
      </c>
      <c r="B353" s="16" t="n">
        <v>45786</v>
      </c>
      <c r="C353" s="15" t="n">
        <v>2025</v>
      </c>
      <c r="D353" s="15" t="inlineStr">
        <is>
          <t>Addendum to DRHP of Vinir Engineering Limited</t>
        </is>
      </c>
      <c r="E353" s="15" t="inlineStr">
        <is>
          <t>Addendum</t>
        </is>
      </c>
      <c r="F353" s="15" t="inlineStr">
        <is>
          <t>Addendum to DRHP of Vinir Engineering Limited</t>
        </is>
      </c>
      <c r="G353" s="15" t="inlineStr">
        <is>
          <t>Upcoming — IPO not yet opened</t>
        </is>
      </c>
      <c r="H353" s="15" t="n"/>
      <c r="I353" s="16" t="n"/>
      <c r="J353" s="16" t="n"/>
      <c r="K353" s="16" t="n"/>
      <c r="L353" s="17" t="n"/>
      <c r="M353" s="17" t="n"/>
      <c r="N353" s="17" t="n"/>
      <c r="O353" s="15" t="n"/>
      <c r="P353" s="15" t="n"/>
      <c r="Q353" s="18" t="inlineStr">
        <is>
          <t>https://www.sebi.gov.in/sebi_data/attachdocs/may-2025/1746786083617.pdf</t>
        </is>
      </c>
      <c r="R353" s="18" t="inlineStr">
        <is>
          <t>https://www.sebi.gov.in/filings/public-issues/may-2025/addendum-to-drhp-of-vinir-engineering-limited_93871.html</t>
        </is>
      </c>
      <c r="S353" s="15" t="n"/>
      <c r="T353" s="15" t="n"/>
      <c r="U353" s="15" t="n"/>
      <c r="V353" s="15" t="n"/>
      <c r="W353" s="16" t="n"/>
      <c r="X353" s="16" t="n"/>
      <c r="Y353" s="16" t="n"/>
      <c r="Z353" s="15" t="inlineStr">
        <is>
          <t>No issue found</t>
        </is>
      </c>
      <c r="AA353" s="15" t="inlineStr">
        <is>
          <t>Business Standard lists the company but shows no issue dates; web search limit reached</t>
        </is>
      </c>
      <c r="AB353" s="18" t="inlineStr">
        <is>
          <t>https://www.business-standard.com/markets/ipo/vinir-engineering-ltd-ipo-38907</t>
        </is>
      </c>
    </row>
    <row r="354" ht="15" customHeight="1" s="12">
      <c r="A354" s="14" t="n">
        <v>353</v>
      </c>
      <c r="B354" s="16" t="n">
        <v>45785</v>
      </c>
      <c r="C354" s="15" t="n">
        <v>2025</v>
      </c>
      <c r="D354" s="15" t="inlineStr">
        <is>
          <t>CORONA REMEDIES LIMITED</t>
        </is>
      </c>
      <c r="E354" s="15" t="inlineStr">
        <is>
          <t>DRHP</t>
        </is>
      </c>
      <c r="F354" s="15" t="inlineStr">
        <is>
          <t>CORONA REMEDIES LIMITED</t>
        </is>
      </c>
      <c r="G354" s="15" t="inlineStr">
        <is>
          <t>IPO launched</t>
        </is>
      </c>
      <c r="H354" s="15" t="inlineStr">
        <is>
          <t>Mainboard</t>
        </is>
      </c>
      <c r="I354" s="16" t="n">
        <v>45999</v>
      </c>
      <c r="J354" s="16" t="n">
        <v>46001</v>
      </c>
      <c r="K354" s="16" t="n">
        <v>46006</v>
      </c>
      <c r="L354" s="17" t="n">
        <v>655.37</v>
      </c>
      <c r="M354" s="17" t="n"/>
      <c r="N354" s="17" t="n">
        <v>655.37</v>
      </c>
      <c r="O354" s="15" t="inlineStr">
        <is>
          <t>Final issue (ipoplatform)</t>
        </is>
      </c>
      <c r="P354" s="15" t="n"/>
      <c r="Q354" s="18" t="inlineStr">
        <is>
          <t>https://www.sebi.gov.in/sebi_data/attachdocs/may-2025/1746703808002_784.pdf</t>
        </is>
      </c>
      <c r="R354" s="18" t="inlineStr">
        <is>
          <t>https://www.sebi.gov.in/filings/public-issues/may-2025/corona-remedies-limited_93856.html</t>
        </is>
      </c>
      <c r="S354" s="15" t="n"/>
      <c r="T354" s="15" t="inlineStr">
        <is>
          <t>Company name + date window</t>
        </is>
      </c>
      <c r="U354" s="15" t="inlineStr">
        <is>
          <t>Corona Remedies Limited</t>
        </is>
      </c>
      <c r="V354" s="15" t="n"/>
      <c r="W354" s="15" t="n"/>
      <c r="X354" s="15" t="n"/>
      <c r="Y354" s="15" t="n"/>
      <c r="Z354" s="15" t="n"/>
      <c r="AA354" s="15" t="n"/>
      <c r="AB354" s="15" t="n"/>
    </row>
    <row r="355" ht="15" customHeight="1" s="12">
      <c r="A355" s="14" t="n">
        <v>354</v>
      </c>
      <c r="B355" s="16" t="n">
        <v>45785</v>
      </c>
      <c r="C355" s="15" t="n">
        <v>2025</v>
      </c>
      <c r="D355" s="15" t="inlineStr">
        <is>
          <t>BMW Ventures Limited</t>
        </is>
      </c>
      <c r="E355" s="15" t="inlineStr">
        <is>
          <t>DRHP</t>
        </is>
      </c>
      <c r="F355" s="15" t="inlineStr">
        <is>
          <t>BMW Ventures Limited</t>
        </is>
      </c>
      <c r="G355" s="15" t="inlineStr">
        <is>
          <t>IPO launched</t>
        </is>
      </c>
      <c r="H355" s="15" t="inlineStr">
        <is>
          <t>Mainboard</t>
        </is>
      </c>
      <c r="I355" s="16" t="n">
        <v>45924</v>
      </c>
      <c r="J355" s="16" t="n">
        <v>45926</v>
      </c>
      <c r="K355" s="16" t="n">
        <v>45931</v>
      </c>
      <c r="L355" s="17" t="n">
        <v>231.66</v>
      </c>
      <c r="M355" s="17" t="n">
        <v>231.66</v>
      </c>
      <c r="N355" s="17" t="n">
        <v>0</v>
      </c>
      <c r="O355" s="15" t="inlineStr">
        <is>
          <t>Final issue (ipoplatform)</t>
        </is>
      </c>
      <c r="P355" s="15" t="n"/>
      <c r="Q355" s="18" t="inlineStr">
        <is>
          <t>https://www.sebi.gov.in/sebi_data/attachdocs/may-2025/1746703808002_782.pdf</t>
        </is>
      </c>
      <c r="R355" s="18" t="inlineStr">
        <is>
          <t>https://www.sebi.gov.in/filings/public-issues/may-2025/bmw-ventures-limited_93852.html</t>
        </is>
      </c>
      <c r="S355" s="15" t="n"/>
      <c r="T355" s="15" t="inlineStr">
        <is>
          <t>Company name + date window</t>
        </is>
      </c>
      <c r="U355" s="15" t="inlineStr">
        <is>
          <t>BMW Ventures Limited</t>
        </is>
      </c>
      <c r="V355" s="15" t="n"/>
      <c r="W355" s="15" t="n"/>
      <c r="X355" s="15" t="n"/>
      <c r="Y355" s="15" t="n"/>
      <c r="Z355" s="15" t="n"/>
      <c r="AA355" s="15" t="n"/>
      <c r="AB355" s="15" t="n"/>
    </row>
    <row r="356" ht="15" customHeight="1" s="12">
      <c r="A356" s="14" t="n">
        <v>355</v>
      </c>
      <c r="B356" s="16" t="n">
        <v>45785</v>
      </c>
      <c r="C356" s="15" t="n">
        <v>2025</v>
      </c>
      <c r="D356" s="15" t="inlineStr">
        <is>
          <t>JINKUSHAL INDUSTRIES LIMITED</t>
        </is>
      </c>
      <c r="E356" s="15" t="inlineStr">
        <is>
          <t>DRHP</t>
        </is>
      </c>
      <c r="F356" s="15" t="inlineStr">
        <is>
          <t>JINKUSHAL INDUSTRIES LIMITED</t>
        </is>
      </c>
      <c r="G356" s="15" t="inlineStr">
        <is>
          <t>IPO launched</t>
        </is>
      </c>
      <c r="H356" s="15" t="inlineStr">
        <is>
          <t>Mainboard</t>
        </is>
      </c>
      <c r="I356" s="16" t="n">
        <v>45925</v>
      </c>
      <c r="J356" s="16" t="n">
        <v>45929</v>
      </c>
      <c r="K356" s="16" t="n">
        <v>45933</v>
      </c>
      <c r="L356" s="17" t="n">
        <v>116.11</v>
      </c>
      <c r="M356" s="17" t="n">
        <v>104.49</v>
      </c>
      <c r="N356" s="17" t="n">
        <v>11.62</v>
      </c>
      <c r="O356" s="15" t="inlineStr">
        <is>
          <t>Final issue (ipoplatform)</t>
        </is>
      </c>
      <c r="P356" s="15" t="n"/>
      <c r="Q356" s="18" t="inlineStr">
        <is>
          <t>https://www.sebi.gov.in/sebi_data/attachdocs/may-2025/1746703808002_783.pdf</t>
        </is>
      </c>
      <c r="R356" s="18" t="inlineStr">
        <is>
          <t>https://www.sebi.gov.in/filings/public-issues/may-2025/jinkushal-industries-limited_93854.html</t>
        </is>
      </c>
      <c r="S356" s="15" t="n"/>
      <c r="T356" s="15" t="inlineStr">
        <is>
          <t>Company name (close spelling) + date window</t>
        </is>
      </c>
      <c r="U356" s="15" t="inlineStr">
        <is>
          <t>Jinkusal Industries Limited</t>
        </is>
      </c>
      <c r="V356" s="15" t="n"/>
      <c r="W356" s="15" t="n"/>
      <c r="X356" s="15" t="n"/>
      <c r="Y356" s="15" t="n"/>
      <c r="Z356" s="15" t="n"/>
      <c r="AA356" s="15" t="n"/>
      <c r="AB356" s="15" t="n"/>
    </row>
    <row r="357" ht="15" customHeight="1" s="12">
      <c r="A357" s="14" t="n">
        <v>356</v>
      </c>
      <c r="B357" s="16" t="n">
        <v>45783</v>
      </c>
      <c r="C357" s="15" t="n">
        <v>2025</v>
      </c>
      <c r="D357" s="15" t="inlineStr">
        <is>
          <t>PRIORITY JEWELS LIMITED</t>
        </is>
      </c>
      <c r="E357" s="15" t="inlineStr">
        <is>
          <t>DRHP</t>
        </is>
      </c>
      <c r="F357" s="15" t="inlineStr">
        <is>
          <t>PRIORITY JEWELS LIMITED</t>
        </is>
      </c>
      <c r="G357" s="15" t="inlineStr">
        <is>
          <t>IPO launched</t>
        </is>
      </c>
      <c r="H357" s="15" t="inlineStr">
        <is>
          <t>Mainboard</t>
        </is>
      </c>
      <c r="I357" s="16" t="n">
        <v>46262</v>
      </c>
      <c r="J357" s="16" t="n">
        <v>46266</v>
      </c>
      <c r="K357" s="16" t="n">
        <v>46269</v>
      </c>
      <c r="L357" s="17" t="n">
        <v>91.5</v>
      </c>
      <c r="M357" s="17" t="n">
        <v>91.5</v>
      </c>
      <c r="N357" s="17" t="n">
        <v>0</v>
      </c>
      <c r="O357" s="15" t="inlineStr">
        <is>
          <t>Final issue (ipoplatform)</t>
        </is>
      </c>
      <c r="P357" s="15" t="n"/>
      <c r="Q357" s="18" t="inlineStr">
        <is>
          <t>https://www.sebi.gov.in/sebi_data/attachdocs/may-2025/1746516612813_779.pdf</t>
        </is>
      </c>
      <c r="R357" s="18" t="inlineStr">
        <is>
          <t>https://www.sebi.gov.in/filings/public-issues/may-2025/priority-jewels-limited_93805.html</t>
        </is>
      </c>
      <c r="S357" s="15" t="n"/>
      <c r="T357" s="15" t="inlineStr">
        <is>
          <t>SEBI filing link</t>
        </is>
      </c>
      <c r="U357" s="15" t="inlineStr">
        <is>
          <t>Priority jewels Limited</t>
        </is>
      </c>
      <c r="V357" s="15" t="n"/>
      <c r="W357" s="15" t="n"/>
      <c r="X357" s="15" t="n"/>
      <c r="Y357" s="15" t="n"/>
      <c r="Z357" s="15" t="n"/>
      <c r="AA357" s="15" t="n"/>
      <c r="AB357" s="15" t="n"/>
    </row>
    <row r="358" ht="15" customHeight="1" s="12">
      <c r="A358" s="14" t="n">
        <v>357</v>
      </c>
      <c r="B358" s="16" t="n">
        <v>45782</v>
      </c>
      <c r="C358" s="15" t="n">
        <v>2025</v>
      </c>
      <c r="D358" s="15" t="inlineStr">
        <is>
          <t>GK Energy Limited</t>
        </is>
      </c>
      <c r="E358" s="15" t="inlineStr">
        <is>
          <t>Addendum</t>
        </is>
      </c>
      <c r="F358" s="15" t="inlineStr">
        <is>
          <t>GK Energy Limited - Addendum to DRHP</t>
        </is>
      </c>
      <c r="G358" s="15" t="inlineStr">
        <is>
          <t>IPO launched</t>
        </is>
      </c>
      <c r="H358" s="15" t="inlineStr">
        <is>
          <t>Mainboard</t>
        </is>
      </c>
      <c r="I358" s="16" t="n">
        <v>45919</v>
      </c>
      <c r="J358" s="16" t="n">
        <v>45923</v>
      </c>
      <c r="K358" s="16" t="n">
        <v>45926</v>
      </c>
      <c r="L358" s="17" t="n">
        <v>464.26</v>
      </c>
      <c r="M358" s="17" t="n">
        <v>400</v>
      </c>
      <c r="N358" s="17" t="n">
        <v>64.26000000000001</v>
      </c>
      <c r="O358" s="15" t="inlineStr">
        <is>
          <t>Final issue (ipoplatform)</t>
        </is>
      </c>
      <c r="P358" s="15" t="n"/>
      <c r="Q358" s="18" t="inlineStr">
        <is>
          <t>https://www.sebi.gov.in/sebi_data/attachdocs/may-2025/1746442917644.pdf</t>
        </is>
      </c>
      <c r="R358" s="18" t="inlineStr">
        <is>
          <t>https://www.sebi.gov.in/filings/public-issues/may-2025/gk-energy-limited-addendum-to-drhp_93797.html</t>
        </is>
      </c>
      <c r="S358" s="15" t="n"/>
      <c r="T358" s="15" t="inlineStr">
        <is>
          <t>Company name + date window</t>
        </is>
      </c>
      <c r="U358" s="15" t="inlineStr">
        <is>
          <t>GK Energy Limited</t>
        </is>
      </c>
      <c r="V358" s="15" t="n"/>
      <c r="W358" s="15" t="n"/>
      <c r="X358" s="15" t="n"/>
      <c r="Y358" s="15" t="n"/>
      <c r="Z358" s="15" t="n"/>
      <c r="AA358" s="15" t="n"/>
      <c r="AB358" s="15" t="n"/>
    </row>
    <row r="359" ht="15" customHeight="1" s="12">
      <c r="A359" s="14" t="n">
        <v>358</v>
      </c>
      <c r="B359" s="16" t="n">
        <v>45779</v>
      </c>
      <c r="C359" s="15" t="n">
        <v>2025</v>
      </c>
      <c r="D359" s="15" t="inlineStr">
        <is>
          <t>Canara HSBC Life Insurance Company Limited</t>
        </is>
      </c>
      <c r="E359" s="15" t="inlineStr">
        <is>
          <t>DRHP</t>
        </is>
      </c>
      <c r="F359" s="15" t="inlineStr">
        <is>
          <t>Canara HSBC Life Insurance Company Limited</t>
        </is>
      </c>
      <c r="G359" s="15" t="inlineStr">
        <is>
          <t>IPO launched</t>
        </is>
      </c>
      <c r="H359" s="15" t="inlineStr">
        <is>
          <t>Mainboard</t>
        </is>
      </c>
      <c r="I359" s="16" t="n">
        <v>45940</v>
      </c>
      <c r="J359" s="16" t="n">
        <v>45944</v>
      </c>
      <c r="K359" s="16" t="n">
        <v>45947</v>
      </c>
      <c r="L359" s="17" t="n">
        <v>2517.5</v>
      </c>
      <c r="M359" s="17" t="n">
        <v>2517.5</v>
      </c>
      <c r="N359" s="17" t="n">
        <v>0</v>
      </c>
      <c r="O359" s="15" t="inlineStr">
        <is>
          <t>Final issue (ipoplatform)</t>
        </is>
      </c>
      <c r="P359" s="15" t="n"/>
      <c r="Q359" s="18" t="inlineStr">
        <is>
          <t>https://www.sebi.gov.in/sebi_data/attachdocs/may-2025/1746185405185_777.pdf</t>
        </is>
      </c>
      <c r="R359" s="18" t="inlineStr">
        <is>
          <t>https://www.sebi.gov.in/filings/public-issues/may-2025/canara-hsbc-life-insurance-company-limited_93773.html</t>
        </is>
      </c>
      <c r="S359" s="15" t="n"/>
      <c r="T359" s="15" t="inlineStr">
        <is>
          <t>Company name + date window</t>
        </is>
      </c>
      <c r="U359" s="15" t="inlineStr">
        <is>
          <t>Canara HSBC Life Insurance Company Limited</t>
        </is>
      </c>
      <c r="V359" s="15" t="n"/>
      <c r="W359" s="15" t="n"/>
      <c r="X359" s="15" t="n"/>
      <c r="Y359" s="15" t="n"/>
      <c r="Z359" s="15" t="n"/>
      <c r="AA359" s="15" t="n"/>
      <c r="AB359" s="15" t="n"/>
    </row>
    <row r="360" ht="15" customHeight="1" s="12">
      <c r="A360" s="14" t="n">
        <v>359</v>
      </c>
      <c r="B360" s="16" t="n">
        <v>45779</v>
      </c>
      <c r="C360" s="15" t="n">
        <v>2025</v>
      </c>
      <c r="D360" s="15" t="inlineStr">
        <is>
          <t>Canara Robeco Asset Management Company Limited</t>
        </is>
      </c>
      <c r="E360" s="15" t="inlineStr">
        <is>
          <t>DRHP</t>
        </is>
      </c>
      <c r="F360" s="15" t="inlineStr">
        <is>
          <t>Canara Robeco Asset Management Company Limited</t>
        </is>
      </c>
      <c r="G360" s="15" t="inlineStr">
        <is>
          <t>IPO launched</t>
        </is>
      </c>
      <c r="H360" s="15" t="inlineStr">
        <is>
          <t>Mainboard</t>
        </is>
      </c>
      <c r="I360" s="16" t="n">
        <v>45939</v>
      </c>
      <c r="J360" s="16" t="n">
        <v>45943</v>
      </c>
      <c r="K360" s="16" t="n">
        <v>45946</v>
      </c>
      <c r="L360" s="17" t="n">
        <v>1326.13</v>
      </c>
      <c r="M360" s="17" t="n">
        <v>0</v>
      </c>
      <c r="N360" s="17" t="n">
        <v>1326.13</v>
      </c>
      <c r="O360" s="15" t="inlineStr">
        <is>
          <t>Final issue (ipoplatform)</t>
        </is>
      </c>
      <c r="P360" s="15" t="n"/>
      <c r="Q360" s="18" t="inlineStr">
        <is>
          <t>https://www.sebi.gov.in/sebi_data/attachdocs/may-2025/1746171004793_776.pdf</t>
        </is>
      </c>
      <c r="R360" s="18" t="inlineStr">
        <is>
          <t>https://www.sebi.gov.in/filings/public-issues/may-2025/canara-robeco-asset-management-company-limited_93761.html</t>
        </is>
      </c>
      <c r="S360" s="15" t="n"/>
      <c r="T360" s="15" t="inlineStr">
        <is>
          <t>Company name + date window</t>
        </is>
      </c>
      <c r="U360" s="15" t="inlineStr">
        <is>
          <t>Canara Robeco Asset Management Company Limited</t>
        </is>
      </c>
      <c r="V360" s="15" t="n"/>
      <c r="W360" s="15" t="n"/>
      <c r="X360" s="15" t="n"/>
      <c r="Y360" s="15" t="n"/>
      <c r="Z360" s="15" t="n"/>
      <c r="AA360" s="15" t="n"/>
      <c r="AB360" s="15" t="n"/>
    </row>
    <row r="361" ht="15" customHeight="1" s="12">
      <c r="A361" s="14" t="n">
        <v>360</v>
      </c>
      <c r="B361" s="16" t="n">
        <v>45779</v>
      </c>
      <c r="C361" s="15" t="n">
        <v>2025</v>
      </c>
      <c r="D361" s="15" t="inlineStr">
        <is>
          <t>LCC Projects Limited</t>
        </is>
      </c>
      <c r="E361" s="15" t="inlineStr">
        <is>
          <t>Addendum</t>
        </is>
      </c>
      <c r="F361" s="15" t="inlineStr">
        <is>
          <t>LCC Projects Limited - Addendum to DRHP</t>
        </is>
      </c>
      <c r="G361" s="15" t="inlineStr">
        <is>
          <t>IPO launched</t>
        </is>
      </c>
      <c r="H361" s="15" t="inlineStr">
        <is>
          <t>Mainboard</t>
        </is>
      </c>
      <c r="I361" s="16" t="n">
        <v>46274</v>
      </c>
      <c r="J361" s="16" t="n">
        <v>46276</v>
      </c>
      <c r="K361" s="16" t="n">
        <v>46282</v>
      </c>
      <c r="L361" s="17" t="n">
        <v>427.14</v>
      </c>
      <c r="M361" s="17" t="n">
        <v>258</v>
      </c>
      <c r="N361" s="17" t="n">
        <v>169.14</v>
      </c>
      <c r="O361" s="15" t="inlineStr">
        <is>
          <t>Final issue (ipoplatform)</t>
        </is>
      </c>
      <c r="P361" s="15" t="n"/>
      <c r="Q361" s="18" t="inlineStr">
        <is>
          <t>https://www.sebi.gov.in/sebi_data/attachdocs/may-2025/1746166392955.pdf</t>
        </is>
      </c>
      <c r="R361" s="18" t="inlineStr">
        <is>
          <t>https://www.sebi.gov.in/filings/public-issues/may-2025/lcc-projects-limited-addendum-to-drhp_93757.html</t>
        </is>
      </c>
      <c r="S361" s="15" t="n"/>
      <c r="T361" s="15" t="inlineStr">
        <is>
          <t>Company name + date window</t>
        </is>
      </c>
      <c r="U361" s="15" t="inlineStr">
        <is>
          <t>LCC Projects Limited</t>
        </is>
      </c>
      <c r="V361" s="15" t="n"/>
      <c r="W361" s="15" t="n"/>
      <c r="X361" s="15" t="n"/>
      <c r="Y361" s="15" t="n"/>
      <c r="Z361" s="15" t="n"/>
      <c r="AA361" s="15" t="n"/>
      <c r="AB361" s="15" t="n"/>
    </row>
    <row r="362" ht="15" customHeight="1" s="12">
      <c r="A362" s="14" t="n">
        <v>361</v>
      </c>
      <c r="B362" s="16" t="n">
        <v>45777</v>
      </c>
      <c r="C362" s="15" t="n">
        <v>2025</v>
      </c>
      <c r="D362" s="15" t="inlineStr">
        <is>
          <t>Urban Company Limited</t>
        </is>
      </c>
      <c r="E362" s="15" t="inlineStr">
        <is>
          <t>DRHP</t>
        </is>
      </c>
      <c r="F362" s="15" t="inlineStr">
        <is>
          <t>Urban Company Limited</t>
        </is>
      </c>
      <c r="G362" s="15" t="inlineStr">
        <is>
          <t>IPO launched</t>
        </is>
      </c>
      <c r="H362" s="15" t="inlineStr">
        <is>
          <t>Mainboard</t>
        </is>
      </c>
      <c r="I362" s="16" t="n">
        <v>45910</v>
      </c>
      <c r="J362" s="16" t="n">
        <v>45912</v>
      </c>
      <c r="K362" s="16" t="n">
        <v>45917</v>
      </c>
      <c r="L362" s="17" t="n">
        <v>1900</v>
      </c>
      <c r="M362" s="17" t="n">
        <v>472</v>
      </c>
      <c r="N362" s="17" t="n">
        <v>1428</v>
      </c>
      <c r="O362" s="15" t="inlineStr">
        <is>
          <t>Final issue (ipoplatform)</t>
        </is>
      </c>
      <c r="P362" s="15" t="n"/>
      <c r="Q362" s="18" t="inlineStr">
        <is>
          <t>https://www.sebi.gov.in/sebi_data/attachdocs/may-2025/1746063004607_775.pdf</t>
        </is>
      </c>
      <c r="R362" s="18" t="inlineStr">
        <is>
          <t>https://www.sebi.gov.in/filings/public-issues/apr-2025/urban-company-limited_93736.html</t>
        </is>
      </c>
      <c r="S362" s="15" t="n"/>
      <c r="T362" s="15" t="inlineStr">
        <is>
          <t>Company name + date window</t>
        </is>
      </c>
      <c r="U362" s="15" t="inlineStr">
        <is>
          <t>Urban Company Limited</t>
        </is>
      </c>
      <c r="V362" s="15" t="n"/>
      <c r="W362" s="15" t="n"/>
      <c r="X362" s="15" t="n"/>
      <c r="Y362" s="15" t="n"/>
      <c r="Z362" s="15" t="n"/>
      <c r="AA362" s="15" t="n"/>
      <c r="AB362" s="15" t="n"/>
    </row>
    <row r="363" ht="15" customHeight="1" s="12">
      <c r="A363" s="14" t="n">
        <v>362</v>
      </c>
      <c r="B363" s="16" t="n">
        <v>45775</v>
      </c>
      <c r="C363" s="15" t="n">
        <v>2025</v>
      </c>
      <c r="D363" s="15" t="inlineStr">
        <is>
          <t>Prestige Hospitality Ventures Limited</t>
        </is>
      </c>
      <c r="E363" s="15" t="inlineStr">
        <is>
          <t>DRHP</t>
        </is>
      </c>
      <c r="F363" s="15" t="inlineStr">
        <is>
          <t>Prestige Hospitality Ventures Limited</t>
        </is>
      </c>
      <c r="G363" s="15" t="inlineStr">
        <is>
          <t>Upcoming — IPO not yet opened</t>
        </is>
      </c>
      <c r="H363" s="15" t="n"/>
      <c r="I363" s="16" t="n"/>
      <c r="J363" s="16" t="n"/>
      <c r="K363" s="16" t="n"/>
      <c r="L363" s="17" t="n"/>
      <c r="M363" s="17" t="n"/>
      <c r="N363" s="17" t="n"/>
      <c r="O363" s="15" t="n"/>
      <c r="P363" s="15" t="n"/>
      <c r="Q363" s="18" t="inlineStr">
        <is>
          <t>https://www.sebi.gov.in/sebi_data/attachdocs/apr-2025/1745839805301_772.pdf</t>
        </is>
      </c>
      <c r="R363" s="18" t="inlineStr">
        <is>
          <t>https://www.sebi.gov.in/filings/public-issues/apr-2025/prestige-hospitality-ventures-limited_93682.html</t>
        </is>
      </c>
      <c r="S363" s="15" t="n"/>
      <c r="T363" s="15" t="n"/>
      <c r="U363" s="15" t="n"/>
      <c r="V363" s="15" t="n"/>
      <c r="W363" s="16" t="n"/>
      <c r="X363" s="16" t="n"/>
      <c r="Y363" s="16" t="n"/>
      <c r="Z363" s="15" t="inlineStr">
        <is>
          <t>Withdrawn / approval lapsed</t>
        </is>
      </c>
      <c r="AA363" s="15" t="inlineStr">
        <is>
          <t>SEBI nod 1-Aug-2025; validity expired Aug-2026, no IPO dates</t>
        </is>
      </c>
      <c r="AB363" s="18" t="inlineStr">
        <is>
          <t>https://www.chittorgarh.com/ipo/prestige-hospitality-ventures-ipo/2420/</t>
        </is>
      </c>
    </row>
    <row r="364" ht="15" customHeight="1" s="12">
      <c r="A364" s="14" t="n">
        <v>363</v>
      </c>
      <c r="B364" s="16" t="n">
        <v>45775</v>
      </c>
      <c r="C364" s="15" t="n">
        <v>2025</v>
      </c>
      <c r="D364" s="15" t="inlineStr">
        <is>
          <t>ANLON HEALTHCARE LIMITED</t>
        </is>
      </c>
      <c r="E364" s="15" t="inlineStr">
        <is>
          <t>DRHP</t>
        </is>
      </c>
      <c r="F364" s="15" t="inlineStr">
        <is>
          <t>ANLON HEALTHCARE LIMITED</t>
        </is>
      </c>
      <c r="G364" s="15" t="inlineStr">
        <is>
          <t>IPO launched</t>
        </is>
      </c>
      <c r="H364" s="15" t="inlineStr">
        <is>
          <t>Mainboard</t>
        </is>
      </c>
      <c r="I364" s="16" t="n">
        <v>45895</v>
      </c>
      <c r="J364" s="16" t="n">
        <v>45898</v>
      </c>
      <c r="K364" s="16" t="n">
        <v>45903</v>
      </c>
      <c r="L364" s="17" t="n">
        <v>121.03</v>
      </c>
      <c r="M364" s="17" t="n">
        <v>121.03</v>
      </c>
      <c r="N364" s="17" t="n">
        <v>0</v>
      </c>
      <c r="O364" s="15" t="inlineStr">
        <is>
          <t>Final issue (ipoplatform)</t>
        </is>
      </c>
      <c r="P364" s="15" t="n"/>
      <c r="Q364" s="18" t="inlineStr">
        <is>
          <t>https://www.sebi.gov.in/sebi_data/attachdocs/apr-2025/1745825404739_771.pdf</t>
        </is>
      </c>
      <c r="R364" s="18" t="inlineStr">
        <is>
          <t>https://www.sebi.gov.in/filings/public-issues/apr-2025/anlon-healthcare-limited_93658.html</t>
        </is>
      </c>
      <c r="S364" s="15" t="n"/>
      <c r="T364" s="15" t="inlineStr">
        <is>
          <t>Company name + date window</t>
        </is>
      </c>
      <c r="U364" s="15" t="inlineStr">
        <is>
          <t>Anlon Healthcare Limited</t>
        </is>
      </c>
      <c r="V364" s="15" t="n"/>
      <c r="W364" s="15" t="n"/>
      <c r="X364" s="15" t="n"/>
      <c r="Y364" s="15" t="n"/>
      <c r="Z364" s="15" t="n"/>
      <c r="AA364" s="15" t="n"/>
      <c r="AB364" s="15" t="n"/>
    </row>
    <row r="365" ht="15" customHeight="1" s="12">
      <c r="A365" s="14" t="n">
        <v>364</v>
      </c>
      <c r="B365" s="16" t="n">
        <v>45771</v>
      </c>
      <c r="C365" s="15" t="n">
        <v>2025</v>
      </c>
      <c r="D365" s="15" t="inlineStr">
        <is>
          <t>A-One Steels India Limited</t>
        </is>
      </c>
      <c r="E365" s="15" t="inlineStr">
        <is>
          <t>Addendum</t>
        </is>
      </c>
      <c r="F365" s="15" t="inlineStr">
        <is>
          <t>A-One Steels India Limited - Addendum to DRHP</t>
        </is>
      </c>
      <c r="G365" s="15" t="inlineStr">
        <is>
          <t>IPO launched</t>
        </is>
      </c>
      <c r="H365" s="15" t="inlineStr">
        <is>
          <t>Mainboard</t>
        </is>
      </c>
      <c r="I365" s="16" t="n">
        <v>46289</v>
      </c>
      <c r="J365" s="16" t="n">
        <v>46293</v>
      </c>
      <c r="K365" s="16" t="n">
        <v>46296</v>
      </c>
      <c r="L365" s="17" t="n">
        <v>405</v>
      </c>
      <c r="M365" s="17" t="n">
        <v>355</v>
      </c>
      <c r="N365" s="17" t="n">
        <v>50</v>
      </c>
      <c r="O365" s="15" t="inlineStr">
        <is>
          <t>Final issue (ipoplatform)</t>
        </is>
      </c>
      <c r="P365" s="15" t="n"/>
      <c r="Q365" s="18" t="inlineStr">
        <is>
          <t>https://www.sebi.gov.in/sebi_data/attachdocs/apr-2025/1745478369380.PDF</t>
        </is>
      </c>
      <c r="R365" s="18" t="inlineStr">
        <is>
          <t>https://www.sebi.gov.in/filings/public-issues/apr-2025/a-one-steels-india-limited-addendum-to-drhp_93595.html</t>
        </is>
      </c>
      <c r="S365" s="15" t="n"/>
      <c r="T365" s="15" t="inlineStr">
        <is>
          <t>Company name + date window</t>
        </is>
      </c>
      <c r="U365" s="15" t="inlineStr">
        <is>
          <t>A-one Steels India Limited</t>
        </is>
      </c>
      <c r="V365" s="15" t="n"/>
      <c r="W365" s="15" t="n"/>
      <c r="X365" s="15" t="n"/>
      <c r="Y365" s="15" t="n"/>
      <c r="Z365" s="15" t="n"/>
      <c r="AA365" s="15" t="n"/>
      <c r="AB365" s="15" t="n"/>
    </row>
    <row r="366" ht="15" customHeight="1" s="12">
      <c r="A366" s="14" t="n">
        <v>365</v>
      </c>
      <c r="B366" s="16" t="n">
        <v>45769</v>
      </c>
      <c r="C366" s="15" t="n">
        <v>2025</v>
      </c>
      <c r="D366" s="15" t="inlineStr">
        <is>
          <t>Jajoo Rashmi Refractories Limited</t>
        </is>
      </c>
      <c r="E366" s="15" t="inlineStr">
        <is>
          <t>Addendum</t>
        </is>
      </c>
      <c r="F366" s="15" t="inlineStr">
        <is>
          <t>Jajoo Rashmi Refractories Limited - Addendum to DRHP</t>
        </is>
      </c>
      <c r="G366" s="15" t="inlineStr">
        <is>
          <t>Upcoming — IPO not yet opened</t>
        </is>
      </c>
      <c r="H366" s="15" t="n"/>
      <c r="I366" s="16" t="n"/>
      <c r="J366" s="16" t="n"/>
      <c r="K366" s="16" t="n"/>
      <c r="L366" s="17" t="n"/>
      <c r="M366" s="17" t="n"/>
      <c r="N366" s="17" t="n"/>
      <c r="O366" s="15" t="n"/>
      <c r="P366" s="15" t="n"/>
      <c r="Q366" s="18" t="inlineStr">
        <is>
          <t>https://www.sebi.gov.in/sebi_data/attachdocs/apr-2025/1745312810585.pdf</t>
        </is>
      </c>
      <c r="R366" s="18" t="inlineStr">
        <is>
          <t>https://www.sebi.gov.in/filings/public-issues/apr-2025/jajoo-rashmi-refractories-limited-addendum-to-drhp_93531.html</t>
        </is>
      </c>
      <c r="S366" s="15" t="n"/>
      <c r="T366" s="15" t="n"/>
      <c r="U366" s="15" t="n"/>
      <c r="V366" s="15" t="n"/>
      <c r="W366" s="16" t="n"/>
      <c r="X366" s="16" t="n"/>
      <c r="Y366" s="16" t="n"/>
      <c r="Z366" s="15" t="inlineStr">
        <is>
          <t>No issue found</t>
        </is>
      </c>
      <c r="AA366" s="15" t="inlineStr">
        <is>
          <t>Business Standard lists the company but shows no issue dates; web search limit reached</t>
        </is>
      </c>
      <c r="AB366" s="18" t="inlineStr">
        <is>
          <t>https://www.business-standard.com/markets/ipo/jajoo-rashmi-refractories-ltd-ipo-94287</t>
        </is>
      </c>
    </row>
    <row r="367" ht="15" customHeight="1" s="12">
      <c r="A367" s="14" t="n">
        <v>366</v>
      </c>
      <c r="B367" s="16" t="n">
        <v>45764</v>
      </c>
      <c r="C367" s="15" t="n">
        <v>2025</v>
      </c>
      <c r="D367" s="15" t="inlineStr">
        <is>
          <t>OM FREIGHT FORWARDERS LIMITED</t>
        </is>
      </c>
      <c r="E367" s="15" t="inlineStr">
        <is>
          <t>DRHP</t>
        </is>
      </c>
      <c r="F367" s="15" t="inlineStr">
        <is>
          <t>OM FREIGHT FORWARDERS LIMITED</t>
        </is>
      </c>
      <c r="G367" s="15" t="inlineStr">
        <is>
          <t>IPO launched</t>
        </is>
      </c>
      <c r="H367" s="15" t="inlineStr">
        <is>
          <t>Mainboard</t>
        </is>
      </c>
      <c r="I367" s="16" t="n">
        <v>45929</v>
      </c>
      <c r="J367" s="16" t="n">
        <v>45933</v>
      </c>
      <c r="K367" s="16" t="n">
        <v>45938</v>
      </c>
      <c r="L367" s="17" t="n">
        <v>122.31</v>
      </c>
      <c r="M367" s="17" t="n">
        <v>24.44</v>
      </c>
      <c r="N367" s="17" t="n">
        <v>97.87</v>
      </c>
      <c r="O367" s="15" t="inlineStr">
        <is>
          <t>Final issue (ipoplatform)</t>
        </is>
      </c>
      <c r="P367" s="15" t="n"/>
      <c r="Q367" s="18" t="inlineStr">
        <is>
          <t>https://www.sebi.gov.in/sebi_data/attachdocs/apr-2025/1744875005599_768.pdf</t>
        </is>
      </c>
      <c r="R367" s="18" t="inlineStr">
        <is>
          <t>https://www.sebi.gov.in/filings/public-issues/apr-2025/om-freight-forwarders-limited_93481.html</t>
        </is>
      </c>
      <c r="S367" s="15" t="n"/>
      <c r="T367" s="15" t="inlineStr">
        <is>
          <t>Company name + date window</t>
        </is>
      </c>
      <c r="U367" s="15" t="inlineStr">
        <is>
          <t>Om Freight Forwarders Limited</t>
        </is>
      </c>
      <c r="V367" s="15" t="n"/>
      <c r="W367" s="15" t="n"/>
      <c r="X367" s="15" t="n"/>
      <c r="Y367" s="15" t="n"/>
      <c r="Z367" s="15" t="n"/>
      <c r="AA367" s="15" t="n"/>
      <c r="AB367" s="15" t="n"/>
    </row>
    <row r="368" ht="15" customHeight="1" s="12">
      <c r="A368" s="14" t="n">
        <v>367</v>
      </c>
      <c r="B368" s="16" t="n">
        <v>45762</v>
      </c>
      <c r="C368" s="15" t="n">
        <v>2025</v>
      </c>
      <c r="D368" s="15" t="inlineStr">
        <is>
          <t>Anand Rathi Share And Stock Brokers Limited</t>
        </is>
      </c>
      <c r="E368" s="15" t="inlineStr">
        <is>
          <t>DRHP</t>
        </is>
      </c>
      <c r="F368" s="15" t="inlineStr">
        <is>
          <t>Anand Rathi Share And Stock Brokers Limited - DRHP</t>
        </is>
      </c>
      <c r="G368" s="15" t="inlineStr">
        <is>
          <t>IPO launched</t>
        </is>
      </c>
      <c r="H368" s="15" t="inlineStr">
        <is>
          <t>Mainboard</t>
        </is>
      </c>
      <c r="I368" s="16" t="n">
        <v>45923</v>
      </c>
      <c r="J368" s="16" t="n">
        <v>45925</v>
      </c>
      <c r="K368" s="16" t="n">
        <v>45930</v>
      </c>
      <c r="L368" s="17" t="n">
        <v>745</v>
      </c>
      <c r="M368" s="17" t="n">
        <v>745</v>
      </c>
      <c r="N368" s="17" t="n">
        <v>0</v>
      </c>
      <c r="O368" s="15" t="inlineStr">
        <is>
          <t>Final issue (ipoplatform)</t>
        </is>
      </c>
      <c r="P368" s="15" t="n"/>
      <c r="Q368" s="18" t="inlineStr">
        <is>
          <t>https://www.sebi.gov.in/sebi_data/attachdocs/apr-2025/1744705760872.pdf</t>
        </is>
      </c>
      <c r="R368" s="18" t="inlineStr">
        <is>
          <t>https://www.sebi.gov.in/filings/public-issues/apr-2025/anand-rathi-share-and-stock-brokers-limited-drhp_93445.html</t>
        </is>
      </c>
      <c r="S368" s="15" t="n"/>
      <c r="T368" s="15" t="inlineStr">
        <is>
          <t>Company name + date window</t>
        </is>
      </c>
      <c r="U368" s="15" t="inlineStr">
        <is>
          <t>Anand Rathi Share and Stock Brokers Limited</t>
        </is>
      </c>
      <c r="V368" s="15" t="n"/>
      <c r="W368" s="15" t="n"/>
      <c r="X368" s="15" t="n"/>
      <c r="Y368" s="15" t="n"/>
      <c r="Z368" s="15" t="n"/>
      <c r="AA368" s="15" t="n"/>
      <c r="AB368" s="15" t="n"/>
    </row>
    <row r="369" ht="15" customHeight="1" s="12">
      <c r="A369" s="14" t="n">
        <v>368</v>
      </c>
      <c r="B369" s="16" t="n">
        <v>45758</v>
      </c>
      <c r="C369" s="15" t="n">
        <v>2025</v>
      </c>
      <c r="D369" s="15" t="inlineStr">
        <is>
          <t>Laxmi India Finance Limited</t>
        </is>
      </c>
      <c r="E369" s="15" t="inlineStr">
        <is>
          <t>Addendum</t>
        </is>
      </c>
      <c r="F369" s="15" t="inlineStr">
        <is>
          <t>Laxmi India Finance Limited - Addendum to DRHP</t>
        </is>
      </c>
      <c r="G369" s="15" t="inlineStr">
        <is>
          <t>IPO launched</t>
        </is>
      </c>
      <c r="H369" s="15" t="inlineStr">
        <is>
          <t>Mainboard</t>
        </is>
      </c>
      <c r="I369" s="16" t="n">
        <v>45867</v>
      </c>
      <c r="J369" s="16" t="n">
        <v>45869</v>
      </c>
      <c r="K369" s="16" t="n">
        <v>45874</v>
      </c>
      <c r="L369" s="17" t="n">
        <v>254.26</v>
      </c>
      <c r="M369" s="17" t="n">
        <v>165.17</v>
      </c>
      <c r="N369" s="17" t="n">
        <v>89.09</v>
      </c>
      <c r="O369" s="15" t="inlineStr">
        <is>
          <t>Final issue (ipoplatform)</t>
        </is>
      </c>
      <c r="P369" s="15" t="n"/>
      <c r="Q369" s="18" t="inlineStr">
        <is>
          <t>https://www.sebi.gov.in/sebi_data/attachdocs/apr-2025/1744365838800.pdf</t>
        </is>
      </c>
      <c r="R369" s="18" t="inlineStr">
        <is>
          <t>https://www.sebi.gov.in/filings/public-issues/apr-2025/laxmi-india-finance-limited-addendum-to-drhp_93417.html</t>
        </is>
      </c>
      <c r="S369" s="15" t="n"/>
      <c r="T369" s="15" t="inlineStr">
        <is>
          <t>Company name + date window</t>
        </is>
      </c>
      <c r="U369" s="15" t="inlineStr">
        <is>
          <t>Laxmi India Finance Limited</t>
        </is>
      </c>
      <c r="V369" s="15" t="n"/>
      <c r="W369" s="15" t="n"/>
      <c r="X369" s="15" t="n"/>
      <c r="Y369" s="15" t="n"/>
      <c r="Z369" s="15" t="n"/>
      <c r="AA369" s="15" t="n"/>
      <c r="AB369" s="15" t="n"/>
    </row>
    <row r="370" ht="15" customHeight="1" s="12">
      <c r="A370" s="14" t="n">
        <v>369</v>
      </c>
      <c r="B370" s="16" t="n">
        <v>45756</v>
      </c>
      <c r="C370" s="15" t="n">
        <v>2025</v>
      </c>
      <c r="D370" s="15" t="inlineStr">
        <is>
          <t>JAIN RESOURCE RECYCLING LIMITED</t>
        </is>
      </c>
      <c r="E370" s="15" t="inlineStr">
        <is>
          <t>DRHP</t>
        </is>
      </c>
      <c r="F370" s="15" t="inlineStr">
        <is>
          <t>JAIN RESOURCE RECYCLING LIMITED</t>
        </is>
      </c>
      <c r="G370" s="15" t="inlineStr">
        <is>
          <t>IPO launched</t>
        </is>
      </c>
      <c r="H370" s="15" t="inlineStr">
        <is>
          <t>Mainboard</t>
        </is>
      </c>
      <c r="I370" s="16" t="n">
        <v>45924</v>
      </c>
      <c r="J370" s="16" t="n">
        <v>45926</v>
      </c>
      <c r="K370" s="16" t="n">
        <v>45931</v>
      </c>
      <c r="L370" s="17" t="n">
        <v>1250</v>
      </c>
      <c r="M370" s="17" t="n">
        <v>500</v>
      </c>
      <c r="N370" s="17" t="n">
        <v>750</v>
      </c>
      <c r="O370" s="15" t="inlineStr">
        <is>
          <t>Final issue (ipoplatform)</t>
        </is>
      </c>
      <c r="P370" s="15" t="n"/>
      <c r="Q370" s="18" t="inlineStr">
        <is>
          <t>https://www.sebi.gov.in/sebi_data/attachdocs/apr-2025/1744183805217_767.pdf</t>
        </is>
      </c>
      <c r="R370" s="18" t="inlineStr">
        <is>
          <t>https://www.sebi.gov.in/filings/public-issues/apr-2025/jain-resource-recycling-limited_93392.html</t>
        </is>
      </c>
      <c r="S370" s="15" t="n"/>
      <c r="T370" s="15" t="inlineStr">
        <is>
          <t>Company name + date window</t>
        </is>
      </c>
      <c r="U370" s="15" t="inlineStr">
        <is>
          <t>Jain Resource Recycling Limited</t>
        </is>
      </c>
      <c r="V370" s="15" t="n"/>
      <c r="W370" s="15" t="n"/>
      <c r="X370" s="15" t="n"/>
      <c r="Y370" s="15" t="n"/>
      <c r="Z370" s="15" t="n"/>
      <c r="AA370" s="15" t="n"/>
      <c r="AB370" s="15" t="n"/>
    </row>
    <row r="371" ht="15" customHeight="1" s="12">
      <c r="A371" s="14" t="n">
        <v>370</v>
      </c>
      <c r="B371" s="16" t="n">
        <v>45755</v>
      </c>
      <c r="C371" s="15" t="n">
        <v>2025</v>
      </c>
      <c r="D371" s="15" t="inlineStr">
        <is>
          <t>SIS CASH SERVICES LIMITED</t>
        </is>
      </c>
      <c r="E371" s="15" t="inlineStr">
        <is>
          <t>DRHP</t>
        </is>
      </c>
      <c r="F371" s="15" t="inlineStr">
        <is>
          <t>SIS CASH SERVICES LIMITED</t>
        </is>
      </c>
      <c r="G371" s="15" t="inlineStr">
        <is>
          <t>Upcoming — IPO not yet opened</t>
        </is>
      </c>
      <c r="H371" s="15" t="n"/>
      <c r="I371" s="16" t="n"/>
      <c r="J371" s="16" t="n"/>
      <c r="K371" s="16" t="n"/>
      <c r="L371" s="17" t="n"/>
      <c r="M371" s="17" t="n"/>
      <c r="N371" s="17" t="n"/>
      <c r="O371" s="15" t="n"/>
      <c r="P371" s="15" t="n"/>
      <c r="Q371" s="18" t="inlineStr">
        <is>
          <t>https://www.sebi.gov.in/sebi_data/attachdocs/apr-2025/1744097406765_766.pdf</t>
        </is>
      </c>
      <c r="R371" s="18" t="inlineStr">
        <is>
          <t>https://www.sebi.gov.in/filings/public-issues/apr-2025/sis-cash-services-limited_93365.html</t>
        </is>
      </c>
      <c r="S371" s="15" t="n"/>
      <c r="T371" s="15" t="n"/>
      <c r="U371" s="15" t="n"/>
      <c r="V371" s="15" t="n"/>
      <c r="W371" s="16" t="n"/>
      <c r="X371" s="16" t="n"/>
      <c r="Y371" s="16" t="n"/>
      <c r="Z371" s="15" t="inlineStr">
        <is>
          <t>Withdrawn / approval lapsed</t>
        </is>
      </c>
      <c r="AA371" s="15" t="inlineStr">
        <is>
          <t>SEBI nod 17-Jul-2025; 12-month validity expired Jul-2026, no IPO dates</t>
        </is>
      </c>
      <c r="AB371" s="18" t="inlineStr">
        <is>
          <t>https://www.chittorgarh.com/ipo/sis-prosegur-ipo/2316/</t>
        </is>
      </c>
    </row>
    <row r="372" ht="15" customHeight="1" s="12">
      <c r="A372" s="14" t="n">
        <v>371</v>
      </c>
      <c r="B372" s="16" t="n">
        <v>45755</v>
      </c>
      <c r="C372" s="15" t="n">
        <v>2025</v>
      </c>
      <c r="D372" s="15" t="inlineStr">
        <is>
          <t>Innovision Limited</t>
        </is>
      </c>
      <c r="E372" s="15" t="inlineStr">
        <is>
          <t>Addendum</t>
        </is>
      </c>
      <c r="F372" s="15" t="inlineStr">
        <is>
          <t>Innovision Limited - Addendum to the DRHP</t>
        </is>
      </c>
      <c r="G372" s="15" t="inlineStr">
        <is>
          <t>IPO launched</t>
        </is>
      </c>
      <c r="H372" s="15" t="inlineStr">
        <is>
          <t>Mainboard</t>
        </is>
      </c>
      <c r="I372" s="16" t="n">
        <v>46091</v>
      </c>
      <c r="J372" s="16" t="n">
        <v>46098</v>
      </c>
      <c r="K372" s="16" t="n">
        <v>46101</v>
      </c>
      <c r="L372" s="17" t="n">
        <v>322.84</v>
      </c>
      <c r="M372" s="17" t="n">
        <v>255</v>
      </c>
      <c r="N372" s="17" t="n">
        <v>67.84</v>
      </c>
      <c r="O372" s="15" t="inlineStr">
        <is>
          <t>Final issue (ipoplatform)</t>
        </is>
      </c>
      <c r="P372" s="15" t="n"/>
      <c r="Q372" s="18" t="inlineStr">
        <is>
          <t>https://www.sebi.gov.in/sebi_data/attachdocs/apr-2025/1744088154067.pdf</t>
        </is>
      </c>
      <c r="R372" s="18" t="inlineStr">
        <is>
          <t>https://www.sebi.gov.in/filings/public-issues/apr-2025/innovision-limited-addendum-to-the-drhp_93356.html</t>
        </is>
      </c>
      <c r="S372" s="15" t="n"/>
      <c r="T372" s="15" t="inlineStr">
        <is>
          <t>Company name + date window</t>
        </is>
      </c>
      <c r="U372" s="15" t="inlineStr">
        <is>
          <t>Innovision Limited</t>
        </is>
      </c>
      <c r="V372" s="15" t="n"/>
      <c r="W372" s="15" t="n"/>
      <c r="X372" s="15" t="n"/>
      <c r="Y372" s="15" t="n"/>
      <c r="Z372" s="15" t="n"/>
      <c r="AA372" s="15" t="n"/>
      <c r="AB372" s="15" t="n"/>
    </row>
    <row r="373" ht="15" customHeight="1" s="12">
      <c r="A373" s="14" t="n">
        <v>372</v>
      </c>
      <c r="B373" s="16" t="n">
        <v>45751</v>
      </c>
      <c r="C373" s="15" t="n">
        <v>2025</v>
      </c>
      <c r="D373" s="15" t="inlineStr">
        <is>
          <t>Addendum to the DRHP of Continuum Green Energy Limited</t>
        </is>
      </c>
      <c r="E373" s="15" t="inlineStr">
        <is>
          <t>Addendum</t>
        </is>
      </c>
      <c r="F373" s="15" t="inlineStr">
        <is>
          <t>Addendum to the DRHP of Continuum Green Energy Limited</t>
        </is>
      </c>
      <c r="G373" s="15" t="inlineStr">
        <is>
          <t>Upcoming — IPO not yet opened</t>
        </is>
      </c>
      <c r="H373" s="15" t="n"/>
      <c r="I373" s="16" t="n"/>
      <c r="J373" s="16" t="n"/>
      <c r="K373" s="16" t="n"/>
      <c r="L373" s="17" t="n"/>
      <c r="M373" s="17" t="n"/>
      <c r="N373" s="17" t="n"/>
      <c r="O373" s="15" t="n"/>
      <c r="P373" s="15" t="n"/>
      <c r="Q373" s="18" t="inlineStr">
        <is>
          <t>https://www.sebi.gov.in/sebi_data/attachdocs/apr-2025/1743760737648.pdf</t>
        </is>
      </c>
      <c r="R373" s="18" t="inlineStr">
        <is>
          <t>https://www.sebi.gov.in/filings/public-issues/apr-2025/addendum-to-the-drhp-of-continuum-green-energy-limited_93312.html</t>
        </is>
      </c>
      <c r="S373" s="15" t="n"/>
      <c r="T373" s="15" t="n"/>
      <c r="U373" s="15" t="n"/>
      <c r="V373" s="15" t="n"/>
      <c r="W373" s="16" t="n"/>
      <c r="X373" s="16" t="n"/>
      <c r="Y373" s="16" t="n"/>
      <c r="Z373" s="15" t="inlineStr">
        <is>
          <t>No issue found</t>
        </is>
      </c>
      <c r="AA373" s="15" t="inlineStr">
        <is>
          <t>Business Standard lists the company but shows no issue dates; web search limit reached</t>
        </is>
      </c>
      <c r="AB373" s="18" t="inlineStr">
        <is>
          <t>https://www.business-standard.com/markets/ipo/continuum-green-energy-ltd-ipo-73552</t>
        </is>
      </c>
    </row>
    <row r="374" ht="15" customHeight="1" s="12">
      <c r="A374" s="14" t="n">
        <v>373</v>
      </c>
      <c r="B374" s="16" t="n">
        <v>45751</v>
      </c>
      <c r="C374" s="15" t="n">
        <v>2025</v>
      </c>
      <c r="D374" s="15" t="inlineStr">
        <is>
          <t>ESDS SOFTWARE SOLUTION LIMITED</t>
        </is>
      </c>
      <c r="E374" s="15" t="inlineStr">
        <is>
          <t>DRHP</t>
        </is>
      </c>
      <c r="F374" s="15" t="inlineStr">
        <is>
          <t>ESDS SOFTWARE SOLUTION LIMITED</t>
        </is>
      </c>
      <c r="G374" s="15" t="inlineStr">
        <is>
          <t>IPO launched</t>
        </is>
      </c>
      <c r="H374" s="15" t="inlineStr">
        <is>
          <t>Mainboard</t>
        </is>
      </c>
      <c r="I374" s="16" t="n">
        <v>46262</v>
      </c>
      <c r="J374" s="16" t="n">
        <v>46266</v>
      </c>
      <c r="K374" s="16" t="n">
        <v>46269</v>
      </c>
      <c r="L374" s="17" t="n">
        <v>720</v>
      </c>
      <c r="M374" s="17" t="n">
        <v>720</v>
      </c>
      <c r="N374" s="17" t="n">
        <v>0</v>
      </c>
      <c r="O374" s="15" t="inlineStr">
        <is>
          <t>Final issue (ipoplatform)</t>
        </is>
      </c>
      <c r="P374" s="15" t="n"/>
      <c r="Q374" s="18" t="inlineStr">
        <is>
          <t>https://www.sebi.gov.in/sebi_data/attachdocs/apr-2025/1743751804884_762.pdf</t>
        </is>
      </c>
      <c r="R374" s="18" t="inlineStr">
        <is>
          <t>https://www.sebi.gov.in/filings/public-issues/apr-2025/esds-software-solution-limited_93307.html</t>
        </is>
      </c>
      <c r="S374" s="15" t="n"/>
      <c r="T374" s="15" t="inlineStr">
        <is>
          <t>Company name + date window</t>
        </is>
      </c>
      <c r="U374" s="15" t="inlineStr">
        <is>
          <t>Esds Software Solution Limited</t>
        </is>
      </c>
      <c r="V374" s="15" t="n"/>
      <c r="W374" s="15" t="n"/>
      <c r="X374" s="15" t="n"/>
      <c r="Y374" s="15" t="n"/>
      <c r="Z374" s="15" t="n"/>
      <c r="AA374" s="15" t="n"/>
      <c r="AB374" s="15" t="n"/>
    </row>
    <row r="375" ht="15" customHeight="1" s="12">
      <c r="A375" s="14" t="n">
        <v>374</v>
      </c>
      <c r="B375" s="16" t="n">
        <v>45750</v>
      </c>
      <c r="C375" s="15" t="n">
        <v>2025</v>
      </c>
      <c r="D375" s="15" t="inlineStr">
        <is>
          <t>PARK MEDI WORLD LIMITED</t>
        </is>
      </c>
      <c r="E375" s="15" t="inlineStr">
        <is>
          <t>DRHP</t>
        </is>
      </c>
      <c r="F375" s="15" t="inlineStr">
        <is>
          <t>PARK MEDI WORLD LIMITED</t>
        </is>
      </c>
      <c r="G375" s="15" t="inlineStr">
        <is>
          <t>IPO launched</t>
        </is>
      </c>
      <c r="H375" s="15" t="inlineStr">
        <is>
          <t>Mainboard</t>
        </is>
      </c>
      <c r="I375" s="16" t="n">
        <v>46001</v>
      </c>
      <c r="J375" s="16" t="n">
        <v>46003</v>
      </c>
      <c r="K375" s="16" t="n">
        <v>46008</v>
      </c>
      <c r="L375" s="17" t="n">
        <v>920</v>
      </c>
      <c r="M375" s="17" t="n">
        <v>770</v>
      </c>
      <c r="N375" s="17" t="n">
        <v>150</v>
      </c>
      <c r="O375" s="15" t="inlineStr">
        <is>
          <t>Final issue (ipoplatform)</t>
        </is>
      </c>
      <c r="P375" s="15" t="n"/>
      <c r="Q375" s="18" t="inlineStr">
        <is>
          <t>https://www.sebi.gov.in/sebi_data/attachdocs/apr-2025/1743730204821_761.pdf</t>
        </is>
      </c>
      <c r="R375" s="18" t="inlineStr">
        <is>
          <t>https://www.sebi.gov.in/filings/public-issues/apr-2025/park-medi-world-limited_93300.html</t>
        </is>
      </c>
      <c r="S375" s="15" t="n"/>
      <c r="T375" s="15" t="inlineStr">
        <is>
          <t>Company name + date window</t>
        </is>
      </c>
      <c r="U375" s="15" t="inlineStr">
        <is>
          <t>Park Medi World Limited</t>
        </is>
      </c>
      <c r="V375" s="15" t="n"/>
      <c r="W375" s="15" t="n"/>
      <c r="X375" s="15" t="n"/>
      <c r="Y375" s="15" t="n"/>
      <c r="Z375" s="15" t="n"/>
      <c r="AA375" s="15" t="n"/>
      <c r="AB375" s="15" t="n"/>
    </row>
    <row r="376" ht="15" customHeight="1" s="12">
      <c r="A376" s="14" t="n">
        <v>375</v>
      </c>
      <c r="B376" s="16" t="n">
        <v>45750</v>
      </c>
      <c r="C376" s="15" t="n">
        <v>2025</v>
      </c>
      <c r="D376" s="15" t="inlineStr">
        <is>
          <t>Runwal Enterprises Limited</t>
        </is>
      </c>
      <c r="E376" s="15" t="inlineStr">
        <is>
          <t>DRHP</t>
        </is>
      </c>
      <c r="F376" s="15" t="inlineStr">
        <is>
          <t>Runwal Enterprises Limited</t>
        </is>
      </c>
      <c r="G376" s="15" t="inlineStr">
        <is>
          <t>Upcoming — IPO not yet opened</t>
        </is>
      </c>
      <c r="H376" s="15" t="n"/>
      <c r="I376" s="16" t="n"/>
      <c r="J376" s="16" t="n"/>
      <c r="K376" s="16" t="n"/>
      <c r="L376" s="17" t="n"/>
      <c r="M376" s="17" t="n"/>
      <c r="N376" s="17" t="n"/>
      <c r="O376" s="15" t="n"/>
      <c r="P376" s="15" t="n"/>
      <c r="Q376" s="18" t="inlineStr">
        <is>
          <t>https://www.sebi.gov.in/sebi_data/attachdocs/apr-2025/1743679807520_760.pdf</t>
        </is>
      </c>
      <c r="R376" s="18" t="inlineStr">
        <is>
          <t>https://www.sebi.gov.in/filings/public-issues/apr-2025/runwal-enterprises-limited_93291.html</t>
        </is>
      </c>
      <c r="S376" s="15" t="n"/>
      <c r="T376" s="15" t="n"/>
      <c r="U376" s="15" t="n"/>
      <c r="V376" s="15" t="n"/>
      <c r="W376" s="19" t="n">
        <v>46290</v>
      </c>
      <c r="X376" s="19" t="n">
        <v>46294</v>
      </c>
      <c r="Y376" s="19" t="n">
        <v>46300</v>
      </c>
      <c r="Z376" s="20" t="inlineStr">
        <is>
          <t>Issue opened</t>
        </is>
      </c>
      <c r="AA376" s="15" t="inlineStr">
        <is>
          <t>Matched on chittorgarh.com</t>
        </is>
      </c>
      <c r="AB376" s="18" t="inlineStr">
        <is>
          <t>https://www.chittorgarh.com/ipo/runwal-enterprises-ipo/2298/</t>
        </is>
      </c>
    </row>
    <row r="377" ht="15" customHeight="1" s="12">
      <c r="A377" s="14" t="n">
        <v>376</v>
      </c>
      <c r="B377" s="16" t="n">
        <v>45750</v>
      </c>
      <c r="C377" s="15" t="n">
        <v>2025</v>
      </c>
      <c r="D377" s="15" t="inlineStr">
        <is>
          <t>Sai Infinium Limited</t>
        </is>
      </c>
      <c r="E377" s="15" t="inlineStr">
        <is>
          <t>DRHP</t>
        </is>
      </c>
      <c r="F377" s="15" t="inlineStr">
        <is>
          <t>Sai Infinium Limited</t>
        </is>
      </c>
      <c r="G377" s="15" t="inlineStr">
        <is>
          <t>Upcoming — IPO not yet opened</t>
        </is>
      </c>
      <c r="H377" s="15" t="n"/>
      <c r="I377" s="16" t="n"/>
      <c r="J377" s="16" t="n"/>
      <c r="K377" s="16" t="n"/>
      <c r="L377" s="17" t="n"/>
      <c r="M377" s="17" t="n"/>
      <c r="N377" s="17" t="n"/>
      <c r="O377" s="15" t="n"/>
      <c r="P377" s="15" t="n"/>
      <c r="Q377" s="18" t="inlineStr">
        <is>
          <t>https://www.sebi.gov.in/sebi_data/attachdocs/apr-2025/1743679807520_759.pdf</t>
        </is>
      </c>
      <c r="R377" s="18" t="inlineStr">
        <is>
          <t>https://www.sebi.gov.in/filings/public-issues/apr-2025/sai-infinium-limited_93289.html</t>
        </is>
      </c>
      <c r="S377" s="15" t="n"/>
      <c r="T377" s="15" t="n"/>
      <c r="U377" s="15" t="n"/>
      <c r="V377" s="15" t="n"/>
      <c r="W377" s="16" t="n"/>
      <c r="X377" s="16" t="n"/>
      <c r="Y377" s="16" t="n"/>
      <c r="Z377" s="15" t="inlineStr">
        <is>
          <t>Withdrawn / approval lapsed</t>
        </is>
      </c>
      <c r="AA377" s="15" t="inlineStr">
        <is>
          <t>DRHP withdrawn from SEBI on 2025-06-04</t>
        </is>
      </c>
      <c r="AB377" s="18" t="inlineStr">
        <is>
          <t>https://www.chittorgarh.com/ipo/sai-infinium-ipo/2299/</t>
        </is>
      </c>
    </row>
    <row r="378" ht="15" customHeight="1" s="12">
      <c r="A378" s="14" t="n">
        <v>377</v>
      </c>
      <c r="B378" s="16" t="n">
        <v>45750</v>
      </c>
      <c r="C378" s="15" t="n">
        <v>2025</v>
      </c>
      <c r="D378" s="15" t="inlineStr">
        <is>
          <t>PACE DIGITEK LIMITED</t>
        </is>
      </c>
      <c r="E378" s="15" t="inlineStr">
        <is>
          <t>DRHP</t>
        </is>
      </c>
      <c r="F378" s="15" t="inlineStr">
        <is>
          <t>PACE DIGITEK LIMITED</t>
        </is>
      </c>
      <c r="G378" s="15" t="inlineStr">
        <is>
          <t>IPO launched</t>
        </is>
      </c>
      <c r="H378" s="15" t="inlineStr">
        <is>
          <t>Mainboard</t>
        </is>
      </c>
      <c r="I378" s="16" t="n">
        <v>45926</v>
      </c>
      <c r="J378" s="16" t="n">
        <v>45930</v>
      </c>
      <c r="K378" s="16" t="n">
        <v>45936</v>
      </c>
      <c r="L378" s="17" t="n">
        <v>819</v>
      </c>
      <c r="M378" s="17" t="n">
        <v>819</v>
      </c>
      <c r="N378" s="17" t="n">
        <v>0</v>
      </c>
      <c r="O378" s="15" t="inlineStr">
        <is>
          <t>Final issue (ipoplatform)</t>
        </is>
      </c>
      <c r="P378" s="15" t="n"/>
      <c r="Q378" s="18" t="inlineStr">
        <is>
          <t>https://www.sebi.gov.in/sebi_data/attachdocs/apr-2025/1743665406191_757.pdf</t>
        </is>
      </c>
      <c r="R378" s="18" t="inlineStr">
        <is>
          <t>https://www.sebi.gov.in/filings/public-issues/apr-2025/pace-digitek-limited_93273.html</t>
        </is>
      </c>
      <c r="S378" s="15" t="n"/>
      <c r="T378" s="15" t="inlineStr">
        <is>
          <t>Company name + date window</t>
        </is>
      </c>
      <c r="U378" s="15" t="inlineStr">
        <is>
          <t>Pace Digitek Limited</t>
        </is>
      </c>
      <c r="V378" s="15" t="n"/>
      <c r="W378" s="15" t="n"/>
      <c r="X378" s="15" t="n"/>
      <c r="Y378" s="15" t="n"/>
      <c r="Z378" s="15" t="n"/>
      <c r="AA378" s="15" t="n"/>
      <c r="AB378" s="15" t="n"/>
    </row>
    <row r="379" ht="15" customHeight="1" s="12">
      <c r="A379" s="14" t="n">
        <v>378</v>
      </c>
      <c r="B379" s="16" t="n">
        <v>45749</v>
      </c>
      <c r="C379" s="15" t="n">
        <v>2025</v>
      </c>
      <c r="D379" s="15" t="inlineStr">
        <is>
          <t>Advance Agrolife Limited</t>
        </is>
      </c>
      <c r="E379" s="15" t="inlineStr">
        <is>
          <t>DRHP</t>
        </is>
      </c>
      <c r="F379" s="15" t="inlineStr">
        <is>
          <t>Advance Agrolife Limited</t>
        </is>
      </c>
      <c r="G379" s="15" t="inlineStr">
        <is>
          <t>IPO launched</t>
        </is>
      </c>
      <c r="H379" s="15" t="inlineStr">
        <is>
          <t>Mainboard</t>
        </is>
      </c>
      <c r="I379" s="16" t="n">
        <v>45930</v>
      </c>
      <c r="J379" s="16" t="n">
        <v>45933</v>
      </c>
      <c r="K379" s="16" t="n">
        <v>45938</v>
      </c>
      <c r="L379" s="17" t="n">
        <v>192.86</v>
      </c>
      <c r="M379" s="17" t="n">
        <v>192.86</v>
      </c>
      <c r="N379" s="17" t="n">
        <v>0</v>
      </c>
      <c r="O379" s="15" t="inlineStr">
        <is>
          <t>Final issue (ipoplatform)</t>
        </is>
      </c>
      <c r="P379" s="15" t="n"/>
      <c r="Q379" s="18" t="inlineStr">
        <is>
          <t>https://www.sebi.gov.in/sebi_data/attachdocs/apr-2025/1743593404826_756.pdf</t>
        </is>
      </c>
      <c r="R379" s="18" t="inlineStr">
        <is>
          <t>https://www.sebi.gov.in/filings/public-issues/apr-2025/advance-agrolife-limited_93250.html</t>
        </is>
      </c>
      <c r="S379" s="15" t="n"/>
      <c r="T379" s="15" t="inlineStr">
        <is>
          <t>Company name + date window</t>
        </is>
      </c>
      <c r="U379" s="15" t="inlineStr">
        <is>
          <t>Advance Agrolife Limited</t>
        </is>
      </c>
      <c r="V379" s="15" t="n"/>
      <c r="W379" s="15" t="n"/>
      <c r="X379" s="15" t="n"/>
      <c r="Y379" s="15" t="n"/>
      <c r="Z379" s="15" t="n"/>
      <c r="AA379" s="15" t="n"/>
      <c r="AB379" s="15" t="n"/>
    </row>
    <row r="380" ht="15" customHeight="1" s="12">
      <c r="A380" s="14" t="n">
        <v>379</v>
      </c>
      <c r="B380" s="16" t="n">
        <v>45749</v>
      </c>
      <c r="C380" s="15" t="n">
        <v>2025</v>
      </c>
      <c r="D380" s="15" t="inlineStr">
        <is>
          <t>GUJARAT KIDNEY AND SUPER SPECIALITY LIMITED</t>
        </is>
      </c>
      <c r="E380" s="15" t="inlineStr">
        <is>
          <t>DRHP</t>
        </is>
      </c>
      <c r="F380" s="15" t="inlineStr">
        <is>
          <t>GUJARAT KIDNEY AND SUPER SPECIALITY LIMITED</t>
        </is>
      </c>
      <c r="G380" s="15" t="inlineStr">
        <is>
          <t>IPO launched</t>
        </is>
      </c>
      <c r="H380" s="15" t="inlineStr">
        <is>
          <t>Mainboard</t>
        </is>
      </c>
      <c r="I380" s="16" t="n">
        <v>46013</v>
      </c>
      <c r="J380" s="16" t="n">
        <v>46015</v>
      </c>
      <c r="K380" s="16" t="n">
        <v>46021</v>
      </c>
      <c r="L380" s="17" t="n">
        <v>250.8</v>
      </c>
      <c r="M380" s="17" t="n">
        <v>250.8</v>
      </c>
      <c r="N380" s="17" t="n">
        <v>0</v>
      </c>
      <c r="O380" s="15" t="inlineStr">
        <is>
          <t>Final issue (ipoplatform)</t>
        </is>
      </c>
      <c r="P380" s="15" t="n"/>
      <c r="Q380" s="18" t="inlineStr">
        <is>
          <t>https://www.sebi.gov.in/sebi_data/attachdocs/apr-2025/1743593404826_755.pdf</t>
        </is>
      </c>
      <c r="R380" s="18" t="inlineStr">
        <is>
          <t>https://www.sebi.gov.in/filings/public-issues/apr-2025/gujarat-kidney-and-super-speciality-limited_93248.html</t>
        </is>
      </c>
      <c r="S380" s="15" t="n"/>
      <c r="T380" s="15" t="inlineStr">
        <is>
          <t>Company name + date window</t>
        </is>
      </c>
      <c r="U380" s="15" t="inlineStr">
        <is>
          <t>Gujarat Kidney And Super Speciality Limited</t>
        </is>
      </c>
      <c r="V380" s="15" t="n"/>
      <c r="W380" s="15" t="n"/>
      <c r="X380" s="15" t="n"/>
      <c r="Y380" s="15" t="n"/>
      <c r="Z380" s="15" t="n"/>
      <c r="AA380" s="15" t="n"/>
      <c r="AB380" s="15" t="n"/>
    </row>
    <row r="381" ht="15" customHeight="1" s="12">
      <c r="A381" s="14" t="n">
        <v>380</v>
      </c>
      <c r="B381" s="16" t="n">
        <v>45748</v>
      </c>
      <c r="C381" s="15" t="n">
        <v>2025</v>
      </c>
      <c r="D381" s="15" t="inlineStr">
        <is>
          <t>Dev Accelerator Limited</t>
        </is>
      </c>
      <c r="E381" s="15" t="inlineStr">
        <is>
          <t>DRHP</t>
        </is>
      </c>
      <c r="F381" s="15" t="inlineStr">
        <is>
          <t>Dev Accelerator Limited</t>
        </is>
      </c>
      <c r="G381" s="15" t="inlineStr">
        <is>
          <t>IPO launched</t>
        </is>
      </c>
      <c r="H381" s="15" t="inlineStr">
        <is>
          <t>Mainboard</t>
        </is>
      </c>
      <c r="I381" s="16" t="n">
        <v>45910</v>
      </c>
      <c r="J381" s="16" t="n">
        <v>45912</v>
      </c>
      <c r="K381" s="16" t="n">
        <v>45917</v>
      </c>
      <c r="L381" s="17" t="n">
        <v>143.35</v>
      </c>
      <c r="M381" s="17" t="n">
        <v>143.35</v>
      </c>
      <c r="N381" s="17" t="n">
        <v>0</v>
      </c>
      <c r="O381" s="15" t="inlineStr">
        <is>
          <t>Final issue (ipoplatform)</t>
        </is>
      </c>
      <c r="P381" s="15" t="n"/>
      <c r="Q381" s="18" t="inlineStr">
        <is>
          <t>https://www.sebi.gov.in/sebi_data/attachdocs/apr-2025/1743507022624_751.pdf</t>
        </is>
      </c>
      <c r="R381" s="18" t="inlineStr">
        <is>
          <t>https://www.sebi.gov.in/filings/public-issues/apr-2025/dev-accelerator-limited_93176.html</t>
        </is>
      </c>
      <c r="S381" s="15" t="n"/>
      <c r="T381" s="15" t="inlineStr">
        <is>
          <t>SEBI filing link</t>
        </is>
      </c>
      <c r="U381" s="15" t="inlineStr">
        <is>
          <t>Dev Accelerator Limited</t>
        </is>
      </c>
      <c r="V381" s="15" t="n"/>
      <c r="W381" s="15" t="n"/>
      <c r="X381" s="15" t="n"/>
      <c r="Y381" s="15" t="n"/>
      <c r="Z381" s="15" t="n"/>
      <c r="AA381" s="15" t="n"/>
      <c r="AB381" s="15" t="n"/>
    </row>
    <row r="382" ht="15" customHeight="1" s="12">
      <c r="A382" s="14" t="n">
        <v>381</v>
      </c>
      <c r="B382" s="16" t="n">
        <v>45748</v>
      </c>
      <c r="C382" s="15" t="n">
        <v>2025</v>
      </c>
      <c r="D382" s="15" t="inlineStr">
        <is>
          <t>Prozeal Green Energy Limited</t>
        </is>
      </c>
      <c r="E382" s="15" t="inlineStr">
        <is>
          <t>DRHP</t>
        </is>
      </c>
      <c r="F382" s="15" t="inlineStr">
        <is>
          <t>Prozeal Green Energy Limited</t>
        </is>
      </c>
      <c r="G382" s="15" t="inlineStr">
        <is>
          <t>Upcoming — IPO not yet opened</t>
        </is>
      </c>
      <c r="H382" s="15" t="n"/>
      <c r="I382" s="16" t="n"/>
      <c r="J382" s="16" t="n"/>
      <c r="K382" s="16" t="n"/>
      <c r="L382" s="17" t="n"/>
      <c r="M382" s="17" t="n"/>
      <c r="N382" s="17" t="n"/>
      <c r="O382" s="15" t="n"/>
      <c r="P382" s="15" t="n"/>
      <c r="Q382" s="18" t="inlineStr">
        <is>
          <t>https://www.sebi.gov.in/sebi_data/attachdocs/apr-2025/1743507022624_750.pdf</t>
        </is>
      </c>
      <c r="R382" s="18" t="inlineStr">
        <is>
          <t>https://www.sebi.gov.in/filings/public-issues/apr-2025/prozeal-green-energy-limited_93174.html</t>
        </is>
      </c>
      <c r="S382" s="15" t="n"/>
      <c r="T382" s="15" t="n"/>
      <c r="U382" s="15" t="n"/>
      <c r="V382" s="15" t="n"/>
      <c r="W382" s="16" t="n"/>
      <c r="X382" s="16" t="n"/>
      <c r="Y382" s="16" t="n"/>
      <c r="Z382" s="15" t="inlineStr">
        <is>
          <t>Withdrawn / approval lapsed</t>
        </is>
      </c>
      <c r="AA382" s="15" t="inlineStr">
        <is>
          <t>SEBI nod 1-Sep-2025; validity expired by 30-Sep-2026, no IPO dates</t>
        </is>
      </c>
      <c r="AB382" s="18" t="inlineStr">
        <is>
          <t>https://www.chittorgarh.com/ipo/prozeal-green-energy-ipo/2288/</t>
        </is>
      </c>
    </row>
    <row r="383" ht="15" customHeight="1" s="12">
      <c r="A383" s="14" t="n">
        <v>382</v>
      </c>
      <c r="B383" s="16" t="n">
        <v>45748</v>
      </c>
      <c r="C383" s="15" t="n">
        <v>2025</v>
      </c>
      <c r="D383" s="15" t="inlineStr">
        <is>
          <t>SWASTIKA INFRA LIMITED</t>
        </is>
      </c>
      <c r="E383" s="15" t="inlineStr">
        <is>
          <t>DRHP</t>
        </is>
      </c>
      <c r="F383" s="15" t="inlineStr">
        <is>
          <t>SWASTIKA INFRA LIMITED</t>
        </is>
      </c>
      <c r="G383" s="15" t="inlineStr">
        <is>
          <t>IPO launched</t>
        </is>
      </c>
      <c r="H383" s="15" t="inlineStr">
        <is>
          <t>Mainboard</t>
        </is>
      </c>
      <c r="I383" s="16" t="n">
        <v>46288</v>
      </c>
      <c r="J383" s="16" t="n">
        <v>46290</v>
      </c>
      <c r="K383" s="16" t="n">
        <v>46295</v>
      </c>
      <c r="L383" s="17" t="n">
        <v>160.88</v>
      </c>
      <c r="M383" s="17" t="n">
        <v>128.5</v>
      </c>
      <c r="N383" s="17" t="n">
        <v>32.38</v>
      </c>
      <c r="O383" s="15" t="inlineStr">
        <is>
          <t>Final issue (ipoplatform)</t>
        </is>
      </c>
      <c r="P383" s="15" t="n"/>
      <c r="Q383" s="18" t="inlineStr">
        <is>
          <t>https://www.sebi.gov.in/sebi_data/attachdocs/apr-2025/1743507022624_748.pdf</t>
        </is>
      </c>
      <c r="R383" s="18" t="inlineStr">
        <is>
          <t>https://www.sebi.gov.in/filings/public-issues/apr-2025/swastika-infra-limited_93170.html</t>
        </is>
      </c>
      <c r="S383" s="15" t="n"/>
      <c r="T383" s="15" t="inlineStr">
        <is>
          <t>Company name + date window</t>
        </is>
      </c>
      <c r="U383" s="15" t="inlineStr">
        <is>
          <t>Swastika Infra Limited</t>
        </is>
      </c>
      <c r="V383" s="15" t="n"/>
      <c r="W383" s="15" t="n"/>
      <c r="X383" s="15" t="n"/>
      <c r="Y383" s="15" t="n"/>
      <c r="Z383" s="15" t="n"/>
      <c r="AA383" s="15" t="n"/>
      <c r="AB383" s="15" t="n"/>
    </row>
    <row r="384" ht="15" customHeight="1" s="12">
      <c r="A384" s="14" t="n">
        <v>383</v>
      </c>
      <c r="B384" s="16" t="n">
        <v>45748</v>
      </c>
      <c r="C384" s="15" t="n">
        <v>2025</v>
      </c>
      <c r="D384" s="15" t="inlineStr">
        <is>
          <t>VMS TMT LIMITED</t>
        </is>
      </c>
      <c r="E384" s="15" t="inlineStr">
        <is>
          <t>DRHP</t>
        </is>
      </c>
      <c r="F384" s="15" t="inlineStr">
        <is>
          <t>VMS TMT LIMITED</t>
        </is>
      </c>
      <c r="G384" s="15" t="inlineStr">
        <is>
          <t>IPO launched</t>
        </is>
      </c>
      <c r="H384" s="15" t="inlineStr">
        <is>
          <t>Mainboard</t>
        </is>
      </c>
      <c r="I384" s="16" t="n">
        <v>45917</v>
      </c>
      <c r="J384" s="16" t="n">
        <v>45919</v>
      </c>
      <c r="K384" s="16" t="n">
        <v>45924</v>
      </c>
      <c r="L384" s="17" t="n">
        <v>148.5</v>
      </c>
      <c r="M384" s="17" t="n">
        <v>148.5</v>
      </c>
      <c r="N384" s="17" t="n">
        <v>0</v>
      </c>
      <c r="O384" s="15" t="inlineStr">
        <is>
          <t>Final issue (ipoplatform)</t>
        </is>
      </c>
      <c r="P384" s="15" t="n"/>
      <c r="Q384" s="18" t="inlineStr">
        <is>
          <t>https://www.sebi.gov.in/sebi_data/attachdocs/apr-2025/1743507022624_749.pdf</t>
        </is>
      </c>
      <c r="R384" s="18" t="inlineStr">
        <is>
          <t>https://www.sebi.gov.in/filings/public-issues/apr-2025/vms-tmt-limited_93172.html</t>
        </is>
      </c>
      <c r="S384" s="15" t="n"/>
      <c r="T384" s="15" t="inlineStr">
        <is>
          <t>Company name + date window</t>
        </is>
      </c>
      <c r="U384" s="15" t="inlineStr">
        <is>
          <t>Vms Tmt Limited</t>
        </is>
      </c>
      <c r="V384" s="15" t="n"/>
      <c r="W384" s="15" t="n"/>
      <c r="X384" s="15" t="n"/>
      <c r="Y384" s="15" t="n"/>
      <c r="Z384" s="15" t="n"/>
      <c r="AA384" s="15" t="n"/>
      <c r="AB384" s="15" t="n"/>
    </row>
    <row r="385" ht="15" customHeight="1" s="12">
      <c r="A385" s="14" t="n">
        <v>384</v>
      </c>
      <c r="B385" s="16" t="n">
        <v>45748</v>
      </c>
      <c r="C385" s="15" t="n">
        <v>2025</v>
      </c>
      <c r="D385" s="15" t="inlineStr">
        <is>
          <t>Ardee Engineering Limited</t>
        </is>
      </c>
      <c r="E385" s="15" t="inlineStr">
        <is>
          <t>DRHP</t>
        </is>
      </c>
      <c r="F385" s="15" t="inlineStr">
        <is>
          <t>Ardee Engineering Limited</t>
        </is>
      </c>
      <c r="G385" s="15" t="inlineStr">
        <is>
          <t>Upcoming — IPO not yet opened</t>
        </is>
      </c>
      <c r="H385" s="15" t="n"/>
      <c r="I385" s="16" t="n"/>
      <c r="J385" s="16" t="n"/>
      <c r="K385" s="16" t="n"/>
      <c r="L385" s="17" t="n"/>
      <c r="M385" s="17" t="n"/>
      <c r="N385" s="17" t="n"/>
      <c r="O385" s="15" t="n"/>
      <c r="P385" s="15" t="n"/>
      <c r="Q385" s="18" t="inlineStr">
        <is>
          <t>https://www.sebi.gov.in/sebi_data/attachdocs/apr-2025/1743492605814_747.pdf</t>
        </is>
      </c>
      <c r="R385" s="18" t="inlineStr">
        <is>
          <t>https://www.sebi.gov.in/filings/public-issues/apr-2025/ardee-engineering-limited_93160.html</t>
        </is>
      </c>
      <c r="S385" s="15" t="n"/>
      <c r="T385" s="15" t="n"/>
      <c r="U385" s="15" t="n"/>
      <c r="V385" s="15" t="n"/>
      <c r="W385" s="16" t="n"/>
      <c r="X385" s="16" t="n"/>
      <c r="Y385" s="16" t="n"/>
      <c r="Z385" s="15" t="inlineStr">
        <is>
          <t>Withdrawn / approval lapsed</t>
        </is>
      </c>
      <c r="AA385" s="15" t="inlineStr">
        <is>
          <t>SEBI nod 22-Aug-2025; validity expired Aug-2026, no IPO dates</t>
        </is>
      </c>
      <c r="AB385" s="18" t="inlineStr">
        <is>
          <t>https://www.chittorgarh.com/ipo/ardee-engineering-ipo/2283/</t>
        </is>
      </c>
    </row>
    <row r="386" ht="15" customHeight="1" s="12">
      <c r="A386" s="14" t="n">
        <v>385</v>
      </c>
      <c r="B386" s="16" t="n">
        <v>45744</v>
      </c>
      <c r="C386" s="15" t="n">
        <v>2025</v>
      </c>
      <c r="D386" s="15" t="inlineStr">
        <is>
          <t>Studds Accessories Limited</t>
        </is>
      </c>
      <c r="E386" s="15" t="inlineStr">
        <is>
          <t>DRHP</t>
        </is>
      </c>
      <c r="F386" s="15" t="inlineStr">
        <is>
          <t>Studds Accessories Limited</t>
        </is>
      </c>
      <c r="G386" s="15" t="inlineStr">
        <is>
          <t>IPO launched</t>
        </is>
      </c>
      <c r="H386" s="15" t="inlineStr">
        <is>
          <t>Mainboard</t>
        </is>
      </c>
      <c r="I386" s="16" t="n">
        <v>45960</v>
      </c>
      <c r="J386" s="16" t="n">
        <v>45964</v>
      </c>
      <c r="K386" s="16" t="n">
        <v>45968</v>
      </c>
      <c r="L386" s="17" t="n">
        <v>455.49</v>
      </c>
      <c r="M386" s="17" t="n"/>
      <c r="N386" s="17" t="n">
        <v>455.49</v>
      </c>
      <c r="O386" s="15" t="inlineStr">
        <is>
          <t>Final issue (ipoplatform)</t>
        </is>
      </c>
      <c r="P386" s="15" t="n"/>
      <c r="Q386" s="18" t="inlineStr">
        <is>
          <t>https://www.sebi.gov.in/sebi_data/attachdocs/mar-2025/1743161406536_743.pdf</t>
        </is>
      </c>
      <c r="R386" s="18" t="inlineStr">
        <is>
          <t>https://www.sebi.gov.in/filings/public-issues/mar-2025/studds-accessories-limited_93118.html</t>
        </is>
      </c>
      <c r="S386" s="15" t="n"/>
      <c r="T386" s="15" t="inlineStr">
        <is>
          <t>Company name + date window</t>
        </is>
      </c>
      <c r="U386" s="15" t="inlineStr">
        <is>
          <t>Studds Accessories Limited</t>
        </is>
      </c>
      <c r="V386" s="15" t="n"/>
      <c r="W386" s="15" t="n"/>
      <c r="X386" s="15" t="n"/>
      <c r="Y386" s="15" t="n"/>
      <c r="Z386" s="15" t="n"/>
      <c r="AA386" s="15" t="n"/>
      <c r="AB386" s="15" t="n"/>
    </row>
    <row r="387" ht="15" customHeight="1" s="12">
      <c r="A387" s="14" t="n">
        <v>386</v>
      </c>
      <c r="B387" s="16" t="n">
        <v>45743</v>
      </c>
      <c r="C387" s="15" t="n">
        <v>2025</v>
      </c>
      <c r="D387" s="15" t="inlineStr">
        <is>
          <t>GNG Electronics Limited</t>
        </is>
      </c>
      <c r="E387" s="15" t="inlineStr">
        <is>
          <t>DRHP</t>
        </is>
      </c>
      <c r="F387" s="15" t="inlineStr">
        <is>
          <t>GNG Electronics Limited - DRHP</t>
        </is>
      </c>
      <c r="G387" s="15" t="inlineStr">
        <is>
          <t>IPO launched</t>
        </is>
      </c>
      <c r="H387" s="15" t="inlineStr">
        <is>
          <t>Mainboard</t>
        </is>
      </c>
      <c r="I387" s="16" t="n">
        <v>45861</v>
      </c>
      <c r="J387" s="16" t="n">
        <v>45863</v>
      </c>
      <c r="K387" s="16" t="n">
        <v>45868</v>
      </c>
      <c r="L387" s="17" t="n">
        <v>460.43</v>
      </c>
      <c r="M387" s="17" t="n">
        <v>400</v>
      </c>
      <c r="N387" s="17" t="n">
        <v>60.43</v>
      </c>
      <c r="O387" s="15" t="inlineStr">
        <is>
          <t>Final issue (ipoplatform)</t>
        </is>
      </c>
      <c r="P387" s="15" t="n"/>
      <c r="Q387" s="18" t="inlineStr">
        <is>
          <t>https://www.sebi.gov.in/sebi_data/attachdocs/mar-2025/1743048928831.pdf</t>
        </is>
      </c>
      <c r="R387" s="18" t="inlineStr">
        <is>
          <t>https://www.sebi.gov.in/filings/public-issues/mar-2025/gng-electronics-limited-drhp_93033.html</t>
        </is>
      </c>
      <c r="S387" s="15" t="n"/>
      <c r="T387" s="15" t="inlineStr">
        <is>
          <t>Company name + date window</t>
        </is>
      </c>
      <c r="U387" s="15" t="inlineStr">
        <is>
          <t>GNG Electronics Limited</t>
        </is>
      </c>
      <c r="V387" s="15" t="n"/>
      <c r="W387" s="15" t="n"/>
      <c r="X387" s="15" t="n"/>
      <c r="Y387" s="15" t="n"/>
      <c r="Z387" s="15" t="n"/>
      <c r="AA387" s="15" t="n"/>
      <c r="AB387" s="15" t="n"/>
    </row>
    <row r="388" ht="15" customHeight="1" s="12">
      <c r="A388" s="14" t="n">
        <v>387</v>
      </c>
      <c r="B388" s="16" t="n">
        <v>45743</v>
      </c>
      <c r="C388" s="15" t="n">
        <v>2025</v>
      </c>
      <c r="D388" s="15" t="inlineStr">
        <is>
          <t>Vikram Solar Limited</t>
        </is>
      </c>
      <c r="E388" s="15" t="inlineStr">
        <is>
          <t>Addendum</t>
        </is>
      </c>
      <c r="F388" s="15" t="inlineStr">
        <is>
          <t>Vikram Solar Limited - Addendum to DRHP</t>
        </is>
      </c>
      <c r="G388" s="15" t="inlineStr">
        <is>
          <t>IPO launched</t>
        </is>
      </c>
      <c r="H388" s="15" t="inlineStr">
        <is>
          <t>Mainboard</t>
        </is>
      </c>
      <c r="I388" s="16" t="n">
        <v>45888</v>
      </c>
      <c r="J388" s="16" t="n">
        <v>45890</v>
      </c>
      <c r="K388" s="16" t="n">
        <v>45895</v>
      </c>
      <c r="L388" s="17" t="n">
        <v>2079.37</v>
      </c>
      <c r="M388" s="17" t="n">
        <v>1500</v>
      </c>
      <c r="N388" s="17" t="n">
        <v>579.37</v>
      </c>
      <c r="O388" s="15" t="inlineStr">
        <is>
          <t>Final issue (ipoplatform)</t>
        </is>
      </c>
      <c r="P388" s="15" t="n"/>
      <c r="Q388" s="18" t="inlineStr">
        <is>
          <t>https://www.sebi.gov.in/sebi_data/attachdocs/mar-2025/1743048660912.pdf</t>
        </is>
      </c>
      <c r="R388" s="18" t="inlineStr">
        <is>
          <t>https://www.sebi.gov.in/filings/public-issues/mar-2025/vikram-solar-limited-addendum-to-drhp_93031.html</t>
        </is>
      </c>
      <c r="S388" s="15" t="n"/>
      <c r="T388" s="15" t="inlineStr">
        <is>
          <t>Company name + date window</t>
        </is>
      </c>
      <c r="U388" s="15" t="inlineStr">
        <is>
          <t>Vikram Solar Limited</t>
        </is>
      </c>
      <c r="V388" s="15" t="n"/>
      <c r="W388" s="15" t="n"/>
      <c r="X388" s="15" t="n"/>
      <c r="Y388" s="15" t="n"/>
      <c r="Z388" s="15" t="n"/>
      <c r="AA388" s="15" t="n"/>
      <c r="AB388" s="15" t="n"/>
    </row>
    <row r="389" ht="15" customHeight="1" s="12">
      <c r="A389" s="14" t="n">
        <v>388</v>
      </c>
      <c r="B389" s="16" t="n">
        <v>45741</v>
      </c>
      <c r="C389" s="15" t="n">
        <v>2025</v>
      </c>
      <c r="D389" s="15" t="inlineStr">
        <is>
          <t>SSF PLASTICS INDIA LIMITED</t>
        </is>
      </c>
      <c r="E389" s="15" t="inlineStr">
        <is>
          <t>DRHP</t>
        </is>
      </c>
      <c r="F389" s="15" t="inlineStr">
        <is>
          <t>SSF PLASTICS INDIA LIMITED</t>
        </is>
      </c>
      <c r="G389" s="15" t="inlineStr">
        <is>
          <t>No launched IPO found</t>
        </is>
      </c>
      <c r="H389" s="15" t="n"/>
      <c r="I389" s="16" t="n"/>
      <c r="J389" s="16" t="n"/>
      <c r="K389" s="16" t="n"/>
      <c r="L389" s="17" t="n"/>
      <c r="M389" s="17" t="n"/>
      <c r="N389" s="17" t="n"/>
      <c r="O389" s="15" t="n"/>
      <c r="P389" s="15" t="n"/>
      <c r="Q389" s="18" t="inlineStr">
        <is>
          <t>https://www.sebi.gov.in/sebi_data/attachdocs/mar-2025/1742952607050_742.pdf</t>
        </is>
      </c>
      <c r="R389" s="18" t="inlineStr">
        <is>
          <t>https://www.sebi.gov.in/filings/public-issues/mar-2025/ssf-plastics-india-limited_92965.html</t>
        </is>
      </c>
      <c r="S389" s="15" t="n"/>
      <c r="T389" s="15" t="n"/>
      <c r="U389" s="15" t="n"/>
      <c r="V389" s="15" t="n"/>
      <c r="W389" s="16" t="n"/>
      <c r="X389" s="16" t="n"/>
      <c r="Y389" s="16" t="n"/>
      <c r="Z389" s="15" t="inlineStr">
        <is>
          <t>No issue found</t>
        </is>
      </c>
      <c r="AA389" s="15" t="inlineStr">
        <is>
          <t>Business Standard lists the company but shows no issue dates; web search limit reached</t>
        </is>
      </c>
      <c r="AB389" s="18" t="inlineStr">
        <is>
          <t>https://www.business-standard.com/markets/ipo/ssf-plastics-india-ltd-ipo-39475</t>
        </is>
      </c>
    </row>
    <row r="390" ht="15" customHeight="1" s="12">
      <c r="A390" s="14" t="n">
        <v>389</v>
      </c>
      <c r="B390" s="16" t="n">
        <v>45735</v>
      </c>
      <c r="C390" s="15" t="n">
        <v>2025</v>
      </c>
      <c r="D390" s="15" t="inlineStr">
        <is>
          <t>Saatvik Green Energy Limited</t>
        </is>
      </c>
      <c r="E390" s="15" t="inlineStr">
        <is>
          <t>DRHP</t>
        </is>
      </c>
      <c r="F390" s="15" t="inlineStr">
        <is>
          <t>Saatvik Green Energy Limited - DRHP</t>
        </is>
      </c>
      <c r="G390" s="15" t="inlineStr">
        <is>
          <t>IPO launched</t>
        </is>
      </c>
      <c r="H390" s="15" t="inlineStr">
        <is>
          <t>Mainboard</t>
        </is>
      </c>
      <c r="I390" s="16" t="n">
        <v>45919</v>
      </c>
      <c r="J390" s="16" t="n">
        <v>45923</v>
      </c>
      <c r="K390" s="16" t="n">
        <v>45926</v>
      </c>
      <c r="L390" s="17" t="n">
        <v>900</v>
      </c>
      <c r="M390" s="17" t="n">
        <v>700</v>
      </c>
      <c r="N390" s="17" t="n">
        <v>200</v>
      </c>
      <c r="O390" s="15" t="inlineStr">
        <is>
          <t>Final issue (ipoplatform)</t>
        </is>
      </c>
      <c r="P390" s="15" t="n"/>
      <c r="Q390" s="18" t="inlineStr">
        <is>
          <t>https://www.sebi.gov.in/sebi_data/attachdocs/mar-2025/1742362846368.pdf</t>
        </is>
      </c>
      <c r="R390" s="18" t="inlineStr">
        <is>
          <t>https://www.sebi.gov.in/filings/public-issues/mar-2025/saatvik-green-energy-limited-drhp_92736.html</t>
        </is>
      </c>
      <c r="S390" s="15" t="n"/>
      <c r="T390" s="15" t="inlineStr">
        <is>
          <t>Company name + date window</t>
        </is>
      </c>
      <c r="U390" s="15" t="inlineStr">
        <is>
          <t>Saatvik Green Energy Limited</t>
        </is>
      </c>
      <c r="V390" s="15" t="n"/>
      <c r="W390" s="15" t="n"/>
      <c r="X390" s="15" t="n"/>
      <c r="Y390" s="15" t="n"/>
      <c r="Z390" s="15" t="n"/>
      <c r="AA390" s="15" t="n"/>
      <c r="AB390" s="15" t="n"/>
    </row>
    <row r="391" ht="15" customHeight="1" s="12">
      <c r="A391" s="14" t="n">
        <v>390</v>
      </c>
      <c r="B391" s="16" t="n">
        <v>45734</v>
      </c>
      <c r="C391" s="15" t="n">
        <v>2025</v>
      </c>
      <c r="D391" s="15" t="inlineStr">
        <is>
          <t>Allchem LIfescience Limited</t>
        </is>
      </c>
      <c r="E391" s="15" t="inlineStr">
        <is>
          <t>DRHP</t>
        </is>
      </c>
      <c r="F391" s="15" t="inlineStr">
        <is>
          <t>Allchem LIfescience Limited</t>
        </is>
      </c>
      <c r="G391" s="15" t="inlineStr">
        <is>
          <t>No launched IPO found</t>
        </is>
      </c>
      <c r="H391" s="15" t="n"/>
      <c r="I391" s="16" t="n"/>
      <c r="J391" s="16" t="n"/>
      <c r="K391" s="16" t="n"/>
      <c r="L391" s="17" t="n"/>
      <c r="M391" s="17" t="n"/>
      <c r="N391" s="17" t="n"/>
      <c r="O391" s="15" t="n"/>
      <c r="P391" s="15" t="n"/>
      <c r="Q391" s="18" t="inlineStr">
        <is>
          <t>https://www.sebi.gov.in/sebi_data/attachdocs/mar-2025/1742297404447_737.pdf</t>
        </is>
      </c>
      <c r="R391" s="18" t="inlineStr">
        <is>
          <t>https://www.sebi.gov.in/filings/public-issues/mar-2025/allchem-lifescience-limited_92707.html</t>
        </is>
      </c>
      <c r="S391" s="15" t="n"/>
      <c r="T391" s="15" t="n"/>
      <c r="U391" s="15" t="n"/>
      <c r="V391" s="15" t="n"/>
      <c r="W391" s="16" t="n"/>
      <c r="X391" s="16" t="n"/>
      <c r="Y391" s="16" t="n"/>
      <c r="Z391" s="15" t="inlineStr">
        <is>
          <t>No issue found</t>
        </is>
      </c>
      <c r="AA391" s="15" t="inlineStr">
        <is>
          <t>Business Standard lists the company but shows no issue dates; web search limit reached</t>
        </is>
      </c>
      <c r="AB391" s="18" t="inlineStr">
        <is>
          <t>https://www.business-standard.com/markets/ipo/allchem-lifescience-ltd-ipo-94617</t>
        </is>
      </c>
    </row>
    <row r="392" ht="15" customHeight="1" s="12">
      <c r="A392" s="14" t="n">
        <v>391</v>
      </c>
      <c r="B392" s="16" t="n">
        <v>45727</v>
      </c>
      <c r="C392" s="15" t="n">
        <v>2025</v>
      </c>
      <c r="D392" s="15" t="inlineStr">
        <is>
          <t>Fujiyama Power Systems Limited</t>
        </is>
      </c>
      <c r="E392" s="15" t="inlineStr">
        <is>
          <t>DRHP</t>
        </is>
      </c>
      <c r="F392" s="15" t="inlineStr">
        <is>
          <t>Fujiyama Power Systems Limited</t>
        </is>
      </c>
      <c r="G392" s="15" t="inlineStr">
        <is>
          <t>IPO launched</t>
        </is>
      </c>
      <c r="H392" s="15" t="inlineStr">
        <is>
          <t>Mainboard</t>
        </is>
      </c>
      <c r="I392" s="16" t="n">
        <v>45974</v>
      </c>
      <c r="J392" s="16" t="n">
        <v>45978</v>
      </c>
      <c r="K392" s="16" t="n">
        <v>45981</v>
      </c>
      <c r="L392" s="17" t="n">
        <v>828</v>
      </c>
      <c r="M392" s="17" t="n">
        <v>600</v>
      </c>
      <c r="N392" s="17" t="n">
        <v>228</v>
      </c>
      <c r="O392" s="15" t="inlineStr">
        <is>
          <t>Final issue (ipoplatform)</t>
        </is>
      </c>
      <c r="P392" s="15" t="n"/>
      <c r="Q392" s="18" t="inlineStr">
        <is>
          <t>https://www.sebi.gov.in/sebi_data/attachdocs/mar-2025/1741743006276_736.pdf</t>
        </is>
      </c>
      <c r="R392" s="18" t="inlineStr">
        <is>
          <t>https://www.sebi.gov.in/filings/public-issues/mar-2025/fujiyama-power-systems-limited_92630.html</t>
        </is>
      </c>
      <c r="S392" s="15" t="n"/>
      <c r="T392" s="15" t="inlineStr">
        <is>
          <t>Company name + date window</t>
        </is>
      </c>
      <c r="U392" s="15" t="inlineStr">
        <is>
          <t>Fujiyama Power Systems Limited</t>
        </is>
      </c>
      <c r="V392" s="15" t="n"/>
      <c r="W392" s="15" t="n"/>
      <c r="X392" s="15" t="n"/>
      <c r="Y392" s="15" t="n"/>
      <c r="Z392" s="15" t="n"/>
      <c r="AA392" s="15" t="n"/>
      <c r="AB392" s="15" t="n"/>
    </row>
    <row r="393" ht="15" customHeight="1" s="12">
      <c r="A393" s="14" t="n">
        <v>392</v>
      </c>
      <c r="B393" s="16" t="n">
        <v>45722</v>
      </c>
      <c r="C393" s="15" t="n">
        <v>2025</v>
      </c>
      <c r="D393" s="15" t="inlineStr">
        <is>
          <t>ARMEE INFOTECH LIMITED</t>
        </is>
      </c>
      <c r="E393" s="15" t="inlineStr">
        <is>
          <t>DRHP</t>
        </is>
      </c>
      <c r="F393" s="15" t="inlineStr">
        <is>
          <t>ARMEE INFOTECH LIMITED</t>
        </is>
      </c>
      <c r="G393" s="15" t="inlineStr">
        <is>
          <t>IPO launched</t>
        </is>
      </c>
      <c r="H393" s="15" t="inlineStr">
        <is>
          <t>Mainboard</t>
        </is>
      </c>
      <c r="I393" s="16" t="n">
        <v>46288</v>
      </c>
      <c r="J393" s="16" t="n">
        <v>46290</v>
      </c>
      <c r="K393" s="16" t="n">
        <v>46295</v>
      </c>
      <c r="L393" s="17" t="n">
        <v>300</v>
      </c>
      <c r="M393" s="17" t="n">
        <v>300</v>
      </c>
      <c r="N393" s="17" t="n">
        <v>0</v>
      </c>
      <c r="O393" s="15" t="inlineStr">
        <is>
          <t>Final issue (ipoplatform)</t>
        </is>
      </c>
      <c r="P393" s="15" t="n"/>
      <c r="Q393" s="18" t="inlineStr">
        <is>
          <t>https://www.sebi.gov.in/sebi_data/attachdocs/mar-2025/1741260607712_716.pdf</t>
        </is>
      </c>
      <c r="R393" s="18" t="inlineStr">
        <is>
          <t>https://www.sebi.gov.in/filings/public-issues/mar-2025/armee-infotech-limited_92506.html</t>
        </is>
      </c>
      <c r="S393" s="15" t="n"/>
      <c r="T393" s="15" t="inlineStr">
        <is>
          <t>Company name + date window</t>
        </is>
      </c>
      <c r="U393" s="15" t="inlineStr">
        <is>
          <t>ArMee Infotech Limited</t>
        </is>
      </c>
      <c r="V393" s="15" t="n"/>
      <c r="W393" s="15" t="n"/>
      <c r="X393" s="15" t="n"/>
      <c r="Y393" s="15" t="n"/>
      <c r="Z393" s="15" t="n"/>
      <c r="AA393" s="15" t="n"/>
      <c r="AB393" s="15" t="n"/>
    </row>
    <row r="394" ht="15" customHeight="1" s="12">
      <c r="A394" s="14" t="n">
        <v>393</v>
      </c>
      <c r="B394" s="16" t="n">
        <v>45722</v>
      </c>
      <c r="C394" s="15" t="n">
        <v>2025</v>
      </c>
      <c r="D394" s="15" t="inlineStr">
        <is>
          <t>Excelsoft Technologies Limited</t>
        </is>
      </c>
      <c r="E394" s="15" t="inlineStr">
        <is>
          <t>DRHP</t>
        </is>
      </c>
      <c r="F394" s="15" t="inlineStr">
        <is>
          <t>Excelsoft Technologies Limited</t>
        </is>
      </c>
      <c r="G394" s="15" t="inlineStr">
        <is>
          <t>IPO launched</t>
        </is>
      </c>
      <c r="H394" s="15" t="inlineStr">
        <is>
          <t>Mainboard</t>
        </is>
      </c>
      <c r="I394" s="16" t="n">
        <v>45980</v>
      </c>
      <c r="J394" s="16" t="n">
        <v>45982</v>
      </c>
      <c r="K394" s="16" t="n">
        <v>45987</v>
      </c>
      <c r="L394" s="17" t="n">
        <v>500</v>
      </c>
      <c r="M394" s="17" t="n">
        <v>180</v>
      </c>
      <c r="N394" s="17" t="n">
        <v>320</v>
      </c>
      <c r="O394" s="15" t="inlineStr">
        <is>
          <t>Final issue (ipoplatform)</t>
        </is>
      </c>
      <c r="P394" s="15" t="n"/>
      <c r="Q394" s="18" t="inlineStr">
        <is>
          <t>https://www.sebi.gov.in/sebi_data/attachdocs/mar-2025/1741260607712_715.pdf</t>
        </is>
      </c>
      <c r="R394" s="18" t="inlineStr">
        <is>
          <t>https://www.sebi.gov.in/filings/public-issues/mar-2025/excelsoft-technologies-limited_92504.html</t>
        </is>
      </c>
      <c r="S394" s="15" t="n"/>
      <c r="T394" s="15" t="inlineStr">
        <is>
          <t>Company name + date window</t>
        </is>
      </c>
      <c r="U394" s="15" t="inlineStr">
        <is>
          <t>Excelsoft Technologies Limited</t>
        </is>
      </c>
      <c r="V394" s="15" t="n"/>
      <c r="W394" s="15" t="n"/>
      <c r="X394" s="15" t="n"/>
      <c r="Y394" s="15" t="n"/>
      <c r="Z394" s="15" t="n"/>
      <c r="AA394" s="15" t="n"/>
      <c r="AB394" s="15" t="n"/>
    </row>
    <row r="395" ht="15" customHeight="1" s="12">
      <c r="A395" s="14" t="n">
        <v>394</v>
      </c>
      <c r="B395" s="16" t="n">
        <v>45720</v>
      </c>
      <c r="C395" s="15" t="n">
        <v>2025</v>
      </c>
      <c r="D395" s="15" t="inlineStr">
        <is>
          <t>Pranav Constructions Limited</t>
        </is>
      </c>
      <c r="E395" s="15" t="inlineStr">
        <is>
          <t>DRHP</t>
        </is>
      </c>
      <c r="F395" s="15" t="inlineStr">
        <is>
          <t>Pranav Constructions Limited</t>
        </is>
      </c>
      <c r="G395" s="15" t="inlineStr">
        <is>
          <t>IPO launched</t>
        </is>
      </c>
      <c r="H395" s="15" t="inlineStr">
        <is>
          <t>Mainboard</t>
        </is>
      </c>
      <c r="I395" s="16" t="n">
        <v>46272</v>
      </c>
      <c r="J395" s="16" t="n">
        <v>46274</v>
      </c>
      <c r="K395" s="16" t="n">
        <v>46279</v>
      </c>
      <c r="L395" s="17" t="n">
        <v>351.03</v>
      </c>
      <c r="M395" s="17" t="n">
        <v>315.6</v>
      </c>
      <c r="N395" s="17" t="n">
        <v>35.43</v>
      </c>
      <c r="O395" s="15" t="inlineStr">
        <is>
          <t>Final issue (ipoplatform)</t>
        </is>
      </c>
      <c r="P395" s="15" t="n"/>
      <c r="Q395" s="18" t="inlineStr">
        <is>
          <t>https://www.sebi.gov.in/sebi_data/attachdocs/mar-2025/1741073405699_714.pdf</t>
        </is>
      </c>
      <c r="R395" s="18" t="inlineStr">
        <is>
          <t>https://www.sebi.gov.in/filings/public-issues/mar-2025/pranav-constructions-limited_92432.html</t>
        </is>
      </c>
      <c r="S395" s="15" t="n"/>
      <c r="T395" s="15" t="inlineStr">
        <is>
          <t>Company name (close spelling) + date window</t>
        </is>
      </c>
      <c r="U395" s="15" t="inlineStr">
        <is>
          <t>Pranav Construction Limited</t>
        </is>
      </c>
      <c r="V395" s="15" t="n"/>
      <c r="W395" s="15" t="n"/>
      <c r="X395" s="15" t="n"/>
      <c r="Y395" s="15" t="n"/>
      <c r="Z395" s="15" t="n"/>
      <c r="AA395" s="15" t="n"/>
      <c r="AB395" s="15" t="n"/>
    </row>
    <row r="396" ht="15" customHeight="1" s="12">
      <c r="A396" s="14" t="n">
        <v>395</v>
      </c>
      <c r="B396" s="16" t="n">
        <v>45719</v>
      </c>
      <c r="C396" s="15" t="n">
        <v>2025</v>
      </c>
      <c r="D396" s="15" t="inlineStr">
        <is>
          <t>MEIR Commodities India Limited</t>
        </is>
      </c>
      <c r="E396" s="15" t="inlineStr">
        <is>
          <t>DRHP</t>
        </is>
      </c>
      <c r="F396" s="15" t="inlineStr">
        <is>
          <t>MEIR Commodities India Limited</t>
        </is>
      </c>
      <c r="G396" s="15" t="inlineStr">
        <is>
          <t>No launched IPO found</t>
        </is>
      </c>
      <c r="H396" s="15" t="n"/>
      <c r="I396" s="16" t="n"/>
      <c r="J396" s="16" t="n"/>
      <c r="K396" s="16" t="n"/>
      <c r="L396" s="17" t="n"/>
      <c r="M396" s="17" t="n"/>
      <c r="N396" s="17" t="n"/>
      <c r="O396" s="15" t="n"/>
      <c r="P396" s="15" t="n"/>
      <c r="Q396" s="18" t="inlineStr">
        <is>
          <t>https://www.sebi.gov.in/sebi_data/attachdocs/mar-2025/1741001405540_708.pdf</t>
        </is>
      </c>
      <c r="R396" s="18" t="inlineStr">
        <is>
          <t>https://www.sebi.gov.in/filings/public-issues/mar-2025/meir-commodities-india-limited_92410.html</t>
        </is>
      </c>
      <c r="S396" s="15" t="n"/>
      <c r="T396" s="15" t="n"/>
      <c r="U396" s="15" t="n"/>
      <c r="V396" s="15" t="n"/>
      <c r="W396" s="16" t="n"/>
      <c r="X396" s="16" t="n"/>
      <c r="Y396" s="16" t="n"/>
      <c r="Z396" s="15" t="inlineStr">
        <is>
          <t>No issue found</t>
        </is>
      </c>
      <c r="AA396" s="15" t="inlineStr">
        <is>
          <t>Business Standard lists the company but shows no issue dates; web search limit reached</t>
        </is>
      </c>
      <c r="AB396" s="18" t="inlineStr">
        <is>
          <t>https://www.business-standard.com/markets/ipo/meir-commodities-india-ltd-ipo-86449</t>
        </is>
      </c>
    </row>
    <row r="397" ht="15" customHeight="1" s="12">
      <c r="A397" s="14" t="n">
        <v>396</v>
      </c>
      <c r="B397" s="16" t="n">
        <v>45715</v>
      </c>
      <c r="C397" s="15" t="n">
        <v>2025</v>
      </c>
      <c r="D397" s="15" t="inlineStr">
        <is>
          <t>LCC Projects Limited</t>
        </is>
      </c>
      <c r="E397" s="15" t="inlineStr">
        <is>
          <t>DRHP</t>
        </is>
      </c>
      <c r="F397" s="15" t="inlineStr">
        <is>
          <t>LCC Projects Limited</t>
        </is>
      </c>
      <c r="G397" s="15" t="inlineStr">
        <is>
          <t>IPO launched</t>
        </is>
      </c>
      <c r="H397" s="15" t="inlineStr">
        <is>
          <t>Mainboard</t>
        </is>
      </c>
      <c r="I397" s="16" t="n">
        <v>46274</v>
      </c>
      <c r="J397" s="16" t="n">
        <v>46276</v>
      </c>
      <c r="K397" s="16" t="n">
        <v>46282</v>
      </c>
      <c r="L397" s="17" t="n">
        <v>427.14</v>
      </c>
      <c r="M397" s="17" t="n">
        <v>258</v>
      </c>
      <c r="N397" s="17" t="n">
        <v>169.14</v>
      </c>
      <c r="O397" s="15" t="inlineStr">
        <is>
          <t>Final issue (ipoplatform)</t>
        </is>
      </c>
      <c r="P397" s="15" t="n"/>
      <c r="Q397" s="18" t="inlineStr">
        <is>
          <t>https://www.sebi.gov.in/sebi_data/attachdocs/feb-2025/1740641405340_706.pdf</t>
        </is>
      </c>
      <c r="R397" s="18" t="inlineStr">
        <is>
          <t>https://www.sebi.gov.in/filings/public-issues/feb-2025/lcc-projects-limited_92247.html</t>
        </is>
      </c>
      <c r="S397" s="15" t="n"/>
      <c r="T397" s="15" t="inlineStr">
        <is>
          <t>SEBI filing link</t>
        </is>
      </c>
      <c r="U397" s="15" t="inlineStr">
        <is>
          <t>LCC Projects Limited</t>
        </is>
      </c>
      <c r="V397" s="15" t="n"/>
      <c r="W397" s="15" t="n"/>
      <c r="X397" s="15" t="n"/>
      <c r="Y397" s="15" t="n"/>
      <c r="Z397" s="15" t="n"/>
      <c r="AA397" s="15" t="n"/>
      <c r="AB397" s="15" t="n"/>
    </row>
    <row r="398" ht="15" customHeight="1" s="12">
      <c r="A398" s="14" t="n">
        <v>397</v>
      </c>
      <c r="B398" s="16" t="n">
        <v>45712</v>
      </c>
      <c r="C398" s="15" t="n">
        <v>2025</v>
      </c>
      <c r="D398" s="15" t="inlineStr">
        <is>
          <t>CIEL HR SERVICES LIMITED</t>
        </is>
      </c>
      <c r="E398" s="15" t="inlineStr">
        <is>
          <t>Addendum</t>
        </is>
      </c>
      <c r="F398" s="15" t="inlineStr">
        <is>
          <t>CIEL HR SERVICES LIMITED - Addendum to DRHP</t>
        </is>
      </c>
      <c r="G398" s="15" t="inlineStr">
        <is>
          <t>No launched IPO found</t>
        </is>
      </c>
      <c r="H398" s="15" t="n"/>
      <c r="I398" s="16" t="n"/>
      <c r="J398" s="16" t="n"/>
      <c r="K398" s="16" t="n"/>
      <c r="L398" s="17" t="n"/>
      <c r="M398" s="17" t="n"/>
      <c r="N398" s="17" t="n"/>
      <c r="O398" s="15" t="n"/>
      <c r="P398" s="15" t="n"/>
      <c r="Q398" s="18" t="inlineStr">
        <is>
          <t>https://www.sebi.gov.in/sebi_data/attachdocs/feb-2025/1740394186937.pdf</t>
        </is>
      </c>
      <c r="R398" s="18" t="inlineStr">
        <is>
          <t>https://www.sebi.gov.in/filings/public-issues/feb-2025/ciel-hr-services-limited-addendum-to-drhp_92124.html</t>
        </is>
      </c>
      <c r="S398" s="15" t="n"/>
      <c r="T398" s="15" t="n"/>
      <c r="U398" s="15" t="n"/>
      <c r="V398" s="15" t="n"/>
      <c r="W398" s="16" t="n"/>
      <c r="X398" s="16" t="n"/>
      <c r="Y398" s="16" t="n"/>
      <c r="Z398" s="15" t="inlineStr">
        <is>
          <t>No issue found</t>
        </is>
      </c>
      <c r="AA398" s="15" t="inlineStr">
        <is>
          <t>Business Standard lists the company but shows no issue dates; web search limit reached</t>
        </is>
      </c>
      <c r="AB398" s="18" t="inlineStr">
        <is>
          <t>https://www.business-standard.com/markets/ipo/ciel-hr-services-ltd-ipo-89497</t>
        </is>
      </c>
    </row>
    <row r="399" ht="15" customHeight="1" s="12">
      <c r="A399" s="14" t="n">
        <v>398</v>
      </c>
      <c r="B399" s="16" t="n">
        <v>45712</v>
      </c>
      <c r="C399" s="15" t="n">
        <v>2025</v>
      </c>
      <c r="D399" s="15" t="inlineStr">
        <is>
          <t>Anlon Healthcare Limited</t>
        </is>
      </c>
      <c r="E399" s="15" t="inlineStr">
        <is>
          <t>DRHP</t>
        </is>
      </c>
      <c r="F399" s="15" t="inlineStr">
        <is>
          <t>Anlon Healthcare Limited - DRHP</t>
        </is>
      </c>
      <c r="G399" s="15" t="inlineStr">
        <is>
          <t>IPO launched</t>
        </is>
      </c>
      <c r="H399" s="15" t="inlineStr">
        <is>
          <t>Mainboard</t>
        </is>
      </c>
      <c r="I399" s="16" t="n">
        <v>45895</v>
      </c>
      <c r="J399" s="16" t="n">
        <v>45898</v>
      </c>
      <c r="K399" s="16" t="n">
        <v>45903</v>
      </c>
      <c r="L399" s="17" t="n">
        <v>121.03</v>
      </c>
      <c r="M399" s="17" t="n">
        <v>121.03</v>
      </c>
      <c r="N399" s="17" t="n">
        <v>0</v>
      </c>
      <c r="O399" s="15" t="inlineStr">
        <is>
          <t>Final issue (ipoplatform)</t>
        </is>
      </c>
      <c r="P399" s="15" t="n"/>
      <c r="Q399" s="18" t="inlineStr">
        <is>
          <t>https://www.sebi.gov.in/sebi_data/attachdocs/feb-2025/1740386342417.pdf</t>
        </is>
      </c>
      <c r="R399" s="18" t="inlineStr">
        <is>
          <t>https://www.sebi.gov.in/filings/public-issues/feb-2025/anlon-healthcare-limited-drhp_92111.html</t>
        </is>
      </c>
      <c r="S399" s="15" t="n"/>
      <c r="T399" s="15" t="inlineStr">
        <is>
          <t>Company name + date window</t>
        </is>
      </c>
      <c r="U399" s="15" t="inlineStr">
        <is>
          <t>Anlon Healthcare Limited</t>
        </is>
      </c>
      <c r="V399" s="15" t="n"/>
      <c r="W399" s="15" t="n"/>
      <c r="X399" s="15" t="n"/>
      <c r="Y399" s="15" t="n"/>
      <c r="Z399" s="15" t="n"/>
      <c r="AA399" s="15" t="n"/>
      <c r="AB399" s="15" t="n"/>
    </row>
    <row r="400" ht="15" customHeight="1" s="12">
      <c r="A400" s="14" t="n">
        <v>399</v>
      </c>
      <c r="B400" s="16" t="n">
        <v>45712</v>
      </c>
      <c r="C400" s="15" t="n">
        <v>2025</v>
      </c>
      <c r="D400" s="15" t="inlineStr">
        <is>
          <t>M&amp;B Engineering Limited</t>
        </is>
      </c>
      <c r="E400" s="15" t="inlineStr">
        <is>
          <t>DRHP</t>
        </is>
      </c>
      <c r="F400" s="15" t="inlineStr">
        <is>
          <t>M&amp;B Engineering Limited - DRHP</t>
        </is>
      </c>
      <c r="G400" s="15" t="inlineStr">
        <is>
          <t>IPO launched</t>
        </is>
      </c>
      <c r="H400" s="15" t="inlineStr">
        <is>
          <t>Mainboard</t>
        </is>
      </c>
      <c r="I400" s="16" t="n">
        <v>45868</v>
      </c>
      <c r="J400" s="16" t="n">
        <v>45870</v>
      </c>
      <c r="K400" s="16" t="n">
        <v>45875</v>
      </c>
      <c r="L400" s="17" t="n">
        <v>650</v>
      </c>
      <c r="M400" s="17" t="n">
        <v>275</v>
      </c>
      <c r="N400" s="17" t="n">
        <v>375</v>
      </c>
      <c r="O400" s="15" t="inlineStr">
        <is>
          <t>Final issue (ipoplatform)</t>
        </is>
      </c>
      <c r="P400" s="15" t="n"/>
      <c r="Q400" s="18" t="inlineStr">
        <is>
          <t>https://www.sebi.gov.in/sebi_data/attachdocs/feb-2025/1740375857083.pdf</t>
        </is>
      </c>
      <c r="R400" s="18" t="inlineStr">
        <is>
          <t>https://www.sebi.gov.in/filings/public-issues/feb-2025/mandb-engineering-limited-drhp_92107.html</t>
        </is>
      </c>
      <c r="S400" s="15" t="n"/>
      <c r="T400" s="15" t="inlineStr">
        <is>
          <t>SEBI filing link</t>
        </is>
      </c>
      <c r="U400" s="15" t="inlineStr">
        <is>
          <t>M&amp;B Engineering Limited</t>
        </is>
      </c>
      <c r="V400" s="15" t="n"/>
      <c r="W400" s="15" t="n"/>
      <c r="X400" s="15" t="n"/>
      <c r="Y400" s="15" t="n"/>
      <c r="Z400" s="15" t="n"/>
      <c r="AA400" s="15" t="n"/>
      <c r="AB400" s="15" t="n"/>
    </row>
    <row r="401" ht="15" customHeight="1" s="12">
      <c r="A401" s="14" t="n">
        <v>400</v>
      </c>
      <c r="B401" s="16" t="n">
        <v>45705</v>
      </c>
      <c r="C401" s="15" t="n">
        <v>2025</v>
      </c>
      <c r="D401" s="15" t="inlineStr">
        <is>
          <t>Innovatiview India Limited</t>
        </is>
      </c>
      <c r="E401" s="15" t="inlineStr">
        <is>
          <t>DRHP</t>
        </is>
      </c>
      <c r="F401" s="15" t="inlineStr">
        <is>
          <t>Innovatiview India Limited</t>
        </is>
      </c>
      <c r="G401" s="15" t="inlineStr">
        <is>
          <t>No launched IPO found</t>
        </is>
      </c>
      <c r="H401" s="15" t="n"/>
      <c r="I401" s="16" t="n"/>
      <c r="J401" s="16" t="n"/>
      <c r="K401" s="16" t="n"/>
      <c r="L401" s="17" t="n"/>
      <c r="M401" s="17" t="n"/>
      <c r="N401" s="17" t="n"/>
      <c r="O401" s="15" t="n"/>
      <c r="P401" s="15" t="n"/>
      <c r="Q401" s="18" t="inlineStr">
        <is>
          <t>https://www.sebi.gov.in/sebi_data/attachdocs/feb-2025/1739791805392_693.pdf</t>
        </is>
      </c>
      <c r="R401" s="18" t="inlineStr">
        <is>
          <t>https://www.sebi.gov.in/filings/public-issues/feb-2025/innovatiview-india-limited_91961.html</t>
        </is>
      </c>
      <c r="S401" s="15" t="n"/>
      <c r="T401" s="15" t="n"/>
      <c r="U401" s="15" t="n"/>
      <c r="V401" s="15" t="n"/>
      <c r="W401" s="16" t="n"/>
      <c r="X401" s="16" t="n"/>
      <c r="Y401" s="16" t="n"/>
      <c r="Z401" s="15" t="inlineStr">
        <is>
          <t>No issue found</t>
        </is>
      </c>
      <c r="AA401" s="15" t="inlineStr">
        <is>
          <t>Business Standard lists the company but shows no issue dates; web search limit reached</t>
        </is>
      </c>
      <c r="AB401" s="18" t="inlineStr">
        <is>
          <t>https://www.business-standard.com/markets/ipo/innovatiview-india-ltd-ipo-94536</t>
        </is>
      </c>
    </row>
    <row r="402" ht="15" customHeight="1" s="12">
      <c r="A402" s="14" t="n">
        <v>401</v>
      </c>
      <c r="B402" s="16" t="n">
        <v>45705</v>
      </c>
      <c r="C402" s="15" t="n">
        <v>2025</v>
      </c>
      <c r="D402" s="15" t="inlineStr">
        <is>
          <t>Seedworks International Limited</t>
        </is>
      </c>
      <c r="E402" s="15" t="inlineStr">
        <is>
          <t>DRHP</t>
        </is>
      </c>
      <c r="F402" s="15" t="inlineStr">
        <is>
          <t>Seedworks International Limited</t>
        </is>
      </c>
      <c r="G402" s="15" t="inlineStr">
        <is>
          <t>No launched IPO found</t>
        </is>
      </c>
      <c r="H402" s="15" t="n"/>
      <c r="I402" s="16" t="n"/>
      <c r="J402" s="16" t="n"/>
      <c r="K402" s="16" t="n"/>
      <c r="L402" s="17" t="n"/>
      <c r="M402" s="17" t="n"/>
      <c r="N402" s="17" t="n"/>
      <c r="O402" s="15" t="n"/>
      <c r="P402" s="15" t="n"/>
      <c r="Q402" s="18" t="inlineStr">
        <is>
          <t>https://www.sebi.gov.in/sebi_data/attachdocs/feb-2025/1739777405192_692.pdf</t>
        </is>
      </c>
      <c r="R402" s="18" t="inlineStr">
        <is>
          <t>https://www.sebi.gov.in/filings/public-issues/feb-2025/seedworks-international-limited_91959.html</t>
        </is>
      </c>
      <c r="S402" s="15" t="n"/>
      <c r="T402" s="15" t="n"/>
      <c r="U402" s="15" t="n"/>
      <c r="V402" s="15" t="n"/>
      <c r="W402" s="16" t="n"/>
      <c r="X402" s="16" t="n"/>
      <c r="Y402" s="16" t="n"/>
      <c r="Z402" s="15" t="inlineStr">
        <is>
          <t>No issue found</t>
        </is>
      </c>
      <c r="AA402" s="15" t="inlineStr">
        <is>
          <t>Business Standard lists the company but shows no issue dates; web search limit reached</t>
        </is>
      </c>
      <c r="AB402" s="18" t="inlineStr">
        <is>
          <t>https://www.business-standard.com/markets/ipo/seedworks-international-ltd-ipo-43609</t>
        </is>
      </c>
    </row>
    <row r="403" ht="15" customHeight="1" s="12">
      <c r="A403" s="14" t="n">
        <v>402</v>
      </c>
      <c r="B403" s="16" t="n">
        <v>45701</v>
      </c>
      <c r="C403" s="15" t="n">
        <v>2025</v>
      </c>
      <c r="D403" s="15" t="inlineStr">
        <is>
          <t>RITE WATER SOLUTIONS INDIA LIMITED</t>
        </is>
      </c>
      <c r="E403" s="15" t="inlineStr">
        <is>
          <t>DRHP</t>
        </is>
      </c>
      <c r="F403" s="15" t="inlineStr">
        <is>
          <t>RITE WATER SOLUTIONS INDIA LIMITED</t>
        </is>
      </c>
      <c r="G403" s="15" t="inlineStr">
        <is>
          <t>No launched IPO found</t>
        </is>
      </c>
      <c r="H403" s="15" t="n"/>
      <c r="I403" s="16" t="n"/>
      <c r="J403" s="16" t="n"/>
      <c r="K403" s="16" t="n"/>
      <c r="L403" s="17" t="n"/>
      <c r="M403" s="17" t="n"/>
      <c r="N403" s="17" t="n"/>
      <c r="O403" s="15" t="n"/>
      <c r="P403" s="15" t="n"/>
      <c r="Q403" s="18" t="inlineStr">
        <is>
          <t>https://www.sebi.gov.in/sebi_data/attachdocs/feb-2025/1739431807849_691.pdf</t>
        </is>
      </c>
      <c r="R403" s="18" t="inlineStr">
        <is>
          <t>https://www.sebi.gov.in/filings/public-issues/feb-2025/rite-water-solutions-india-limited_91875.html</t>
        </is>
      </c>
      <c r="S403" s="15" t="n"/>
      <c r="T403" s="15" t="n"/>
      <c r="U403" s="15" t="n"/>
      <c r="V403" s="15" t="n"/>
      <c r="W403" s="16" t="n"/>
      <c r="X403" s="16" t="n"/>
      <c r="Y403" s="16" t="n"/>
      <c r="Z403" s="15" t="inlineStr">
        <is>
          <t>No issue found</t>
        </is>
      </c>
      <c r="AA403" s="15" t="inlineStr">
        <is>
          <t>Business Standard lists the company but shows no issue dates; web search limit reached</t>
        </is>
      </c>
      <c r="AB403" s="18" t="inlineStr">
        <is>
          <t>https://www.business-standard.com/markets/ipo/rite-water-solutions-india-ltd-ipo-82933</t>
        </is>
      </c>
    </row>
    <row r="404" ht="15" customHeight="1" s="12">
      <c r="A404" s="14" t="n">
        <v>403</v>
      </c>
      <c r="B404" s="16" t="n">
        <v>45698</v>
      </c>
      <c r="C404" s="15" t="n">
        <v>2025</v>
      </c>
      <c r="D404" s="15" t="inlineStr">
        <is>
          <t>Advanced Sys-tek Limited</t>
        </is>
      </c>
      <c r="E404" s="15" t="inlineStr">
        <is>
          <t>DRHP</t>
        </is>
      </c>
      <c r="F404" s="15" t="inlineStr">
        <is>
          <t>Advanced Sys-tek Limited</t>
        </is>
      </c>
      <c r="G404" s="15" t="inlineStr">
        <is>
          <t>No launched IPO found</t>
        </is>
      </c>
      <c r="H404" s="15" t="n"/>
      <c r="I404" s="16" t="n"/>
      <c r="J404" s="16" t="n"/>
      <c r="K404" s="16" t="n"/>
      <c r="L404" s="17" t="n"/>
      <c r="M404" s="17" t="n"/>
      <c r="N404" s="17" t="n"/>
      <c r="O404" s="15" t="n"/>
      <c r="P404" s="15" t="n"/>
      <c r="Q404" s="18" t="inlineStr">
        <is>
          <t>https://www.sebi.gov.in/sebi_data/attachdocs/feb-2025/1739187003975_687.pdf</t>
        </is>
      </c>
      <c r="R404" s="18" t="inlineStr">
        <is>
          <t>https://www.sebi.gov.in/filings/public-issues/feb-2025/advanced-sys-tek-limited_91748.html</t>
        </is>
      </c>
      <c r="S404" s="15" t="n"/>
      <c r="T404" s="15" t="n"/>
      <c r="U404" s="15" t="n"/>
      <c r="V404" s="15" t="n"/>
      <c r="W404" s="16" t="n"/>
      <c r="X404" s="16" t="n"/>
      <c r="Y404" s="16" t="n"/>
      <c r="Z404" s="15" t="inlineStr">
        <is>
          <t>No issue found</t>
        </is>
      </c>
      <c r="AA404" s="15" t="inlineStr">
        <is>
          <t>Feb-2025 DRHP withdrawn; refiled Jul/Aug-2026; dates not announced</t>
        </is>
      </c>
      <c r="AB404" s="18" t="inlineStr">
        <is>
          <t>https://www.chittorgarh.com/ipo/advanced-sys-tek-ipo/1997/</t>
        </is>
      </c>
    </row>
    <row r="405" ht="15" customHeight="1" s="12">
      <c r="A405" s="14" t="n">
        <v>404</v>
      </c>
      <c r="B405" s="16" t="n">
        <v>45698</v>
      </c>
      <c r="C405" s="15" t="n">
        <v>2025</v>
      </c>
      <c r="D405" s="15" t="inlineStr">
        <is>
          <t>Glottis Limited</t>
        </is>
      </c>
      <c r="E405" s="15" t="inlineStr">
        <is>
          <t>DRHP</t>
        </is>
      </c>
      <c r="F405" s="15" t="inlineStr">
        <is>
          <t>Glottis Limited - DRHP</t>
        </is>
      </c>
      <c r="G405" s="15" t="inlineStr">
        <is>
          <t>IPO launched</t>
        </is>
      </c>
      <c r="H405" s="15" t="inlineStr">
        <is>
          <t>Mainboard</t>
        </is>
      </c>
      <c r="I405" s="16" t="n">
        <v>45929</v>
      </c>
      <c r="J405" s="16" t="n">
        <v>45931</v>
      </c>
      <c r="K405" s="16" t="n">
        <v>45937</v>
      </c>
      <c r="L405" s="17" t="n">
        <v>307</v>
      </c>
      <c r="M405" s="17" t="n">
        <v>160</v>
      </c>
      <c r="N405" s="17" t="n">
        <v>147</v>
      </c>
      <c r="O405" s="15" t="inlineStr">
        <is>
          <t>Final issue (ipoplatform)</t>
        </is>
      </c>
      <c r="P405" s="15" t="n"/>
      <c r="Q405" s="18" t="inlineStr">
        <is>
          <t>https://www.sebi.gov.in/sebi_data/attachdocs/feb-2025/1739181383305.pdf</t>
        </is>
      </c>
      <c r="R405" s="18" t="inlineStr">
        <is>
          <t>https://www.sebi.gov.in/filings/public-issues/feb-2025/glottis-limited-drhp_91747.html</t>
        </is>
      </c>
      <c r="S405" s="15" t="n"/>
      <c r="T405" s="15" t="inlineStr">
        <is>
          <t>SEBI filing link</t>
        </is>
      </c>
      <c r="U405" s="15" t="inlineStr">
        <is>
          <t>Glottis Limited</t>
        </is>
      </c>
      <c r="V405" s="15" t="n"/>
      <c r="W405" s="15" t="n"/>
      <c r="X405" s="15" t="n"/>
      <c r="Y405" s="15" t="n"/>
      <c r="Z405" s="15" t="n"/>
      <c r="AA405" s="15" t="n"/>
      <c r="AB405" s="15" t="n"/>
    </row>
    <row r="406" ht="15" customHeight="1" s="12">
      <c r="A406" s="14" t="n">
        <v>405</v>
      </c>
      <c r="B406" s="16" t="n">
        <v>45698</v>
      </c>
      <c r="C406" s="15" t="n">
        <v>2025</v>
      </c>
      <c r="D406" s="15" t="inlineStr">
        <is>
          <t>Amanta Healthcare Limited</t>
        </is>
      </c>
      <c r="E406" s="15" t="inlineStr">
        <is>
          <t>DRHP</t>
        </is>
      </c>
      <c r="F406" s="15" t="inlineStr">
        <is>
          <t>Amanta Healthcare Limited</t>
        </is>
      </c>
      <c r="G406" s="15" t="inlineStr">
        <is>
          <t>IPO launched</t>
        </is>
      </c>
      <c r="H406" s="15" t="inlineStr">
        <is>
          <t>Mainboard</t>
        </is>
      </c>
      <c r="I406" s="16" t="n">
        <v>45901</v>
      </c>
      <c r="J406" s="16" t="n">
        <v>45903</v>
      </c>
      <c r="K406" s="16" t="n">
        <v>45908</v>
      </c>
      <c r="L406" s="17" t="n">
        <v>126</v>
      </c>
      <c r="M406" s="17" t="n">
        <v>126</v>
      </c>
      <c r="N406" s="17" t="n">
        <v>0</v>
      </c>
      <c r="O406" s="15" t="inlineStr">
        <is>
          <t>Final issue (ipoplatform)</t>
        </is>
      </c>
      <c r="P406" s="15" t="n"/>
      <c r="Q406" s="18" t="inlineStr">
        <is>
          <t>https://www.sebi.gov.in/sebi_data/attachdocs/feb-2025/1739172604995_686.pdf</t>
        </is>
      </c>
      <c r="R406" s="18" t="inlineStr">
        <is>
          <t>https://www.sebi.gov.in/filings/public-issues/feb-2025/amanta-healthcare-limited_91745.html</t>
        </is>
      </c>
      <c r="S406" s="15" t="n"/>
      <c r="T406" s="15" t="inlineStr">
        <is>
          <t>SEBI filing link</t>
        </is>
      </c>
      <c r="U406" s="15" t="inlineStr">
        <is>
          <t>Amanta Healthcare Limited</t>
        </is>
      </c>
      <c r="V406" s="15" t="n"/>
      <c r="W406" s="15" t="n"/>
      <c r="X406" s="15" t="n"/>
      <c r="Y406" s="15" t="n"/>
      <c r="Z406" s="15" t="n"/>
      <c r="AA406" s="15" t="n"/>
      <c r="AB406" s="15" t="n"/>
    </row>
    <row r="407" ht="15" customHeight="1" s="12">
      <c r="A407" s="14" t="n">
        <v>406</v>
      </c>
      <c r="B407" s="16" t="n">
        <v>45695</v>
      </c>
      <c r="C407" s="15" t="n">
        <v>2025</v>
      </c>
      <c r="D407" s="15" t="inlineStr">
        <is>
          <t>Shringar House of Mangalsutra Limited</t>
        </is>
      </c>
      <c r="E407" s="15" t="inlineStr">
        <is>
          <t>DRHP</t>
        </is>
      </c>
      <c r="F407" s="15" t="inlineStr">
        <is>
          <t>Shringar House of Mangalsutra Limited</t>
        </is>
      </c>
      <c r="G407" s="15" t="inlineStr">
        <is>
          <t>IPO launched</t>
        </is>
      </c>
      <c r="H407" s="15" t="inlineStr">
        <is>
          <t>Mainboard</t>
        </is>
      </c>
      <c r="I407" s="16" t="n">
        <v>45910</v>
      </c>
      <c r="J407" s="16" t="n">
        <v>45912</v>
      </c>
      <c r="K407" s="16" t="n">
        <v>45917</v>
      </c>
      <c r="L407" s="17" t="n">
        <v>400.95</v>
      </c>
      <c r="M407" s="17" t="n">
        <v>400.95</v>
      </c>
      <c r="N407" s="17" t="n">
        <v>0</v>
      </c>
      <c r="O407" s="15" t="inlineStr">
        <is>
          <t>Final issue (ipoplatform)</t>
        </is>
      </c>
      <c r="P407" s="15" t="n"/>
      <c r="Q407" s="18" t="inlineStr">
        <is>
          <t>https://www.sebi.gov.in/sebi_data/attachdocs/feb-2025/1738927849699_685.pdf</t>
        </is>
      </c>
      <c r="R407" s="18" t="inlineStr">
        <is>
          <t>https://www.sebi.gov.in/filings/public-issues/feb-2025/shringar-house-of-mangalsutra-limited_91735.html</t>
        </is>
      </c>
      <c r="S407" s="15" t="n"/>
      <c r="T407" s="15" t="inlineStr">
        <is>
          <t>SEBI filing link</t>
        </is>
      </c>
      <c r="U407" s="15" t="inlineStr">
        <is>
          <t>Shringar House of Mangalsutra Limited</t>
        </is>
      </c>
      <c r="V407" s="15" t="n"/>
      <c r="W407" s="15" t="n"/>
      <c r="X407" s="15" t="n"/>
      <c r="Y407" s="15" t="n"/>
      <c r="Z407" s="15" t="n"/>
      <c r="AA407" s="15" t="n"/>
      <c r="AB407" s="15" t="n"/>
    </row>
    <row r="408" ht="15" customHeight="1" s="12">
      <c r="A408" s="14" t="n">
        <v>407</v>
      </c>
      <c r="B408" s="16" t="n">
        <v>45695</v>
      </c>
      <c r="C408" s="15" t="n">
        <v>2025</v>
      </c>
      <c r="D408" s="15" t="inlineStr">
        <is>
          <t>Atlanta Electricals Limited</t>
        </is>
      </c>
      <c r="E408" s="15" t="inlineStr">
        <is>
          <t>DRHP</t>
        </is>
      </c>
      <c r="F408" s="15" t="inlineStr">
        <is>
          <t>Atlanta Electricals Limited</t>
        </is>
      </c>
      <c r="G408" s="15" t="inlineStr">
        <is>
          <t>IPO launched</t>
        </is>
      </c>
      <c r="H408" s="15" t="inlineStr">
        <is>
          <t>Mainboard</t>
        </is>
      </c>
      <c r="I408" s="16" t="n">
        <v>45922</v>
      </c>
      <c r="J408" s="16" t="n">
        <v>45924</v>
      </c>
      <c r="K408" s="16" t="n">
        <v>45929</v>
      </c>
      <c r="L408" s="17" t="n">
        <v>687.34</v>
      </c>
      <c r="M408" s="17" t="n">
        <v>400</v>
      </c>
      <c r="N408" s="17" t="n">
        <v>287.34</v>
      </c>
      <c r="O408" s="15" t="inlineStr">
        <is>
          <t>Final issue (ipoplatform)</t>
        </is>
      </c>
      <c r="P408" s="15" t="n"/>
      <c r="Q408" s="18" t="inlineStr">
        <is>
          <t>https://www.sebi.gov.in/sebi_data/attachdocs/feb-2025/1738927849699_684.pdf</t>
        </is>
      </c>
      <c r="R408" s="18" t="inlineStr">
        <is>
          <t>https://www.sebi.gov.in/filings/public-issues/feb-2025/atlanta-electricals-limited_91733.html</t>
        </is>
      </c>
      <c r="S408" s="15" t="n"/>
      <c r="T408" s="15" t="inlineStr">
        <is>
          <t>SEBI filing link</t>
        </is>
      </c>
      <c r="U408" s="15" t="inlineStr">
        <is>
          <t>Atlanta Electricals Limited</t>
        </is>
      </c>
      <c r="V408" s="15" t="n"/>
      <c r="W408" s="15" t="n"/>
      <c r="X408" s="15" t="n"/>
      <c r="Y408" s="15" t="n"/>
      <c r="Z408" s="15" t="n"/>
      <c r="AA408" s="15" t="n"/>
      <c r="AB408" s="15" t="n"/>
    </row>
    <row r="409" ht="15" customHeight="1" s="12">
      <c r="A409" s="14" t="n">
        <v>408</v>
      </c>
      <c r="B409" s="16" t="n">
        <v>45693</v>
      </c>
      <c r="C409" s="15" t="n">
        <v>2025</v>
      </c>
      <c r="D409" s="15" t="inlineStr">
        <is>
          <t>Veeda Clinical Research Limited</t>
        </is>
      </c>
      <c r="E409" s="15" t="inlineStr">
        <is>
          <t>DRHP</t>
        </is>
      </c>
      <c r="F409" s="15" t="inlineStr">
        <is>
          <t>Veeda Clinical Research Limited</t>
        </is>
      </c>
      <c r="G409" s="15" t="inlineStr">
        <is>
          <t>No launched IPO found</t>
        </is>
      </c>
      <c r="H409" s="15" t="n"/>
      <c r="I409" s="16" t="n"/>
      <c r="J409" s="16" t="n"/>
      <c r="K409" s="16" t="n"/>
      <c r="L409" s="17" t="n"/>
      <c r="M409" s="17" t="n"/>
      <c r="N409" s="17" t="n"/>
      <c r="O409" s="15" t="n"/>
      <c r="P409" s="15" t="n"/>
      <c r="Q409" s="18" t="inlineStr">
        <is>
          <t>https://www.sebi.gov.in/sebi_data/attachdocs/feb-2025/1738740605306_680.pdf</t>
        </is>
      </c>
      <c r="R409" s="18" t="inlineStr">
        <is>
          <t>https://www.sebi.gov.in/filings/public-issues/feb-2025/veeda-clinical-research-limited_91650.html</t>
        </is>
      </c>
      <c r="S409" s="15" t="n"/>
      <c r="T409" s="15" t="n"/>
      <c r="U409" s="15" t="n"/>
      <c r="V409" s="15" t="n"/>
      <c r="W409" s="16" t="n"/>
      <c r="X409" s="16" t="n"/>
      <c r="Y409" s="16" t="n"/>
      <c r="Z409" s="15" t="inlineStr">
        <is>
          <t>No issue found</t>
        </is>
      </c>
      <c r="AA409" s="15" t="inlineStr">
        <is>
          <t>Business Standard lists the company but shows no issue dates; web search limit reached</t>
        </is>
      </c>
      <c r="AB409" s="18" t="inlineStr">
        <is>
          <t>https://www.business-standard.com/markets/ipo/veeda-clinical-research-ltd-ipo-67701</t>
        </is>
      </c>
    </row>
    <row r="410" ht="15" customHeight="1" s="12">
      <c r="A410" s="14" t="n">
        <v>409</v>
      </c>
      <c r="B410" s="16" t="n">
        <v>45692</v>
      </c>
      <c r="C410" s="15" t="n">
        <v>2025</v>
      </c>
      <c r="D410" s="15" t="inlineStr">
        <is>
          <t>WeWork India Management Limited</t>
        </is>
      </c>
      <c r="E410" s="15" t="inlineStr">
        <is>
          <t>DRHP</t>
        </is>
      </c>
      <c r="F410" s="15" t="inlineStr">
        <is>
          <t>WeWork India Management Limited</t>
        </is>
      </c>
      <c r="G410" s="15" t="inlineStr">
        <is>
          <t>IPO launched</t>
        </is>
      </c>
      <c r="H410" s="15" t="inlineStr">
        <is>
          <t>Mainboard</t>
        </is>
      </c>
      <c r="I410" s="16" t="n">
        <v>45933</v>
      </c>
      <c r="J410" s="16" t="n">
        <v>45937</v>
      </c>
      <c r="K410" s="16" t="n">
        <v>45940</v>
      </c>
      <c r="L410" s="17" t="n">
        <v>3000</v>
      </c>
      <c r="M410" s="17" t="n">
        <v>0</v>
      </c>
      <c r="N410" s="17" t="n">
        <v>3000</v>
      </c>
      <c r="O410" s="15" t="inlineStr">
        <is>
          <t>Final issue (ipoplatform)</t>
        </is>
      </c>
      <c r="P410" s="15" t="n"/>
      <c r="Q410" s="18" t="inlineStr">
        <is>
          <t>https://www.sebi.gov.in/sebi_data/attachdocs/feb-2025/1738668603856_679.pdf</t>
        </is>
      </c>
      <c r="R410" s="18" t="inlineStr">
        <is>
          <t>https://www.sebi.gov.in/filings/public-issues/feb-2025/wework-india-management-limited_91619.html</t>
        </is>
      </c>
      <c r="S410" s="15" t="n"/>
      <c r="T410" s="15" t="inlineStr">
        <is>
          <t>SEBI filing link</t>
        </is>
      </c>
      <c r="U410" s="15" t="inlineStr">
        <is>
          <t>WeWork India Management Limited</t>
        </is>
      </c>
      <c r="V410" s="15" t="n"/>
      <c r="W410" s="15" t="n"/>
      <c r="X410" s="15" t="n"/>
      <c r="Y410" s="15" t="n"/>
      <c r="Z410" s="15" t="n"/>
      <c r="AA410" s="15" t="n"/>
      <c r="AB410" s="15" t="n"/>
    </row>
    <row r="411" ht="15" customHeight="1" s="12">
      <c r="A411" s="14" t="n">
        <v>410</v>
      </c>
      <c r="B411" s="16" t="n">
        <v>45692</v>
      </c>
      <c r="C411" s="15" t="n">
        <v>2025</v>
      </c>
      <c r="D411" s="15" t="inlineStr">
        <is>
          <t>Prostarm Info Systems Limited</t>
        </is>
      </c>
      <c r="E411" s="15" t="inlineStr">
        <is>
          <t>Addendum</t>
        </is>
      </c>
      <c r="F411" s="15" t="inlineStr">
        <is>
          <t>Prostarm Info Systems Limited - Addendum to DRHP</t>
        </is>
      </c>
      <c r="G411" s="15" t="inlineStr">
        <is>
          <t>IPO launched</t>
        </is>
      </c>
      <c r="H411" s="15" t="inlineStr">
        <is>
          <t>Mainboard</t>
        </is>
      </c>
      <c r="I411" s="16" t="n">
        <v>45804</v>
      </c>
      <c r="J411" s="16" t="n">
        <v>45806</v>
      </c>
      <c r="K411" s="16" t="n">
        <v>45811</v>
      </c>
      <c r="L411" s="17" t="n">
        <v>168</v>
      </c>
      <c r="M411" s="17" t="n">
        <v>168</v>
      </c>
      <c r="N411" s="17" t="n">
        <v>0</v>
      </c>
      <c r="O411" s="15" t="inlineStr">
        <is>
          <t>Final issue (ipoplatform)</t>
        </is>
      </c>
      <c r="P411" s="15" t="n"/>
      <c r="Q411" s="18" t="inlineStr">
        <is>
          <t>https://www.sebi.gov.in/sebi_data/attachdocs/feb-2025/1738649973129.pdf</t>
        </is>
      </c>
      <c r="R411" s="18" t="inlineStr">
        <is>
          <t>https://www.sebi.gov.in/filings/public-issues/feb-2025/prostarm-info-systems-limited-addendum-to-drhp_91594.html</t>
        </is>
      </c>
      <c r="S411" s="15" t="n"/>
      <c r="T411" s="15" t="inlineStr">
        <is>
          <t>Company name + date window</t>
        </is>
      </c>
      <c r="U411" s="15" t="inlineStr">
        <is>
          <t>Prostarm Info Systems Limited</t>
        </is>
      </c>
      <c r="V411" s="15" t="n"/>
      <c r="W411" s="15" t="n"/>
      <c r="X411" s="15" t="n"/>
      <c r="Y411" s="15" t="n"/>
      <c r="Z411" s="15" t="n"/>
      <c r="AA411" s="15" t="n"/>
      <c r="AB411" s="15" t="n"/>
    </row>
    <row r="412" ht="15" customHeight="1" s="12">
      <c r="A412" s="14" t="n">
        <v>411</v>
      </c>
      <c r="B412" s="16" t="n">
        <v>45687</v>
      </c>
      <c r="C412" s="15" t="n">
        <v>2025</v>
      </c>
      <c r="D412" s="15" t="inlineStr">
        <is>
          <t>SHREEJI SHIPPING GLOBAL LIMITED</t>
        </is>
      </c>
      <c r="E412" s="15" t="inlineStr">
        <is>
          <t>DRHP</t>
        </is>
      </c>
      <c r="F412" s="15" t="inlineStr">
        <is>
          <t>SHREEJI SHIPPING GLOBAL LIMITED</t>
        </is>
      </c>
      <c r="G412" s="15" t="inlineStr">
        <is>
          <t>IPO launched</t>
        </is>
      </c>
      <c r="H412" s="15" t="inlineStr">
        <is>
          <t>Mainboard</t>
        </is>
      </c>
      <c r="I412" s="16" t="n">
        <v>45888</v>
      </c>
      <c r="J412" s="16" t="n">
        <v>45890</v>
      </c>
      <c r="K412" s="16" t="n">
        <v>45895</v>
      </c>
      <c r="L412" s="17" t="n">
        <v>410.71</v>
      </c>
      <c r="M412" s="17" t="n">
        <v>410.71</v>
      </c>
      <c r="N412" s="17" t="n">
        <v>0</v>
      </c>
      <c r="O412" s="15" t="inlineStr">
        <is>
          <t>Final issue (ipoplatform)</t>
        </is>
      </c>
      <c r="P412" s="15" t="n"/>
      <c r="Q412" s="18" t="inlineStr">
        <is>
          <t>https://www.sebi.gov.in/sebi_data/attachdocs/jan-2025/1738222207364_667.pdf</t>
        </is>
      </c>
      <c r="R412" s="18" t="inlineStr">
        <is>
          <t>https://www.sebi.gov.in/filings/public-issues/jan-2025/shreeji-shipping-global-limited_91371.html</t>
        </is>
      </c>
      <c r="S412" s="15" t="n"/>
      <c r="T412" s="15" t="inlineStr">
        <is>
          <t>SEBI filing link</t>
        </is>
      </c>
      <c r="U412" s="15" t="inlineStr">
        <is>
          <t>Shreeji Shipping Global Limited</t>
        </is>
      </c>
      <c r="V412" s="15" t="n"/>
      <c r="W412" s="15" t="n"/>
      <c r="X412" s="15" t="n"/>
      <c r="Y412" s="15" t="n"/>
      <c r="Z412" s="15" t="n"/>
      <c r="AA412" s="15" t="n"/>
      <c r="AB412" s="15" t="n"/>
    </row>
    <row r="413" ht="15" customHeight="1" s="12">
      <c r="A413" s="14" t="n">
        <v>412</v>
      </c>
      <c r="B413" s="16" t="n">
        <v>45686</v>
      </c>
      <c r="C413" s="15" t="n">
        <v>2025</v>
      </c>
      <c r="D413" s="15" t="inlineStr">
        <is>
          <t>Gaudium IVF and Women Health Limited</t>
        </is>
      </c>
      <c r="E413" s="15" t="inlineStr">
        <is>
          <t>DRHP</t>
        </is>
      </c>
      <c r="F413" s="15" t="inlineStr">
        <is>
          <t>Gaudium IVF and Women Health Limited</t>
        </is>
      </c>
      <c r="G413" s="15" t="inlineStr">
        <is>
          <t>IPO launched</t>
        </is>
      </c>
      <c r="H413" s="15" t="inlineStr">
        <is>
          <t>Mainboard</t>
        </is>
      </c>
      <c r="I413" s="16" t="n">
        <v>46073</v>
      </c>
      <c r="J413" s="16" t="n">
        <v>46077</v>
      </c>
      <c r="K413" s="16" t="n">
        <v>46080</v>
      </c>
      <c r="L413" s="17" t="n">
        <v>165</v>
      </c>
      <c r="M413" s="17" t="n">
        <v>90</v>
      </c>
      <c r="N413" s="17" t="n">
        <v>75</v>
      </c>
      <c r="O413" s="15" t="inlineStr">
        <is>
          <t>Final issue (ipoplatform)</t>
        </is>
      </c>
      <c r="P413" s="15" t="n"/>
      <c r="Q413" s="18" t="inlineStr">
        <is>
          <t>https://www.sebi.gov.in/sebi_data/attachdocs/jan-2025/1738135805661_665.pdf</t>
        </is>
      </c>
      <c r="R413" s="18" t="inlineStr">
        <is>
          <t>https://www.sebi.gov.in/filings/public-issues/jan-2025/gaudium-ivf-and-women-health-limited_91336.html</t>
        </is>
      </c>
      <c r="S413" s="15" t="n"/>
      <c r="T413" s="15" t="inlineStr">
        <is>
          <t>Company name + date window</t>
        </is>
      </c>
      <c r="U413" s="15" t="inlineStr">
        <is>
          <t>Gaudium IVF and Women Health Limited</t>
        </is>
      </c>
      <c r="V413" s="15" t="n"/>
      <c r="W413" s="15" t="n"/>
      <c r="X413" s="15" t="n"/>
      <c r="Y413" s="15" t="n"/>
      <c r="Z413" s="15" t="n"/>
      <c r="AA413" s="15" t="n"/>
      <c r="AB413" s="15" t="n"/>
    </row>
    <row r="414" ht="15" customHeight="1" s="12">
      <c r="A414" s="14" t="n">
        <v>413</v>
      </c>
      <c r="B414" s="16" t="n">
        <v>45685</v>
      </c>
      <c r="C414" s="15" t="n">
        <v>2025</v>
      </c>
      <c r="D414" s="15" t="inlineStr">
        <is>
          <t>Epack Prefab Technologies Limited</t>
        </is>
      </c>
      <c r="E414" s="15" t="inlineStr">
        <is>
          <t>DRHP</t>
        </is>
      </c>
      <c r="F414" s="15" t="inlineStr">
        <is>
          <t>Epack Prefab Technologies Limited</t>
        </is>
      </c>
      <c r="G414" s="15" t="inlineStr">
        <is>
          <t>IPO launched</t>
        </is>
      </c>
      <c r="H414" s="15" t="inlineStr">
        <is>
          <t>Mainboard</t>
        </is>
      </c>
      <c r="I414" s="16" t="n">
        <v>45924</v>
      </c>
      <c r="J414" s="16" t="n">
        <v>45926</v>
      </c>
      <c r="K414" s="16" t="n">
        <v>45931</v>
      </c>
      <c r="L414" s="17" t="n">
        <v>504</v>
      </c>
      <c r="M414" s="17" t="n">
        <v>300</v>
      </c>
      <c r="N414" s="17" t="n">
        <v>204</v>
      </c>
      <c r="O414" s="15" t="inlineStr">
        <is>
          <t>Final issue (ipoplatform)</t>
        </is>
      </c>
      <c r="P414" s="15" t="n"/>
      <c r="Q414" s="18" t="inlineStr">
        <is>
          <t>https://www.sebi.gov.in/sebi_data/attachdocs/jan-2025/1738049406097_664.pdf</t>
        </is>
      </c>
      <c r="R414" s="18" t="inlineStr">
        <is>
          <t>https://www.sebi.gov.in/filings/public-issues/jan-2025/epack-prefab-technologies-limited_91209.html</t>
        </is>
      </c>
      <c r="S414" s="15" t="n"/>
      <c r="T414" s="15" t="inlineStr">
        <is>
          <t>SEBI filing link</t>
        </is>
      </c>
      <c r="U414" s="15" t="inlineStr">
        <is>
          <t>Epack Prefab Technologies Limited</t>
        </is>
      </c>
      <c r="V414" s="15" t="n"/>
      <c r="W414" s="15" t="n"/>
      <c r="X414" s="15" t="n"/>
      <c r="Y414" s="15" t="n"/>
      <c r="Z414" s="15" t="n"/>
      <c r="AA414" s="15" t="n"/>
      <c r="AB414" s="15" t="n"/>
    </row>
    <row r="415" ht="15" customHeight="1" s="12">
      <c r="A415" s="14" t="n">
        <v>414</v>
      </c>
      <c r="B415" s="16" t="n">
        <v>45684</v>
      </c>
      <c r="C415" s="15" t="n">
        <v>2025</v>
      </c>
      <c r="D415" s="15" t="inlineStr">
        <is>
          <t>Dorf-Ketal Chemicals India Limited</t>
        </is>
      </c>
      <c r="E415" s="15" t="inlineStr">
        <is>
          <t>DRHP</t>
        </is>
      </c>
      <c r="F415" s="15" t="inlineStr">
        <is>
          <t>Dorf-Ketal Chemicals India Limited</t>
        </is>
      </c>
      <c r="G415" s="15" t="inlineStr">
        <is>
          <t>No launched IPO found</t>
        </is>
      </c>
      <c r="H415" s="15" t="n"/>
      <c r="I415" s="16" t="n"/>
      <c r="J415" s="16" t="n"/>
      <c r="K415" s="16" t="n"/>
      <c r="L415" s="17" t="n"/>
      <c r="M415" s="17" t="n"/>
      <c r="N415" s="17" t="n"/>
      <c r="O415" s="15" t="n"/>
      <c r="P415" s="15" t="n"/>
      <c r="Q415" s="18" t="inlineStr">
        <is>
          <t>https://www.sebi.gov.in/sebi_data/attachdocs/jan-2025/1737977406391_663.pdf</t>
        </is>
      </c>
      <c r="R415" s="18" t="inlineStr">
        <is>
          <t>https://www.sebi.gov.in/filings/public-issues/jan-2025/dorf-ketal-chemicals-india-limited_91200.html</t>
        </is>
      </c>
      <c r="S415" s="15" t="n"/>
      <c r="T415" s="15" t="n"/>
      <c r="U415" s="15" t="n"/>
      <c r="V415" s="15" t="n"/>
      <c r="W415" s="16" t="n"/>
      <c r="X415" s="16" t="n"/>
      <c r="Y415" s="16" t="n"/>
      <c r="Z415" s="15" t="inlineStr">
        <is>
          <t>No issue found</t>
        </is>
      </c>
      <c r="AA415" s="15" t="inlineStr">
        <is>
          <t>Business Standard lists the company but shows no issue dates; web search limit reached</t>
        </is>
      </c>
      <c r="AB415" s="18" t="inlineStr">
        <is>
          <t>https://www.business-standard.com/markets/ipo/dorf-ketal-chemicals-india-ltd-ipo-28068</t>
        </is>
      </c>
    </row>
    <row r="416" ht="15" customHeight="1" s="12">
      <c r="A416" s="14" t="n">
        <v>415</v>
      </c>
      <c r="B416" s="16" t="n">
        <v>45684</v>
      </c>
      <c r="C416" s="15" t="n">
        <v>2025</v>
      </c>
      <c r="D416" s="15" t="inlineStr">
        <is>
          <t>Karamtara Engineering Limited</t>
        </is>
      </c>
      <c r="E416" s="15" t="inlineStr">
        <is>
          <t>DRHP</t>
        </is>
      </c>
      <c r="F416" s="15" t="inlineStr">
        <is>
          <t>Karamtara Engineering Limited</t>
        </is>
      </c>
      <c r="G416" s="15" t="inlineStr">
        <is>
          <t>IPO launched</t>
        </is>
      </c>
      <c r="H416" s="15" t="inlineStr">
        <is>
          <t>Mainboard</t>
        </is>
      </c>
      <c r="I416" s="16" t="n">
        <v>46274</v>
      </c>
      <c r="J416" s="16" t="n">
        <v>46276</v>
      </c>
      <c r="K416" s="16" t="n">
        <v>46282</v>
      </c>
      <c r="L416" s="17" t="n">
        <v>875</v>
      </c>
      <c r="M416" s="17" t="n">
        <v>675</v>
      </c>
      <c r="N416" s="17" t="n">
        <v>200</v>
      </c>
      <c r="O416" s="15" t="inlineStr">
        <is>
          <t>Final issue (ipoplatform)</t>
        </is>
      </c>
      <c r="P416" s="15" t="n"/>
      <c r="Q416" s="18" t="inlineStr">
        <is>
          <t>https://www.sebi.gov.in/sebi_data/attachdocs/jan-2025/1737963006097_661.pdf</t>
        </is>
      </c>
      <c r="R416" s="18" t="inlineStr">
        <is>
          <t>https://www.sebi.gov.in/filings/public-issues/jan-2025/karamtara-engineering-limited_91191.html</t>
        </is>
      </c>
      <c r="S416" s="15" t="n"/>
      <c r="T416" s="15" t="inlineStr">
        <is>
          <t>SEBI filing link</t>
        </is>
      </c>
      <c r="U416" s="15" t="inlineStr">
        <is>
          <t>Karamtara Engineering Limited</t>
        </is>
      </c>
      <c r="V416" s="15" t="n"/>
      <c r="W416" s="15" t="n"/>
      <c r="X416" s="15" t="n"/>
      <c r="Y416" s="15" t="n"/>
      <c r="Z416" s="15" t="n"/>
      <c r="AA416" s="15" t="n"/>
      <c r="AB416" s="15" t="n"/>
    </row>
    <row r="417" ht="15" customHeight="1" s="12">
      <c r="A417" s="14" t="n">
        <v>416</v>
      </c>
      <c r="B417" s="16" t="n">
        <v>45680</v>
      </c>
      <c r="C417" s="15" t="n">
        <v>2025</v>
      </c>
      <c r="D417" s="15" t="inlineStr">
        <is>
          <t>KENT R O SYSTEMS LIMITED</t>
        </is>
      </c>
      <c r="E417" s="15" t="inlineStr">
        <is>
          <t>DRHP</t>
        </is>
      </c>
      <c r="F417" s="15" t="inlineStr">
        <is>
          <t>KENT R O SYSTEMS LIMITED</t>
        </is>
      </c>
      <c r="G417" s="15" t="inlineStr">
        <is>
          <t>No launched IPO found</t>
        </is>
      </c>
      <c r="H417" s="15" t="n"/>
      <c r="I417" s="16" t="n"/>
      <c r="J417" s="16" t="n"/>
      <c r="K417" s="16" t="n"/>
      <c r="L417" s="17" t="n"/>
      <c r="M417" s="17" t="n"/>
      <c r="N417" s="17" t="n"/>
      <c r="O417" s="15" t="n"/>
      <c r="P417" s="15" t="n"/>
      <c r="Q417" s="18" t="inlineStr">
        <is>
          <t>https://www.sebi.gov.in/sebi_data/attachdocs/jan-2025/1737682204889_660.pdf</t>
        </is>
      </c>
      <c r="R417" s="18" t="inlineStr">
        <is>
          <t>https://www.sebi.gov.in/filings/public-issues/jan-2025/kent-r-o-systems-limited_91156.html</t>
        </is>
      </c>
      <c r="S417" s="15" t="n"/>
      <c r="T417" s="15" t="n"/>
      <c r="U417" s="15" t="n"/>
      <c r="V417" s="15" t="n"/>
      <c r="W417" s="16" t="n"/>
      <c r="X417" s="16" t="n"/>
      <c r="Y417" s="16" t="n"/>
      <c r="Z417" s="15" t="inlineStr">
        <is>
          <t>No issue found</t>
        </is>
      </c>
      <c r="AA417" s="15" t="inlineStr">
        <is>
          <t>Business Standard lists the company but shows no issue dates; web search limit reached</t>
        </is>
      </c>
      <c r="AB417" s="18" t="inlineStr">
        <is>
          <t>https://www.business-standard.com/markets/ipo/kent-r-o-systems-ltd-ipo-42668</t>
        </is>
      </c>
    </row>
    <row r="418" ht="15" customHeight="1" s="12">
      <c r="A418" s="14" t="n">
        <v>417</v>
      </c>
      <c r="B418" s="16" t="n">
        <v>45680</v>
      </c>
      <c r="C418" s="15" t="n">
        <v>2025</v>
      </c>
      <c r="D418" s="15" t="inlineStr">
        <is>
          <t>Euro Pratik Sales Limited</t>
        </is>
      </c>
      <c r="E418" s="15" t="inlineStr">
        <is>
          <t>DRHP</t>
        </is>
      </c>
      <c r="F418" s="15" t="inlineStr">
        <is>
          <t>Euro Pratik Sales Limited</t>
        </is>
      </c>
      <c r="G418" s="15" t="inlineStr">
        <is>
          <t>IPO launched</t>
        </is>
      </c>
      <c r="H418" s="15" t="inlineStr">
        <is>
          <t>Mainboard</t>
        </is>
      </c>
      <c r="I418" s="16" t="n">
        <v>45916</v>
      </c>
      <c r="J418" s="16" t="n">
        <v>45918</v>
      </c>
      <c r="K418" s="16" t="n">
        <v>45923</v>
      </c>
      <c r="L418" s="17" t="n">
        <v>451.3</v>
      </c>
      <c r="M418" s="17" t="n"/>
      <c r="N418" s="17" t="n">
        <v>451.3</v>
      </c>
      <c r="O418" s="15" t="inlineStr">
        <is>
          <t>Final issue (ipoplatform)</t>
        </is>
      </c>
      <c r="P418" s="15" t="n"/>
      <c r="Q418" s="18" t="inlineStr">
        <is>
          <t>https://www.sebi.gov.in/sebi_data/attachdocs/jan-2025/1737617407177_659.pdf</t>
        </is>
      </c>
      <c r="R418" s="18" t="inlineStr">
        <is>
          <t>https://www.sebi.gov.in/filings/public-issues/jan-2025/euro-pratik-sales-limited_91135.html</t>
        </is>
      </c>
      <c r="S418" s="15" t="n"/>
      <c r="T418" s="15" t="inlineStr">
        <is>
          <t>SEBI filing link</t>
        </is>
      </c>
      <c r="U418" s="15" t="inlineStr">
        <is>
          <t>Euro Pratik Sales Limited</t>
        </is>
      </c>
      <c r="V418" s="15" t="n"/>
      <c r="W418" s="15" t="n"/>
      <c r="X418" s="15" t="n"/>
      <c r="Y418" s="15" t="n"/>
      <c r="Z418" s="15" t="n"/>
      <c r="AA418" s="15" t="n"/>
      <c r="AB418" s="15" t="n"/>
    </row>
    <row r="419" ht="15" customHeight="1" s="12">
      <c r="A419" s="14" t="n">
        <v>418</v>
      </c>
      <c r="B419" s="16" t="n">
        <v>45680</v>
      </c>
      <c r="C419" s="15" t="n">
        <v>2025</v>
      </c>
      <c r="D419" s="15" t="inlineStr">
        <is>
          <t>LUMINO INDUSTRIES LIMITED</t>
        </is>
      </c>
      <c r="E419" s="15" t="inlineStr">
        <is>
          <t>DRHP</t>
        </is>
      </c>
      <c r="F419" s="15" t="inlineStr">
        <is>
          <t>LUMINO INDUSTRIES LIMITED</t>
        </is>
      </c>
      <c r="G419" s="15" t="inlineStr">
        <is>
          <t>IPO launched</t>
        </is>
      </c>
      <c r="H419" s="15" t="inlineStr">
        <is>
          <t>Mainboard</t>
        </is>
      </c>
      <c r="I419" s="16" t="n">
        <v>46261</v>
      </c>
      <c r="J419" s="16" t="n">
        <v>46265</v>
      </c>
      <c r="K419" s="16" t="n">
        <v>46268</v>
      </c>
      <c r="L419" s="17" t="n">
        <v>700</v>
      </c>
      <c r="M419" s="17" t="n">
        <v>500</v>
      </c>
      <c r="N419" s="17" t="n">
        <v>200</v>
      </c>
      <c r="O419" s="15" t="inlineStr">
        <is>
          <t>Final issue (ipoplatform)</t>
        </is>
      </c>
      <c r="P419" s="15" t="n"/>
      <c r="Q419" s="18" t="inlineStr">
        <is>
          <t>https://www.sebi.gov.in/sebi_data/attachdocs/jan-2025/1737617407177_658.pdf</t>
        </is>
      </c>
      <c r="R419" s="18" t="inlineStr">
        <is>
          <t>https://www.sebi.gov.in/filings/public-issues/jan-2025/lumino-industries-limited_91133.html</t>
        </is>
      </c>
      <c r="S419" s="15" t="n"/>
      <c r="T419" s="15" t="inlineStr">
        <is>
          <t>SEBI filing link</t>
        </is>
      </c>
      <c r="U419" s="15" t="inlineStr">
        <is>
          <t>Lumino Industries Limited</t>
        </is>
      </c>
      <c r="V419" s="15" t="n"/>
      <c r="W419" s="15" t="n"/>
      <c r="X419" s="15" t="n"/>
      <c r="Y419" s="15" t="n"/>
      <c r="Z419" s="15" t="n"/>
      <c r="AA419" s="15" t="n"/>
      <c r="AB419" s="15" t="n"/>
    </row>
    <row r="420" ht="15" customHeight="1" s="12">
      <c r="A420" s="14" t="n">
        <v>419</v>
      </c>
      <c r="B420" s="16" t="n">
        <v>45679</v>
      </c>
      <c r="C420" s="15" t="n">
        <v>2025</v>
      </c>
      <c r="D420" s="15" t="inlineStr">
        <is>
          <t>Vinir Engineering Limited</t>
        </is>
      </c>
      <c r="E420" s="15" t="inlineStr">
        <is>
          <t>DRHP</t>
        </is>
      </c>
      <c r="F420" s="15" t="inlineStr">
        <is>
          <t>Vinir Engineering Limited</t>
        </is>
      </c>
      <c r="G420" s="15" t="inlineStr">
        <is>
          <t>No launched IPO found</t>
        </is>
      </c>
      <c r="H420" s="15" t="n"/>
      <c r="I420" s="16" t="n"/>
      <c r="J420" s="16" t="n"/>
      <c r="K420" s="16" t="n"/>
      <c r="L420" s="17" t="n"/>
      <c r="M420" s="17" t="n"/>
      <c r="N420" s="17" t="n"/>
      <c r="O420" s="15" t="n"/>
      <c r="P420" s="15" t="n"/>
      <c r="Q420" s="18" t="inlineStr">
        <is>
          <t>https://www.sebi.gov.in/sebi_data/attachdocs/jan-2025/1737595805572_657.pdf</t>
        </is>
      </c>
      <c r="R420" s="18" t="inlineStr">
        <is>
          <t>https://www.sebi.gov.in/filings/public-issues/jan-2025/vinir-engineering-limited_91117.html</t>
        </is>
      </c>
      <c r="S420" s="15" t="n"/>
      <c r="T420" s="15" t="n"/>
      <c r="U420" s="15" t="n"/>
      <c r="V420" s="15" t="n"/>
      <c r="W420" s="16" t="n"/>
      <c r="X420" s="16" t="n"/>
      <c r="Y420" s="16" t="n"/>
      <c r="Z420" s="15" t="inlineStr">
        <is>
          <t>No issue found</t>
        </is>
      </c>
      <c r="AA420" s="15" t="inlineStr">
        <is>
          <t>Business Standard lists the company but shows no issue dates; web search limit reached</t>
        </is>
      </c>
      <c r="AB420" s="18" t="inlineStr">
        <is>
          <t>https://www.business-standard.com/markets/ipo/vinir-engineering-ltd-ipo-38907</t>
        </is>
      </c>
    </row>
    <row r="421" ht="15" customHeight="1" s="12">
      <c r="A421" s="14" t="n">
        <v>420</v>
      </c>
      <c r="B421" s="16" t="n">
        <v>45679</v>
      </c>
      <c r="C421" s="15" t="n">
        <v>2025</v>
      </c>
      <c r="D421" s="15" t="inlineStr">
        <is>
          <t>Shanti Gold International Limited</t>
        </is>
      </c>
      <c r="E421" s="15" t="inlineStr">
        <is>
          <t>DRHP</t>
        </is>
      </c>
      <c r="F421" s="15" t="inlineStr">
        <is>
          <t>Shanti Gold International Limited</t>
        </is>
      </c>
      <c r="G421" s="15" t="inlineStr">
        <is>
          <t>IPO launched</t>
        </is>
      </c>
      <c r="H421" s="15" t="inlineStr">
        <is>
          <t>Mainboard</t>
        </is>
      </c>
      <c r="I421" s="16" t="n">
        <v>45863</v>
      </c>
      <c r="J421" s="16" t="n">
        <v>45867</v>
      </c>
      <c r="K421" s="16" t="n">
        <v>45870</v>
      </c>
      <c r="L421" s="17" t="n">
        <v>360.11</v>
      </c>
      <c r="M421" s="17" t="n">
        <v>360.11</v>
      </c>
      <c r="N421" s="17" t="n">
        <v>0</v>
      </c>
      <c r="O421" s="15" t="inlineStr">
        <is>
          <t>Final issue (ipoplatform)</t>
        </is>
      </c>
      <c r="P421" s="15" t="n"/>
      <c r="Q421" s="18" t="inlineStr">
        <is>
          <t>https://www.sebi.gov.in/sebi_data/attachdocs/jan-2025/1737531003974_656.pdf</t>
        </is>
      </c>
      <c r="R421" s="18" t="inlineStr">
        <is>
          <t>https://www.sebi.gov.in/filings/public-issues/jan-2025/shanti-gold-international-limited_91075.html</t>
        </is>
      </c>
      <c r="S421" s="15" t="n"/>
      <c r="T421" s="15" t="inlineStr">
        <is>
          <t>SEBI filing link</t>
        </is>
      </c>
      <c r="U421" s="15" t="inlineStr">
        <is>
          <t>Shanti Gold International Limited</t>
        </is>
      </c>
      <c r="V421" s="15" t="n"/>
      <c r="W421" s="15" t="n"/>
      <c r="X421" s="15" t="n"/>
      <c r="Y421" s="15" t="n"/>
      <c r="Z421" s="15" t="n"/>
      <c r="AA421" s="15" t="n"/>
      <c r="AB421" s="15" t="n"/>
    </row>
    <row r="422" ht="15" customHeight="1" s="12">
      <c r="A422" s="14" t="n">
        <v>421</v>
      </c>
      <c r="B422" s="16" t="n">
        <v>45678</v>
      </c>
      <c r="C422" s="15" t="n">
        <v>2025</v>
      </c>
      <c r="D422" s="15" t="inlineStr">
        <is>
          <t>Veritas Finance Limited</t>
        </is>
      </c>
      <c r="E422" s="15" t="inlineStr">
        <is>
          <t>DRHP</t>
        </is>
      </c>
      <c r="F422" s="15" t="inlineStr">
        <is>
          <t>Veritas Finance Limited</t>
        </is>
      </c>
      <c r="G422" s="15" t="inlineStr">
        <is>
          <t>No launched IPO found</t>
        </is>
      </c>
      <c r="H422" s="15" t="n"/>
      <c r="I422" s="16" t="n"/>
      <c r="J422" s="16" t="n"/>
      <c r="K422" s="16" t="n"/>
      <c r="L422" s="17" t="n"/>
      <c r="M422" s="17" t="n"/>
      <c r="N422" s="17" t="n"/>
      <c r="O422" s="15" t="n"/>
      <c r="P422" s="15" t="n"/>
      <c r="Q422" s="18" t="inlineStr">
        <is>
          <t>https://www.sebi.gov.in/sebi_data/attachdocs/jan-2025/1737459004758_655.pdf</t>
        </is>
      </c>
      <c r="R422" s="18" t="inlineStr">
        <is>
          <t>https://www.sebi.gov.in/filings/public-issues/jan-2025/veritas-finance-limited_91063.html</t>
        </is>
      </c>
      <c r="S422" s="15" t="n"/>
      <c r="T422" s="15" t="n"/>
      <c r="U422" s="15" t="n"/>
      <c r="V422" s="15" t="n"/>
      <c r="W422" s="16" t="n"/>
      <c r="X422" s="16" t="n"/>
      <c r="Y422" s="16" t="n"/>
      <c r="Z422" s="15" t="inlineStr">
        <is>
          <t>No issue found</t>
        </is>
      </c>
      <c r="AA422" s="15" t="inlineStr">
        <is>
          <t>Business Standard lists the company but shows no issue dates; web search limit reached</t>
        </is>
      </c>
      <c r="AB422" s="18" t="inlineStr">
        <is>
          <t>https://www.business-standard.com/markets/ipo/veritas-finance-ltd-ipo-71574</t>
        </is>
      </c>
    </row>
    <row r="423" ht="15" customHeight="1" s="12">
      <c r="A423" s="14" t="n">
        <v>422</v>
      </c>
      <c r="B423" s="16" t="n">
        <v>45673</v>
      </c>
      <c r="C423" s="15" t="n">
        <v>2025</v>
      </c>
      <c r="D423" s="15" t="inlineStr">
        <is>
          <t>Vidya Wires Limited</t>
        </is>
      </c>
      <c r="E423" s="15" t="inlineStr">
        <is>
          <t>DRHP</t>
        </is>
      </c>
      <c r="F423" s="15" t="inlineStr">
        <is>
          <t>Vidya Wires Limited</t>
        </is>
      </c>
      <c r="G423" s="15" t="inlineStr">
        <is>
          <t>IPO launched</t>
        </is>
      </c>
      <c r="H423" s="15" t="inlineStr">
        <is>
          <t>Mainboard</t>
        </is>
      </c>
      <c r="I423" s="16" t="n">
        <v>45994</v>
      </c>
      <c r="J423" s="16" t="n">
        <v>45996</v>
      </c>
      <c r="K423" s="16" t="n">
        <v>46001</v>
      </c>
      <c r="L423" s="17" t="n">
        <v>300.01</v>
      </c>
      <c r="M423" s="17" t="n">
        <v>274</v>
      </c>
      <c r="N423" s="17" t="n">
        <v>26.01</v>
      </c>
      <c r="O423" s="15" t="inlineStr">
        <is>
          <t>Final issue (ipoplatform)</t>
        </is>
      </c>
      <c r="P423" s="15" t="n"/>
      <c r="Q423" s="18" t="inlineStr">
        <is>
          <t>https://www.sebi.gov.in/sebi_data/attachdocs/jan-2025/1737012604782_652.pdf</t>
        </is>
      </c>
      <c r="R423" s="18" t="inlineStr">
        <is>
          <t>https://www.sebi.gov.in/filings/public-issues/jan-2025/vidya-wires-limited_90835.html</t>
        </is>
      </c>
      <c r="S423" s="15" t="n"/>
      <c r="T423" s="15" t="inlineStr">
        <is>
          <t>SEBI filing link</t>
        </is>
      </c>
      <c r="U423" s="15" t="inlineStr">
        <is>
          <t>Vidya Wires Limited</t>
        </is>
      </c>
      <c r="V423" s="15" t="n"/>
      <c r="W423" s="15" t="n"/>
      <c r="X423" s="15" t="n"/>
      <c r="Y423" s="15" t="n"/>
      <c r="Z423" s="15" t="n"/>
      <c r="AA423" s="15" t="n"/>
      <c r="AB423" s="15" t="n"/>
    </row>
    <row r="424" ht="15" customHeight="1" s="12">
      <c r="A424" s="14" t="n">
        <v>423</v>
      </c>
      <c r="B424" s="16" t="n">
        <v>45671</v>
      </c>
      <c r="C424" s="15" t="n">
        <v>2025</v>
      </c>
      <c r="D424" s="15" t="inlineStr">
        <is>
          <t>Jesons Industries Limited</t>
        </is>
      </c>
      <c r="E424" s="15" t="inlineStr">
        <is>
          <t>DRHP</t>
        </is>
      </c>
      <c r="F424" s="15" t="inlineStr">
        <is>
          <t>Jesons Industries Limited</t>
        </is>
      </c>
      <c r="G424" s="15" t="inlineStr">
        <is>
          <t>No launched IPO found</t>
        </is>
      </c>
      <c r="H424" s="15" t="n"/>
      <c r="I424" s="16" t="n"/>
      <c r="J424" s="16" t="n"/>
      <c r="K424" s="16" t="n"/>
      <c r="L424" s="17" t="n"/>
      <c r="M424" s="17" t="n"/>
      <c r="N424" s="17" t="n"/>
      <c r="O424" s="15" t="n"/>
      <c r="P424" s="15" t="n"/>
      <c r="Q424" s="18" t="inlineStr">
        <is>
          <t>https://www.sebi.gov.in/sebi_data/attachdocs/jan-2025/1736904610993_649.pdf</t>
        </is>
      </c>
      <c r="R424" s="18" t="inlineStr">
        <is>
          <t>https://www.sebi.gov.in/filings/public-issues/jan-2025/jesons-industries-limited_90761.html</t>
        </is>
      </c>
      <c r="S424" s="15" t="n"/>
      <c r="T424" s="15" t="n"/>
      <c r="U424" s="15" t="n"/>
      <c r="V424" s="15" t="n"/>
      <c r="W424" s="16" t="n"/>
      <c r="X424" s="16" t="n"/>
      <c r="Y424" s="16" t="n"/>
      <c r="Z424" s="15" t="inlineStr">
        <is>
          <t>No issue found</t>
        </is>
      </c>
      <c r="AA424" s="15" t="inlineStr">
        <is>
          <t>Business Standard lists the company but shows no issue dates; web search limit reached</t>
        </is>
      </c>
      <c r="AB424" s="18" t="inlineStr">
        <is>
          <t>https://www.business-standard.com/markets/ipo/jesons-industries-ltd-ipo-27109</t>
        </is>
      </c>
    </row>
    <row r="425" ht="15" customHeight="1" s="12">
      <c r="A425" s="14" t="n">
        <v>424</v>
      </c>
      <c r="B425" s="16" t="n">
        <v>45667</v>
      </c>
      <c r="C425" s="15" t="n">
        <v>2025</v>
      </c>
      <c r="D425" s="15" t="inlineStr">
        <is>
          <t>Sunshine Pictures Limited</t>
        </is>
      </c>
      <c r="E425" s="15" t="inlineStr">
        <is>
          <t>DRHP</t>
        </is>
      </c>
      <c r="F425" s="15" t="inlineStr">
        <is>
          <t>Sunshine Pictures Limited - DRHP</t>
        </is>
      </c>
      <c r="G425" s="15" t="inlineStr">
        <is>
          <t>IPO launched</t>
        </is>
      </c>
      <c r="H425" s="15" t="inlineStr">
        <is>
          <t>Mainboard</t>
        </is>
      </c>
      <c r="I425" s="16" t="n">
        <v>46252</v>
      </c>
      <c r="J425" s="16" t="n">
        <v>46254</v>
      </c>
      <c r="K425" s="16" t="n">
        <v>46259</v>
      </c>
      <c r="L425" s="17" t="n">
        <v>282.14</v>
      </c>
      <c r="M425" s="17" t="n">
        <v>172.8</v>
      </c>
      <c r="N425" s="17" t="n">
        <v>109.34</v>
      </c>
      <c r="O425" s="15" t="inlineStr">
        <is>
          <t>Final issue (ipoplatform)</t>
        </is>
      </c>
      <c r="P425" s="15" t="n"/>
      <c r="Q425" s="18" t="inlineStr">
        <is>
          <t>https://www.sebi.gov.in/sebi_data/attachdocs/jan-2025/1736503107636.pdf</t>
        </is>
      </c>
      <c r="R425" s="18" t="inlineStr">
        <is>
          <t>https://www.sebi.gov.in/filings/public-issues/jan-2025/sunshine-pictures-limited-drhp_90683.html</t>
        </is>
      </c>
      <c r="S425" s="15" t="n"/>
      <c r="T425" s="15" t="inlineStr">
        <is>
          <t>SEBI filing link</t>
        </is>
      </c>
      <c r="U425" s="15" t="inlineStr">
        <is>
          <t>Sunshine Pictures Limited</t>
        </is>
      </c>
      <c r="V425" s="15" t="n"/>
      <c r="W425" s="15" t="n"/>
      <c r="X425" s="15" t="n"/>
      <c r="Y425" s="15" t="n"/>
      <c r="Z425" s="15" t="n"/>
      <c r="AA425" s="15" t="n"/>
      <c r="AB425" s="15" t="n"/>
    </row>
    <row r="426" ht="15" customHeight="1" s="12">
      <c r="A426" s="14" t="n">
        <v>425</v>
      </c>
      <c r="B426" s="16" t="n">
        <v>45667</v>
      </c>
      <c r="C426" s="15" t="n">
        <v>2025</v>
      </c>
      <c r="D426" s="15" t="inlineStr">
        <is>
          <t>A One Steels India Limited</t>
        </is>
      </c>
      <c r="E426" s="15" t="inlineStr">
        <is>
          <t>DRHP</t>
        </is>
      </c>
      <c r="F426" s="15" t="inlineStr">
        <is>
          <t>A One Steels India Limited</t>
        </is>
      </c>
      <c r="G426" s="15" t="inlineStr">
        <is>
          <t>IPO launched</t>
        </is>
      </c>
      <c r="H426" s="15" t="inlineStr">
        <is>
          <t>Mainboard</t>
        </is>
      </c>
      <c r="I426" s="16" t="n">
        <v>46289</v>
      </c>
      <c r="J426" s="16" t="n">
        <v>46293</v>
      </c>
      <c r="K426" s="16" t="n">
        <v>46296</v>
      </c>
      <c r="L426" s="17" t="n">
        <v>405</v>
      </c>
      <c r="M426" s="17" t="n">
        <v>355</v>
      </c>
      <c r="N426" s="17" t="n">
        <v>50</v>
      </c>
      <c r="O426" s="15" t="inlineStr">
        <is>
          <t>Final issue (ipoplatform)</t>
        </is>
      </c>
      <c r="P426" s="15" t="n"/>
      <c r="Q426" s="18" t="inlineStr">
        <is>
          <t>https://www.sebi.gov.in/sebi_data/attachdocs/jan-2025/1736494207595_646.pdf</t>
        </is>
      </c>
      <c r="R426" s="18" t="inlineStr">
        <is>
          <t>https://www.sebi.gov.in/filings/public-issues/jan-2025/a-one-steels-india-limited_90677.html</t>
        </is>
      </c>
      <c r="S426" s="15" t="n"/>
      <c r="T426" s="15" t="inlineStr">
        <is>
          <t>SEBI filing link</t>
        </is>
      </c>
      <c r="U426" s="15" t="inlineStr">
        <is>
          <t>A-one Steels India Limited</t>
        </is>
      </c>
      <c r="V426" s="15" t="n"/>
      <c r="W426" s="15" t="n"/>
      <c r="X426" s="15" t="n"/>
      <c r="Y426" s="15" t="n"/>
      <c r="Z426" s="15" t="n"/>
      <c r="AA426" s="15" t="n"/>
      <c r="AB426" s="15" t="n"/>
    </row>
    <row r="427" ht="15" customHeight="1" s="12">
      <c r="A427" s="14" t="n">
        <v>426</v>
      </c>
      <c r="B427" s="16" t="n">
        <v>45666</v>
      </c>
      <c r="C427" s="15" t="n">
        <v>2025</v>
      </c>
      <c r="D427" s="15" t="inlineStr">
        <is>
          <t>CALIBER MINING AND LOGISTICS LIMITED</t>
        </is>
      </c>
      <c r="E427" s="15" t="inlineStr">
        <is>
          <t>DRHP</t>
        </is>
      </c>
      <c r="F427" s="15" t="inlineStr">
        <is>
          <t>CALIBER MINING AND LOGISTICS LIMITED</t>
        </is>
      </c>
      <c r="G427" s="15" t="inlineStr">
        <is>
          <t>IPO launched</t>
        </is>
      </c>
      <c r="H427" s="15" t="inlineStr">
        <is>
          <t>Mainboard</t>
        </is>
      </c>
      <c r="I427" s="16" t="n">
        <v>46220</v>
      </c>
      <c r="J427" s="16" t="n">
        <v>46224</v>
      </c>
      <c r="K427" s="16" t="n">
        <v>46227</v>
      </c>
      <c r="L427" s="17" t="n">
        <v>450</v>
      </c>
      <c r="M427" s="17" t="n">
        <v>400</v>
      </c>
      <c r="N427" s="17" t="n">
        <v>50</v>
      </c>
      <c r="O427" s="15" t="inlineStr">
        <is>
          <t>Final issue (ipoplatform)</t>
        </is>
      </c>
      <c r="P427" s="15" t="n"/>
      <c r="Q427" s="18" t="inlineStr">
        <is>
          <t>https://www.sebi.gov.in/sebi_data/attachdocs/jan-2025/1736422206144_645.pdf</t>
        </is>
      </c>
      <c r="R427" s="18" t="inlineStr">
        <is>
          <t>https://www.sebi.gov.in/filings/public-issues/jan-2025/caliber-mining-and-logistics-limited_90669.html</t>
        </is>
      </c>
      <c r="S427" s="15" t="n"/>
      <c r="T427" s="15" t="inlineStr">
        <is>
          <t>SEBI filing link</t>
        </is>
      </c>
      <c r="U427" s="15" t="inlineStr">
        <is>
          <t>Caliber Mining and Logistics Limited</t>
        </is>
      </c>
      <c r="V427" s="15" t="n"/>
      <c r="W427" s="15" t="n"/>
      <c r="X427" s="15" t="n"/>
      <c r="Y427" s="15" t="n"/>
      <c r="Z427" s="15" t="n"/>
      <c r="AA427" s="15" t="n"/>
      <c r="AB427" s="15" t="n"/>
    </row>
    <row r="428" ht="15" customHeight="1" s="12">
      <c r="A428" s="14" t="n">
        <v>427</v>
      </c>
      <c r="B428" s="16" t="n">
        <v>45664</v>
      </c>
      <c r="C428" s="15" t="n">
        <v>2025</v>
      </c>
      <c r="D428" s="15" t="inlineStr">
        <is>
          <t>Fujiyama Power Systems Limited</t>
        </is>
      </c>
      <c r="E428" s="15" t="inlineStr">
        <is>
          <t>DRHP</t>
        </is>
      </c>
      <c r="F428" s="15" t="inlineStr">
        <is>
          <t>Fujiyama Power Systems Limited</t>
        </is>
      </c>
      <c r="G428" s="15" t="inlineStr">
        <is>
          <t>IPO launched</t>
        </is>
      </c>
      <c r="H428" s="15" t="inlineStr">
        <is>
          <t>Mainboard</t>
        </is>
      </c>
      <c r="I428" s="16" t="n">
        <v>45974</v>
      </c>
      <c r="J428" s="16" t="n">
        <v>45978</v>
      </c>
      <c r="K428" s="16" t="n">
        <v>45981</v>
      </c>
      <c r="L428" s="17" t="n">
        <v>828</v>
      </c>
      <c r="M428" s="17" t="n">
        <v>600</v>
      </c>
      <c r="N428" s="17" t="n">
        <v>228</v>
      </c>
      <c r="O428" s="15" t="inlineStr">
        <is>
          <t>Final issue (ipoplatform)</t>
        </is>
      </c>
      <c r="P428" s="15" t="n"/>
      <c r="Q428" s="18" t="inlineStr">
        <is>
          <t>https://www.sebi.gov.in/sebi_data/attachdocs/jan-2025/1736249404881_639.pdf</t>
        </is>
      </c>
      <c r="R428" s="18" t="inlineStr">
        <is>
          <t>https://www.sebi.gov.in/filings/public-issues/jan-2025/fujiyama-power-systems-limited_90596.html</t>
        </is>
      </c>
      <c r="S428" s="15" t="n"/>
      <c r="T428" s="15" t="inlineStr">
        <is>
          <t>Company name + date window</t>
        </is>
      </c>
      <c r="U428" s="15" t="inlineStr">
        <is>
          <t>Fujiyama Power Systems Limited</t>
        </is>
      </c>
      <c r="V428" s="15" t="n"/>
      <c r="W428" s="15" t="n"/>
      <c r="X428" s="15" t="n"/>
      <c r="Y428" s="15" t="n"/>
      <c r="Z428" s="15" t="n"/>
      <c r="AA428" s="15" t="n"/>
      <c r="AB428" s="15" t="n"/>
    </row>
    <row r="429" ht="15" customHeight="1" s="12">
      <c r="A429" s="14" t="n">
        <v>428</v>
      </c>
      <c r="B429" s="16" t="n">
        <v>45663</v>
      </c>
      <c r="C429" s="15" t="n">
        <v>2025</v>
      </c>
      <c r="D429" s="15" t="inlineStr">
        <is>
          <t>SRI LOTUS DEVELOPERS AND REALTY LIMITED</t>
        </is>
      </c>
      <c r="E429" s="15" t="inlineStr">
        <is>
          <t>DRHP</t>
        </is>
      </c>
      <c r="F429" s="15" t="inlineStr">
        <is>
          <t>SRI LOTUS DEVELOPERS AND REALTY LIMITED</t>
        </is>
      </c>
      <c r="G429" s="15" t="inlineStr">
        <is>
          <t>IPO launched</t>
        </is>
      </c>
      <c r="H429" s="15" t="inlineStr">
        <is>
          <t>Mainboard</t>
        </is>
      </c>
      <c r="I429" s="16" t="n">
        <v>45868</v>
      </c>
      <c r="J429" s="16" t="n">
        <v>45870</v>
      </c>
      <c r="K429" s="16" t="n">
        <v>45875</v>
      </c>
      <c r="L429" s="17" t="n">
        <v>792</v>
      </c>
      <c r="M429" s="17" t="n">
        <v>792</v>
      </c>
      <c r="N429" s="17" t="n">
        <v>0</v>
      </c>
      <c r="O429" s="15" t="inlineStr">
        <is>
          <t>Final issue (ipoplatform)</t>
        </is>
      </c>
      <c r="P429" s="15" t="n"/>
      <c r="Q429" s="18" t="inlineStr">
        <is>
          <t>https://www.sebi.gov.in/sebi_data/attachdocs/jan-2025/1736213406100_638.pdf</t>
        </is>
      </c>
      <c r="R429" s="18" t="inlineStr">
        <is>
          <t>https://www.sebi.gov.in/filings/public-issues/jan-2025/sri-lotus-developers-and-realty-limited_90557.html</t>
        </is>
      </c>
      <c r="S429" s="15" t="n"/>
      <c r="T429" s="15" t="inlineStr">
        <is>
          <t>SEBI filing link</t>
        </is>
      </c>
      <c r="U429" s="15" t="inlineStr">
        <is>
          <t>Sri Lotus Developers and Realty Limited</t>
        </is>
      </c>
      <c r="V429" s="15" t="n"/>
      <c r="W429" s="15" t="n"/>
      <c r="X429" s="15" t="n"/>
      <c r="Y429" s="15" t="n"/>
      <c r="Z429" s="15" t="n"/>
      <c r="AA429" s="15" t="n"/>
      <c r="AB429" s="15" t="n"/>
    </row>
    <row r="430" ht="15" customHeight="1" s="12">
      <c r="A430" s="14" t="n">
        <v>429</v>
      </c>
      <c r="B430" s="16" t="n">
        <v>45663</v>
      </c>
      <c r="C430" s="15" t="n">
        <v>2025</v>
      </c>
      <c r="D430" s="15" t="inlineStr">
        <is>
          <t>ANTHEM BIOSCIENCES LIMITED</t>
        </is>
      </c>
      <c r="E430" s="15" t="inlineStr">
        <is>
          <t>DRHP</t>
        </is>
      </c>
      <c r="F430" s="15" t="inlineStr">
        <is>
          <t>ANTHEM BIOSCIENCES LIMITED</t>
        </is>
      </c>
      <c r="G430" s="15" t="inlineStr">
        <is>
          <t>IPO launched</t>
        </is>
      </c>
      <c r="H430" s="15" t="inlineStr">
        <is>
          <t>Mainboard</t>
        </is>
      </c>
      <c r="I430" s="16" t="n">
        <v>45852</v>
      </c>
      <c r="J430" s="16" t="n">
        <v>45854</v>
      </c>
      <c r="K430" s="16" t="n">
        <v>45859</v>
      </c>
      <c r="L430" s="17" t="n">
        <v>3395</v>
      </c>
      <c r="M430" s="17" t="n"/>
      <c r="N430" s="17" t="n">
        <v>3395</v>
      </c>
      <c r="O430" s="15" t="inlineStr">
        <is>
          <t>Final issue (ipoplatform)</t>
        </is>
      </c>
      <c r="P430" s="15" t="n"/>
      <c r="Q430" s="18" t="inlineStr">
        <is>
          <t>https://www.sebi.gov.in/sebi_data/attachdocs/jan-2025/1736163029389_635.pdf</t>
        </is>
      </c>
      <c r="R430" s="18" t="inlineStr">
        <is>
          <t>https://www.sebi.gov.in/filings/public-issues/jan-2025/anthem-biosciences-limited_90546.html</t>
        </is>
      </c>
      <c r="S430" s="15" t="n"/>
      <c r="T430" s="15" t="inlineStr">
        <is>
          <t>SEBI filing link</t>
        </is>
      </c>
      <c r="U430" s="15" t="inlineStr">
        <is>
          <t>Anthem Biosciences Limited</t>
        </is>
      </c>
      <c r="V430" s="15" t="n"/>
      <c r="W430" s="15" t="n"/>
      <c r="X430" s="15" t="n"/>
      <c r="Y430" s="15" t="n"/>
      <c r="Z430" s="15" t="n"/>
      <c r="AA430" s="15" t="n"/>
      <c r="AB430" s="15" t="n"/>
    </row>
    <row r="431" ht="15" customHeight="1" s="12">
      <c r="A431" s="14" t="n">
        <v>430</v>
      </c>
      <c r="B431" s="16" t="n">
        <v>45663</v>
      </c>
      <c r="C431" s="15" t="n">
        <v>2025</v>
      </c>
      <c r="D431" s="15" t="inlineStr">
        <is>
          <t>Gem Aromatics Limited</t>
        </is>
      </c>
      <c r="E431" s="15" t="inlineStr">
        <is>
          <t>DRHP</t>
        </is>
      </c>
      <c r="F431" s="15" t="inlineStr">
        <is>
          <t>Gem Aromatics Limited</t>
        </is>
      </c>
      <c r="G431" s="15" t="inlineStr">
        <is>
          <t>IPO launched</t>
        </is>
      </c>
      <c r="H431" s="15" t="inlineStr">
        <is>
          <t>Mainboard</t>
        </is>
      </c>
      <c r="I431" s="16" t="n">
        <v>45888</v>
      </c>
      <c r="J431" s="16" t="n">
        <v>45890</v>
      </c>
      <c r="K431" s="16" t="n">
        <v>45895</v>
      </c>
      <c r="L431" s="17" t="n">
        <v>451.25</v>
      </c>
      <c r="M431" s="17" t="n">
        <v>175</v>
      </c>
      <c r="N431" s="17" t="n">
        <v>276.25</v>
      </c>
      <c r="O431" s="15" t="inlineStr">
        <is>
          <t>Final issue (ipoplatform)</t>
        </is>
      </c>
      <c r="P431" s="15" t="n"/>
      <c r="Q431" s="18" t="inlineStr">
        <is>
          <t>https://www.sebi.gov.in/sebi_data/attachdocs/jan-2025/1736163029389_636.pdf</t>
        </is>
      </c>
      <c r="R431" s="18" t="inlineStr">
        <is>
          <t>https://www.sebi.gov.in/filings/public-issues/jan-2025/gem-aromatics-limited_90548.html</t>
        </is>
      </c>
      <c r="S431" s="15" t="n"/>
      <c r="T431" s="15" t="inlineStr">
        <is>
          <t>SEBI filing link</t>
        </is>
      </c>
      <c r="U431" s="15" t="inlineStr">
        <is>
          <t>Gem Aromatics Limited</t>
        </is>
      </c>
      <c r="V431" s="15" t="n"/>
      <c r="W431" s="15" t="n"/>
      <c r="X431" s="15" t="n"/>
      <c r="Y431" s="15" t="n"/>
      <c r="Z431" s="15" t="n"/>
      <c r="AA431" s="15" t="n"/>
      <c r="AB431" s="15" t="n"/>
    </row>
    <row r="432" ht="15" customHeight="1" s="12">
      <c r="A432" s="14" t="n">
        <v>431</v>
      </c>
      <c r="B432" s="16" t="n">
        <v>45663</v>
      </c>
      <c r="C432" s="15" t="n">
        <v>2025</v>
      </c>
      <c r="D432" s="15" t="inlineStr">
        <is>
          <t>Regaal Resources Limited</t>
        </is>
      </c>
      <c r="E432" s="15" t="inlineStr">
        <is>
          <t>DRHP</t>
        </is>
      </c>
      <c r="F432" s="15" t="inlineStr">
        <is>
          <t>Regaal Resources Limited</t>
        </is>
      </c>
      <c r="G432" s="15" t="inlineStr">
        <is>
          <t>IPO launched</t>
        </is>
      </c>
      <c r="H432" s="15" t="inlineStr">
        <is>
          <t>Mainboard</t>
        </is>
      </c>
      <c r="I432" s="16" t="n">
        <v>45881</v>
      </c>
      <c r="J432" s="16" t="n">
        <v>45883</v>
      </c>
      <c r="K432" s="16" t="n">
        <v>45889</v>
      </c>
      <c r="L432" s="17" t="n">
        <v>306</v>
      </c>
      <c r="M432" s="17" t="n">
        <v>210</v>
      </c>
      <c r="N432" s="17" t="n">
        <v>96</v>
      </c>
      <c r="O432" s="15" t="inlineStr">
        <is>
          <t>Final issue (ipoplatform)</t>
        </is>
      </c>
      <c r="P432" s="15" t="n"/>
      <c r="Q432" s="18" t="inlineStr">
        <is>
          <t>https://www.sebi.gov.in/sebi_data/attachdocs/jan-2025/1736163029389_634.pdf</t>
        </is>
      </c>
      <c r="R432" s="18" t="inlineStr">
        <is>
          <t>https://www.sebi.gov.in/filings/public-issues/jan-2025/regaal-resources-limited_90544.html</t>
        </is>
      </c>
      <c r="S432" s="15" t="n"/>
      <c r="T432" s="15" t="inlineStr">
        <is>
          <t>SEBI filing link</t>
        </is>
      </c>
      <c r="U432" s="15" t="inlineStr">
        <is>
          <t>Regaal Resources Limited</t>
        </is>
      </c>
      <c r="V432" s="15" t="n"/>
      <c r="W432" s="15" t="n"/>
      <c r="X432" s="15" t="n"/>
      <c r="Y432" s="15" t="n"/>
      <c r="Z432" s="15" t="n"/>
      <c r="AA432" s="15" t="n"/>
      <c r="AB432" s="15" t="n"/>
    </row>
    <row r="433" ht="15" customHeight="1" s="12">
      <c r="A433" s="14" t="n">
        <v>432</v>
      </c>
      <c r="B433" s="16" t="n">
        <v>45663</v>
      </c>
      <c r="C433" s="15" t="n">
        <v>2025</v>
      </c>
      <c r="D433" s="15" t="inlineStr">
        <is>
          <t>Earthood Services Limited</t>
        </is>
      </c>
      <c r="E433" s="15" t="inlineStr">
        <is>
          <t>DRHP</t>
        </is>
      </c>
      <c r="F433" s="15" t="inlineStr">
        <is>
          <t>Earthood Services Limited</t>
        </is>
      </c>
      <c r="G433" s="15" t="inlineStr">
        <is>
          <t>No launched IPO found</t>
        </is>
      </c>
      <c r="H433" s="15" t="n"/>
      <c r="I433" s="16" t="n"/>
      <c r="J433" s="16" t="n"/>
      <c r="K433" s="16" t="n"/>
      <c r="L433" s="17" t="n"/>
      <c r="M433" s="17" t="n"/>
      <c r="N433" s="17" t="n"/>
      <c r="O433" s="15" t="n"/>
      <c r="P433" s="15" t="n"/>
      <c r="Q433" s="18" t="inlineStr">
        <is>
          <t>https://www.sebi.gov.in/sebi_data/attachdocs/jan-2025/1736148610420_632.pdf</t>
        </is>
      </c>
      <c r="R433" s="18" t="inlineStr">
        <is>
          <t>https://www.sebi.gov.in/filings/public-issues/jan-2025/earthood-services-limited_90533.html</t>
        </is>
      </c>
      <c r="S433" s="15" t="n"/>
      <c r="T433" s="15" t="n"/>
      <c r="U433" s="15" t="n"/>
      <c r="V433" s="15" t="n"/>
      <c r="W433" s="16" t="n"/>
      <c r="X433" s="16" t="n"/>
      <c r="Y433" s="16" t="n"/>
      <c r="Z433" s="15" t="inlineStr">
        <is>
          <t>Withdrawn / approval lapsed</t>
        </is>
      </c>
      <c r="AA433" s="15" t="inlineStr">
        <is>
          <t>DRHP withdrawn from SEBI on 2026-02-23</t>
        </is>
      </c>
      <c r="AB433" s="18" t="inlineStr">
        <is>
          <t>https://www.chittorgarh.com/ipo/earthood-services-ipo/2071/</t>
        </is>
      </c>
    </row>
    <row r="434" ht="15" customHeight="1" s="12">
      <c r="A434" s="14" t="n">
        <v>433</v>
      </c>
      <c r="B434" s="16" t="n">
        <v>45663</v>
      </c>
      <c r="C434" s="15" t="n">
        <v>2025</v>
      </c>
      <c r="D434" s="15" t="inlineStr">
        <is>
          <t>MANGAL ELECTRICAL INDUSTRIES LIMITED</t>
        </is>
      </c>
      <c r="E434" s="15" t="inlineStr">
        <is>
          <t>DRHP</t>
        </is>
      </c>
      <c r="F434" s="15" t="inlineStr">
        <is>
          <t>MANGAL ELECTRICAL INDUSTRIES LIMITED</t>
        </is>
      </c>
      <c r="G434" s="15" t="inlineStr">
        <is>
          <t>IPO launched</t>
        </is>
      </c>
      <c r="H434" s="15" t="inlineStr">
        <is>
          <t>Mainboard</t>
        </is>
      </c>
      <c r="I434" s="16" t="n">
        <v>45889</v>
      </c>
      <c r="J434" s="16" t="n">
        <v>45891</v>
      </c>
      <c r="K434" s="16" t="n">
        <v>45897</v>
      </c>
      <c r="L434" s="17" t="n">
        <v>400</v>
      </c>
      <c r="M434" s="17" t="n">
        <v>400</v>
      </c>
      <c r="N434" s="17" t="n">
        <v>0</v>
      </c>
      <c r="O434" s="15" t="inlineStr">
        <is>
          <t>Final issue (ipoplatform)</t>
        </is>
      </c>
      <c r="P434" s="15" t="n"/>
      <c r="Q434" s="18" t="inlineStr">
        <is>
          <t>https://www.sebi.gov.in/sebi_data/attachdocs/jan-2025/1736148610420_633.pdf</t>
        </is>
      </c>
      <c r="R434" s="18" t="inlineStr">
        <is>
          <t>https://www.sebi.gov.in/filings/public-issues/jan-2025/mangal-electrical-industries-limited_90535.html</t>
        </is>
      </c>
      <c r="S434" s="15" t="n"/>
      <c r="T434" s="15" t="inlineStr">
        <is>
          <t>SEBI filing link</t>
        </is>
      </c>
      <c r="U434" s="15" t="inlineStr">
        <is>
          <t>Mangal Electrical Industries Limited</t>
        </is>
      </c>
      <c r="V434" s="15" t="n"/>
      <c r="W434" s="15" t="n"/>
      <c r="X434" s="15" t="n"/>
      <c r="Y434" s="15" t="n"/>
      <c r="Z434" s="15" t="n"/>
      <c r="AA434" s="15" t="n"/>
      <c r="AB434" s="15" t="n"/>
    </row>
    <row r="435" ht="15" customHeight="1" s="12">
      <c r="A435" s="14" t="n">
        <v>434</v>
      </c>
      <c r="B435" s="16" t="n">
        <v>45663</v>
      </c>
      <c r="C435" s="15" t="n">
        <v>2025</v>
      </c>
      <c r="D435" s="15" t="inlineStr">
        <is>
          <t>Rajputana Stainless Limited</t>
        </is>
      </c>
      <c r="E435" s="15" t="inlineStr">
        <is>
          <t>DRHP</t>
        </is>
      </c>
      <c r="F435" s="15" t="inlineStr">
        <is>
          <t>Rajputana Stainless Limited</t>
        </is>
      </c>
      <c r="G435" s="15" t="inlineStr">
        <is>
          <t>IPO launched</t>
        </is>
      </c>
      <c r="H435" s="15" t="inlineStr">
        <is>
          <t>Mainboard</t>
        </is>
      </c>
      <c r="I435" s="16" t="n">
        <v>46090</v>
      </c>
      <c r="J435" s="16" t="n">
        <v>46092</v>
      </c>
      <c r="K435" s="16" t="n">
        <v>46097</v>
      </c>
      <c r="L435" s="17" t="n">
        <v>254.98</v>
      </c>
      <c r="M435" s="17" t="n">
        <v>178.73</v>
      </c>
      <c r="N435" s="17" t="n">
        <v>76.25</v>
      </c>
      <c r="O435" s="15" t="inlineStr">
        <is>
          <t>Final issue (ipoplatform)</t>
        </is>
      </c>
      <c r="P435" s="15" t="n"/>
      <c r="Q435" s="18" t="inlineStr">
        <is>
          <t>https://www.sebi.gov.in/sebi_data/attachdocs/jan-2025/1736148610420_631.pdf</t>
        </is>
      </c>
      <c r="R435" s="18" t="inlineStr">
        <is>
          <t>https://www.sebi.gov.in/filings/public-issues/jan-2025/rajputana-stainless-limited_90531.html</t>
        </is>
      </c>
      <c r="S435" s="15" t="n"/>
      <c r="T435" s="15" t="inlineStr">
        <is>
          <t>Company name + date window</t>
        </is>
      </c>
      <c r="U435" s="15" t="inlineStr">
        <is>
          <t>Rajputana Stainless Limited</t>
        </is>
      </c>
      <c r="V435" s="15" t="n"/>
      <c r="W435" s="15" t="n"/>
      <c r="X435" s="15" t="n"/>
      <c r="Y435" s="15" t="n"/>
      <c r="Z435" s="15" t="n"/>
      <c r="AA435" s="15" t="n"/>
      <c r="AB435" s="15" t="n"/>
    </row>
    <row r="436" ht="15" customHeight="1" s="12">
      <c r="A436" s="14" t="n">
        <v>435</v>
      </c>
      <c r="B436" s="16" t="n">
        <v>45659</v>
      </c>
      <c r="C436" s="15" t="n">
        <v>2025</v>
      </c>
      <c r="D436" s="15" t="inlineStr">
        <is>
          <t>NEELKANTH REALTORS LIMITED</t>
        </is>
      </c>
      <c r="E436" s="15" t="inlineStr">
        <is>
          <t>DRHP</t>
        </is>
      </c>
      <c r="F436" s="15" t="inlineStr">
        <is>
          <t>NEELKANTH REALTORS LIMITED</t>
        </is>
      </c>
      <c r="G436" s="15" t="inlineStr">
        <is>
          <t>No launched IPO found</t>
        </is>
      </c>
      <c r="H436" s="15" t="n"/>
      <c r="I436" s="16" t="n"/>
      <c r="J436" s="16" t="n"/>
      <c r="K436" s="16" t="n"/>
      <c r="L436" s="17" t="n"/>
      <c r="M436" s="17" t="n"/>
      <c r="N436" s="17" t="n"/>
      <c r="O436" s="15" t="n"/>
      <c r="P436" s="15" t="n"/>
      <c r="Q436" s="18" t="inlineStr">
        <is>
          <t>https://www.sebi.gov.in/sebi_data/attachdocs/jan-2025/1735867803605_630.pdf</t>
        </is>
      </c>
      <c r="R436" s="18" t="inlineStr">
        <is>
          <t>https://www.sebi.gov.in/filings/public-issues/jan-2025/neelkanth-realtors-limited_90480.html</t>
        </is>
      </c>
      <c r="S436" s="15" t="n"/>
      <c r="T436" s="15" t="n"/>
      <c r="U436" s="15" t="n"/>
      <c r="V436" s="15" t="n"/>
      <c r="W436" s="16" t="n"/>
      <c r="X436" s="16" t="n"/>
      <c r="Y436" s="16" t="n"/>
      <c r="Z436" s="15" t="inlineStr">
        <is>
          <t>No issue found</t>
        </is>
      </c>
      <c r="AA436" s="15" t="inlineStr">
        <is>
          <t>Business Standard lists the company but shows no issue dates; web search limit reached</t>
        </is>
      </c>
      <c r="AB436" s="18" t="inlineStr">
        <is>
          <t>https://www.business-standard.com/markets/ipo/neelkanth-realtors-ltd-ipo-94329</t>
        </is>
      </c>
    </row>
    <row r="437" ht="15" customHeight="1" s="12">
      <c r="A437" s="14" t="n">
        <v>436</v>
      </c>
      <c r="B437" s="16" t="n">
        <v>45658</v>
      </c>
      <c r="C437" s="15" t="n">
        <v>2025</v>
      </c>
      <c r="D437" s="15" t="inlineStr">
        <is>
          <t>Ajay Poly Limited</t>
        </is>
      </c>
      <c r="E437" s="15" t="inlineStr">
        <is>
          <t>DRHP</t>
        </is>
      </c>
      <c r="F437" s="15" t="inlineStr">
        <is>
          <t>Ajay Poly Limited</t>
        </is>
      </c>
      <c r="G437" s="15" t="inlineStr">
        <is>
          <t>No launched IPO found</t>
        </is>
      </c>
      <c r="H437" s="15" t="n"/>
      <c r="I437" s="16" t="n"/>
      <c r="J437" s="16" t="n"/>
      <c r="K437" s="16" t="n"/>
      <c r="L437" s="17" t="n"/>
      <c r="M437" s="17" t="n"/>
      <c r="N437" s="17" t="n"/>
      <c r="O437" s="15" t="n"/>
      <c r="P437" s="15" t="n"/>
      <c r="Q437" s="18" t="inlineStr">
        <is>
          <t>https://www.sebi.gov.in/sebi_data/attachdocs/jan-2025/1735731007416_629.pdf</t>
        </is>
      </c>
      <c r="R437" s="18" t="inlineStr">
        <is>
          <t>https://www.sebi.gov.in/filings/public-issues/jan-2025/ajay-poly-limited_90441.html</t>
        </is>
      </c>
      <c r="S437" s="15" t="n"/>
      <c r="T437" s="15" t="n"/>
      <c r="U437" s="15" t="n"/>
      <c r="V437" s="15" t="n"/>
      <c r="W437" s="16" t="n"/>
      <c r="X437" s="16" t="n"/>
      <c r="Y437" s="16" t="n"/>
      <c r="Z437" s="15" t="inlineStr">
        <is>
          <t>No issue found</t>
        </is>
      </c>
      <c r="AA437" s="15" t="inlineStr">
        <is>
          <t>Business Standard lists the company but shows no issue dates; web search limit reached</t>
        </is>
      </c>
      <c r="AB437" s="18" t="inlineStr">
        <is>
          <t>https://www.business-standard.com/markets/ipo/ajay-poly-ltd-ipo-94326</t>
        </is>
      </c>
    </row>
    <row r="438" ht="15" customHeight="1" s="12">
      <c r="A438" s="14" t="n">
        <v>437</v>
      </c>
      <c r="B438" s="16" t="n">
        <v>45658</v>
      </c>
      <c r="C438" s="15" t="n">
        <v>2025</v>
      </c>
      <c r="D438" s="15" t="inlineStr">
        <is>
          <t>Neilsoft Limited</t>
        </is>
      </c>
      <c r="E438" s="15" t="inlineStr">
        <is>
          <t>DRHP</t>
        </is>
      </c>
      <c r="F438" s="15" t="inlineStr">
        <is>
          <t>Neilsoft Limited</t>
        </is>
      </c>
      <c r="G438" s="15" t="inlineStr">
        <is>
          <t>No launched IPO found</t>
        </is>
      </c>
      <c r="H438" s="15" t="n"/>
      <c r="I438" s="16" t="n"/>
      <c r="J438" s="16" t="n"/>
      <c r="K438" s="16" t="n"/>
      <c r="L438" s="17" t="n"/>
      <c r="M438" s="17" t="n"/>
      <c r="N438" s="17" t="n"/>
      <c r="O438" s="15" t="n"/>
      <c r="P438" s="15" t="n"/>
      <c r="Q438" s="18" t="inlineStr">
        <is>
          <t>https://www.sebi.gov.in/sebi_data/attachdocs/jan-2025/1735731007416_627.pdf</t>
        </is>
      </c>
      <c r="R438" s="18" t="inlineStr">
        <is>
          <t>https://www.sebi.gov.in/filings/public-issues/jan-2025/neilsoft-limited_90437.html</t>
        </is>
      </c>
      <c r="S438" s="15" t="n"/>
      <c r="T438" s="15" t="n"/>
      <c r="U438" s="15" t="n"/>
      <c r="V438" s="15" t="n"/>
      <c r="W438" s="16" t="n"/>
      <c r="X438" s="16" t="n"/>
      <c r="Y438" s="16" t="n"/>
      <c r="Z438" s="15" t="inlineStr">
        <is>
          <t>Withdrawn / approval lapsed</t>
        </is>
      </c>
      <c r="AA438" s="15" t="inlineStr">
        <is>
          <t>Earlier draft returned Mar-2025; refiled, SEBI nod Sep-2025, approval expired Sep-2026 without IPO</t>
        </is>
      </c>
      <c r="AB438" s="18" t="inlineStr">
        <is>
          <t>https://www.chittorgarh.com/ipo/neilsoft-ipo/2056/</t>
        </is>
      </c>
    </row>
    <row r="439" ht="15" customHeight="1" s="12">
      <c r="A439" s="14" t="n">
        <v>438</v>
      </c>
      <c r="B439" s="16" t="n">
        <v>45658</v>
      </c>
      <c r="C439" s="15" t="n">
        <v>2025</v>
      </c>
      <c r="D439" s="15" t="inlineStr">
        <is>
          <t>SESHAASAI TECHNOLOGIES LIMITED</t>
        </is>
      </c>
      <c r="E439" s="15" t="inlineStr">
        <is>
          <t>DRHP</t>
        </is>
      </c>
      <c r="F439" s="15" t="inlineStr">
        <is>
          <t>SESHAASAI TECHNOLOGIES LIMITED</t>
        </is>
      </c>
      <c r="G439" s="15" t="inlineStr">
        <is>
          <t>IPO launched</t>
        </is>
      </c>
      <c r="H439" s="15" t="inlineStr">
        <is>
          <t>Mainboard</t>
        </is>
      </c>
      <c r="I439" s="16" t="n">
        <v>45923</v>
      </c>
      <c r="J439" s="16" t="n">
        <v>45925</v>
      </c>
      <c r="K439" s="16" t="n">
        <v>45930</v>
      </c>
      <c r="L439" s="17" t="n">
        <v>813.0700000000001</v>
      </c>
      <c r="M439" s="17" t="n">
        <v>480</v>
      </c>
      <c r="N439" s="17" t="n">
        <v>333.07</v>
      </c>
      <c r="O439" s="15" t="inlineStr">
        <is>
          <t>Final issue (ipoplatform)</t>
        </is>
      </c>
      <c r="P439" s="15" t="n"/>
      <c r="Q439" s="18" t="inlineStr">
        <is>
          <t>https://www.sebi.gov.in/sebi_data/attachdocs/jan-2025/1735716619811_621.pdf</t>
        </is>
      </c>
      <c r="R439" s="18" t="inlineStr">
        <is>
          <t>https://www.sebi.gov.in/filings/public-issues/jan-2025/seshaasai-technologies-limited_90410.html</t>
        </is>
      </c>
      <c r="S439" s="15" t="n"/>
      <c r="T439" s="15" t="inlineStr">
        <is>
          <t>SEBI filing link</t>
        </is>
      </c>
      <c r="U439" s="15" t="inlineStr">
        <is>
          <t>Seshaasai Technologies Limited</t>
        </is>
      </c>
      <c r="V439" s="15" t="n"/>
      <c r="W439" s="15" t="n"/>
      <c r="X439" s="15" t="n"/>
      <c r="Y439" s="15" t="n"/>
      <c r="Z439" s="15" t="n"/>
      <c r="AA439" s="15" t="n"/>
      <c r="AB439" s="15" t="n"/>
    </row>
    <row r="440" ht="15" customHeight="1" s="12">
      <c r="A440" s="14" t="n">
        <v>439</v>
      </c>
      <c r="B440" s="16" t="n">
        <v>45657</v>
      </c>
      <c r="C440" s="15" t="n">
        <v>2024</v>
      </c>
      <c r="D440" s="15" t="inlineStr">
        <is>
          <t>Ganesh Consumer Products Limited</t>
        </is>
      </c>
      <c r="E440" s="15" t="inlineStr">
        <is>
          <t>DRHP</t>
        </is>
      </c>
      <c r="F440" s="15" t="inlineStr">
        <is>
          <t>Ganesh Consumer Products Limited</t>
        </is>
      </c>
      <c r="G440" s="15" t="inlineStr">
        <is>
          <t>IPO launched</t>
        </is>
      </c>
      <c r="H440" s="15" t="inlineStr">
        <is>
          <t>Mainboard</t>
        </is>
      </c>
      <c r="I440" s="16" t="n">
        <v>45922</v>
      </c>
      <c r="J440" s="16" t="n">
        <v>45924</v>
      </c>
      <c r="K440" s="16" t="n">
        <v>45929</v>
      </c>
      <c r="L440" s="17" t="n">
        <v>408.8</v>
      </c>
      <c r="M440" s="17" t="n">
        <v>130</v>
      </c>
      <c r="N440" s="17" t="n">
        <v>278.8</v>
      </c>
      <c r="O440" s="15" t="inlineStr">
        <is>
          <t>Final issue (ipoplatform)</t>
        </is>
      </c>
      <c r="P440" s="15" t="n"/>
      <c r="Q440" s="18" t="inlineStr">
        <is>
          <t>https://www.sebi.gov.in/sebi_data/attachdocs/dec-2024/1735630204952_620.pdf</t>
        </is>
      </c>
      <c r="R440" s="18" t="inlineStr">
        <is>
          <t>https://www.sebi.gov.in/filings/public-issues/dec-2024/ganesh-consumer-products-limited_90382.html</t>
        </is>
      </c>
      <c r="S440" s="15" t="n"/>
      <c r="T440" s="15" t="inlineStr">
        <is>
          <t>Company name + date window</t>
        </is>
      </c>
      <c r="U440" s="15" t="inlineStr">
        <is>
          <t>Ganesh Consumer Products Limited</t>
        </is>
      </c>
      <c r="V440" s="15" t="n"/>
      <c r="W440" s="15" t="n"/>
      <c r="X440" s="15" t="n"/>
      <c r="Y440" s="15" t="n"/>
      <c r="Z440" s="15" t="n"/>
      <c r="AA440" s="15" t="n"/>
      <c r="AB440" s="15" t="n"/>
    </row>
    <row r="441" ht="15" customHeight="1" s="12">
      <c r="A441" s="14" t="n">
        <v>440</v>
      </c>
      <c r="B441" s="16" t="n">
        <v>45656</v>
      </c>
      <c r="C441" s="15" t="n">
        <v>2024</v>
      </c>
      <c r="D441" s="15" t="inlineStr">
        <is>
          <t>Greaves Electric Mobility Limited</t>
        </is>
      </c>
      <c r="E441" s="15" t="inlineStr">
        <is>
          <t>DRHP</t>
        </is>
      </c>
      <c r="F441" s="15" t="inlineStr">
        <is>
          <t>Greaves Electric Mobility Limited</t>
        </is>
      </c>
      <c r="G441" s="15" t="inlineStr">
        <is>
          <t>No launched IPO found</t>
        </is>
      </c>
      <c r="H441" s="15" t="n"/>
      <c r="I441" s="16" t="n"/>
      <c r="J441" s="16" t="n"/>
      <c r="K441" s="16" t="n"/>
      <c r="L441" s="17" t="n"/>
      <c r="M441" s="17" t="n"/>
      <c r="N441" s="17" t="n"/>
      <c r="O441" s="15" t="n"/>
      <c r="P441" s="15" t="n"/>
      <c r="Q441" s="18" t="inlineStr">
        <is>
          <t>https://www.sebi.gov.in/sebi_data/attachdocs/dec-2024/1735558207871_619.pdf</t>
        </is>
      </c>
      <c r="R441" s="18" t="inlineStr">
        <is>
          <t>https://www.sebi.gov.in/filings/public-issues/dec-2024/greaves-electric-mobility-limited_90332.html</t>
        </is>
      </c>
      <c r="S441" s="15" t="n"/>
      <c r="T441" s="15" t="n"/>
      <c r="U441" s="15" t="n"/>
      <c r="V441" s="15" t="n"/>
      <c r="W441" s="16" t="n"/>
      <c r="X441" s="16" t="n"/>
      <c r="Y441" s="16" t="n"/>
      <c r="Z441" s="15" t="inlineStr">
        <is>
          <t>No issue found</t>
        </is>
      </c>
      <c r="AA441" s="15" t="inlineStr">
        <is>
          <t>Business Standard lists the company but shows no issue dates; web search limit reached</t>
        </is>
      </c>
      <c r="AB441" s="18" t="inlineStr">
        <is>
          <t>https://www.business-standard.com/markets/ipo/greaves-electric-mobility-ltd-ipo-76725</t>
        </is>
      </c>
    </row>
    <row r="442" ht="15" customHeight="1" s="12">
      <c r="A442" s="14" t="n">
        <v>441</v>
      </c>
      <c r="B442" s="16" t="n">
        <v>45656</v>
      </c>
      <c r="C442" s="15" t="n">
        <v>2024</v>
      </c>
      <c r="D442" s="15" t="inlineStr">
        <is>
          <t>INDIQUBE SPACES LIMITED</t>
        </is>
      </c>
      <c r="E442" s="15" t="inlineStr">
        <is>
          <t>DRHP</t>
        </is>
      </c>
      <c r="F442" s="15" t="inlineStr">
        <is>
          <t>INDIQUBE SPACES LIMITED</t>
        </is>
      </c>
      <c r="G442" s="15" t="inlineStr">
        <is>
          <t>IPO launched</t>
        </is>
      </c>
      <c r="H442" s="15" t="inlineStr">
        <is>
          <t>Mainboard</t>
        </is>
      </c>
      <c r="I442" s="16" t="n">
        <v>45861</v>
      </c>
      <c r="J442" s="16" t="n">
        <v>45863</v>
      </c>
      <c r="K442" s="16" t="n">
        <v>45868</v>
      </c>
      <c r="L442" s="17" t="n">
        <v>700</v>
      </c>
      <c r="M442" s="17" t="n">
        <v>650</v>
      </c>
      <c r="N442" s="17" t="n">
        <v>50</v>
      </c>
      <c r="O442" s="15" t="inlineStr">
        <is>
          <t>Final issue (ipoplatform)</t>
        </is>
      </c>
      <c r="P442" s="15" t="n"/>
      <c r="Q442" s="18" t="inlineStr">
        <is>
          <t>https://www.sebi.gov.in/sebi_data/attachdocs/dec-2024/1735543813606_617.pdf</t>
        </is>
      </c>
      <c r="R442" s="18" t="inlineStr">
        <is>
          <t>https://www.sebi.gov.in/filings/public-issues/dec-2024/indiqube-spaces-limited_90321.html</t>
        </is>
      </c>
      <c r="S442" s="15" t="n"/>
      <c r="T442" s="15" t="inlineStr">
        <is>
          <t>SEBI filing link</t>
        </is>
      </c>
      <c r="U442" s="15" t="inlineStr">
        <is>
          <t>Indiqube Spaces Limited</t>
        </is>
      </c>
      <c r="V442" s="15" t="n"/>
      <c r="W442" s="15" t="n"/>
      <c r="X442" s="15" t="n"/>
      <c r="Y442" s="15" t="n"/>
      <c r="Z442" s="15" t="n"/>
      <c r="AA442" s="15" t="n"/>
      <c r="AB442" s="15" t="n"/>
    </row>
    <row r="443" ht="15" customHeight="1" s="12">
      <c r="A443" s="14" t="n">
        <v>442</v>
      </c>
      <c r="B443" s="16" t="n">
        <v>45656</v>
      </c>
      <c r="C443" s="15" t="n">
        <v>2024</v>
      </c>
      <c r="D443" s="15" t="inlineStr">
        <is>
          <t>Smartworks Coworking Spaces Limited</t>
        </is>
      </c>
      <c r="E443" s="15" t="inlineStr">
        <is>
          <t>Addendum</t>
        </is>
      </c>
      <c r="F443" s="15" t="inlineStr">
        <is>
          <t>Smartworks Coworking Spaces Limited - Addendum to DRHP</t>
        </is>
      </c>
      <c r="G443" s="15" t="inlineStr">
        <is>
          <t>IPO launched</t>
        </is>
      </c>
      <c r="H443" s="15" t="inlineStr">
        <is>
          <t>Mainboard</t>
        </is>
      </c>
      <c r="I443" s="16" t="n">
        <v>45848</v>
      </c>
      <c r="J443" s="16" t="n">
        <v>45852</v>
      </c>
      <c r="K443" s="16" t="n">
        <v>45855</v>
      </c>
      <c r="L443" s="17" t="n">
        <v>582.5599999999999</v>
      </c>
      <c r="M443" s="17" t="n">
        <v>445</v>
      </c>
      <c r="N443" s="17" t="n">
        <v>137.56</v>
      </c>
      <c r="O443" s="15" t="inlineStr">
        <is>
          <t>Final issue (ipoplatform)</t>
        </is>
      </c>
      <c r="P443" s="15" t="n"/>
      <c r="Q443" s="18" t="inlineStr">
        <is>
          <t>https://www.sebi.gov.in/sebi_data/attachdocs/dec-2024/1735536319777.pdf</t>
        </is>
      </c>
      <c r="R443" s="18" t="inlineStr">
        <is>
          <t>https://www.sebi.gov.in/filings/public-issues/dec-2024/smartworks-coworking-spaces-limited-addendum-to-drhp_90292.html</t>
        </is>
      </c>
      <c r="S443" s="15" t="n"/>
      <c r="T443" s="15" t="inlineStr">
        <is>
          <t>Company name + date window</t>
        </is>
      </c>
      <c r="U443" s="15" t="inlineStr">
        <is>
          <t>Smartworks Coworking Spaces Limited</t>
        </is>
      </c>
      <c r="V443" s="15" t="n"/>
      <c r="W443" s="15" t="n"/>
      <c r="X443" s="15" t="n"/>
      <c r="Y443" s="15" t="n"/>
      <c r="Z443" s="15" t="n"/>
      <c r="AA443" s="15" t="n"/>
      <c r="AB443" s="15" t="n"/>
    </row>
    <row r="444" ht="15" customHeight="1" s="12">
      <c r="A444" s="14" t="n">
        <v>443</v>
      </c>
      <c r="B444" s="16" t="n">
        <v>45653</v>
      </c>
      <c r="C444" s="15" t="n">
        <v>2024</v>
      </c>
      <c r="D444" s="15" t="inlineStr">
        <is>
          <t>Jajoo Rashmi Refractories Limited</t>
        </is>
      </c>
      <c r="E444" s="15" t="inlineStr">
        <is>
          <t>DRHP</t>
        </is>
      </c>
      <c r="F444" s="15" t="inlineStr">
        <is>
          <t>Jajoo Rashmi Refractories Limited</t>
        </is>
      </c>
      <c r="G444" s="15" t="inlineStr">
        <is>
          <t>No launched IPO found</t>
        </is>
      </c>
      <c r="H444" s="15" t="n"/>
      <c r="I444" s="16" t="n"/>
      <c r="J444" s="16" t="n"/>
      <c r="K444" s="16" t="n"/>
      <c r="L444" s="17" t="n"/>
      <c r="M444" s="17" t="n"/>
      <c r="N444" s="17" t="n"/>
      <c r="O444" s="15" t="n"/>
      <c r="P444" s="15" t="n"/>
      <c r="Q444" s="18" t="inlineStr">
        <is>
          <t>https://www.sebi.gov.in/sebi_data/attachdocs/dec-2024/1735299005118_614.pdf</t>
        </is>
      </c>
      <c r="R444" s="18" t="inlineStr">
        <is>
          <t>https://www.sebi.gov.in/filings/public-issues/dec-2024/jajoo-rashmi-refractories-limited_90225.html</t>
        </is>
      </c>
      <c r="S444" s="15" t="n"/>
      <c r="T444" s="15" t="n"/>
      <c r="U444" s="15" t="n"/>
      <c r="V444" s="15" t="n"/>
      <c r="W444" s="16" t="n"/>
      <c r="X444" s="16" t="n"/>
      <c r="Y444" s="16" t="n"/>
      <c r="Z444" s="15" t="inlineStr">
        <is>
          <t>No issue found</t>
        </is>
      </c>
      <c r="AA444" s="15" t="inlineStr">
        <is>
          <t>Business Standard lists the company but shows no issue dates; web search limit reached</t>
        </is>
      </c>
      <c r="AB444" s="18" t="inlineStr">
        <is>
          <t>https://www.business-standard.com/markets/ipo/jajoo-rashmi-refractories-ltd-ipo-94287</t>
        </is>
      </c>
    </row>
    <row r="445" ht="15" customHeight="1" s="12">
      <c r="A445" s="14" t="n">
        <v>444</v>
      </c>
      <c r="B445" s="16" t="n">
        <v>45652</v>
      </c>
      <c r="C445" s="15" t="n">
        <v>2024</v>
      </c>
      <c r="D445" s="15" t="inlineStr">
        <is>
          <t>GSP Crop Science Limited</t>
        </is>
      </c>
      <c r="E445" s="15" t="inlineStr">
        <is>
          <t>DRHP</t>
        </is>
      </c>
      <c r="F445" s="15" t="inlineStr">
        <is>
          <t>GSP Crop Science Limited</t>
        </is>
      </c>
      <c r="G445" s="15" t="inlineStr">
        <is>
          <t>IPO launched</t>
        </is>
      </c>
      <c r="H445" s="15" t="inlineStr">
        <is>
          <t>Mainboard</t>
        </is>
      </c>
      <c r="I445" s="16" t="n">
        <v>46097</v>
      </c>
      <c r="J445" s="16" t="n">
        <v>46099</v>
      </c>
      <c r="K445" s="16" t="n">
        <v>46105</v>
      </c>
      <c r="L445" s="17" t="n">
        <v>400</v>
      </c>
      <c r="M445" s="17" t="n">
        <v>240</v>
      </c>
      <c r="N445" s="17" t="n">
        <v>160</v>
      </c>
      <c r="O445" s="15" t="inlineStr">
        <is>
          <t>Final issue (ipoplatform)</t>
        </is>
      </c>
      <c r="P445" s="15" t="n"/>
      <c r="Q445" s="18" t="inlineStr">
        <is>
          <t>https://www.sebi.gov.in/sebi_data/attachdocs/dec-2024/1735263006465_612.pdf</t>
        </is>
      </c>
      <c r="R445" s="18" t="inlineStr">
        <is>
          <t>https://www.sebi.gov.in/filings/public-issues/dec-2024/gsp-crop-science-limited_90202.html</t>
        </is>
      </c>
      <c r="S445" s="15" t="n"/>
      <c r="T445" s="15" t="inlineStr">
        <is>
          <t>SEBI filing link</t>
        </is>
      </c>
      <c r="U445" s="15" t="inlineStr">
        <is>
          <t>GSP Crop Science Limited</t>
        </is>
      </c>
      <c r="V445" s="15" t="n"/>
      <c r="W445" s="15" t="n"/>
      <c r="X445" s="15" t="n"/>
      <c r="Y445" s="15" t="n"/>
      <c r="Z445" s="15" t="n"/>
      <c r="AA445" s="15" t="n"/>
      <c r="AB445" s="15" t="n"/>
    </row>
    <row r="446" ht="15" customHeight="1" s="12">
      <c r="A446" s="14" t="n">
        <v>445</v>
      </c>
      <c r="B446" s="16" t="n">
        <v>45650</v>
      </c>
      <c r="C446" s="15" t="n">
        <v>2024</v>
      </c>
      <c r="D446" s="15" t="inlineStr">
        <is>
          <t>LAXMI INDIA FINANCE LIMITED</t>
        </is>
      </c>
      <c r="E446" s="15" t="inlineStr">
        <is>
          <t>DRHP</t>
        </is>
      </c>
      <c r="F446" s="15" t="inlineStr">
        <is>
          <t>LAXMI INDIA FINANCE LIMITED</t>
        </is>
      </c>
      <c r="G446" s="15" t="inlineStr">
        <is>
          <t>IPO launched</t>
        </is>
      </c>
      <c r="H446" s="15" t="inlineStr">
        <is>
          <t>Mainboard</t>
        </is>
      </c>
      <c r="I446" s="16" t="n">
        <v>45867</v>
      </c>
      <c r="J446" s="16" t="n">
        <v>45869</v>
      </c>
      <c r="K446" s="16" t="n">
        <v>45874</v>
      </c>
      <c r="L446" s="17" t="n">
        <v>254.26</v>
      </c>
      <c r="M446" s="17" t="n">
        <v>165.17</v>
      </c>
      <c r="N446" s="17" t="n">
        <v>89.09</v>
      </c>
      <c r="O446" s="15" t="inlineStr">
        <is>
          <t>Final issue (ipoplatform)</t>
        </is>
      </c>
      <c r="P446" s="15" t="n"/>
      <c r="Q446" s="18" t="inlineStr">
        <is>
          <t>https://www.sebi.gov.in/sebi_data/attachdocs/dec-2024/1735025406214_611.pdf</t>
        </is>
      </c>
      <c r="R446" s="18" t="inlineStr">
        <is>
          <t>https://www.sebi.gov.in/filings/public-issues/dec-2024/laxmi-india-finance-limited_90148.html</t>
        </is>
      </c>
      <c r="S446" s="15" t="n"/>
      <c r="T446" s="15" t="inlineStr">
        <is>
          <t>SEBI filing link</t>
        </is>
      </c>
      <c r="U446" s="15" t="inlineStr">
        <is>
          <t>Laxmi India Finance Limited</t>
        </is>
      </c>
      <c r="V446" s="15" t="n"/>
      <c r="W446" s="15" t="n"/>
      <c r="X446" s="15" t="n"/>
      <c r="Y446" s="15" t="n"/>
      <c r="Z446" s="15" t="n"/>
      <c r="AA446" s="15" t="n"/>
      <c r="AB446" s="15" t="n"/>
    </row>
    <row r="447" ht="15" customHeight="1" s="12">
      <c r="A447" s="14" t="n">
        <v>446</v>
      </c>
      <c r="B447" s="16" t="n">
        <v>45649</v>
      </c>
      <c r="C447" s="15" t="n">
        <v>2024</v>
      </c>
      <c r="D447" s="15" t="inlineStr">
        <is>
          <t>Anand Rathi Share and Stock Brokers Limited</t>
        </is>
      </c>
      <c r="E447" s="15" t="inlineStr">
        <is>
          <t>DRHP</t>
        </is>
      </c>
      <c r="F447" s="15" t="inlineStr">
        <is>
          <t>Anand Rathi Share and Stock Brokers Limited</t>
        </is>
      </c>
      <c r="G447" s="15" t="inlineStr">
        <is>
          <t>IPO launched</t>
        </is>
      </c>
      <c r="H447" s="15" t="inlineStr">
        <is>
          <t>Mainboard</t>
        </is>
      </c>
      <c r="I447" s="16" t="n">
        <v>45923</v>
      </c>
      <c r="J447" s="16" t="n">
        <v>45925</v>
      </c>
      <c r="K447" s="16" t="n">
        <v>45930</v>
      </c>
      <c r="L447" s="17" t="n">
        <v>745</v>
      </c>
      <c r="M447" s="17" t="n">
        <v>745</v>
      </c>
      <c r="N447" s="17" t="n">
        <v>0</v>
      </c>
      <c r="O447" s="15" t="inlineStr">
        <is>
          <t>Final issue (ipoplatform)</t>
        </is>
      </c>
      <c r="P447" s="15" t="n"/>
      <c r="Q447" s="18" t="inlineStr">
        <is>
          <t>https://www.sebi.gov.in/sebi_data/attachdocs/dec-2024/1734939005590_610.pdf</t>
        </is>
      </c>
      <c r="R447" s="18" t="inlineStr">
        <is>
          <t>https://www.sebi.gov.in/filings/public-issues/dec-2024/anand-rathi-share-and-stock-brokers-limited_90120.html</t>
        </is>
      </c>
      <c r="S447" s="15" t="n"/>
      <c r="T447" s="15" t="inlineStr">
        <is>
          <t>Company name + date window</t>
        </is>
      </c>
      <c r="U447" s="15" t="inlineStr">
        <is>
          <t>Anand Rathi Share and Stock Brokers Limited</t>
        </is>
      </c>
      <c r="V447" s="15" t="n"/>
      <c r="W447" s="15" t="n"/>
      <c r="X447" s="15" t="n"/>
      <c r="Y447" s="15" t="n"/>
      <c r="Z447" s="15" t="n"/>
      <c r="AA447" s="15" t="n"/>
      <c r="AB447" s="15" t="n"/>
    </row>
    <row r="448" ht="15" customHeight="1" s="12">
      <c r="A448" s="14" t="n">
        <v>447</v>
      </c>
      <c r="B448" s="16" t="n">
        <v>45646</v>
      </c>
      <c r="C448" s="15" t="n">
        <v>2024</v>
      </c>
      <c r="D448" s="15" t="inlineStr">
        <is>
          <t>Aye Finance Limited</t>
        </is>
      </c>
      <c r="E448" s="15" t="inlineStr">
        <is>
          <t>DRHP</t>
        </is>
      </c>
      <c r="F448" s="15" t="inlineStr">
        <is>
          <t>Aye Finance Limited</t>
        </is>
      </c>
      <c r="G448" s="15" t="inlineStr">
        <is>
          <t>IPO launched</t>
        </is>
      </c>
      <c r="H448" s="15" t="inlineStr">
        <is>
          <t>Mainboard</t>
        </is>
      </c>
      <c r="I448" s="16" t="n">
        <v>46062</v>
      </c>
      <c r="J448" s="16" t="n">
        <v>46064</v>
      </c>
      <c r="K448" s="16" t="n">
        <v>46069</v>
      </c>
      <c r="L448" s="17" t="n">
        <v>1010</v>
      </c>
      <c r="M448" s="17" t="n">
        <v>710</v>
      </c>
      <c r="N448" s="17" t="n">
        <v>300</v>
      </c>
      <c r="O448" s="15" t="inlineStr">
        <is>
          <t>Final issue (ipoplatform)</t>
        </is>
      </c>
      <c r="P448" s="15" t="n"/>
      <c r="Q448" s="18" t="inlineStr">
        <is>
          <t>https://www.sebi.gov.in/sebi_data/attachdocs/dec-2024/1734694208462_609.pdf</t>
        </is>
      </c>
      <c r="R448" s="18" t="inlineStr">
        <is>
          <t>https://www.sebi.gov.in/filings/public-issues/dec-2024/aye-finance-limited_90095.html</t>
        </is>
      </c>
      <c r="S448" s="15" t="n"/>
      <c r="T448" s="15" t="inlineStr">
        <is>
          <t>SEBI filing link</t>
        </is>
      </c>
      <c r="U448" s="15" t="inlineStr">
        <is>
          <t>Aye Finance Limited</t>
        </is>
      </c>
      <c r="V448" s="15" t="n"/>
      <c r="W448" s="15" t="n"/>
      <c r="X448" s="15" t="n"/>
      <c r="Y448" s="15" t="n"/>
      <c r="Z448" s="15" t="n"/>
      <c r="AA448" s="15" t="n"/>
      <c r="AB448" s="15" t="n"/>
    </row>
    <row r="449" ht="15" customHeight="1" s="12">
      <c r="A449" s="14" t="n">
        <v>448</v>
      </c>
      <c r="B449" s="16" t="n">
        <v>45646</v>
      </c>
      <c r="C449" s="15" t="n">
        <v>2024</v>
      </c>
      <c r="D449" s="15" t="inlineStr">
        <is>
          <t>Stallion India Fluorochemicals Limited</t>
        </is>
      </c>
      <c r="E449" s="15" t="inlineStr">
        <is>
          <t>Addendum</t>
        </is>
      </c>
      <c r="F449" s="15" t="inlineStr">
        <is>
          <t>Stallion India Fluorochemicals Limited- Addendum to DRHP</t>
        </is>
      </c>
      <c r="G449" s="15" t="inlineStr">
        <is>
          <t>IPO launched</t>
        </is>
      </c>
      <c r="H449" s="15" t="inlineStr">
        <is>
          <t>Mainboard</t>
        </is>
      </c>
      <c r="I449" s="16" t="n">
        <v>45673</v>
      </c>
      <c r="J449" s="16" t="n">
        <v>45677</v>
      </c>
      <c r="K449" s="16" t="n">
        <v>45680</v>
      </c>
      <c r="L449" s="17" t="n">
        <v>199.45</v>
      </c>
      <c r="M449" s="17" t="n">
        <v>160.73</v>
      </c>
      <c r="N449" s="17" t="n">
        <v>38.72</v>
      </c>
      <c r="O449" s="15" t="inlineStr">
        <is>
          <t>Final issue (ipoplatform)</t>
        </is>
      </c>
      <c r="P449" s="15" t="n"/>
      <c r="Q449" s="18" t="inlineStr">
        <is>
          <t>https://www.sebi.gov.in/sebi_data/attachdocs/dec-2024/1734685958143.PDF</t>
        </is>
      </c>
      <c r="R449" s="18" t="inlineStr">
        <is>
          <t>https://www.sebi.gov.in/filings/public-issues/dec-2024/stallion-india-fluorochemicals-limited-addendum-to-drhp_90086.html</t>
        </is>
      </c>
      <c r="S449" s="15" t="n"/>
      <c r="T449" s="15" t="inlineStr">
        <is>
          <t>Company name + date window</t>
        </is>
      </c>
      <c r="U449" s="15" t="inlineStr">
        <is>
          <t>Stallion India Fluorochemicals Limited</t>
        </is>
      </c>
      <c r="V449" s="15" t="n"/>
      <c r="W449" s="15" t="n"/>
      <c r="X449" s="15" t="n"/>
      <c r="Y449" s="15" t="n"/>
      <c r="Z449" s="15" t="n"/>
      <c r="AA449" s="15" t="n"/>
      <c r="AB449" s="15" t="n"/>
    </row>
    <row r="450" ht="15" customHeight="1" s="12">
      <c r="A450" s="14" t="n">
        <v>449</v>
      </c>
      <c r="B450" s="16" t="n">
        <v>45645</v>
      </c>
      <c r="C450" s="15" t="n">
        <v>2024</v>
      </c>
      <c r="D450" s="15" t="inlineStr">
        <is>
          <t>INDOGULF CROPSCIENCES LIMITED</t>
        </is>
      </c>
      <c r="E450" s="15" t="inlineStr">
        <is>
          <t>Corrigendum</t>
        </is>
      </c>
      <c r="F450" s="15" t="inlineStr">
        <is>
          <t>INDOGULF CROPSCIENCES LIMITED - Corrigendum to DRHP</t>
        </is>
      </c>
      <c r="G450" s="15" t="inlineStr">
        <is>
          <t>IPO launched</t>
        </is>
      </c>
      <c r="H450" s="15" t="inlineStr">
        <is>
          <t>Mainboard</t>
        </is>
      </c>
      <c r="I450" s="16" t="n">
        <v>45834</v>
      </c>
      <c r="J450" s="16" t="n">
        <v>45838</v>
      </c>
      <c r="K450" s="16" t="n">
        <v>45841</v>
      </c>
      <c r="L450" s="17" t="n">
        <v>200</v>
      </c>
      <c r="M450" s="17" t="n">
        <v>160</v>
      </c>
      <c r="N450" s="17" t="n">
        <v>40</v>
      </c>
      <c r="O450" s="15" t="inlineStr">
        <is>
          <t>Final issue (ipoplatform)</t>
        </is>
      </c>
      <c r="P450" s="15" t="n"/>
      <c r="Q450" s="18" t="inlineStr">
        <is>
          <t>https://www.sebi.gov.in/sebi_data/attachdocs/dec-2024/1734606993821.pdf</t>
        </is>
      </c>
      <c r="R450" s="18" t="inlineStr">
        <is>
          <t>https://www.sebi.gov.in/filings/public-issues/dec-2024/indogulf-cropsciences-limited-corrigendum-to-drhp_90062.html</t>
        </is>
      </c>
      <c r="S450" s="15" t="n"/>
      <c r="T450" s="15" t="inlineStr">
        <is>
          <t>Company name + date window</t>
        </is>
      </c>
      <c r="U450" s="15" t="inlineStr">
        <is>
          <t>Indogulf Cropsciences Limited</t>
        </is>
      </c>
      <c r="V450" s="15" t="n"/>
      <c r="W450" s="15" t="n"/>
      <c r="X450" s="15" t="n"/>
      <c r="Y450" s="15" t="n"/>
      <c r="Z450" s="15" t="n"/>
      <c r="AA450" s="15" t="n"/>
      <c r="AB450" s="15" t="n"/>
    </row>
    <row r="451" ht="15" customHeight="1" s="12">
      <c r="A451" s="14" t="n">
        <v>450</v>
      </c>
      <c r="B451" s="16" t="n">
        <v>45644</v>
      </c>
      <c r="C451" s="15" t="n">
        <v>2024</v>
      </c>
      <c r="D451" s="15" t="inlineStr">
        <is>
          <t>Aditya Infotech Limited</t>
        </is>
      </c>
      <c r="E451" s="15" t="inlineStr">
        <is>
          <t>Addendum</t>
        </is>
      </c>
      <c r="F451" s="15" t="inlineStr">
        <is>
          <t>Aditya Infotech Limited - Addendum to the DRHP</t>
        </is>
      </c>
      <c r="G451" s="15" t="inlineStr">
        <is>
          <t>IPO launched</t>
        </is>
      </c>
      <c r="H451" s="15" t="inlineStr">
        <is>
          <t>Mainboard</t>
        </is>
      </c>
      <c r="I451" s="16" t="n">
        <v>45867</v>
      </c>
      <c r="J451" s="16" t="n">
        <v>45869</v>
      </c>
      <c r="K451" s="16" t="n">
        <v>45874</v>
      </c>
      <c r="L451" s="17" t="n">
        <v>1300</v>
      </c>
      <c r="M451" s="17" t="n">
        <v>500</v>
      </c>
      <c r="N451" s="17" t="n">
        <v>800</v>
      </c>
      <c r="O451" s="15" t="inlineStr">
        <is>
          <t>Final issue (ipoplatform)</t>
        </is>
      </c>
      <c r="P451" s="15" t="n"/>
      <c r="Q451" s="18" t="inlineStr">
        <is>
          <t>https://www.sebi.gov.in/sebi_data/attachdocs/dec-2024/1734519144440.pdf</t>
        </is>
      </c>
      <c r="R451" s="18" t="inlineStr">
        <is>
          <t>https://www.sebi.gov.in/filings/public-issues/dec-2024/aditya-infotech-limited-addendum-to-the-drhp_90029.html</t>
        </is>
      </c>
      <c r="S451" s="15" t="n"/>
      <c r="T451" s="15" t="inlineStr">
        <is>
          <t>Company name + date window</t>
        </is>
      </c>
      <c r="U451" s="15" t="inlineStr">
        <is>
          <t>Aditya Infotech Limited</t>
        </is>
      </c>
      <c r="V451" s="15" t="n"/>
      <c r="W451" s="15" t="n"/>
      <c r="X451" s="15" t="n"/>
      <c r="Y451" s="15" t="n"/>
      <c r="Z451" s="15" t="n"/>
      <c r="AA451" s="15" t="n"/>
      <c r="AB451" s="15" t="n"/>
    </row>
    <row r="452" ht="15" customHeight="1" s="12">
      <c r="A452" s="14" t="n">
        <v>451</v>
      </c>
      <c r="B452" s="16" t="n">
        <v>45644</v>
      </c>
      <c r="C452" s="15" t="n">
        <v>2024</v>
      </c>
      <c r="D452" s="15" t="inlineStr">
        <is>
          <t>Innovision Limited</t>
        </is>
      </c>
      <c r="E452" s="15" t="inlineStr">
        <is>
          <t>DRHP</t>
        </is>
      </c>
      <c r="F452" s="15" t="inlineStr">
        <is>
          <t>Innovision Limited - DRHP</t>
        </is>
      </c>
      <c r="G452" s="15" t="inlineStr">
        <is>
          <t>IPO launched</t>
        </is>
      </c>
      <c r="H452" s="15" t="inlineStr">
        <is>
          <t>Mainboard</t>
        </is>
      </c>
      <c r="I452" s="16" t="n">
        <v>46091</v>
      </c>
      <c r="J452" s="16" t="n">
        <v>46098</v>
      </c>
      <c r="K452" s="16" t="n">
        <v>46101</v>
      </c>
      <c r="L452" s="17" t="n">
        <v>322.84</v>
      </c>
      <c r="M452" s="17" t="n">
        <v>255</v>
      </c>
      <c r="N452" s="17" t="n">
        <v>67.84</v>
      </c>
      <c r="O452" s="15" t="inlineStr">
        <is>
          <t>Final issue (ipoplatform)</t>
        </is>
      </c>
      <c r="P452" s="15" t="n"/>
      <c r="Q452" s="18" t="inlineStr">
        <is>
          <t>https://www.sebi.gov.in/sebi_data/attachdocs/dec-2024/1734504599498.pdf</t>
        </is>
      </c>
      <c r="R452" s="18" t="inlineStr">
        <is>
          <t>https://www.sebi.gov.in/filings/public-issues/dec-2024/innovision-limited-drhp_90017.html</t>
        </is>
      </c>
      <c r="S452" s="15" t="n"/>
      <c r="T452" s="15" t="inlineStr">
        <is>
          <t>SEBI filing link</t>
        </is>
      </c>
      <c r="U452" s="15" t="inlineStr">
        <is>
          <t>Innovision Limited</t>
        </is>
      </c>
      <c r="V452" s="15" t="n"/>
      <c r="W452" s="15" t="n"/>
      <c r="X452" s="15" t="n"/>
      <c r="Y452" s="15" t="n"/>
      <c r="Z452" s="15" t="n"/>
      <c r="AA452" s="15" t="n"/>
      <c r="AB452" s="15" t="n"/>
    </row>
    <row r="453" ht="15" customHeight="1" s="12">
      <c r="A453" s="14" t="n">
        <v>452</v>
      </c>
      <c r="B453" s="16" t="n">
        <v>45643</v>
      </c>
      <c r="C453" s="15" t="n">
        <v>2024</v>
      </c>
      <c r="D453" s="15" t="inlineStr">
        <is>
          <t>GK Energy Limited</t>
        </is>
      </c>
      <c r="E453" s="15" t="inlineStr">
        <is>
          <t>DRHP</t>
        </is>
      </c>
      <c r="F453" s="15" t="inlineStr">
        <is>
          <t>GK Energy Limited</t>
        </is>
      </c>
      <c r="G453" s="15" t="inlineStr">
        <is>
          <t>IPO launched</t>
        </is>
      </c>
      <c r="H453" s="15" t="inlineStr">
        <is>
          <t>Mainboard</t>
        </is>
      </c>
      <c r="I453" s="16" t="n">
        <v>45919</v>
      </c>
      <c r="J453" s="16" t="n">
        <v>45923</v>
      </c>
      <c r="K453" s="16" t="n">
        <v>45926</v>
      </c>
      <c r="L453" s="17" t="n">
        <v>464.26</v>
      </c>
      <c r="M453" s="17" t="n">
        <v>400</v>
      </c>
      <c r="N453" s="17" t="n">
        <v>64.26000000000001</v>
      </c>
      <c r="O453" s="15" t="inlineStr">
        <is>
          <t>Final issue (ipoplatform)</t>
        </is>
      </c>
      <c r="P453" s="15" t="n"/>
      <c r="Q453" s="18" t="inlineStr">
        <is>
          <t>https://www.sebi.gov.in/sebi_data/attachdocs/dec-2024/1734485404337_608.pdf</t>
        </is>
      </c>
      <c r="R453" s="18" t="inlineStr">
        <is>
          <t>https://www.sebi.gov.in/filings/public-issues/dec-2024/gk-energy-limited_90002.html</t>
        </is>
      </c>
      <c r="S453" s="15" t="n"/>
      <c r="T453" s="15" t="inlineStr">
        <is>
          <t>SEBI filing link</t>
        </is>
      </c>
      <c r="U453" s="15" t="inlineStr">
        <is>
          <t>GK Energy Limited</t>
        </is>
      </c>
      <c r="V453" s="15" t="n"/>
      <c r="W453" s="15" t="n"/>
      <c r="X453" s="15" t="n"/>
      <c r="Y453" s="15" t="n"/>
      <c r="Z453" s="15" t="n"/>
      <c r="AA453" s="15" t="n"/>
      <c r="AB453" s="15" t="n"/>
    </row>
    <row r="454" ht="15" customHeight="1" s="12">
      <c r="A454" s="14" t="n">
        <v>453</v>
      </c>
      <c r="B454" s="16" t="n">
        <v>45643</v>
      </c>
      <c r="C454" s="15" t="n">
        <v>2024</v>
      </c>
      <c r="D454" s="15" t="inlineStr">
        <is>
          <t>GNG ELECTRONICS LIMITED</t>
        </is>
      </c>
      <c r="E454" s="15" t="inlineStr">
        <is>
          <t>DRHP</t>
        </is>
      </c>
      <c r="F454" s="15" t="inlineStr">
        <is>
          <t>GNG ELECTRONICS LIMITED</t>
        </is>
      </c>
      <c r="G454" s="15" t="inlineStr">
        <is>
          <t>IPO launched</t>
        </is>
      </c>
      <c r="H454" s="15" t="inlineStr">
        <is>
          <t>Mainboard</t>
        </is>
      </c>
      <c r="I454" s="16" t="n">
        <v>45861</v>
      </c>
      <c r="J454" s="16" t="n">
        <v>45863</v>
      </c>
      <c r="K454" s="16" t="n">
        <v>45868</v>
      </c>
      <c r="L454" s="17" t="n">
        <v>460.43</v>
      </c>
      <c r="M454" s="17" t="n">
        <v>400</v>
      </c>
      <c r="N454" s="17" t="n">
        <v>60.43</v>
      </c>
      <c r="O454" s="15" t="inlineStr">
        <is>
          <t>Final issue (ipoplatform)</t>
        </is>
      </c>
      <c r="P454" s="15" t="n"/>
      <c r="Q454" s="18" t="inlineStr">
        <is>
          <t>https://www.sebi.gov.in/sebi_data/attachdocs/dec-2024/1734435005760_607.pdf</t>
        </is>
      </c>
      <c r="R454" s="18" t="inlineStr">
        <is>
          <t>https://www.sebi.gov.in/filings/public-issues/dec-2024/gng-electronics-limited_89988.html</t>
        </is>
      </c>
      <c r="S454" s="15" t="n"/>
      <c r="T454" s="15" t="inlineStr">
        <is>
          <t>Company name + date window</t>
        </is>
      </c>
      <c r="U454" s="15" t="inlineStr">
        <is>
          <t>GNG Electronics Limited</t>
        </is>
      </c>
      <c r="V454" s="15" t="n"/>
      <c r="W454" s="15" t="n"/>
      <c r="X454" s="15" t="n"/>
      <c r="Y454" s="15" t="n"/>
      <c r="Z454" s="15" t="n"/>
      <c r="AA454" s="15" t="n"/>
      <c r="AB454" s="15" t="n"/>
    </row>
    <row r="455" ht="15" customHeight="1" s="12">
      <c r="A455" s="14" t="n">
        <v>454</v>
      </c>
      <c r="B455" s="16" t="n">
        <v>45642</v>
      </c>
      <c r="C455" s="15" t="n">
        <v>2024</v>
      </c>
      <c r="D455" s="15" t="inlineStr">
        <is>
          <t>Continuum Green Energy Limited</t>
        </is>
      </c>
      <c r="E455" s="15" t="inlineStr">
        <is>
          <t>DRHP</t>
        </is>
      </c>
      <c r="F455" s="15" t="inlineStr">
        <is>
          <t>Continuum Green Energy Limited</t>
        </is>
      </c>
      <c r="G455" s="15" t="inlineStr">
        <is>
          <t>No launched IPO found</t>
        </is>
      </c>
      <c r="H455" s="15" t="n"/>
      <c r="I455" s="16" t="n"/>
      <c r="J455" s="16" t="n"/>
      <c r="K455" s="16" t="n"/>
      <c r="L455" s="17" t="n"/>
      <c r="M455" s="17" t="n"/>
      <c r="N455" s="17" t="n"/>
      <c r="O455" s="15" t="n"/>
      <c r="P455" s="15" t="n"/>
      <c r="Q455" s="18" t="inlineStr">
        <is>
          <t>https://www.sebi.gov.in/sebi_data/attachdocs/dec-2024/1734348609680_606.pdf</t>
        </is>
      </c>
      <c r="R455" s="18" t="inlineStr">
        <is>
          <t>https://www.sebi.gov.in/filings/public-issues/dec-2024/continuum-green-energy-limited_89969.html</t>
        </is>
      </c>
      <c r="S455" s="15" t="n"/>
      <c r="T455" s="15" t="n"/>
      <c r="U455" s="15" t="n"/>
      <c r="V455" s="15" t="n"/>
      <c r="W455" s="16" t="n"/>
      <c r="X455" s="16" t="n"/>
      <c r="Y455" s="16" t="n"/>
      <c r="Z455" s="15" t="inlineStr">
        <is>
          <t>No issue found</t>
        </is>
      </c>
      <c r="AA455" s="15" t="inlineStr">
        <is>
          <t>Business Standard lists the company but shows no issue dates; web search limit reached</t>
        </is>
      </c>
      <c r="AB455" s="18" t="inlineStr">
        <is>
          <t>https://www.business-standard.com/markets/ipo/continuum-green-energy-ltd-ipo-73552</t>
        </is>
      </c>
    </row>
    <row r="456" ht="15" customHeight="1" s="12">
      <c r="A456" s="14" t="n">
        <v>455</v>
      </c>
      <c r="B456" s="16" t="n">
        <v>45642</v>
      </c>
      <c r="C456" s="15" t="n">
        <v>2024</v>
      </c>
      <c r="D456" s="15" t="inlineStr">
        <is>
          <t>Travel Food Services Limited</t>
        </is>
      </c>
      <c r="E456" s="15" t="inlineStr">
        <is>
          <t>DRHP</t>
        </is>
      </c>
      <c r="F456" s="15" t="inlineStr">
        <is>
          <t>Travel Food Services Limited</t>
        </is>
      </c>
      <c r="G456" s="15" t="inlineStr">
        <is>
          <t>IPO launched</t>
        </is>
      </c>
      <c r="H456" s="15" t="inlineStr">
        <is>
          <t>Mainboard</t>
        </is>
      </c>
      <c r="I456" s="16" t="n">
        <v>45845</v>
      </c>
      <c r="J456" s="16" t="n">
        <v>45847</v>
      </c>
      <c r="K456" s="16" t="n">
        <v>45848</v>
      </c>
      <c r="L456" s="17" t="n">
        <v>2000</v>
      </c>
      <c r="M456" s="17" t="n"/>
      <c r="N456" s="17" t="n">
        <v>2000</v>
      </c>
      <c r="O456" s="15" t="inlineStr">
        <is>
          <t>Final issue (ipoplatform)</t>
        </is>
      </c>
      <c r="P456" s="15" t="n"/>
      <c r="Q456" s="18" t="inlineStr">
        <is>
          <t>https://www.sebi.gov.in/sebi_data/attachdocs/dec-2024/1734348609680_605.pdf</t>
        </is>
      </c>
      <c r="R456" s="18" t="inlineStr">
        <is>
          <t>https://www.sebi.gov.in/filings/public-issues/dec-2024/travel-food-services-limited_89967.html</t>
        </is>
      </c>
      <c r="S456" s="15" t="n"/>
      <c r="T456" s="15" t="inlineStr">
        <is>
          <t>SEBI filing link</t>
        </is>
      </c>
      <c r="U456" s="15" t="inlineStr">
        <is>
          <t>Travel Food Services Limited</t>
        </is>
      </c>
      <c r="V456" s="15" t="n"/>
      <c r="W456" s="15" t="n"/>
      <c r="X456" s="15" t="n"/>
      <c r="Y456" s="15" t="n"/>
      <c r="Z456" s="15" t="n"/>
      <c r="AA456" s="15" t="n"/>
      <c r="AB456" s="15" t="n"/>
    </row>
    <row r="457" ht="15" customHeight="1" s="12">
      <c r="A457" s="14" t="n">
        <v>456</v>
      </c>
      <c r="B457" s="16" t="n">
        <v>45642</v>
      </c>
      <c r="C457" s="15" t="n">
        <v>2024</v>
      </c>
      <c r="D457" s="15" t="inlineStr">
        <is>
          <t>BlueStone Jewellery and Lifestyle Limited</t>
        </is>
      </c>
      <c r="E457" s="15" t="inlineStr">
        <is>
          <t>DRHP</t>
        </is>
      </c>
      <c r="F457" s="15" t="inlineStr">
        <is>
          <t>BlueStone Jewellery and Lifestyle Limited</t>
        </is>
      </c>
      <c r="G457" s="15" t="inlineStr">
        <is>
          <t>IPO launched</t>
        </is>
      </c>
      <c r="H457" s="15" t="inlineStr">
        <is>
          <t>Mainboard</t>
        </is>
      </c>
      <c r="I457" s="16" t="n">
        <v>45880</v>
      </c>
      <c r="J457" s="16" t="n">
        <v>45882</v>
      </c>
      <c r="K457" s="16" t="n">
        <v>45888</v>
      </c>
      <c r="L457" s="17" t="n">
        <v>1540.65</v>
      </c>
      <c r="M457" s="17" t="n">
        <v>820</v>
      </c>
      <c r="N457" s="17" t="n">
        <v>720.65</v>
      </c>
      <c r="O457" s="15" t="inlineStr">
        <is>
          <t>Final issue (ipoplatform)</t>
        </is>
      </c>
      <c r="P457" s="15" t="n"/>
      <c r="Q457" s="18" t="inlineStr">
        <is>
          <t>https://www.sebi.gov.in/sebi_data/attachdocs/dec-2024/1734334208896_604.pdf</t>
        </is>
      </c>
      <c r="R457" s="18" t="inlineStr">
        <is>
          <t>https://www.sebi.gov.in/filings/public-issues/dec-2024/bluestone-jewellery-and-lifestyle-limited_89962.html</t>
        </is>
      </c>
      <c r="S457" s="15" t="n"/>
      <c r="T457" s="15" t="inlineStr">
        <is>
          <t>SEBI filing link</t>
        </is>
      </c>
      <c r="U457" s="15" t="inlineStr">
        <is>
          <t>Bluestone Jewellery And Lifestyle Limited</t>
        </is>
      </c>
      <c r="V457" s="15" t="n"/>
      <c r="W457" s="15" t="n"/>
      <c r="X457" s="15" t="n"/>
      <c r="Y457" s="15" t="n"/>
      <c r="Z457" s="15" t="n"/>
      <c r="AA457" s="15" t="n"/>
      <c r="AB457" s="15" t="n"/>
    </row>
    <row r="458" ht="15" customHeight="1" s="12">
      <c r="A458" s="14" t="n">
        <v>457</v>
      </c>
      <c r="B458" s="16" t="n">
        <v>45636</v>
      </c>
      <c r="C458" s="15" t="n">
        <v>2024</v>
      </c>
      <c r="D458" s="15" t="inlineStr">
        <is>
          <t>EAAA India Alternatives Limited</t>
        </is>
      </c>
      <c r="E458" s="15" t="inlineStr">
        <is>
          <t>DRHP</t>
        </is>
      </c>
      <c r="F458" s="15" t="inlineStr">
        <is>
          <t>EAAA India Alternatives Limited</t>
        </is>
      </c>
      <c r="G458" s="15" t="inlineStr">
        <is>
          <t>No launched IPO found</t>
        </is>
      </c>
      <c r="H458" s="15" t="n"/>
      <c r="I458" s="16" t="n"/>
      <c r="J458" s="16" t="n"/>
      <c r="K458" s="16" t="n"/>
      <c r="L458" s="17" t="n"/>
      <c r="M458" s="17" t="n"/>
      <c r="N458" s="17" t="n"/>
      <c r="O458" s="15" t="n"/>
      <c r="P458" s="15" t="n"/>
      <c r="Q458" s="18" t="inlineStr">
        <is>
          <t>https://www.sebi.gov.in/sebi_data/attachdocs/dec-2024/1733815806552_599.pdf</t>
        </is>
      </c>
      <c r="R458" s="18" t="inlineStr">
        <is>
          <t>https://www.sebi.gov.in/filings/public-issues/dec-2024/eaaa-india-alternatives-limited_89436.html</t>
        </is>
      </c>
      <c r="S458" s="15" t="n"/>
      <c r="T458" s="15" t="n"/>
      <c r="U458" s="15" t="n"/>
      <c r="V458" s="15" t="n"/>
      <c r="W458" s="16" t="n"/>
      <c r="X458" s="16" t="n"/>
      <c r="Y458" s="16" t="n"/>
      <c r="Z458" s="15" t="inlineStr">
        <is>
          <t>No issue found</t>
        </is>
      </c>
      <c r="AA458" s="15" t="inlineStr">
        <is>
          <t>SEBI nod Apr-2026; Rs1,500cr OFS; dates not announced</t>
        </is>
      </c>
      <c r="AB458" s="18" t="inlineStr">
        <is>
          <t>https://www.chittorgarh.com/ipo/eaaa-india-alternatives-ipo/2061/</t>
        </is>
      </c>
    </row>
    <row r="459" ht="15" customHeight="1" s="12">
      <c r="A459" s="14" t="n">
        <v>458</v>
      </c>
      <c r="B459" s="16" t="n">
        <v>45635</v>
      </c>
      <c r="C459" s="15" t="n">
        <v>2024</v>
      </c>
      <c r="D459" s="15" t="inlineStr">
        <is>
          <t>LG Electronics India Limited</t>
        </is>
      </c>
      <c r="E459" s="15" t="inlineStr">
        <is>
          <t>DRHP</t>
        </is>
      </c>
      <c r="F459" s="15" t="inlineStr">
        <is>
          <t>LG Electronics India Limited</t>
        </is>
      </c>
      <c r="G459" s="15" t="inlineStr">
        <is>
          <t>IPO launched</t>
        </is>
      </c>
      <c r="H459" s="15" t="inlineStr">
        <is>
          <t>Mainboard</t>
        </is>
      </c>
      <c r="I459" s="16" t="n">
        <v>45937</v>
      </c>
      <c r="J459" s="16" t="n">
        <v>45939</v>
      </c>
      <c r="K459" s="16" t="n">
        <v>45944</v>
      </c>
      <c r="L459" s="17" t="n">
        <v>11607.01</v>
      </c>
      <c r="M459" s="17" t="n"/>
      <c r="N459" s="17" t="n">
        <v>11607.01</v>
      </c>
      <c r="O459" s="15" t="inlineStr">
        <is>
          <t>Final issue (ipoplatform)</t>
        </is>
      </c>
      <c r="P459" s="15" t="n"/>
      <c r="Q459" s="18" t="inlineStr">
        <is>
          <t>https://www.sebi.gov.in/sebi_data/attachdocs/dec-2024/1733743806550_598.pdf</t>
        </is>
      </c>
      <c r="R459" s="18" t="inlineStr">
        <is>
          <t>https://www.sebi.gov.in/filings/public-issues/dec-2024/lg-electronics-india-limited_89411.html</t>
        </is>
      </c>
      <c r="S459" s="15" t="n"/>
      <c r="T459" s="15" t="inlineStr">
        <is>
          <t>Company name + date window</t>
        </is>
      </c>
      <c r="U459" s="15" t="inlineStr">
        <is>
          <t>LG Electronics India Limited</t>
        </is>
      </c>
      <c r="V459" s="15" t="n"/>
      <c r="W459" s="15" t="n"/>
      <c r="X459" s="15" t="n"/>
      <c r="Y459" s="15" t="n"/>
      <c r="Z459" s="15" t="n"/>
      <c r="AA459" s="15" t="n"/>
      <c r="AB459" s="15" t="n"/>
    </row>
    <row r="460" ht="15" customHeight="1" s="12">
      <c r="A460" s="14" t="n">
        <v>459</v>
      </c>
      <c r="B460" s="16" t="n">
        <v>45635</v>
      </c>
      <c r="C460" s="15" t="n">
        <v>2024</v>
      </c>
      <c r="D460" s="15" t="inlineStr">
        <is>
          <t>Star Agriwarehousing and Collateral Management Limited</t>
        </is>
      </c>
      <c r="E460" s="15" t="inlineStr">
        <is>
          <t>DRHP</t>
        </is>
      </c>
      <c r="F460" s="15" t="inlineStr">
        <is>
          <t>Star Agriwarehousing and Collateral Management Limited</t>
        </is>
      </c>
      <c r="G460" s="15" t="inlineStr">
        <is>
          <t>No launched IPO found</t>
        </is>
      </c>
      <c r="H460" s="15" t="n"/>
      <c r="I460" s="16" t="n"/>
      <c r="J460" s="16" t="n"/>
      <c r="K460" s="16" t="n"/>
      <c r="L460" s="17" t="n"/>
      <c r="M460" s="17" t="n"/>
      <c r="N460" s="17" t="n"/>
      <c r="O460" s="15" t="n"/>
      <c r="P460" s="15" t="n"/>
      <c r="Q460" s="18" t="inlineStr">
        <is>
          <t>https://www.sebi.gov.in/sebi_data/attachdocs/dec-2024/1733729408090_597.pdf</t>
        </is>
      </c>
      <c r="R460" s="18" t="inlineStr">
        <is>
          <t>https://www.sebi.gov.in/filings/public-issues/dec-2024/star-agriwarehousing-and-collateral-management-limited_89400.html</t>
        </is>
      </c>
      <c r="S460" s="15" t="n"/>
      <c r="T460" s="15" t="n"/>
      <c r="U460" s="15" t="n"/>
      <c r="V460" s="15" t="n"/>
      <c r="W460" s="16" t="n"/>
      <c r="X460" s="16" t="n"/>
      <c r="Y460" s="16" t="n"/>
      <c r="Z460" s="15" t="inlineStr">
        <is>
          <t>No issue found</t>
        </is>
      </c>
      <c r="AA460" s="15" t="inlineStr">
        <is>
          <t>Business Standard lists the company but shows no issue dates; web search limit reached</t>
        </is>
      </c>
      <c r="AB460" s="18" t="inlineStr">
        <is>
          <t>https://www.business-standard.com/markets/ipo/star-agriwarehousing-collateral-management-ltd-ipo-85954</t>
        </is>
      </c>
    </row>
    <row r="461" ht="15" customHeight="1" s="12">
      <c r="A461" s="14" t="n">
        <v>460</v>
      </c>
      <c r="B461" s="16" t="n">
        <v>45631</v>
      </c>
      <c r="C461" s="15" t="n">
        <v>2024</v>
      </c>
      <c r="D461" s="15" t="inlineStr">
        <is>
          <t>SFC ENVIRONMENTAL TECHNOLOGIES LIMITED</t>
        </is>
      </c>
      <c r="E461" s="15" t="inlineStr">
        <is>
          <t>DRHP</t>
        </is>
      </c>
      <c r="F461" s="15" t="inlineStr">
        <is>
          <t>SFC ENVIRONMENTAL TECHNOLOGIES LIMITED</t>
        </is>
      </c>
      <c r="G461" s="15" t="inlineStr">
        <is>
          <t>No launched IPO found</t>
        </is>
      </c>
      <c r="H461" s="15" t="n"/>
      <c r="I461" s="16" t="n"/>
      <c r="J461" s="16" t="n"/>
      <c r="K461" s="16" t="n"/>
      <c r="L461" s="17" t="n"/>
      <c r="M461" s="17" t="n"/>
      <c r="N461" s="17" t="n"/>
      <c r="O461" s="15" t="n"/>
      <c r="P461" s="15" t="n"/>
      <c r="Q461" s="18" t="inlineStr">
        <is>
          <t>https://www.sebi.gov.in/sebi_data/attachdocs/dec-2024/1733383855765_595.pdf</t>
        </is>
      </c>
      <c r="R461" s="18" t="inlineStr">
        <is>
          <t>https://www.sebi.gov.in/filings/public-issues/dec-2024/sfc-environmental-technologies-limited_89308.html</t>
        </is>
      </c>
      <c r="S461" s="15" t="n"/>
      <c r="T461" s="15" t="n"/>
      <c r="U461" s="15" t="n"/>
      <c r="V461" s="15" t="n"/>
      <c r="W461" s="16" t="n"/>
      <c r="X461" s="16" t="n"/>
      <c r="Y461" s="16" t="n"/>
      <c r="Z461" s="15" t="inlineStr">
        <is>
          <t>No issue found</t>
        </is>
      </c>
      <c r="AA461" s="15" t="inlineStr">
        <is>
          <t>SEBI nod 12-Dec-2025; refiled Sep-2025 after earlier withdrawal; dates not announced</t>
        </is>
      </c>
      <c r="AB461" s="18" t="inlineStr">
        <is>
          <t>https://www.chittorgarh.com/ipo/sfc-environmental-technologies-ipo/2070/</t>
        </is>
      </c>
    </row>
    <row r="462" ht="15" customHeight="1" s="12">
      <c r="A462" s="14" t="n">
        <v>461</v>
      </c>
      <c r="B462" s="16" t="n">
        <v>45628</v>
      </c>
      <c r="C462" s="15" t="n">
        <v>2024</v>
      </c>
      <c r="D462" s="15" t="inlineStr">
        <is>
          <t>Denta Water and Infra Solutions Limited</t>
        </is>
      </c>
      <c r="E462" s="15" t="inlineStr">
        <is>
          <t>Addendum</t>
        </is>
      </c>
      <c r="F462" s="15" t="inlineStr">
        <is>
          <t>Denta Water and Infra Solutions Limited - Addendum to DRHP</t>
        </is>
      </c>
      <c r="G462" s="15" t="inlineStr">
        <is>
          <t>IPO launched</t>
        </is>
      </c>
      <c r="H462" s="15" t="inlineStr">
        <is>
          <t>Mainboard</t>
        </is>
      </c>
      <c r="I462" s="16" t="n">
        <v>45679</v>
      </c>
      <c r="J462" s="16" t="n">
        <v>45681</v>
      </c>
      <c r="K462" s="16" t="n">
        <v>45686</v>
      </c>
      <c r="L462" s="17" t="n">
        <v>220.5</v>
      </c>
      <c r="M462" s="17" t="n">
        <v>220.5</v>
      </c>
      <c r="N462" s="17" t="n">
        <v>0</v>
      </c>
      <c r="O462" s="15" t="inlineStr">
        <is>
          <t>Final issue (ipoplatform)</t>
        </is>
      </c>
      <c r="P462" s="15" t="n"/>
      <c r="Q462" s="18" t="inlineStr">
        <is>
          <t>https://www.sebi.gov.in/sebi_data/attachdocs/dec-2024/1733133552014.pdf</t>
        </is>
      </c>
      <c r="R462" s="18" t="inlineStr">
        <is>
          <t>https://www.sebi.gov.in/filings/public-issues/dec-2024/denta-water-and-infra-solutions-limited-addendum-to-drhp_89182.html</t>
        </is>
      </c>
      <c r="S462" s="15" t="n"/>
      <c r="T462" s="15" t="inlineStr">
        <is>
          <t>Company name + date window</t>
        </is>
      </c>
      <c r="U462" s="15" t="inlineStr">
        <is>
          <t>Denta Water and Infra Solutions Limited</t>
        </is>
      </c>
      <c r="V462" s="15" t="n"/>
      <c r="W462" s="15" t="n"/>
      <c r="X462" s="15" t="n"/>
      <c r="Y462" s="15" t="n"/>
      <c r="Z462" s="15" t="n"/>
      <c r="AA462" s="15" t="n"/>
      <c r="AB462" s="15" t="n"/>
    </row>
    <row r="463" ht="15" customHeight="1" s="12">
      <c r="A463" s="14" t="n">
        <v>462</v>
      </c>
      <c r="B463" s="16" t="n">
        <v>45628</v>
      </c>
      <c r="C463" s="15" t="n">
        <v>2024</v>
      </c>
      <c r="D463" s="15" t="inlineStr">
        <is>
          <t>Sambhv Steel Tubes Limited</t>
        </is>
      </c>
      <c r="E463" s="15" t="inlineStr">
        <is>
          <t>Corrigendum</t>
        </is>
      </c>
      <c r="F463" s="15" t="inlineStr">
        <is>
          <t>Sambhv Steel Tubes Limited - Corrigendum to DRHP</t>
        </is>
      </c>
      <c r="G463" s="15" t="inlineStr">
        <is>
          <t>IPO launched</t>
        </is>
      </c>
      <c r="H463" s="15" t="inlineStr">
        <is>
          <t>Mainboard</t>
        </is>
      </c>
      <c r="I463" s="16" t="n">
        <v>45833</v>
      </c>
      <c r="J463" s="16" t="n">
        <v>45835</v>
      </c>
      <c r="K463" s="16" t="n">
        <v>45840</v>
      </c>
      <c r="L463" s="17" t="n">
        <v>540</v>
      </c>
      <c r="M463" s="17" t="n">
        <v>440</v>
      </c>
      <c r="N463" s="17" t="n">
        <v>100</v>
      </c>
      <c r="O463" s="15" t="inlineStr">
        <is>
          <t>Final issue (ipoplatform)</t>
        </is>
      </c>
      <c r="P463" s="15" t="n"/>
      <c r="Q463" s="18" t="inlineStr">
        <is>
          <t>https://www.sebi.gov.in/sebi_data/attachdocs/dec-2024/1733120168797.pdf</t>
        </is>
      </c>
      <c r="R463" s="18" t="inlineStr">
        <is>
          <t>https://www.sebi.gov.in/filings/public-issues/dec-2024/sambhv-steel-tubes-limited-corrigendum-to-drhp_89172.html</t>
        </is>
      </c>
      <c r="S463" s="15" t="n"/>
      <c r="T463" s="15" t="inlineStr">
        <is>
          <t>Company name + date window</t>
        </is>
      </c>
      <c r="U463" s="15" t="inlineStr">
        <is>
          <t>Sambhv Steel Tubes Limited</t>
        </is>
      </c>
      <c r="V463" s="15" t="n"/>
      <c r="W463" s="15" t="n"/>
      <c r="X463" s="15" t="n"/>
      <c r="Y463" s="15" t="n"/>
      <c r="Z463" s="15" t="n"/>
      <c r="AA463" s="15" t="n"/>
      <c r="AB463" s="15" t="n"/>
    </row>
    <row r="464" ht="15" customHeight="1" s="12">
      <c r="A464" s="14" t="n">
        <v>463</v>
      </c>
      <c r="B464" s="16" t="n">
        <v>45622</v>
      </c>
      <c r="C464" s="15" t="n">
        <v>2024</v>
      </c>
      <c r="D464" s="15" t="inlineStr">
        <is>
          <t>JARO INSTITUTE OF TECHNOLOGY MANAGEMENT AND RESEARCH LIMITED</t>
        </is>
      </c>
      <c r="E464" s="15" t="inlineStr">
        <is>
          <t>Addendum cum Corrigendum</t>
        </is>
      </c>
      <c r="F464" s="15" t="inlineStr">
        <is>
          <t>JARO INSTITUTE OF TECHNOLOGY MANAGEMENT AND RESEARCH LIMITED - Addendum cum Corrigendum to DRHP</t>
        </is>
      </c>
      <c r="G464" s="15" t="inlineStr">
        <is>
          <t>IPO launched</t>
        </is>
      </c>
      <c r="H464" s="15" t="inlineStr">
        <is>
          <t>Mainboard</t>
        </is>
      </c>
      <c r="I464" s="16" t="n">
        <v>45923</v>
      </c>
      <c r="J464" s="16" t="n">
        <v>45925</v>
      </c>
      <c r="K464" s="16" t="n">
        <v>45930</v>
      </c>
      <c r="L464" s="17" t="n">
        <v>450</v>
      </c>
      <c r="M464" s="17" t="n">
        <v>170</v>
      </c>
      <c r="N464" s="17" t="n">
        <v>280</v>
      </c>
      <c r="O464" s="15" t="inlineStr">
        <is>
          <t>Final issue (ipoplatform)</t>
        </is>
      </c>
      <c r="P464" s="15" t="n"/>
      <c r="Q464" s="18" t="inlineStr">
        <is>
          <t>https://www.sebi.gov.in/sebi_data/attachdocs/nov-2024/1732605278167.pdf</t>
        </is>
      </c>
      <c r="R464" s="18" t="inlineStr">
        <is>
          <t>https://www.sebi.gov.in/filings/public-issues/nov-2024/jaro-institute-of-technology-management-and-research-limited-addendum-cum-corrigendum-to-drhp_88770.html</t>
        </is>
      </c>
      <c r="S464" s="15" t="n"/>
      <c r="T464" s="15" t="inlineStr">
        <is>
          <t>Company name + date window</t>
        </is>
      </c>
      <c r="U464" s="15" t="inlineStr">
        <is>
          <t>Jaro Institute Of Technology Management And Research Limited</t>
        </is>
      </c>
      <c r="V464" s="15" t="n"/>
      <c r="W464" s="15" t="n"/>
      <c r="X464" s="15" t="n"/>
      <c r="Y464" s="15" t="n"/>
      <c r="Z464" s="15" t="n"/>
      <c r="AA464" s="15" t="n"/>
      <c r="AB464" s="15" t="n"/>
    </row>
    <row r="465" ht="15" customHeight="1" s="12">
      <c r="A465" s="14" t="n">
        <v>464</v>
      </c>
      <c r="B465" s="16" t="n">
        <v>45621</v>
      </c>
      <c r="C465" s="15" t="n">
        <v>2024</v>
      </c>
      <c r="D465" s="15" t="inlineStr">
        <is>
          <t>AEGIS VOPAK TERMINALS LIMITED</t>
        </is>
      </c>
      <c r="E465" s="15" t="inlineStr">
        <is>
          <t>DRHP</t>
        </is>
      </c>
      <c r="F465" s="15" t="inlineStr">
        <is>
          <t>AEGIS VOPAK TERMINALS LIMITED</t>
        </is>
      </c>
      <c r="G465" s="15" t="inlineStr">
        <is>
          <t>IPO launched</t>
        </is>
      </c>
      <c r="H465" s="15" t="inlineStr">
        <is>
          <t>Mainboard</t>
        </is>
      </c>
      <c r="I465" s="16" t="n">
        <v>45803</v>
      </c>
      <c r="J465" s="16" t="n">
        <v>45805</v>
      </c>
      <c r="K465" s="16" t="n">
        <v>45810</v>
      </c>
      <c r="L465" s="17" t="n">
        <v>2800</v>
      </c>
      <c r="M465" s="17" t="n">
        <v>2800</v>
      </c>
      <c r="N465" s="17" t="n">
        <v>0</v>
      </c>
      <c r="O465" s="15" t="inlineStr">
        <is>
          <t>Final issue (ipoplatform)</t>
        </is>
      </c>
      <c r="P465" s="15" t="n"/>
      <c r="Q465" s="18" t="inlineStr">
        <is>
          <t>https://www.sebi.gov.in/sebi_data/attachdocs/nov-2024/1732534205066_587.pdf</t>
        </is>
      </c>
      <c r="R465" s="18" t="inlineStr">
        <is>
          <t>https://www.sebi.gov.in/filings/public-issues/nov-2024/aegis-vopak-terminals-limited_88746.html</t>
        </is>
      </c>
      <c r="S465" s="15" t="n"/>
      <c r="T465" s="15" t="inlineStr">
        <is>
          <t>Company name + date window</t>
        </is>
      </c>
      <c r="U465" s="15" t="inlineStr">
        <is>
          <t>Aegis Vopak Terminals Limited</t>
        </is>
      </c>
      <c r="V465" s="15" t="inlineStr">
        <is>
          <t>IPO size corrected vs source (verified earlier)</t>
        </is>
      </c>
      <c r="W465" s="15" t="n"/>
      <c r="X465" s="15" t="n"/>
      <c r="Y465" s="15" t="n"/>
      <c r="Z465" s="15" t="n"/>
      <c r="AA465" s="15" t="n"/>
      <c r="AB465" s="15" t="n"/>
    </row>
    <row r="466" ht="15" customHeight="1" s="12">
      <c r="A466" s="14" t="n">
        <v>465</v>
      </c>
      <c r="B466" s="16" t="n">
        <v>45621</v>
      </c>
      <c r="C466" s="15" t="n">
        <v>2024</v>
      </c>
      <c r="D466" s="15" t="inlineStr">
        <is>
          <t>SAATVIK GREEN ENERGY LIMITED</t>
        </is>
      </c>
      <c r="E466" s="15" t="inlineStr">
        <is>
          <t>DRHP</t>
        </is>
      </c>
      <c r="F466" s="15" t="inlineStr">
        <is>
          <t>SAATVIK GREEN ENERGY LIMITED</t>
        </is>
      </c>
      <c r="G466" s="15" t="inlineStr">
        <is>
          <t>IPO launched</t>
        </is>
      </c>
      <c r="H466" s="15" t="inlineStr">
        <is>
          <t>Mainboard</t>
        </is>
      </c>
      <c r="I466" s="16" t="n">
        <v>45919</v>
      </c>
      <c r="J466" s="16" t="n">
        <v>45923</v>
      </c>
      <c r="K466" s="16" t="n">
        <v>45926</v>
      </c>
      <c r="L466" s="17" t="n">
        <v>900</v>
      </c>
      <c r="M466" s="17" t="n">
        <v>700</v>
      </c>
      <c r="N466" s="17" t="n">
        <v>200</v>
      </c>
      <c r="O466" s="15" t="inlineStr">
        <is>
          <t>Final issue (ipoplatform)</t>
        </is>
      </c>
      <c r="P466" s="15" t="n"/>
      <c r="Q466" s="18" t="inlineStr">
        <is>
          <t>https://www.sebi.gov.in/sebi_data/attachdocs/nov-2024/1732519804544_586.pdf</t>
        </is>
      </c>
      <c r="R466" s="18" t="inlineStr">
        <is>
          <t>https://www.sebi.gov.in/filings/public-issues/nov-2024/saatvik-green-energy-limited_88728.html</t>
        </is>
      </c>
      <c r="S466" s="15" t="n"/>
      <c r="T466" s="15" t="inlineStr">
        <is>
          <t>Company name + date window</t>
        </is>
      </c>
      <c r="U466" s="15" t="inlineStr">
        <is>
          <t>Saatvik Green Energy Limited</t>
        </is>
      </c>
      <c r="V466" s="15" t="n"/>
      <c r="W466" s="15" t="n"/>
      <c r="X466" s="15" t="n"/>
      <c r="Y466" s="15" t="n"/>
      <c r="Z466" s="15" t="n"/>
      <c r="AA466" s="15" t="n"/>
      <c r="AB466" s="15" t="n"/>
    </row>
    <row r="467" ht="15" customHeight="1" s="12">
      <c r="A467" s="14" t="n">
        <v>466</v>
      </c>
      <c r="B467" s="16" t="n">
        <v>45618</v>
      </c>
      <c r="C467" s="15" t="n">
        <v>2024</v>
      </c>
      <c r="D467" s="15" t="inlineStr">
        <is>
          <t>Belrise Industries Limited</t>
        </is>
      </c>
      <c r="E467" s="15" t="inlineStr">
        <is>
          <t>DRHP</t>
        </is>
      </c>
      <c r="F467" s="15" t="inlineStr">
        <is>
          <t>Belrise Industries Limited</t>
        </is>
      </c>
      <c r="G467" s="15" t="inlineStr">
        <is>
          <t>IPO launched</t>
        </is>
      </c>
      <c r="H467" s="15" t="inlineStr">
        <is>
          <t>Mainboard</t>
        </is>
      </c>
      <c r="I467" s="16" t="n">
        <v>45798</v>
      </c>
      <c r="J467" s="16" t="n">
        <v>45800</v>
      </c>
      <c r="K467" s="16" t="n">
        <v>45805</v>
      </c>
      <c r="L467" s="17" t="n">
        <v>2150</v>
      </c>
      <c r="M467" s="17" t="n">
        <v>2150</v>
      </c>
      <c r="N467" s="17" t="n">
        <v>0</v>
      </c>
      <c r="O467" s="15" t="inlineStr">
        <is>
          <t>Final issue (ipoplatform)</t>
        </is>
      </c>
      <c r="P467" s="15" t="n"/>
      <c r="Q467" s="18" t="inlineStr">
        <is>
          <t>https://www.sebi.gov.in/sebi_data/attachdocs/nov-2024/1732275005817_584.pdf</t>
        </is>
      </c>
      <c r="R467" s="18" t="inlineStr">
        <is>
          <t>https://www.sebi.gov.in/filings/public-issues/nov-2024/belrise-industries-limited_88690.html</t>
        </is>
      </c>
      <c r="S467" s="15" t="n"/>
      <c r="T467" s="15" t="inlineStr">
        <is>
          <t>Company name + date window</t>
        </is>
      </c>
      <c r="U467" s="15" t="inlineStr">
        <is>
          <t>Belrise Industries Limited</t>
        </is>
      </c>
      <c r="V467" s="15" t="n"/>
      <c r="W467" s="15" t="n"/>
      <c r="X467" s="15" t="n"/>
      <c r="Y467" s="15" t="n"/>
      <c r="Z467" s="15" t="n"/>
      <c r="AA467" s="15" t="n"/>
      <c r="AB467" s="15" t="n"/>
    </row>
    <row r="468" ht="15" customHeight="1" s="12">
      <c r="A468" s="14" t="n">
        <v>467</v>
      </c>
      <c r="B468" s="16" t="n">
        <v>45617</v>
      </c>
      <c r="C468" s="15" t="n">
        <v>2024</v>
      </c>
      <c r="D468" s="15" t="inlineStr">
        <is>
          <t>CIEL HR SERVICES LIMITED</t>
        </is>
      </c>
      <c r="E468" s="15" t="inlineStr">
        <is>
          <t>DRHP</t>
        </is>
      </c>
      <c r="F468" s="15" t="inlineStr">
        <is>
          <t>CIEL HR SERVICES LIMITED - DRHP</t>
        </is>
      </c>
      <c r="G468" s="15" t="inlineStr">
        <is>
          <t>No launched IPO found</t>
        </is>
      </c>
      <c r="H468" s="15" t="n"/>
      <c r="I468" s="16" t="n"/>
      <c r="J468" s="16" t="n"/>
      <c r="K468" s="16" t="n"/>
      <c r="L468" s="17" t="n"/>
      <c r="M468" s="17" t="n"/>
      <c r="N468" s="17" t="n"/>
      <c r="O468" s="15" t="n"/>
      <c r="P468" s="15" t="n"/>
      <c r="Q468" s="18" t="inlineStr">
        <is>
          <t>https://www.sebi.gov.in/sebi_data/attachdocs/nov-2024/1732186038798.pdf</t>
        </is>
      </c>
      <c r="R468" s="18" t="inlineStr">
        <is>
          <t>https://www.sebi.gov.in/filings/public-issues/nov-2024/ciel-hr-services-limited-drhp_88653.html</t>
        </is>
      </c>
      <c r="S468" s="15" t="n"/>
      <c r="T468" s="15" t="n"/>
      <c r="U468" s="15" t="n"/>
      <c r="V468" s="15" t="n"/>
      <c r="W468" s="16" t="n"/>
      <c r="X468" s="16" t="n"/>
      <c r="Y468" s="16" t="n"/>
      <c r="Z468" s="15" t="inlineStr">
        <is>
          <t>No issue found</t>
        </is>
      </c>
      <c r="AA468" s="15" t="inlineStr">
        <is>
          <t>Business Standard lists the company but shows no issue dates; web search limit reached</t>
        </is>
      </c>
      <c r="AB468" s="18" t="inlineStr">
        <is>
          <t>https://www.business-standard.com/markets/ipo/ciel-hr-services-ltd-ipo-89497</t>
        </is>
      </c>
    </row>
    <row r="469" ht="15" customHeight="1" s="12">
      <c r="A469" s="14" t="n">
        <v>468</v>
      </c>
      <c r="B469" s="16" t="n">
        <v>45615</v>
      </c>
      <c r="C469" s="15" t="n">
        <v>2024</v>
      </c>
      <c r="D469" s="15" t="inlineStr">
        <is>
          <t>Crizac Limited</t>
        </is>
      </c>
      <c r="E469" s="15" t="inlineStr">
        <is>
          <t>DRHP</t>
        </is>
      </c>
      <c r="F469" s="15" t="inlineStr">
        <is>
          <t>Crizac Limited - DRHP</t>
        </is>
      </c>
      <c r="G469" s="15" t="inlineStr">
        <is>
          <t>IPO launched</t>
        </is>
      </c>
      <c r="H469" s="15" t="inlineStr">
        <is>
          <t>Mainboard</t>
        </is>
      </c>
      <c r="I469" s="16" t="n">
        <v>45840</v>
      </c>
      <c r="J469" s="16" t="n">
        <v>45842</v>
      </c>
      <c r="K469" s="16" t="n">
        <v>45847</v>
      </c>
      <c r="L469" s="17" t="n">
        <v>860</v>
      </c>
      <c r="M469" s="17" t="n">
        <v>0</v>
      </c>
      <c r="N469" s="17" t="n">
        <v>860</v>
      </c>
      <c r="O469" s="15" t="inlineStr">
        <is>
          <t>Final issue (ipoplatform)</t>
        </is>
      </c>
      <c r="P469" s="15" t="n"/>
      <c r="Q469" s="18" t="inlineStr">
        <is>
          <t>https://www.sebi.gov.in/sebi_data/attachdocs/nov-2024/1732274929423.pdf</t>
        </is>
      </c>
      <c r="R469" s="18" t="inlineStr">
        <is>
          <t>https://www.sebi.gov.in/filings/public-issues/nov-2024/crizac-limited-drhp_88688.html</t>
        </is>
      </c>
      <c r="S469" s="15" t="n"/>
      <c r="T469" s="15" t="inlineStr">
        <is>
          <t>Company name + date window</t>
        </is>
      </c>
      <c r="U469" s="15" t="inlineStr">
        <is>
          <t>Crizac Limited</t>
        </is>
      </c>
      <c r="V469" s="15" t="n"/>
      <c r="W469" s="15" t="n"/>
      <c r="X469" s="15" t="n"/>
      <c r="Y469" s="15" t="n"/>
      <c r="Z469" s="15" t="n"/>
      <c r="AA469" s="15" t="n"/>
      <c r="AB469" s="15" t="n"/>
    </row>
    <row r="470" ht="15" customHeight="1" s="12">
      <c r="A470" s="14" t="n">
        <v>469</v>
      </c>
      <c r="B470" s="16" t="n">
        <v>45615</v>
      </c>
      <c r="C470" s="15" t="n">
        <v>2024</v>
      </c>
      <c r="D470" s="15" t="inlineStr">
        <is>
          <t>BORANAWEAVESLIMITED</t>
        </is>
      </c>
      <c r="E470" s="15" t="inlineStr">
        <is>
          <t>DRHP</t>
        </is>
      </c>
      <c r="F470" s="15" t="inlineStr">
        <is>
          <t>BORANAWEAVESLIMITED</t>
        </is>
      </c>
      <c r="G470" s="15" t="inlineStr">
        <is>
          <t>No launched IPO found</t>
        </is>
      </c>
      <c r="H470" s="15" t="n"/>
      <c r="I470" s="16" t="n"/>
      <c r="J470" s="16" t="n"/>
      <c r="K470" s="16" t="n"/>
      <c r="L470" s="17" t="n"/>
      <c r="M470" s="17" t="n"/>
      <c r="N470" s="17" t="n"/>
      <c r="O470" s="15" t="n"/>
      <c r="P470" s="15" t="n"/>
      <c r="Q470" s="18" t="inlineStr">
        <is>
          <t>https://www.sebi.gov.in/sebi_data/attachdocs/nov-2024/1732015813217_580.pdf</t>
        </is>
      </c>
      <c r="R470" s="18" t="inlineStr">
        <is>
          <t>https://www.sebi.gov.in/filings/public-issues/nov-2024/boranaweaveslimited_88608.html</t>
        </is>
      </c>
      <c r="S470" s="15" t="n"/>
      <c r="T470" s="15" t="n"/>
      <c r="U470" s="15" t="n"/>
      <c r="V470" s="15" t="n"/>
      <c r="W470" s="19" t="n">
        <v>45797</v>
      </c>
      <c r="X470" s="19" t="n">
        <v>45799</v>
      </c>
      <c r="Y470" s="19" t="n">
        <v>45804</v>
      </c>
      <c r="Z470" s="20" t="inlineStr">
        <is>
          <t>Issue opened</t>
        </is>
      </c>
      <c r="AA470" s="15" t="inlineStr">
        <is>
          <t>IPO as Borana Weaves Ltd; Rs205-216 band, NSE mainboard</t>
        </is>
      </c>
      <c r="AB470" s="18" t="inlineStr">
        <is>
          <t>https://www.chittorgarh.com/ipo/borana-weaves-ipo/2099/</t>
        </is>
      </c>
    </row>
    <row r="471" ht="15" customHeight="1" s="12">
      <c r="A471" s="14" t="n">
        <v>470</v>
      </c>
      <c r="B471" s="16" t="n">
        <v>45614</v>
      </c>
      <c r="C471" s="15" t="n">
        <v>2024</v>
      </c>
      <c r="D471" s="15" t="inlineStr">
        <is>
          <t>ArisInfra Solutions Limited</t>
        </is>
      </c>
      <c r="E471" s="15" t="inlineStr">
        <is>
          <t>Addendum</t>
        </is>
      </c>
      <c r="F471" s="15" t="inlineStr">
        <is>
          <t>ArisInfra Solutions Limited - Addendum to DRHP</t>
        </is>
      </c>
      <c r="G471" s="15" t="inlineStr">
        <is>
          <t>IPO launched</t>
        </is>
      </c>
      <c r="H471" s="15" t="inlineStr">
        <is>
          <t>Mainboard</t>
        </is>
      </c>
      <c r="I471" s="16" t="n">
        <v>45826</v>
      </c>
      <c r="J471" s="16" t="n">
        <v>45828</v>
      </c>
      <c r="K471" s="16" t="n">
        <v>45833</v>
      </c>
      <c r="L471" s="17" t="n">
        <v>499.6</v>
      </c>
      <c r="M471" s="17" t="n">
        <v>499.6</v>
      </c>
      <c r="N471" s="17" t="n">
        <v>0</v>
      </c>
      <c r="O471" s="15" t="inlineStr">
        <is>
          <t>Final issue (ipoplatform)</t>
        </is>
      </c>
      <c r="P471" s="15" t="n"/>
      <c r="Q471" s="18" t="inlineStr">
        <is>
          <t>https://www.sebi.gov.in/sebi_data/attachdocs/nov-2024/1731912116999.pdf</t>
        </is>
      </c>
      <c r="R471" s="18" t="inlineStr">
        <is>
          <t>https://www.sebi.gov.in/filings/public-issues/nov-2024/arisinfra-solutions-limited-addendum-to-drhp_88526.html</t>
        </is>
      </c>
      <c r="S471" s="15" t="n"/>
      <c r="T471" s="15" t="inlineStr">
        <is>
          <t>Company name + date window</t>
        </is>
      </c>
      <c r="U471" s="15" t="inlineStr">
        <is>
          <t>Aris Infra Solutions Limited</t>
        </is>
      </c>
      <c r="V471" s="15" t="n"/>
      <c r="W471" s="15" t="n"/>
      <c r="X471" s="15" t="n"/>
      <c r="Y471" s="15" t="n"/>
      <c r="Z471" s="15" t="n"/>
      <c r="AA471" s="15" t="n"/>
      <c r="AB471" s="15" t="n"/>
    </row>
    <row r="472" ht="15" customHeight="1" s="12">
      <c r="A472" s="14" t="n">
        <v>471</v>
      </c>
      <c r="B472" s="16" t="n">
        <v>45608</v>
      </c>
      <c r="C472" s="15" t="n">
        <v>2024</v>
      </c>
      <c r="D472" s="15" t="inlineStr">
        <is>
          <t>Paramesu Biotech Limited</t>
        </is>
      </c>
      <c r="E472" s="15" t="inlineStr">
        <is>
          <t>DRHP</t>
        </is>
      </c>
      <c r="F472" s="15" t="inlineStr">
        <is>
          <t>Paramesu Biotech Limited</t>
        </is>
      </c>
      <c r="G472" s="15" t="inlineStr">
        <is>
          <t>No launched IPO found</t>
        </is>
      </c>
      <c r="H472" s="15" t="n"/>
      <c r="I472" s="16" t="n"/>
      <c r="J472" s="16" t="n"/>
      <c r="K472" s="16" t="n"/>
      <c r="L472" s="17" t="n"/>
      <c r="M472" s="17" t="n"/>
      <c r="N472" s="17" t="n"/>
      <c r="O472" s="15" t="n"/>
      <c r="P472" s="15" t="n"/>
      <c r="Q472" s="18" t="inlineStr">
        <is>
          <t>https://www.sebi.gov.in/sebi_data/attachdocs/nov-2024/1731396609603_578.pdf</t>
        </is>
      </c>
      <c r="R472" s="18" t="inlineStr">
        <is>
          <t>https://www.sebi.gov.in/filings/public-issues/nov-2024/paramesu-biotech-limited_88375.html</t>
        </is>
      </c>
      <c r="S472" s="15" t="n"/>
      <c r="T472" s="15" t="n"/>
      <c r="U472" s="15" t="n"/>
      <c r="V472" s="15" t="n"/>
      <c r="W472" s="16" t="n"/>
      <c r="X472" s="16" t="n"/>
      <c r="Y472" s="16" t="n"/>
      <c r="Z472" s="15" t="inlineStr">
        <is>
          <t>No issue found</t>
        </is>
      </c>
      <c r="AA472" s="15" t="inlineStr">
        <is>
          <t>Business Standard lists the company but shows no issue dates; web search limit reached</t>
        </is>
      </c>
      <c r="AB472" s="18" t="inlineStr">
        <is>
          <t>https://www.business-standard.com/markets/ipo/paramesu-biotech-ltd-ipo-78205</t>
        </is>
      </c>
    </row>
    <row r="473" ht="15" customHeight="1" s="12">
      <c r="A473" s="14" t="n">
        <v>472</v>
      </c>
      <c r="B473" s="16" t="n">
        <v>45607</v>
      </c>
      <c r="C473" s="15" t="n">
        <v>2024</v>
      </c>
      <c r="D473" s="15" t="inlineStr">
        <is>
          <t>INDOGULF CROPSCIENCES LIMITED</t>
        </is>
      </c>
      <c r="E473" s="15" t="inlineStr">
        <is>
          <t>Corrigendum</t>
        </is>
      </c>
      <c r="F473" s="15" t="inlineStr">
        <is>
          <t>INDOGULF CROPSCIENCES LIMITED - Corrigendum to DRHP</t>
        </is>
      </c>
      <c r="G473" s="15" t="inlineStr">
        <is>
          <t>IPO launched</t>
        </is>
      </c>
      <c r="H473" s="15" t="inlineStr">
        <is>
          <t>Mainboard</t>
        </is>
      </c>
      <c r="I473" s="16" t="n">
        <v>45834</v>
      </c>
      <c r="J473" s="16" t="n">
        <v>45838</v>
      </c>
      <c r="K473" s="16" t="n">
        <v>45841</v>
      </c>
      <c r="L473" s="17" t="n">
        <v>200</v>
      </c>
      <c r="M473" s="17" t="n">
        <v>160</v>
      </c>
      <c r="N473" s="17" t="n">
        <v>40</v>
      </c>
      <c r="O473" s="15" t="inlineStr">
        <is>
          <t>Final issue (ipoplatform)</t>
        </is>
      </c>
      <c r="P473" s="15" t="n"/>
      <c r="Q473" s="18" t="inlineStr">
        <is>
          <t>https://www.sebi.gov.in/sebi_data/attachdocs/nov-2024/1731328477841.pdf</t>
        </is>
      </c>
      <c r="R473" s="18" t="inlineStr">
        <is>
          <t>https://www.sebi.gov.in/filings/public-issues/nov-2024/indogulf-cropsciences-limited-corrigendum-to-drhp_88344.html</t>
        </is>
      </c>
      <c r="S473" s="15" t="n"/>
      <c r="T473" s="15" t="inlineStr">
        <is>
          <t>Company name + date window</t>
        </is>
      </c>
      <c r="U473" s="15" t="inlineStr">
        <is>
          <t>Indogulf Cropsciences Limited</t>
        </is>
      </c>
      <c r="V473" s="15" t="n"/>
      <c r="W473" s="15" t="n"/>
      <c r="X473" s="15" t="n"/>
      <c r="Y473" s="15" t="n"/>
      <c r="Z473" s="15" t="n"/>
      <c r="AA473" s="15" t="n"/>
      <c r="AB473" s="15" t="n"/>
    </row>
    <row r="474" ht="15" customHeight="1" s="12">
      <c r="A474" s="14" t="n">
        <v>473</v>
      </c>
      <c r="B474" s="16" t="n">
        <v>45602</v>
      </c>
      <c r="C474" s="15" t="n">
        <v>2024</v>
      </c>
      <c r="D474" s="15" t="inlineStr">
        <is>
          <t>Brigade Hotel Ventures Limited</t>
        </is>
      </c>
      <c r="E474" s="15" t="inlineStr">
        <is>
          <t>DRHP</t>
        </is>
      </c>
      <c r="F474" s="15" t="inlineStr">
        <is>
          <t>Brigade Hotel Ventures Limited</t>
        </is>
      </c>
      <c r="G474" s="15" t="inlineStr">
        <is>
          <t>IPO launched</t>
        </is>
      </c>
      <c r="H474" s="15" t="inlineStr">
        <is>
          <t>Mainboard</t>
        </is>
      </c>
      <c r="I474" s="16" t="n">
        <v>45862</v>
      </c>
      <c r="J474" s="16" t="n">
        <v>45866</v>
      </c>
      <c r="K474" s="16" t="n">
        <v>45869</v>
      </c>
      <c r="L474" s="17" t="n">
        <v>759.6</v>
      </c>
      <c r="M474" s="17" t="n">
        <v>759.6</v>
      </c>
      <c r="N474" s="17" t="n">
        <v>0</v>
      </c>
      <c r="O474" s="15" t="inlineStr">
        <is>
          <t>Final issue (ipoplatform)</t>
        </is>
      </c>
      <c r="P474" s="15" t="n"/>
      <c r="Q474" s="18" t="inlineStr">
        <is>
          <t>https://www.sebi.gov.in/sebi_data/attachdocs/nov-2024/1730943005947_574.pdf</t>
        </is>
      </c>
      <c r="R474" s="18" t="inlineStr">
        <is>
          <t>https://www.sebi.gov.in/filings/public-issues/nov-2024/brigade-hotel-ventures-limited_88270.html</t>
        </is>
      </c>
      <c r="S474" s="15" t="n"/>
      <c r="T474" s="15" t="inlineStr">
        <is>
          <t>Company name + date window</t>
        </is>
      </c>
      <c r="U474" s="15" t="inlineStr">
        <is>
          <t>Brigade Hotel Ventures Limited</t>
        </is>
      </c>
      <c r="V474" s="15" t="n"/>
      <c r="W474" s="15" t="n"/>
      <c r="X474" s="15" t="n"/>
      <c r="Y474" s="15" t="n"/>
      <c r="Z474" s="15" t="n"/>
      <c r="AA474" s="15" t="n"/>
      <c r="AB474" s="15" t="n"/>
    </row>
    <row r="475" ht="15" customHeight="1" s="12">
      <c r="A475" s="14" t="n">
        <v>474</v>
      </c>
      <c r="B475" s="16" t="n">
        <v>45601</v>
      </c>
      <c r="C475" s="15" t="n">
        <v>2024</v>
      </c>
      <c r="D475" s="15" t="inlineStr">
        <is>
          <t>HDB FINANCIAL SERVICES LIMITED</t>
        </is>
      </c>
      <c r="E475" s="15" t="inlineStr">
        <is>
          <t>DRHP</t>
        </is>
      </c>
      <c r="F475" s="15" t="inlineStr">
        <is>
          <t>HDB FINANCIAL SERVICES LIMITED</t>
        </is>
      </c>
      <c r="G475" s="15" t="inlineStr">
        <is>
          <t>IPO launched</t>
        </is>
      </c>
      <c r="H475" s="15" t="inlineStr">
        <is>
          <t>Mainboard</t>
        </is>
      </c>
      <c r="I475" s="16" t="n">
        <v>45833</v>
      </c>
      <c r="J475" s="16" t="n">
        <v>45835</v>
      </c>
      <c r="K475" s="16" t="n">
        <v>45840</v>
      </c>
      <c r="L475" s="17" t="n">
        <v>12500</v>
      </c>
      <c r="M475" s="17" t="n">
        <v>2500</v>
      </c>
      <c r="N475" s="17" t="n">
        <v>10000</v>
      </c>
      <c r="O475" s="15" t="inlineStr">
        <is>
          <t>Final issue (ipoplatform)</t>
        </is>
      </c>
      <c r="P475" s="15" t="n"/>
      <c r="Q475" s="18" t="inlineStr">
        <is>
          <t>https://www.sebi.gov.in/sebi_data/attachdocs/nov-2024/1730791806554_562.pdf</t>
        </is>
      </c>
      <c r="R475" s="18" t="inlineStr">
        <is>
          <t>https://www.sebi.gov.in/filings/public-issues/nov-2024/hdb-financial-services-limited_88226.html</t>
        </is>
      </c>
      <c r="S475" s="15" t="n"/>
      <c r="T475" s="15" t="inlineStr">
        <is>
          <t>Company name + date window</t>
        </is>
      </c>
      <c r="U475" s="15" t="inlineStr">
        <is>
          <t>HDB Financial Services Limited</t>
        </is>
      </c>
      <c r="V475" s="15" t="n"/>
      <c r="W475" s="15" t="n"/>
      <c r="X475" s="15" t="n"/>
      <c r="Y475" s="15" t="n"/>
      <c r="Z475" s="15" t="n"/>
      <c r="AA475" s="15" t="n"/>
      <c r="AB475" s="15" t="n"/>
    </row>
    <row r="476" ht="15" customHeight="1" s="12">
      <c r="A476" s="14" t="n">
        <v>475</v>
      </c>
      <c r="B476" s="16" t="n">
        <v>45596</v>
      </c>
      <c r="C476" s="15" t="n">
        <v>2024</v>
      </c>
      <c r="D476" s="15" t="inlineStr">
        <is>
          <t>Zinka Logistics Solutions Limited</t>
        </is>
      </c>
      <c r="E476" s="15" t="inlineStr">
        <is>
          <t>Addendum</t>
        </is>
      </c>
      <c r="F476" s="15" t="inlineStr">
        <is>
          <t>Zinka Logistics Solutions Limited - Addendum to the DRHP</t>
        </is>
      </c>
      <c r="G476" s="15" t="inlineStr">
        <is>
          <t>IPO launched</t>
        </is>
      </c>
      <c r="H476" s="15" t="inlineStr">
        <is>
          <t>Mainboard</t>
        </is>
      </c>
      <c r="I476" s="16" t="n">
        <v>45609</v>
      </c>
      <c r="J476" s="16" t="n">
        <v>45614</v>
      </c>
      <c r="K476" s="16" t="n">
        <v>45618</v>
      </c>
      <c r="L476" s="17" t="n">
        <v>1114.72</v>
      </c>
      <c r="M476" s="17" t="n">
        <v>550</v>
      </c>
      <c r="N476" s="17" t="n">
        <v>564.72</v>
      </c>
      <c r="O476" s="15" t="inlineStr">
        <is>
          <t>Final issue (ipoplatform)</t>
        </is>
      </c>
      <c r="P476" s="15" t="n"/>
      <c r="Q476" s="18" t="inlineStr">
        <is>
          <t>https://www.sebi.gov.in/sebi_data/attachdocs/nov-2024/1730797962025.PDF</t>
        </is>
      </c>
      <c r="R476" s="18" t="inlineStr">
        <is>
          <t>https://www.sebi.gov.in/filings/public-issues/oct-2024/zinka-logistics-solutions-limited-addendum-to-the-drhp_88227.html</t>
        </is>
      </c>
      <c r="S476" s="15" t="n"/>
      <c r="T476" s="15" t="inlineStr">
        <is>
          <t>Company name (close spelling) + date window</t>
        </is>
      </c>
      <c r="U476" s="15" t="inlineStr">
        <is>
          <t>Zinka Logistics Solution Limited</t>
        </is>
      </c>
      <c r="V476" s="15" t="n"/>
      <c r="W476" s="15" t="n"/>
      <c r="X476" s="15" t="n"/>
      <c r="Y476" s="15" t="n"/>
      <c r="Z476" s="15" t="n"/>
      <c r="AA476" s="15" t="n"/>
      <c r="AB476" s="15" t="n"/>
    </row>
    <row r="477" ht="15" customHeight="1" s="12">
      <c r="A477" s="14" t="n">
        <v>476</v>
      </c>
      <c r="B477" s="16" t="n">
        <v>45586</v>
      </c>
      <c r="C477" s="15" t="n">
        <v>2024</v>
      </c>
      <c r="D477" s="15" t="inlineStr">
        <is>
          <t>SMPP LIMITED</t>
        </is>
      </c>
      <c r="E477" s="15" t="inlineStr">
        <is>
          <t>DRHP</t>
        </is>
      </c>
      <c r="F477" s="15" t="inlineStr">
        <is>
          <t>SMPP LIMITED - DRHP</t>
        </is>
      </c>
      <c r="G477" s="15" t="inlineStr">
        <is>
          <t>No launched IPO found</t>
        </is>
      </c>
      <c r="H477" s="15" t="n"/>
      <c r="I477" s="16" t="n"/>
      <c r="J477" s="16" t="n"/>
      <c r="K477" s="16" t="n"/>
      <c r="L477" s="17" t="n"/>
      <c r="M477" s="17" t="n"/>
      <c r="N477" s="17" t="n"/>
      <c r="O477" s="15" t="n"/>
      <c r="P477" s="15" t="n"/>
      <c r="Q477" s="18" t="inlineStr">
        <is>
          <t>https://www.sebi.gov.in/sebi_data/attachdocs/oct-2024/1729598563606.PDF</t>
        </is>
      </c>
      <c r="R477" s="18" t="inlineStr">
        <is>
          <t>https://www.sebi.gov.in/filings/public-issues/oct-2024/smpp-limited-drhp_87861.html</t>
        </is>
      </c>
      <c r="S477" s="15" t="n"/>
      <c r="T477" s="15" t="n"/>
      <c r="U477" s="15" t="n"/>
      <c r="V477" s="15" t="n"/>
      <c r="W477" s="16" t="n"/>
      <c r="X477" s="16" t="n"/>
      <c r="Y477" s="16" t="n"/>
      <c r="Z477" s="15" t="inlineStr">
        <is>
          <t>No issue found</t>
        </is>
      </c>
      <c r="AA477" s="15" t="inlineStr">
        <is>
          <t>SEBI approved Jan 2025; dates not announced; only placeholder dates elsewhere.</t>
        </is>
      </c>
      <c r="AB477" s="18" t="inlineStr">
        <is>
          <t>https://www.chittorgarh.com/ipo/smpp-ipo/2114/</t>
        </is>
      </c>
    </row>
    <row r="478" ht="15" customHeight="1" s="12">
      <c r="A478" s="14" t="n">
        <v>477</v>
      </c>
      <c r="B478" s="16" t="n">
        <v>45583</v>
      </c>
      <c r="C478" s="15" t="n">
        <v>2024</v>
      </c>
      <c r="D478" s="15" t="inlineStr">
        <is>
          <t>Vishal Mega Mart Limited</t>
        </is>
      </c>
      <c r="E478" s="15" t="inlineStr">
        <is>
          <t>UDRHP-I</t>
        </is>
      </c>
      <c r="F478" s="15" t="inlineStr">
        <is>
          <t>Vishal Mega Mart Limited - Updated Draft Red Herring Prospectus - I</t>
        </is>
      </c>
      <c r="G478" s="15" t="inlineStr">
        <is>
          <t>IPO launched</t>
        </is>
      </c>
      <c r="H478" s="15" t="inlineStr">
        <is>
          <t>Mainboard</t>
        </is>
      </c>
      <c r="I478" s="16" t="n">
        <v>45637</v>
      </c>
      <c r="J478" s="16" t="n">
        <v>45639</v>
      </c>
      <c r="K478" s="16" t="n">
        <v>45644</v>
      </c>
      <c r="L478" s="17" t="n">
        <v>8000</v>
      </c>
      <c r="M478" s="17" t="n">
        <v>8000</v>
      </c>
      <c r="N478" s="17" t="n">
        <v>0</v>
      </c>
      <c r="O478" s="15" t="inlineStr">
        <is>
          <t>Final issue (ipoplatform)</t>
        </is>
      </c>
      <c r="P478" s="15" t="n"/>
      <c r="Q478" s="18" t="inlineStr">
        <is>
          <t>https://www.sebi.gov.in/sebi_data/attachdocs/oct-2024/1729226055847.pdf</t>
        </is>
      </c>
      <c r="R478" s="18" t="inlineStr">
        <is>
          <t>https://www.sebi.gov.in/filings/public-issues/oct-2024/vishal-mega-mart-limited-updated-draft-red-herring-prospectus-i_87742.html</t>
        </is>
      </c>
      <c r="S478" s="15" t="n"/>
      <c r="T478" s="15" t="inlineStr">
        <is>
          <t>SEBI filing link</t>
        </is>
      </c>
      <c r="U478" s="15" t="inlineStr">
        <is>
          <t>Vishal Mega Mart Limited</t>
        </is>
      </c>
      <c r="V478" s="15" t="n"/>
      <c r="W478" s="15" t="n"/>
      <c r="X478" s="15" t="n"/>
      <c r="Y478" s="15" t="n"/>
      <c r="Z478" s="15" t="n"/>
      <c r="AA478" s="15" t="n"/>
      <c r="AB478" s="15" t="n"/>
    </row>
    <row r="479" ht="15" customHeight="1" s="12">
      <c r="A479" s="14" t="n">
        <v>478</v>
      </c>
      <c r="B479" s="16" t="n">
        <v>45580</v>
      </c>
      <c r="C479" s="15" t="n">
        <v>2024</v>
      </c>
      <c r="D479" s="15" t="inlineStr">
        <is>
          <t>ANLON HEALTHCARE LIMITED</t>
        </is>
      </c>
      <c r="E479" s="15" t="inlineStr">
        <is>
          <t>DRHP</t>
        </is>
      </c>
      <c r="F479" s="15" t="inlineStr">
        <is>
          <t>ANLON HEALTHCARE LIMITED</t>
        </is>
      </c>
      <c r="G479" s="15" t="inlineStr">
        <is>
          <t>IPO launched</t>
        </is>
      </c>
      <c r="H479" s="15" t="inlineStr">
        <is>
          <t>Mainboard</t>
        </is>
      </c>
      <c r="I479" s="16" t="n">
        <v>45895</v>
      </c>
      <c r="J479" s="16" t="n">
        <v>45898</v>
      </c>
      <c r="K479" s="16" t="n">
        <v>45903</v>
      </c>
      <c r="L479" s="17" t="n">
        <v>121.03</v>
      </c>
      <c r="M479" s="17" t="n">
        <v>121.03</v>
      </c>
      <c r="N479" s="17" t="n">
        <v>0</v>
      </c>
      <c r="O479" s="15" t="inlineStr">
        <is>
          <t>Final issue (ipoplatform)</t>
        </is>
      </c>
      <c r="P479" s="15" t="n"/>
      <c r="Q479" s="18" t="inlineStr">
        <is>
          <t>https://www.sebi.gov.in/sebi_data/attachdocs/oct-2024/1728977411006_557.pdf</t>
        </is>
      </c>
      <c r="R479" s="18" t="inlineStr">
        <is>
          <t>https://www.sebi.gov.in/filings/public-issues/oct-2024/anlon-healthcare-limited_87538.html</t>
        </is>
      </c>
      <c r="S479" s="15" t="n"/>
      <c r="T479" s="15" t="inlineStr">
        <is>
          <t>Company name + date window</t>
        </is>
      </c>
      <c r="U479" s="15" t="inlineStr">
        <is>
          <t>Anlon Healthcare Limited</t>
        </is>
      </c>
      <c r="V479" s="15" t="n"/>
      <c r="W479" s="15" t="n"/>
      <c r="X479" s="15" t="n"/>
      <c r="Y479" s="15" t="n"/>
      <c r="Z479" s="15" t="n"/>
      <c r="AA479" s="15" t="n"/>
      <c r="AB479" s="15" t="n"/>
    </row>
    <row r="480" ht="15" customHeight="1" s="12">
      <c r="A480" s="14" t="n">
        <v>479</v>
      </c>
      <c r="B480" s="16" t="n">
        <v>45574</v>
      </c>
      <c r="C480" s="15" t="n">
        <v>2024</v>
      </c>
      <c r="D480" s="15" t="inlineStr">
        <is>
          <t>Sagility India Limited</t>
        </is>
      </c>
      <c r="E480" s="15" t="inlineStr">
        <is>
          <t>Corrigendum</t>
        </is>
      </c>
      <c r="F480" s="15" t="inlineStr">
        <is>
          <t>Sagility India Limited - Corrigendum to DRHP</t>
        </is>
      </c>
      <c r="G480" s="15" t="inlineStr">
        <is>
          <t>IPO launched</t>
        </is>
      </c>
      <c r="H480" s="15" t="inlineStr">
        <is>
          <t>Mainboard</t>
        </is>
      </c>
      <c r="I480" s="16" t="n">
        <v>45601</v>
      </c>
      <c r="J480" s="16" t="n">
        <v>45603</v>
      </c>
      <c r="K480" s="16" t="n">
        <v>45608</v>
      </c>
      <c r="L480" s="17" t="n">
        <v>2106.6</v>
      </c>
      <c r="M480" s="17" t="n">
        <v>0</v>
      </c>
      <c r="N480" s="17" t="n">
        <v>2106.6</v>
      </c>
      <c r="O480" s="15" t="inlineStr">
        <is>
          <t>Final issue (ipoplatform)</t>
        </is>
      </c>
      <c r="P480" s="15" t="n"/>
      <c r="Q480" s="18" t="inlineStr">
        <is>
          <t>https://www.sebi.gov.in/sebi_data/attachdocs/oct-2024/1728465251938.pdf</t>
        </is>
      </c>
      <c r="R480" s="18" t="inlineStr">
        <is>
          <t>https://www.sebi.gov.in/filings/public-issues/oct-2024/sagility-india-limited-corrigendum-to-drhp_87450.html</t>
        </is>
      </c>
      <c r="S480" s="15" t="n"/>
      <c r="T480" s="15" t="inlineStr">
        <is>
          <t>Company name + date window</t>
        </is>
      </c>
      <c r="U480" s="15" t="inlineStr">
        <is>
          <t>Sagility India Limited</t>
        </is>
      </c>
      <c r="V480" s="15" t="n"/>
      <c r="W480" s="15" t="n"/>
      <c r="X480" s="15" t="n"/>
      <c r="Y480" s="15" t="n"/>
      <c r="Z480" s="15" t="n"/>
      <c r="AA480" s="15" t="n"/>
      <c r="AB480" s="15" t="n"/>
    </row>
    <row r="481" ht="15" customHeight="1" s="12">
      <c r="A481" s="14" t="n">
        <v>480</v>
      </c>
      <c r="B481" s="16" t="n">
        <v>45572</v>
      </c>
      <c r="C481" s="15" t="n">
        <v>2024</v>
      </c>
      <c r="D481" s="15" t="inlineStr">
        <is>
          <t>Dev Accelerator Limited</t>
        </is>
      </c>
      <c r="E481" s="15" t="inlineStr">
        <is>
          <t>DRHP</t>
        </is>
      </c>
      <c r="F481" s="15" t="inlineStr">
        <is>
          <t>Dev Accelerator Limited</t>
        </is>
      </c>
      <c r="G481" s="15" t="inlineStr">
        <is>
          <t>IPO launched</t>
        </is>
      </c>
      <c r="H481" s="15" t="inlineStr">
        <is>
          <t>Mainboard</t>
        </is>
      </c>
      <c r="I481" s="16" t="n">
        <v>45910</v>
      </c>
      <c r="J481" s="16" t="n">
        <v>45912</v>
      </c>
      <c r="K481" s="16" t="n">
        <v>45917</v>
      </c>
      <c r="L481" s="17" t="n">
        <v>143.35</v>
      </c>
      <c r="M481" s="17" t="n">
        <v>143.35</v>
      </c>
      <c r="N481" s="17" t="n">
        <v>0</v>
      </c>
      <c r="O481" s="15" t="inlineStr">
        <is>
          <t>Final issue (ipoplatform)</t>
        </is>
      </c>
      <c r="P481" s="15" t="n"/>
      <c r="Q481" s="18" t="inlineStr">
        <is>
          <t>https://www.sebi.gov.in/sebi_data/attachdocs/oct-2024/1728351004655_553.pdf</t>
        </is>
      </c>
      <c r="R481" s="18" t="inlineStr">
        <is>
          <t>https://www.sebi.gov.in/filings/public-issues/oct-2024/dev-accelerator-limited_87400.html</t>
        </is>
      </c>
      <c r="S481" s="15" t="n"/>
      <c r="T481" s="15" t="inlineStr">
        <is>
          <t>Company name + date window</t>
        </is>
      </c>
      <c r="U481" s="15" t="inlineStr">
        <is>
          <t>Dev Accelerator Limited</t>
        </is>
      </c>
      <c r="V481" s="15" t="n"/>
      <c r="W481" s="15" t="n"/>
      <c r="X481" s="15" t="n"/>
      <c r="Y481" s="15" t="n"/>
      <c r="Z481" s="15" t="n"/>
      <c r="AA481" s="15" t="n"/>
      <c r="AB481" s="15" t="n"/>
    </row>
    <row r="482" ht="15" customHeight="1" s="12">
      <c r="A482" s="14" t="n">
        <v>481</v>
      </c>
      <c r="B482" s="16" t="n">
        <v>45572</v>
      </c>
      <c r="C482" s="15" t="n">
        <v>2024</v>
      </c>
      <c r="D482" s="15" t="inlineStr">
        <is>
          <t>Avanse Financial Services Limited</t>
        </is>
      </c>
      <c r="E482" s="15" t="inlineStr">
        <is>
          <t>Addendum</t>
        </is>
      </c>
      <c r="F482" s="15" t="inlineStr">
        <is>
          <t>Avanse Financial Services Limited - Addendum to DRHP</t>
        </is>
      </c>
      <c r="G482" s="15" t="inlineStr">
        <is>
          <t>No launched IPO found</t>
        </is>
      </c>
      <c r="H482" s="15" t="n"/>
      <c r="I482" s="16" t="n"/>
      <c r="J482" s="16" t="n"/>
      <c r="K482" s="16" t="n"/>
      <c r="L482" s="17" t="n"/>
      <c r="M482" s="17" t="n"/>
      <c r="N482" s="17" t="n"/>
      <c r="O482" s="15" t="n"/>
      <c r="P482" s="15" t="n"/>
      <c r="Q482" s="18" t="inlineStr">
        <is>
          <t>https://www.sebi.gov.in/sebi_data/attachdocs/oct-2024/1728285371308.pdf</t>
        </is>
      </c>
      <c r="R482" s="18" t="inlineStr">
        <is>
          <t>https://www.sebi.gov.in/filings/public-issues/oct-2024/avanse-financial-services-limited-addendum-to-drhp_87374.html</t>
        </is>
      </c>
      <c r="S482" s="15" t="n"/>
      <c r="T482" s="15" t="n"/>
      <c r="U482" s="15" t="n"/>
      <c r="V482" s="15" t="n"/>
      <c r="W482" s="16" t="n"/>
      <c r="X482" s="16" t="n"/>
      <c r="Y482" s="16" t="n"/>
      <c r="Z482" s="15" t="inlineStr">
        <is>
          <t>No issue found</t>
        </is>
      </c>
      <c r="AA482" s="15" t="inlineStr">
        <is>
          <t>Tentative Dec 2024 dates did not materialize; no issue found.</t>
        </is>
      </c>
      <c r="AB482" s="18" t="inlineStr">
        <is>
          <t>https://ipowatch.in/avanse-financial-services-ipo/</t>
        </is>
      </c>
    </row>
    <row r="483" ht="15" customHeight="1" s="12">
      <c r="A483" s="14" t="n">
        <v>482</v>
      </c>
      <c r="B483" s="16" t="n">
        <v>45569</v>
      </c>
      <c r="C483" s="15" t="n">
        <v>2024</v>
      </c>
      <c r="D483" s="15" t="inlineStr">
        <is>
          <t>VINEY CORPORATION LIMITED</t>
        </is>
      </c>
      <c r="E483" s="15" t="inlineStr">
        <is>
          <t>DRHP</t>
        </is>
      </c>
      <c r="F483" s="15" t="inlineStr">
        <is>
          <t>VINEY CORPORATION LIMITED</t>
        </is>
      </c>
      <c r="G483" s="15" t="inlineStr">
        <is>
          <t>No launched IPO found</t>
        </is>
      </c>
      <c r="H483" s="15" t="n"/>
      <c r="I483" s="16" t="n"/>
      <c r="J483" s="16" t="n"/>
      <c r="K483" s="16" t="n"/>
      <c r="L483" s="17" t="n"/>
      <c r="M483" s="17" t="n"/>
      <c r="N483" s="17" t="n"/>
      <c r="O483" s="15" t="n"/>
      <c r="P483" s="15" t="n"/>
      <c r="Q483" s="18" t="inlineStr">
        <is>
          <t>https://www.sebi.gov.in/sebi_data/attachdocs/oct-2024/1728041405486_546.pdf</t>
        </is>
      </c>
      <c r="R483" s="18" t="inlineStr">
        <is>
          <t>https://www.sebi.gov.in/filings/public-issues/oct-2024/viney-corporation-limited_87336.html</t>
        </is>
      </c>
      <c r="S483" s="15" t="n"/>
      <c r="T483" s="15" t="n"/>
      <c r="U483" s="15" t="n"/>
      <c r="V483" s="15" t="n"/>
      <c r="W483" s="16" t="n"/>
      <c r="X483" s="16" t="n"/>
      <c r="Y483" s="16" t="n"/>
      <c r="Z483" s="15" t="inlineStr">
        <is>
          <t>Withdrawn / approval lapsed</t>
        </is>
      </c>
      <c r="AA483" s="15" t="inlineStr">
        <is>
          <t>Offer document withdrawn 27 Jan 2025; no issue opened.</t>
        </is>
      </c>
      <c r="AB483" s="18" t="inlineStr">
        <is>
          <t>https://www.chittorgarh.com/ipo/viney-corporation-ipo/2124/</t>
        </is>
      </c>
    </row>
    <row r="484" ht="15" customHeight="1" s="12">
      <c r="A484" s="14" t="n">
        <v>483</v>
      </c>
      <c r="B484" s="16" t="n">
        <v>45569</v>
      </c>
      <c r="C484" s="15" t="n">
        <v>2024</v>
      </c>
      <c r="D484" s="15" t="inlineStr">
        <is>
          <t>ALL TIME PLASTICS LIMITED</t>
        </is>
      </c>
      <c r="E484" s="15" t="inlineStr">
        <is>
          <t>DRHP</t>
        </is>
      </c>
      <c r="F484" s="15" t="inlineStr">
        <is>
          <t>ALL TIME PLASTICS LIMITED</t>
        </is>
      </c>
      <c r="G484" s="15" t="inlineStr">
        <is>
          <t>IPO launched</t>
        </is>
      </c>
      <c r="H484" s="15" t="inlineStr">
        <is>
          <t>Mainboard</t>
        </is>
      </c>
      <c r="I484" s="16" t="n">
        <v>45876</v>
      </c>
      <c r="J484" s="16" t="n">
        <v>45880</v>
      </c>
      <c r="K484" s="16" t="n">
        <v>45883</v>
      </c>
      <c r="L484" s="17" t="n">
        <v>400.6</v>
      </c>
      <c r="M484" s="17" t="n">
        <v>280.03</v>
      </c>
      <c r="N484" s="17" t="n">
        <v>120.57</v>
      </c>
      <c r="O484" s="15" t="inlineStr">
        <is>
          <t>Final issue (ipoplatform)</t>
        </is>
      </c>
      <c r="P484" s="15" t="n"/>
      <c r="Q484" s="18" t="inlineStr">
        <is>
          <t>https://www.sebi.gov.in/sebi_data/attachdocs/oct-2024/1728027007106_545.pdf</t>
        </is>
      </c>
      <c r="R484" s="18" t="inlineStr">
        <is>
          <t>https://www.sebi.gov.in/filings/public-issues/oct-2024/all-time-plastics-limited_87321.html</t>
        </is>
      </c>
      <c r="S484" s="15" t="n"/>
      <c r="T484" s="15" t="inlineStr">
        <is>
          <t>Company name + date window</t>
        </is>
      </c>
      <c r="U484" s="15" t="inlineStr">
        <is>
          <t>All Time Plastics Limited</t>
        </is>
      </c>
      <c r="V484" s="15" t="n"/>
      <c r="W484" s="15" t="n"/>
      <c r="X484" s="15" t="n"/>
      <c r="Y484" s="15" t="n"/>
      <c r="Z484" s="15" t="n"/>
      <c r="AA484" s="15" t="n"/>
      <c r="AB484" s="15" t="n"/>
    </row>
    <row r="485" ht="15" customHeight="1" s="12">
      <c r="A485" s="14" t="n">
        <v>484</v>
      </c>
      <c r="B485" s="16" t="n">
        <v>45569</v>
      </c>
      <c r="C485" s="15" t="n">
        <v>2024</v>
      </c>
      <c r="D485" s="15" t="inlineStr">
        <is>
          <t>Ajax Engineering Limited</t>
        </is>
      </c>
      <c r="E485" s="15" t="inlineStr">
        <is>
          <t>DRHP</t>
        </is>
      </c>
      <c r="F485" s="15" t="inlineStr">
        <is>
          <t>Ajax Engineering Limited</t>
        </is>
      </c>
      <c r="G485" s="15" t="inlineStr">
        <is>
          <t>IPO launched</t>
        </is>
      </c>
      <c r="H485" s="15" t="inlineStr">
        <is>
          <t>Mainboard</t>
        </is>
      </c>
      <c r="I485" s="16" t="n">
        <v>45698</v>
      </c>
      <c r="J485" s="16" t="n">
        <v>45700</v>
      </c>
      <c r="K485" s="16" t="n">
        <v>45705</v>
      </c>
      <c r="L485" s="17" t="n">
        <v>1269.35</v>
      </c>
      <c r="M485" s="17" t="n">
        <v>0</v>
      </c>
      <c r="N485" s="17" t="n">
        <v>1269.35</v>
      </c>
      <c r="O485" s="15" t="inlineStr">
        <is>
          <t>Final issue (ipoplatform)</t>
        </is>
      </c>
      <c r="P485" s="15" t="n"/>
      <c r="Q485" s="18" t="inlineStr">
        <is>
          <t>https://www.sebi.gov.in/sebi_data/attachdocs/oct-2024/1728027007106_544.pdf</t>
        </is>
      </c>
      <c r="R485" s="18" t="inlineStr">
        <is>
          <t>https://www.sebi.gov.in/filings/public-issues/oct-2024/ajax-engineering-limited_87319.html</t>
        </is>
      </c>
      <c r="S485" s="15" t="n"/>
      <c r="T485" s="15" t="inlineStr">
        <is>
          <t>Company name + date window</t>
        </is>
      </c>
      <c r="U485" s="15" t="inlineStr">
        <is>
          <t>Ajax Engineering Limited</t>
        </is>
      </c>
      <c r="V485" s="15" t="n"/>
      <c r="W485" s="15" t="n"/>
      <c r="X485" s="15" t="n"/>
      <c r="Y485" s="15" t="n"/>
      <c r="Z485" s="15" t="n"/>
      <c r="AA485" s="15" t="n"/>
      <c r="AB485" s="15" t="n"/>
    </row>
    <row r="486" ht="15" customHeight="1" s="12">
      <c r="A486" s="14" t="n">
        <v>485</v>
      </c>
      <c r="B486" s="16" t="n">
        <v>45569</v>
      </c>
      <c r="C486" s="15" t="n">
        <v>2024</v>
      </c>
      <c r="D486" s="15" t="inlineStr">
        <is>
          <t>VIKRAN ENGINEERING LIMITED</t>
        </is>
      </c>
      <c r="E486" s="15" t="inlineStr">
        <is>
          <t>DRHP</t>
        </is>
      </c>
      <c r="F486" s="15" t="inlineStr">
        <is>
          <t>VIKRAN ENGINEERING LIMITED</t>
        </is>
      </c>
      <c r="G486" s="15" t="inlineStr">
        <is>
          <t>IPO launched</t>
        </is>
      </c>
      <c r="H486" s="15" t="inlineStr">
        <is>
          <t>Mainboard</t>
        </is>
      </c>
      <c r="I486" s="16" t="n">
        <v>45895</v>
      </c>
      <c r="J486" s="16" t="n">
        <v>45898</v>
      </c>
      <c r="K486" s="16" t="n">
        <v>45903</v>
      </c>
      <c r="L486" s="17" t="n">
        <v>772</v>
      </c>
      <c r="M486" s="17" t="n">
        <v>721</v>
      </c>
      <c r="N486" s="17" t="n">
        <v>51</v>
      </c>
      <c r="O486" s="15" t="inlineStr">
        <is>
          <t>Final issue (ipoplatform)</t>
        </is>
      </c>
      <c r="P486" s="15" t="n"/>
      <c r="Q486" s="18" t="inlineStr">
        <is>
          <t>https://www.sebi.gov.in/sebi_data/attachdocs/oct-2024/1728027007106_543.pdf</t>
        </is>
      </c>
      <c r="R486" s="18" t="inlineStr">
        <is>
          <t>https://www.sebi.gov.in/filings/public-issues/oct-2024/vikran-engineering-limited_87317.html</t>
        </is>
      </c>
      <c r="S486" s="15" t="n"/>
      <c r="T486" s="15" t="inlineStr">
        <is>
          <t>Company name + date window</t>
        </is>
      </c>
      <c r="U486" s="15" t="inlineStr">
        <is>
          <t>Vikran Engineering Limited</t>
        </is>
      </c>
      <c r="V486" s="15" t="n"/>
      <c r="W486" s="15" t="n"/>
      <c r="X486" s="15" t="n"/>
      <c r="Y486" s="15" t="n"/>
      <c r="Z486" s="15" t="n"/>
      <c r="AA486" s="15" t="n"/>
      <c r="AB486" s="15" t="n"/>
    </row>
    <row r="487" ht="15" customHeight="1" s="12">
      <c r="A487" s="14" t="n">
        <v>486</v>
      </c>
      <c r="B487" s="16" t="n">
        <v>45568</v>
      </c>
      <c r="C487" s="15" t="n">
        <v>2024</v>
      </c>
      <c r="D487" s="15" t="inlineStr">
        <is>
          <t>Niva Bupa Health Insurance Company Limited</t>
        </is>
      </c>
      <c r="E487" s="15" t="inlineStr">
        <is>
          <t>DRHP</t>
        </is>
      </c>
      <c r="F487" s="15" t="inlineStr">
        <is>
          <t>Niva Bupa Health Insurance Company Limited - DRHP</t>
        </is>
      </c>
      <c r="G487" s="15" t="inlineStr">
        <is>
          <t>IPO launched</t>
        </is>
      </c>
      <c r="H487" s="15" t="inlineStr">
        <is>
          <t>Mainboard</t>
        </is>
      </c>
      <c r="I487" s="16" t="n">
        <v>45603</v>
      </c>
      <c r="J487" s="16" t="n">
        <v>45607</v>
      </c>
      <c r="K487" s="16" t="n">
        <v>45610</v>
      </c>
      <c r="L487" s="17" t="n">
        <v>2200</v>
      </c>
      <c r="M487" s="17" t="n">
        <v>800</v>
      </c>
      <c r="N487" s="17" t="n">
        <v>1400</v>
      </c>
      <c r="O487" s="15" t="inlineStr">
        <is>
          <t>Final issue (ipoplatform)</t>
        </is>
      </c>
      <c r="P487" s="15" t="n"/>
      <c r="Q487" s="18" t="inlineStr">
        <is>
          <t>https://www.sebi.gov.in/sebi_data/attachdocs/oct-2024/1728015990143.pdf</t>
        </is>
      </c>
      <c r="R487" s="18" t="inlineStr">
        <is>
          <t>https://www.sebi.gov.in/filings/public-issues/oct-2024/niva-bupa-health-insurance-company-limited-drhp_87306.html</t>
        </is>
      </c>
      <c r="S487" s="15" t="n"/>
      <c r="T487" s="15" t="inlineStr">
        <is>
          <t>Company name + date window</t>
        </is>
      </c>
      <c r="U487" s="15" t="inlineStr">
        <is>
          <t>Niva Bupa Health Insurance Company Limited</t>
        </is>
      </c>
      <c r="V487" s="15" t="n"/>
      <c r="W487" s="15" t="n"/>
      <c r="X487" s="15" t="n"/>
      <c r="Y487" s="15" t="n"/>
      <c r="Z487" s="15" t="n"/>
      <c r="AA487" s="15" t="n"/>
      <c r="AB487" s="15" t="n"/>
    </row>
    <row r="488" ht="15" customHeight="1" s="12">
      <c r="A488" s="14" t="n">
        <v>487</v>
      </c>
      <c r="B488" s="16" t="n">
        <v>45568</v>
      </c>
      <c r="C488" s="15" t="n">
        <v>2024</v>
      </c>
      <c r="D488" s="15" t="inlineStr">
        <is>
          <t>JARO INSTITUTE OF TECHNOLOGY MANAGEMENT AND RESEARCH LIMITED</t>
        </is>
      </c>
      <c r="E488" s="15" t="inlineStr">
        <is>
          <t>DRHP</t>
        </is>
      </c>
      <c r="F488" s="15" t="inlineStr">
        <is>
          <t>JARO INSTITUTE OF TECHNOLOGY MANAGEMENT AND RESEARCH LIMITED</t>
        </is>
      </c>
      <c r="G488" s="15" t="inlineStr">
        <is>
          <t>IPO launched</t>
        </is>
      </c>
      <c r="H488" s="15" t="inlineStr">
        <is>
          <t>Mainboard</t>
        </is>
      </c>
      <c r="I488" s="16" t="n">
        <v>45923</v>
      </c>
      <c r="J488" s="16" t="n">
        <v>45925</v>
      </c>
      <c r="K488" s="16" t="n">
        <v>45930</v>
      </c>
      <c r="L488" s="17" t="n">
        <v>450</v>
      </c>
      <c r="M488" s="17" t="n">
        <v>170</v>
      </c>
      <c r="N488" s="17" t="n">
        <v>280</v>
      </c>
      <c r="O488" s="15" t="inlineStr">
        <is>
          <t>Final issue (ipoplatform)</t>
        </is>
      </c>
      <c r="P488" s="15" t="n"/>
      <c r="Q488" s="18" t="inlineStr">
        <is>
          <t>https://www.sebi.gov.in/sebi_data/attachdocs/oct-2024/1727955078450_542.pdf</t>
        </is>
      </c>
      <c r="R488" s="18" t="inlineStr">
        <is>
          <t>https://www.sebi.gov.in/filings/public-issues/oct-2024/jaro-institute-of-technology-management-and-research-limited_87300.html</t>
        </is>
      </c>
      <c r="S488" s="15" t="n"/>
      <c r="T488" s="15" t="inlineStr">
        <is>
          <t>Company name + date window</t>
        </is>
      </c>
      <c r="U488" s="15" t="inlineStr">
        <is>
          <t>Jaro Institute Of Technology Management And Research Limited</t>
        </is>
      </c>
      <c r="V488" s="15" t="n"/>
      <c r="W488" s="15" t="n"/>
      <c r="X488" s="15" t="n"/>
      <c r="Y488" s="15" t="n"/>
      <c r="Z488" s="15" t="n"/>
      <c r="AA488" s="15" t="n"/>
      <c r="AB488" s="15" t="n"/>
    </row>
    <row r="489" ht="15" customHeight="1" s="12">
      <c r="A489" s="14" t="n">
        <v>488</v>
      </c>
      <c r="B489" s="16" t="n">
        <v>45568</v>
      </c>
      <c r="C489" s="15" t="n">
        <v>2024</v>
      </c>
      <c r="D489" s="15" t="inlineStr">
        <is>
          <t>Globe Civil Projects Limited</t>
        </is>
      </c>
      <c r="E489" s="15" t="inlineStr">
        <is>
          <t>DRHP</t>
        </is>
      </c>
      <c r="F489" s="15" t="inlineStr">
        <is>
          <t>Globe Civil Projects Limited</t>
        </is>
      </c>
      <c r="G489" s="15" t="inlineStr">
        <is>
          <t>IPO launched</t>
        </is>
      </c>
      <c r="H489" s="15" t="inlineStr">
        <is>
          <t>Mainboard</t>
        </is>
      </c>
      <c r="I489" s="16" t="n">
        <v>45832</v>
      </c>
      <c r="J489" s="16" t="n">
        <v>45834</v>
      </c>
      <c r="K489" s="16" t="n">
        <v>45839</v>
      </c>
      <c r="L489" s="17" t="n">
        <v>119</v>
      </c>
      <c r="M489" s="17" t="n">
        <v>119</v>
      </c>
      <c r="N489" s="17" t="n">
        <v>0</v>
      </c>
      <c r="O489" s="15" t="inlineStr">
        <is>
          <t>Final issue (ipoplatform)</t>
        </is>
      </c>
      <c r="P489" s="15" t="n"/>
      <c r="Q489" s="18" t="inlineStr">
        <is>
          <t>https://www.sebi.gov.in/sebi_data/attachdocs/oct-2024/1727955078450_541.pdf</t>
        </is>
      </c>
      <c r="R489" s="18" t="inlineStr">
        <is>
          <t>https://www.sebi.gov.in/filings/public-issues/oct-2024/globe-civil-projects-limited_87298.html</t>
        </is>
      </c>
      <c r="S489" s="15" t="n"/>
      <c r="T489" s="15" t="inlineStr">
        <is>
          <t>Company name + date window</t>
        </is>
      </c>
      <c r="U489" s="15" t="inlineStr">
        <is>
          <t>Globe Civil Projects Limited</t>
        </is>
      </c>
      <c r="V489" s="15" t="n"/>
      <c r="W489" s="15" t="n"/>
      <c r="X489" s="15" t="n"/>
      <c r="Y489" s="15" t="n"/>
      <c r="Z489" s="15" t="n"/>
      <c r="AA489" s="15" t="n"/>
      <c r="AB489" s="15" t="n"/>
    </row>
    <row r="490" ht="15" customHeight="1" s="12">
      <c r="A490" s="14" t="n">
        <v>489</v>
      </c>
      <c r="B490" s="16" t="n">
        <v>45568</v>
      </c>
      <c r="C490" s="15" t="n">
        <v>2024</v>
      </c>
      <c r="D490" s="15" t="inlineStr">
        <is>
          <t>MIDWEST LIMITED</t>
        </is>
      </c>
      <c r="E490" s="15" t="inlineStr">
        <is>
          <t>DRHP</t>
        </is>
      </c>
      <c r="F490" s="15" t="inlineStr">
        <is>
          <t>MIDWEST LIMITED</t>
        </is>
      </c>
      <c r="G490" s="15" t="inlineStr">
        <is>
          <t>IPO launched</t>
        </is>
      </c>
      <c r="H490" s="15" t="inlineStr">
        <is>
          <t>Mainboard</t>
        </is>
      </c>
      <c r="I490" s="16" t="n">
        <v>45945</v>
      </c>
      <c r="J490" s="16" t="n">
        <v>45947</v>
      </c>
      <c r="K490" s="16" t="n">
        <v>45954</v>
      </c>
      <c r="L490" s="17" t="n">
        <v>451</v>
      </c>
      <c r="M490" s="17" t="n">
        <v>250</v>
      </c>
      <c r="N490" s="17" t="n">
        <v>201</v>
      </c>
      <c r="O490" s="15" t="inlineStr">
        <is>
          <t>Final issue (ipoplatform)</t>
        </is>
      </c>
      <c r="P490" s="15" t="n"/>
      <c r="Q490" s="18" t="inlineStr">
        <is>
          <t>https://www.sebi.gov.in/sebi_data/attachdocs/oct-2024/1727955078450_540.pdf</t>
        </is>
      </c>
      <c r="R490" s="18" t="inlineStr">
        <is>
          <t>https://www.sebi.gov.in/filings/public-issues/oct-2024/midwest-limited_87296.html</t>
        </is>
      </c>
      <c r="S490" s="15" t="n"/>
      <c r="T490" s="15" t="inlineStr">
        <is>
          <t>Company name + date window</t>
        </is>
      </c>
      <c r="U490" s="15" t="inlineStr">
        <is>
          <t>Midwest Limited</t>
        </is>
      </c>
      <c r="V490" s="15" t="n"/>
      <c r="W490" s="15" t="n"/>
      <c r="X490" s="15" t="n"/>
      <c r="Y490" s="15" t="n"/>
      <c r="Z490" s="15" t="n"/>
      <c r="AA490" s="15" t="n"/>
      <c r="AB490" s="15" t="n"/>
    </row>
    <row r="491" ht="15" customHeight="1" s="12">
      <c r="A491" s="14" t="n">
        <v>490</v>
      </c>
      <c r="B491" s="16" t="n">
        <v>45568</v>
      </c>
      <c r="C491" s="15" t="n">
        <v>2024</v>
      </c>
      <c r="D491" s="15" t="inlineStr">
        <is>
          <t>PROSTARM INFO SYSTEMS LIMITED</t>
        </is>
      </c>
      <c r="E491" s="15" t="inlineStr">
        <is>
          <t>DRHP</t>
        </is>
      </c>
      <c r="F491" s="15" t="inlineStr">
        <is>
          <t>PROSTARM INFO SYSTEMS LIMITED</t>
        </is>
      </c>
      <c r="G491" s="15" t="inlineStr">
        <is>
          <t>IPO launched</t>
        </is>
      </c>
      <c r="H491" s="15" t="inlineStr">
        <is>
          <t>Mainboard</t>
        </is>
      </c>
      <c r="I491" s="16" t="n">
        <v>45804</v>
      </c>
      <c r="J491" s="16" t="n">
        <v>45806</v>
      </c>
      <c r="K491" s="16" t="n">
        <v>45811</v>
      </c>
      <c r="L491" s="17" t="n">
        <v>168</v>
      </c>
      <c r="M491" s="17" t="n">
        <v>168</v>
      </c>
      <c r="N491" s="17" t="n">
        <v>0</v>
      </c>
      <c r="O491" s="15" t="inlineStr">
        <is>
          <t>Final issue (ipoplatform)</t>
        </is>
      </c>
      <c r="P491" s="15" t="n"/>
      <c r="Q491" s="18" t="inlineStr">
        <is>
          <t>https://www.sebi.gov.in/sebi_data/attachdocs/oct-2024/1727955078450_539.pdf</t>
        </is>
      </c>
      <c r="R491" s="18" t="inlineStr">
        <is>
          <t>https://www.sebi.gov.in/filings/public-issues/oct-2024/prostarm-info-systems-limited_87294.html</t>
        </is>
      </c>
      <c r="S491" s="15" t="n"/>
      <c r="T491" s="15" t="inlineStr">
        <is>
          <t>Company name + date window</t>
        </is>
      </c>
      <c r="U491" s="15" t="inlineStr">
        <is>
          <t>Prostarm Info Systems Limited</t>
        </is>
      </c>
      <c r="V491" s="15" t="n"/>
      <c r="W491" s="15" t="n"/>
      <c r="X491" s="15" t="n"/>
      <c r="Y491" s="15" t="n"/>
      <c r="Z491" s="15" t="n"/>
      <c r="AA491" s="15" t="n"/>
      <c r="AB491" s="15" t="n"/>
    </row>
    <row r="492" ht="15" customHeight="1" s="12">
      <c r="A492" s="14" t="n">
        <v>491</v>
      </c>
      <c r="B492" s="16" t="n">
        <v>45568</v>
      </c>
      <c r="C492" s="15" t="n">
        <v>2024</v>
      </c>
      <c r="D492" s="15" t="inlineStr">
        <is>
          <t>RAHEE INFRATECH LIMITED</t>
        </is>
      </c>
      <c r="E492" s="15" t="inlineStr">
        <is>
          <t>DRHP</t>
        </is>
      </c>
      <c r="F492" s="15" t="inlineStr">
        <is>
          <t>RAHEE INFRATECH LIMITED</t>
        </is>
      </c>
      <c r="G492" s="15" t="inlineStr">
        <is>
          <t>No launched IPO found</t>
        </is>
      </c>
      <c r="H492" s="15" t="n"/>
      <c r="I492" s="16" t="n"/>
      <c r="J492" s="16" t="n"/>
      <c r="K492" s="16" t="n"/>
      <c r="L492" s="17" t="n"/>
      <c r="M492" s="17" t="n"/>
      <c r="N492" s="17" t="n"/>
      <c r="O492" s="15" t="n"/>
      <c r="P492" s="15" t="n"/>
      <c r="Q492" s="18" t="inlineStr">
        <is>
          <t>https://www.sebi.gov.in/sebi_data/attachdocs/oct-2024/1727955078450_537.pdf</t>
        </is>
      </c>
      <c r="R492" s="18" t="inlineStr">
        <is>
          <t>https://www.sebi.gov.in/filings/public-issues/oct-2024/rahee-infratech-limited_87290.html</t>
        </is>
      </c>
      <c r="S492" s="15" t="n"/>
      <c r="T492" s="15" t="n"/>
      <c r="U492" s="15" t="n"/>
      <c r="V492" s="15" t="n"/>
      <c r="W492" s="16" t="n"/>
      <c r="X492" s="16" t="n"/>
      <c r="Y492" s="16" t="n"/>
      <c r="Z492" s="15" t="inlineStr">
        <is>
          <t>Withdrawn / approval lapsed</t>
        </is>
      </c>
      <c r="AA492" s="15" t="inlineStr">
        <is>
          <t>IPO documents withdrawn Jan 2025; no issue opened.</t>
        </is>
      </c>
      <c r="AB492" s="18" t="inlineStr">
        <is>
          <t>https://www.chittorgarh.com/ipo/rahee-infratech-ipo/2134/</t>
        </is>
      </c>
    </row>
    <row r="493" ht="15" customHeight="1" s="12">
      <c r="A493" s="14" t="n">
        <v>492</v>
      </c>
      <c r="B493" s="16" t="n">
        <v>45568</v>
      </c>
      <c r="C493" s="15" t="n">
        <v>2024</v>
      </c>
      <c r="D493" s="15" t="inlineStr">
        <is>
          <t>VARINDERA CONSTRUCTIONS LIMITED</t>
        </is>
      </c>
      <c r="E493" s="15" t="inlineStr">
        <is>
          <t>DRHP</t>
        </is>
      </c>
      <c r="F493" s="15" t="inlineStr">
        <is>
          <t>VARINDERA CONSTRUCTIONS LIMITED</t>
        </is>
      </c>
      <c r="G493" s="15" t="inlineStr">
        <is>
          <t>No launched IPO found</t>
        </is>
      </c>
      <c r="H493" s="15" t="n"/>
      <c r="I493" s="16" t="n"/>
      <c r="J493" s="16" t="n"/>
      <c r="K493" s="16" t="n"/>
      <c r="L493" s="17" t="n"/>
      <c r="M493" s="17" t="n"/>
      <c r="N493" s="17" t="n"/>
      <c r="O493" s="15" t="n"/>
      <c r="P493" s="15" t="n"/>
      <c r="Q493" s="18" t="inlineStr">
        <is>
          <t>https://www.sebi.gov.in/sebi_data/attachdocs/oct-2024/1727955078450_538.pdf</t>
        </is>
      </c>
      <c r="R493" s="18" t="inlineStr">
        <is>
          <t>https://www.sebi.gov.in/filings/public-issues/oct-2024/varindera-constructions-limited_87292.html</t>
        </is>
      </c>
      <c r="S493" s="15" t="n"/>
      <c r="T493" s="15" t="n"/>
      <c r="U493" s="15" t="n"/>
      <c r="V493" s="15" t="n"/>
      <c r="W493" s="16" t="n"/>
      <c r="X493" s="16" t="n"/>
      <c r="Y493" s="16" t="n"/>
      <c r="Z493" s="15" t="inlineStr">
        <is>
          <t>No issue found</t>
        </is>
      </c>
      <c r="AA493" s="15" t="inlineStr">
        <is>
          <t>SEBI approved Jan 2025; dates not announced.</t>
        </is>
      </c>
      <c r="AB493" s="18" t="inlineStr">
        <is>
          <t>https://www.chittorgarh.com/ipo/varindera-constructions-ipo/2137/</t>
        </is>
      </c>
    </row>
    <row r="494" ht="15" customHeight="1" s="12">
      <c r="A494" s="14" t="n">
        <v>493</v>
      </c>
      <c r="B494" s="16" t="n">
        <v>45568</v>
      </c>
      <c r="C494" s="15" t="n">
        <v>2024</v>
      </c>
      <c r="D494" s="15" t="inlineStr">
        <is>
          <t>MOURI TECH LIMITED</t>
        </is>
      </c>
      <c r="E494" s="15" t="inlineStr">
        <is>
          <t>DRHP</t>
        </is>
      </c>
      <c r="F494" s="15" t="inlineStr">
        <is>
          <t>MOURI TECH LIMITED</t>
        </is>
      </c>
      <c r="G494" s="15" t="inlineStr">
        <is>
          <t>No launched IPO found</t>
        </is>
      </c>
      <c r="H494" s="15" t="n"/>
      <c r="I494" s="16" t="n"/>
      <c r="J494" s="16" t="n"/>
      <c r="K494" s="16" t="n"/>
      <c r="L494" s="17" t="n"/>
      <c r="M494" s="17" t="n"/>
      <c r="N494" s="17" t="n"/>
      <c r="O494" s="15" t="n"/>
      <c r="P494" s="15" t="n"/>
      <c r="Q494" s="18" t="inlineStr">
        <is>
          <t>https://www.sebi.gov.in/sebi_data/attachdocs/oct-2024/1727955078450_536.pdf</t>
        </is>
      </c>
      <c r="R494" s="18" t="inlineStr">
        <is>
          <t>https://www.sebi.gov.in/filings/public-issues/oct-2024/mouri-tech-limited_87288.html</t>
        </is>
      </c>
      <c r="S494" s="15" t="n"/>
      <c r="T494" s="15" t="n"/>
      <c r="U494" s="15" t="n"/>
      <c r="V494" s="15" t="n"/>
      <c r="W494" s="16" t="n"/>
      <c r="X494" s="16" t="n"/>
      <c r="Y494" s="16" t="n"/>
      <c r="Z494" s="15" t="inlineStr">
        <is>
          <t>Withdrawn / approval lapsed</t>
        </is>
      </c>
      <c r="AA494" s="15" t="inlineStr">
        <is>
          <t>SEBI nod 29-Aug-2025; validity expired by 30-Sep-2026, no IPO dates</t>
        </is>
      </c>
      <c r="AB494" s="18" t="inlineStr">
        <is>
          <t>https://www.chittorgarh.com/ipo/mouri-tech-ipo/2151/</t>
        </is>
      </c>
    </row>
    <row r="495" ht="15" customHeight="1" s="12">
      <c r="A495" s="14" t="n">
        <v>494</v>
      </c>
      <c r="B495" s="16" t="n">
        <v>45568</v>
      </c>
      <c r="C495" s="15" t="n">
        <v>2024</v>
      </c>
      <c r="D495" s="15" t="inlineStr">
        <is>
          <t>ADITYA INFOTECH LIMITED</t>
        </is>
      </c>
      <c r="E495" s="15" t="inlineStr">
        <is>
          <t>DRHP</t>
        </is>
      </c>
      <c r="F495" s="15" t="inlineStr">
        <is>
          <t>ADITYA INFOTECH LIMITED</t>
        </is>
      </c>
      <c r="G495" s="15" t="inlineStr">
        <is>
          <t>IPO launched</t>
        </is>
      </c>
      <c r="H495" s="15" t="inlineStr">
        <is>
          <t>Mainboard</t>
        </is>
      </c>
      <c r="I495" s="16" t="n">
        <v>45867</v>
      </c>
      <c r="J495" s="16" t="n">
        <v>45869</v>
      </c>
      <c r="K495" s="16" t="n">
        <v>45874</v>
      </c>
      <c r="L495" s="17" t="n">
        <v>1300</v>
      </c>
      <c r="M495" s="17" t="n">
        <v>500</v>
      </c>
      <c r="N495" s="17" t="n">
        <v>800</v>
      </c>
      <c r="O495" s="15" t="inlineStr">
        <is>
          <t>Final issue (ipoplatform)</t>
        </is>
      </c>
      <c r="P495" s="15" t="n"/>
      <c r="Q495" s="18" t="inlineStr">
        <is>
          <t>https://www.sebi.gov.in/sebi_data/attachdocs/oct-2024/1727955078450_532.pdf</t>
        </is>
      </c>
      <c r="R495" s="18" t="inlineStr">
        <is>
          <t>https://www.sebi.gov.in/filings/public-issues/oct-2024/aditya-infotech-limited_87280.html</t>
        </is>
      </c>
      <c r="S495" s="15" t="n"/>
      <c r="T495" s="15" t="inlineStr">
        <is>
          <t>Company name + date window</t>
        </is>
      </c>
      <c r="U495" s="15" t="inlineStr">
        <is>
          <t>Aditya Infotech Limited</t>
        </is>
      </c>
      <c r="V495" s="15" t="n"/>
      <c r="W495" s="15" t="n"/>
      <c r="X495" s="15" t="n"/>
      <c r="Y495" s="15" t="n"/>
      <c r="Z495" s="15" t="n"/>
      <c r="AA495" s="15" t="n"/>
      <c r="AB495" s="15" t="n"/>
    </row>
    <row r="496" ht="15" customHeight="1" s="12">
      <c r="A496" s="14" t="n">
        <v>495</v>
      </c>
      <c r="B496" s="16" t="n">
        <v>45568</v>
      </c>
      <c r="C496" s="15" t="n">
        <v>2024</v>
      </c>
      <c r="D496" s="15" t="inlineStr">
        <is>
          <t>SAMBHV STEEL TUBES LIMITED</t>
        </is>
      </c>
      <c r="E496" s="15" t="inlineStr">
        <is>
          <t>DRHP</t>
        </is>
      </c>
      <c r="F496" s="15" t="inlineStr">
        <is>
          <t>SAMBHV STEEL TUBES LIMITED</t>
        </is>
      </c>
      <c r="G496" s="15" t="inlineStr">
        <is>
          <t>IPO launched</t>
        </is>
      </c>
      <c r="H496" s="15" t="inlineStr">
        <is>
          <t>Mainboard</t>
        </is>
      </c>
      <c r="I496" s="16" t="n">
        <v>45833</v>
      </c>
      <c r="J496" s="16" t="n">
        <v>45835</v>
      </c>
      <c r="K496" s="16" t="n">
        <v>45840</v>
      </c>
      <c r="L496" s="17" t="n">
        <v>540</v>
      </c>
      <c r="M496" s="17" t="n">
        <v>440</v>
      </c>
      <c r="N496" s="17" t="n">
        <v>100</v>
      </c>
      <c r="O496" s="15" t="inlineStr">
        <is>
          <t>Final issue (ipoplatform)</t>
        </is>
      </c>
      <c r="P496" s="15" t="n"/>
      <c r="Q496" s="18" t="inlineStr">
        <is>
          <t>https://www.sebi.gov.in/sebi_data/attachdocs/oct-2024/1727955078450_533.pdf</t>
        </is>
      </c>
      <c r="R496" s="18" t="inlineStr">
        <is>
          <t>https://www.sebi.gov.in/filings/public-issues/oct-2024/sambhv-steel-tubes-limited_87282.html</t>
        </is>
      </c>
      <c r="S496" s="15" t="n"/>
      <c r="T496" s="15" t="inlineStr">
        <is>
          <t>Company name + date window</t>
        </is>
      </c>
      <c r="U496" s="15" t="inlineStr">
        <is>
          <t>Sambhv Steel Tubes Limited</t>
        </is>
      </c>
      <c r="V496" s="15" t="n"/>
      <c r="W496" s="15" t="n"/>
      <c r="X496" s="15" t="n"/>
      <c r="Y496" s="15" t="n"/>
      <c r="Z496" s="15" t="n"/>
      <c r="AA496" s="15" t="n"/>
      <c r="AB496" s="15" t="n"/>
    </row>
    <row r="497" ht="15" customHeight="1" s="12">
      <c r="A497" s="14" t="n">
        <v>496</v>
      </c>
      <c r="B497" s="16" t="n">
        <v>45568</v>
      </c>
      <c r="C497" s="15" t="n">
        <v>2024</v>
      </c>
      <c r="D497" s="15" t="inlineStr">
        <is>
          <t>INDOGULF CROPSCIENCES LIMITED</t>
        </is>
      </c>
      <c r="E497" s="15" t="inlineStr">
        <is>
          <t>DRHP</t>
        </is>
      </c>
      <c r="F497" s="15" t="inlineStr">
        <is>
          <t>INDOGULF CROPSCIENCES LIMITED</t>
        </is>
      </c>
      <c r="G497" s="15" t="inlineStr">
        <is>
          <t>IPO launched</t>
        </is>
      </c>
      <c r="H497" s="15" t="inlineStr">
        <is>
          <t>Mainboard</t>
        </is>
      </c>
      <c r="I497" s="16" t="n">
        <v>45834</v>
      </c>
      <c r="J497" s="16" t="n">
        <v>45838</v>
      </c>
      <c r="K497" s="16" t="n">
        <v>45841</v>
      </c>
      <c r="L497" s="17" t="n">
        <v>200</v>
      </c>
      <c r="M497" s="17" t="n">
        <v>160</v>
      </c>
      <c r="N497" s="17" t="n">
        <v>40</v>
      </c>
      <c r="O497" s="15" t="inlineStr">
        <is>
          <t>Final issue (ipoplatform)</t>
        </is>
      </c>
      <c r="P497" s="15" t="n"/>
      <c r="Q497" s="18" t="inlineStr">
        <is>
          <t>https://www.sebi.gov.in/sebi_data/attachdocs/oct-2024/1727955078450_530.pdf</t>
        </is>
      </c>
      <c r="R497" s="18" t="inlineStr">
        <is>
          <t>https://www.sebi.gov.in/filings/public-issues/oct-2024/indogulf-cropsciences-limited_87276.html</t>
        </is>
      </c>
      <c r="S497" s="15" t="n"/>
      <c r="T497" s="15" t="inlineStr">
        <is>
          <t>Company name + date window</t>
        </is>
      </c>
      <c r="U497" s="15" t="inlineStr">
        <is>
          <t>Indogulf Cropsciences Limited</t>
        </is>
      </c>
      <c r="V497" s="15" t="n"/>
      <c r="W497" s="15" t="n"/>
      <c r="X497" s="15" t="n"/>
      <c r="Y497" s="15" t="n"/>
      <c r="Z497" s="15" t="n"/>
      <c r="AA497" s="15" t="n"/>
      <c r="AB497" s="15" t="n"/>
    </row>
    <row r="498" ht="15" customHeight="1" s="12">
      <c r="A498" s="14" t="n">
        <v>497</v>
      </c>
      <c r="B498" s="16" t="n">
        <v>45568</v>
      </c>
      <c r="C498" s="15" t="n">
        <v>2024</v>
      </c>
      <c r="D498" s="15" t="inlineStr">
        <is>
          <t>VIKRAM SOLAR LIMITED</t>
        </is>
      </c>
      <c r="E498" s="15" t="inlineStr">
        <is>
          <t>DRHP</t>
        </is>
      </c>
      <c r="F498" s="15" t="inlineStr">
        <is>
          <t>VIKRAM SOLAR LIMITED</t>
        </is>
      </c>
      <c r="G498" s="15" t="inlineStr">
        <is>
          <t>IPO launched</t>
        </is>
      </c>
      <c r="H498" s="15" t="inlineStr">
        <is>
          <t>Mainboard</t>
        </is>
      </c>
      <c r="I498" s="16" t="n">
        <v>45888</v>
      </c>
      <c r="J498" s="16" t="n">
        <v>45890</v>
      </c>
      <c r="K498" s="16" t="n">
        <v>45895</v>
      </c>
      <c r="L498" s="17" t="n">
        <v>2079.37</v>
      </c>
      <c r="M498" s="17" t="n">
        <v>1500</v>
      </c>
      <c r="N498" s="17" t="n">
        <v>579.37</v>
      </c>
      <c r="O498" s="15" t="inlineStr">
        <is>
          <t>Final issue (ipoplatform)</t>
        </is>
      </c>
      <c r="P498" s="15" t="n"/>
      <c r="Q498" s="18" t="inlineStr">
        <is>
          <t>https://www.sebi.gov.in/sebi_data/attachdocs/oct-2024/1727955078450_531.pdf</t>
        </is>
      </c>
      <c r="R498" s="18" t="inlineStr">
        <is>
          <t>https://www.sebi.gov.in/filings/public-issues/oct-2024/vikram-solar-limited_87278.html</t>
        </is>
      </c>
      <c r="S498" s="15" t="n"/>
      <c r="T498" s="15" t="inlineStr">
        <is>
          <t>Company name + date window</t>
        </is>
      </c>
      <c r="U498" s="15" t="inlineStr">
        <is>
          <t>Vikram Solar Limited</t>
        </is>
      </c>
      <c r="V498" s="15" t="n"/>
      <c r="W498" s="15" t="n"/>
      <c r="X498" s="15" t="n"/>
      <c r="Y498" s="15" t="n"/>
      <c r="Z498" s="15" t="n"/>
      <c r="AA498" s="15" t="n"/>
      <c r="AB498" s="15" t="n"/>
    </row>
    <row r="499" ht="15" customHeight="1" s="12">
      <c r="A499" s="14" t="n">
        <v>498</v>
      </c>
      <c r="B499" s="16" t="n">
        <v>45568</v>
      </c>
      <c r="C499" s="15" t="n">
        <v>2024</v>
      </c>
      <c r="D499" s="15" t="inlineStr">
        <is>
          <t>VMS TMT LIMITED</t>
        </is>
      </c>
      <c r="E499" s="15" t="inlineStr">
        <is>
          <t>DRHP</t>
        </is>
      </c>
      <c r="F499" s="15" t="inlineStr">
        <is>
          <t>VMS TMT LIMITED</t>
        </is>
      </c>
      <c r="G499" s="15" t="inlineStr">
        <is>
          <t>IPO launched</t>
        </is>
      </c>
      <c r="H499" s="15" t="inlineStr">
        <is>
          <t>Mainboard</t>
        </is>
      </c>
      <c r="I499" s="16" t="n">
        <v>45917</v>
      </c>
      <c r="J499" s="16" t="n">
        <v>45919</v>
      </c>
      <c r="K499" s="16" t="n">
        <v>45924</v>
      </c>
      <c r="L499" s="17" t="n">
        <v>148.5</v>
      </c>
      <c r="M499" s="17" t="n">
        <v>148.5</v>
      </c>
      <c r="N499" s="17" t="n">
        <v>0</v>
      </c>
      <c r="O499" s="15" t="inlineStr">
        <is>
          <t>Final issue (ipoplatform)</t>
        </is>
      </c>
      <c r="P499" s="15" t="n"/>
      <c r="Q499" s="18" t="inlineStr">
        <is>
          <t>https://www.sebi.gov.in/sebi_data/attachdocs/oct-2024/1727955078450_529.pdf</t>
        </is>
      </c>
      <c r="R499" s="18" t="inlineStr">
        <is>
          <t>https://www.sebi.gov.in/filings/public-issues/oct-2024/vms-tmt-limited_87274.html</t>
        </is>
      </c>
      <c r="S499" s="15" t="n"/>
      <c r="T499" s="15" t="inlineStr">
        <is>
          <t>Company name + date window</t>
        </is>
      </c>
      <c r="U499" s="15" t="inlineStr">
        <is>
          <t>Vms Tmt Limited</t>
        </is>
      </c>
      <c r="V499" s="15" t="n"/>
      <c r="W499" s="15" t="n"/>
      <c r="X499" s="15" t="n"/>
      <c r="Y499" s="15" t="n"/>
      <c r="Z499" s="15" t="n"/>
      <c r="AA499" s="15" t="n"/>
      <c r="AB499" s="15" t="n"/>
    </row>
    <row r="500" ht="15" customHeight="1" s="12">
      <c r="A500" s="14" t="n">
        <v>499</v>
      </c>
      <c r="B500" s="16" t="n">
        <v>45568</v>
      </c>
      <c r="C500" s="15" t="n">
        <v>2024</v>
      </c>
      <c r="D500" s="15" t="inlineStr">
        <is>
          <t>Kumar Arch Tech Limited</t>
        </is>
      </c>
      <c r="E500" s="15" t="inlineStr">
        <is>
          <t>DRHP</t>
        </is>
      </c>
      <c r="F500" s="15" t="inlineStr">
        <is>
          <t>Kumar Arch Tech Limited - DRHP</t>
        </is>
      </c>
      <c r="G500" s="15" t="inlineStr">
        <is>
          <t>No launched IPO found</t>
        </is>
      </c>
      <c r="H500" s="15" t="n"/>
      <c r="I500" s="16" t="n"/>
      <c r="J500" s="16" t="n"/>
      <c r="K500" s="16" t="n"/>
      <c r="L500" s="17" t="n"/>
      <c r="M500" s="17" t="n"/>
      <c r="N500" s="17" t="n"/>
      <c r="O500" s="15" t="n"/>
      <c r="P500" s="15" t="n"/>
      <c r="Q500" s="18" t="inlineStr">
        <is>
          <t>https://www.sebi.gov.in/sebi_data/attachdocs/oct-2024/1727928892777.pdf</t>
        </is>
      </c>
      <c r="R500" s="18" t="inlineStr">
        <is>
          <t>https://www.sebi.gov.in/filings/public-issues/oct-2024/kumar-arch-tech-limited-drhp_87225.html</t>
        </is>
      </c>
      <c r="S500" s="15" t="n"/>
      <c r="T500" s="15" t="n"/>
      <c r="U500" s="15" t="n"/>
      <c r="V500" s="15" t="n"/>
      <c r="W500" s="16" t="n"/>
      <c r="X500" s="16" t="n"/>
      <c r="Y500" s="16" t="n"/>
      <c r="Z500" s="15" t="inlineStr">
        <is>
          <t>No issue found</t>
        </is>
      </c>
      <c r="AA500" s="15" t="inlineStr">
        <is>
          <t>SEBI approved Jan 2025; dates not announced.</t>
        </is>
      </c>
      <c r="AB500" s="18" t="inlineStr">
        <is>
          <t>https://www.chittorgarh.com/ipo/kumar-arch-tech-ipo/2163/</t>
        </is>
      </c>
    </row>
    <row r="501" ht="15" customHeight="1" s="12">
      <c r="A501" s="14" t="n">
        <v>500</v>
      </c>
      <c r="B501" s="16" t="n">
        <v>45566</v>
      </c>
      <c r="C501" s="15" t="n">
        <v>2024</v>
      </c>
      <c r="D501" s="15" t="inlineStr">
        <is>
          <t>Scoda Tubes Limited</t>
        </is>
      </c>
      <c r="E501" s="15" t="inlineStr">
        <is>
          <t>DRHP</t>
        </is>
      </c>
      <c r="F501" s="15" t="inlineStr">
        <is>
          <t>Scoda Tubes Limited</t>
        </is>
      </c>
      <c r="G501" s="15" t="inlineStr">
        <is>
          <t>IPO launched</t>
        </is>
      </c>
      <c r="H501" s="15" t="inlineStr">
        <is>
          <t>Mainboard</t>
        </is>
      </c>
      <c r="I501" s="16" t="n">
        <v>45805</v>
      </c>
      <c r="J501" s="16" t="n">
        <v>45807</v>
      </c>
      <c r="K501" s="16" t="n">
        <v>45812</v>
      </c>
      <c r="L501" s="17" t="n">
        <v>220</v>
      </c>
      <c r="M501" s="17" t="n">
        <v>220</v>
      </c>
      <c r="N501" s="17" t="n">
        <v>0</v>
      </c>
      <c r="O501" s="15" t="inlineStr">
        <is>
          <t>Final issue (ipoplatform)</t>
        </is>
      </c>
      <c r="P501" s="15" t="n"/>
      <c r="Q501" s="18" t="inlineStr">
        <is>
          <t>https://www.sebi.gov.in/sebi_data/attachdocs/oct-2024/1727832657268_528.pdf</t>
        </is>
      </c>
      <c r="R501" s="18" t="inlineStr">
        <is>
          <t>https://www.sebi.gov.in/filings/public-issues/oct-2024/scoda-tubes-limited_87223.html</t>
        </is>
      </c>
      <c r="S501" s="15" t="n"/>
      <c r="T501" s="15" t="inlineStr">
        <is>
          <t>Company name + date window</t>
        </is>
      </c>
      <c r="U501" s="15" t="inlineStr">
        <is>
          <t>Scoda Tubes Limited</t>
        </is>
      </c>
      <c r="V501" s="15" t="n"/>
      <c r="W501" s="15" t="n"/>
      <c r="X501" s="15" t="n"/>
      <c r="Y501" s="15" t="n"/>
      <c r="Z501" s="15" t="n"/>
      <c r="AA501" s="15" t="n"/>
      <c r="AB501" s="15" t="n"/>
    </row>
    <row r="502" ht="15" customHeight="1" s="12">
      <c r="A502" s="14" t="n">
        <v>501</v>
      </c>
      <c r="B502" s="16" t="n">
        <v>45566</v>
      </c>
      <c r="C502" s="15" t="n">
        <v>2024</v>
      </c>
      <c r="D502" s="15" t="inlineStr">
        <is>
          <t>Dr. Agarwal's Health Care Limited</t>
        </is>
      </c>
      <c r="E502" s="15" t="inlineStr">
        <is>
          <t>DRHP</t>
        </is>
      </c>
      <c r="F502" s="15" t="inlineStr">
        <is>
          <t>Dr. Agarwal's Health Care Limited</t>
        </is>
      </c>
      <c r="G502" s="15" t="inlineStr">
        <is>
          <t>IPO launched</t>
        </is>
      </c>
      <c r="H502" s="15" t="inlineStr">
        <is>
          <t>Mainboard</t>
        </is>
      </c>
      <c r="I502" s="16" t="n">
        <v>45686</v>
      </c>
      <c r="J502" s="16" t="n">
        <v>45688</v>
      </c>
      <c r="K502" s="16" t="n">
        <v>45692</v>
      </c>
      <c r="L502" s="17" t="n">
        <v>3027.26</v>
      </c>
      <c r="M502" s="17" t="n">
        <v>300</v>
      </c>
      <c r="N502" s="17" t="n">
        <v>2727.26</v>
      </c>
      <c r="O502" s="15" t="inlineStr">
        <is>
          <t>Final issue (ipoplatform)</t>
        </is>
      </c>
      <c r="P502" s="15" t="n"/>
      <c r="Q502" s="18" t="inlineStr">
        <is>
          <t>https://www.sebi.gov.in/sebi_data/attachdocs/oct-2024/1727832657268_525.pdf</t>
        </is>
      </c>
      <c r="R502" s="18" t="inlineStr">
        <is>
          <t>https://www.sebi.gov.in/filings/public-issues/oct-2024/dr-agarwal-s-health-care-limited_87217.html</t>
        </is>
      </c>
      <c r="S502" s="15" t="n"/>
      <c r="T502" s="15" t="inlineStr">
        <is>
          <t>Company name + date window</t>
        </is>
      </c>
      <c r="U502" s="15" t="inlineStr">
        <is>
          <t>Dr Agarwals Health Care Limited</t>
        </is>
      </c>
      <c r="V502" s="15" t="n"/>
      <c r="W502" s="15" t="n"/>
      <c r="X502" s="15" t="n"/>
      <c r="Y502" s="15" t="n"/>
      <c r="Z502" s="15" t="n"/>
      <c r="AA502" s="15" t="n"/>
      <c r="AB502" s="15" t="n"/>
    </row>
    <row r="503" ht="15" customHeight="1" s="12">
      <c r="A503" s="14" t="n">
        <v>502</v>
      </c>
      <c r="B503" s="16" t="n">
        <v>45566</v>
      </c>
      <c r="C503" s="15" t="n">
        <v>2024</v>
      </c>
      <c r="D503" s="15" t="inlineStr">
        <is>
          <t>SOLARWORLD ENERGY SOLUTIONS LIMITED</t>
        </is>
      </c>
      <c r="E503" s="15" t="inlineStr">
        <is>
          <t>DRHP</t>
        </is>
      </c>
      <c r="F503" s="15" t="inlineStr">
        <is>
          <t>SOLARWORLD ENERGY SOLUTIONS LIMITED</t>
        </is>
      </c>
      <c r="G503" s="15" t="inlineStr">
        <is>
          <t>IPO launched</t>
        </is>
      </c>
      <c r="H503" s="15" t="inlineStr">
        <is>
          <t>Mainboard</t>
        </is>
      </c>
      <c r="I503" s="16" t="n">
        <v>45923</v>
      </c>
      <c r="J503" s="16" t="n">
        <v>45925</v>
      </c>
      <c r="K503" s="16" t="n">
        <v>45930</v>
      </c>
      <c r="L503" s="17" t="n">
        <v>490</v>
      </c>
      <c r="M503" s="17" t="n">
        <v>440</v>
      </c>
      <c r="N503" s="17" t="n">
        <v>50</v>
      </c>
      <c r="O503" s="15" t="inlineStr">
        <is>
          <t>Final issue (ipoplatform)</t>
        </is>
      </c>
      <c r="P503" s="15" t="n"/>
      <c r="Q503" s="18" t="inlineStr">
        <is>
          <t>https://www.sebi.gov.in/sebi_data/attachdocs/oct-2024/1727832657268_524.pdf</t>
        </is>
      </c>
      <c r="R503" s="18" t="inlineStr">
        <is>
          <t>https://www.sebi.gov.in/filings/public-issues/oct-2024/solarworld-energy-solutions-limited_87215.html</t>
        </is>
      </c>
      <c r="S503" s="15" t="n"/>
      <c r="T503" s="15" t="inlineStr">
        <is>
          <t>Company name + date window</t>
        </is>
      </c>
      <c r="U503" s="15" t="inlineStr">
        <is>
          <t>Solarworld Energy Solutions Limited</t>
        </is>
      </c>
      <c r="V503" s="15" t="n"/>
      <c r="W503" s="15" t="n"/>
      <c r="X503" s="15" t="n"/>
      <c r="Y503" s="15" t="n"/>
      <c r="Z503" s="15" t="n"/>
      <c r="AA503" s="15" t="n"/>
      <c r="AB503" s="15" t="n"/>
    </row>
    <row r="504" ht="15" customHeight="1" s="12">
      <c r="A504" s="14" t="n">
        <v>503</v>
      </c>
      <c r="B504" s="16" t="n">
        <v>45566</v>
      </c>
      <c r="C504" s="15" t="n">
        <v>2024</v>
      </c>
      <c r="D504" s="15" t="inlineStr">
        <is>
          <t>Glottis Limited</t>
        </is>
      </c>
      <c r="E504" s="15" t="inlineStr">
        <is>
          <t>DRHP</t>
        </is>
      </c>
      <c r="F504" s="15" t="inlineStr">
        <is>
          <t>Glottis Limited</t>
        </is>
      </c>
      <c r="G504" s="15" t="inlineStr">
        <is>
          <t>IPO launched</t>
        </is>
      </c>
      <c r="H504" s="15" t="inlineStr">
        <is>
          <t>Mainboard</t>
        </is>
      </c>
      <c r="I504" s="16" t="n">
        <v>45929</v>
      </c>
      <c r="J504" s="16" t="n">
        <v>45931</v>
      </c>
      <c r="K504" s="16" t="n">
        <v>45937</v>
      </c>
      <c r="L504" s="17" t="n">
        <v>307</v>
      </c>
      <c r="M504" s="17" t="n">
        <v>160</v>
      </c>
      <c r="N504" s="17" t="n">
        <v>147</v>
      </c>
      <c r="O504" s="15" t="inlineStr">
        <is>
          <t>Final issue (ipoplatform)</t>
        </is>
      </c>
      <c r="P504" s="15" t="n"/>
      <c r="Q504" s="18" t="inlineStr">
        <is>
          <t>https://www.sebi.gov.in/sebi_data/attachdocs/oct-2024/1727832657268_523.pdf</t>
        </is>
      </c>
      <c r="R504" s="18" t="inlineStr">
        <is>
          <t>https://www.sebi.gov.in/filings/public-issues/oct-2024/glottis-limited_87213.html</t>
        </is>
      </c>
      <c r="S504" s="15" t="n"/>
      <c r="T504" s="15" t="inlineStr">
        <is>
          <t>Company name + date window</t>
        </is>
      </c>
      <c r="U504" s="15" t="inlineStr">
        <is>
          <t>Glottis Limited</t>
        </is>
      </c>
      <c r="V504" s="15" t="n"/>
      <c r="W504" s="15" t="n"/>
      <c r="X504" s="15" t="n"/>
      <c r="Y504" s="15" t="n"/>
      <c r="Z504" s="15" t="n"/>
      <c r="AA504" s="15" t="n"/>
      <c r="AB504" s="15" t="n"/>
    </row>
    <row r="505" ht="15" customHeight="1" s="12">
      <c r="A505" s="14" t="n">
        <v>504</v>
      </c>
      <c r="B505" s="16" t="n">
        <v>45565</v>
      </c>
      <c r="C505" s="15" t="n">
        <v>2024</v>
      </c>
      <c r="D505" s="15" t="inlineStr">
        <is>
          <t>AMANTA HEALTHCARE LIMITED</t>
        </is>
      </c>
      <c r="E505" s="15" t="inlineStr">
        <is>
          <t>DRHP</t>
        </is>
      </c>
      <c r="F505" s="15" t="inlineStr">
        <is>
          <t>AMANTA HEALTHCARE LIMITED</t>
        </is>
      </c>
      <c r="G505" s="15" t="inlineStr">
        <is>
          <t>IPO launched</t>
        </is>
      </c>
      <c r="H505" s="15" t="inlineStr">
        <is>
          <t>Mainboard</t>
        </is>
      </c>
      <c r="I505" s="16" t="n">
        <v>45901</v>
      </c>
      <c r="J505" s="16" t="n">
        <v>45903</v>
      </c>
      <c r="K505" s="16" t="n">
        <v>45908</v>
      </c>
      <c r="L505" s="17" t="n">
        <v>126</v>
      </c>
      <c r="M505" s="17" t="n">
        <v>126</v>
      </c>
      <c r="N505" s="17" t="n">
        <v>0</v>
      </c>
      <c r="O505" s="15" t="inlineStr">
        <is>
          <t>Final issue (ipoplatform)</t>
        </is>
      </c>
      <c r="P505" s="15" t="n"/>
      <c r="Q505" s="18" t="inlineStr">
        <is>
          <t>https://www.sebi.gov.in/sebi_data/attachdocs/sep-2024/1727681408058_520.pdf</t>
        </is>
      </c>
      <c r="R505" s="18" t="inlineStr">
        <is>
          <t>https://www.sebi.gov.in/filings/public-issues/sep-2024/amanta-healthcare-limited_87090.html</t>
        </is>
      </c>
      <c r="S505" s="15" t="n"/>
      <c r="T505" s="15" t="inlineStr">
        <is>
          <t>Company name + date window</t>
        </is>
      </c>
      <c r="U505" s="15" t="inlineStr">
        <is>
          <t>Amanta Healthcare Limited</t>
        </is>
      </c>
      <c r="V505" s="15" t="n"/>
      <c r="W505" s="15" t="n"/>
      <c r="X505" s="15" t="n"/>
      <c r="Y505" s="15" t="n"/>
      <c r="Z505" s="15" t="n"/>
      <c r="AA505" s="15" t="n"/>
      <c r="AB505" s="15" t="n"/>
    </row>
    <row r="506" ht="15" customHeight="1" s="12">
      <c r="A506" s="14" t="n">
        <v>505</v>
      </c>
      <c r="B506" s="16" t="n">
        <v>45562</v>
      </c>
      <c r="C506" s="15" t="n">
        <v>2024</v>
      </c>
      <c r="D506" s="15" t="inlineStr">
        <is>
          <t>HIGHWAY INFRASTRUCTURE LIMITED</t>
        </is>
      </c>
      <c r="E506" s="15" t="inlineStr">
        <is>
          <t>DRHP</t>
        </is>
      </c>
      <c r="F506" s="15" t="inlineStr">
        <is>
          <t>HIGHWAY INFRASTRUCTURE LIMITED</t>
        </is>
      </c>
      <c r="G506" s="15" t="inlineStr">
        <is>
          <t>IPO launched</t>
        </is>
      </c>
      <c r="H506" s="15" t="inlineStr">
        <is>
          <t>Mainboard</t>
        </is>
      </c>
      <c r="I506" s="16" t="n">
        <v>45874</v>
      </c>
      <c r="J506" s="16" t="n">
        <v>45876</v>
      </c>
      <c r="K506" s="16" t="n">
        <v>45881</v>
      </c>
      <c r="L506" s="17" t="n">
        <v>130</v>
      </c>
      <c r="M506" s="17" t="n"/>
      <c r="N506" s="17" t="n">
        <v>130</v>
      </c>
      <c r="O506" s="15" t="inlineStr">
        <is>
          <t>Final issue (ipoplatform)</t>
        </is>
      </c>
      <c r="P506" s="15" t="n"/>
      <c r="Q506" s="18" t="inlineStr">
        <is>
          <t>https://www.sebi.gov.in/sebi_data/attachdocs/sep-2024/1727436605046_519.pdf</t>
        </is>
      </c>
      <c r="R506" s="18" t="inlineStr">
        <is>
          <t>https://www.sebi.gov.in/filings/public-issues/sep-2024/highway-infrastructure-limited_87057.html</t>
        </is>
      </c>
      <c r="S506" s="15" t="n"/>
      <c r="T506" s="15" t="inlineStr">
        <is>
          <t>Company name + date window</t>
        </is>
      </c>
      <c r="U506" s="15" t="inlineStr">
        <is>
          <t>Highway Infrastructure Limited</t>
        </is>
      </c>
      <c r="V506" s="15" t="n"/>
      <c r="W506" s="15" t="n"/>
      <c r="X506" s="15" t="n"/>
      <c r="Y506" s="15" t="n"/>
      <c r="Z506" s="15" t="n"/>
      <c r="AA506" s="15" t="n"/>
      <c r="AB506" s="15" t="n"/>
    </row>
    <row r="507" ht="15" customHeight="1" s="12">
      <c r="A507" s="14" t="n">
        <v>506</v>
      </c>
      <c r="B507" s="16" t="n">
        <v>45562</v>
      </c>
      <c r="C507" s="15" t="n">
        <v>2024</v>
      </c>
      <c r="D507" s="15" t="inlineStr">
        <is>
          <t>M &amp; B Engineering Limited</t>
        </is>
      </c>
      <c r="E507" s="15" t="inlineStr">
        <is>
          <t>DRHP</t>
        </is>
      </c>
      <c r="F507" s="15" t="inlineStr">
        <is>
          <t>M &amp; B Engineering Limited</t>
        </is>
      </c>
      <c r="G507" s="15" t="inlineStr">
        <is>
          <t>IPO launched</t>
        </is>
      </c>
      <c r="H507" s="15" t="inlineStr">
        <is>
          <t>Mainboard</t>
        </is>
      </c>
      <c r="I507" s="16" t="n">
        <v>45868</v>
      </c>
      <c r="J507" s="16" t="n">
        <v>45870</v>
      </c>
      <c r="K507" s="16" t="n">
        <v>45875</v>
      </c>
      <c r="L507" s="17" t="n">
        <v>650</v>
      </c>
      <c r="M507" s="17" t="n">
        <v>275</v>
      </c>
      <c r="N507" s="17" t="n">
        <v>375</v>
      </c>
      <c r="O507" s="15" t="inlineStr">
        <is>
          <t>Final issue (ipoplatform)</t>
        </is>
      </c>
      <c r="P507" s="15" t="n"/>
      <c r="Q507" s="18" t="inlineStr">
        <is>
          <t>https://www.sebi.gov.in/sebi_data/attachdocs/sep-2024/1727422205663_516.pdf</t>
        </is>
      </c>
      <c r="R507" s="18" t="inlineStr">
        <is>
          <t>https://www.sebi.gov.in/filings/public-issues/sep-2024/m-and-b-engineering-limited_87048.html</t>
        </is>
      </c>
      <c r="S507" s="15" t="n"/>
      <c r="T507" s="15" t="inlineStr">
        <is>
          <t>Company name + date window</t>
        </is>
      </c>
      <c r="U507" s="15" t="inlineStr">
        <is>
          <t>M&amp;B Engineering Limited</t>
        </is>
      </c>
      <c r="V507" s="15" t="n"/>
      <c r="W507" s="15" t="n"/>
      <c r="X507" s="15" t="n"/>
      <c r="Y507" s="15" t="n"/>
      <c r="Z507" s="15" t="n"/>
      <c r="AA507" s="15" t="n"/>
      <c r="AB507" s="15" t="n"/>
    </row>
    <row r="508" ht="15" customHeight="1" s="12">
      <c r="A508" s="14" t="n">
        <v>507</v>
      </c>
      <c r="B508" s="16" t="n">
        <v>45562</v>
      </c>
      <c r="C508" s="15" t="n">
        <v>2024</v>
      </c>
      <c r="D508" s="15" t="inlineStr">
        <is>
          <t>Swiggy Limited</t>
        </is>
      </c>
      <c r="E508" s="15" t="inlineStr">
        <is>
          <t>UDRHP-I</t>
        </is>
      </c>
      <c r="F508" s="15" t="inlineStr">
        <is>
          <t>Swiggy Limited - Updated DRHP I</t>
        </is>
      </c>
      <c r="G508" s="15" t="inlineStr">
        <is>
          <t>IPO launched</t>
        </is>
      </c>
      <c r="H508" s="15" t="inlineStr">
        <is>
          <t>Mainboard</t>
        </is>
      </c>
      <c r="I508" s="16" t="n">
        <v>45602</v>
      </c>
      <c r="J508" s="16" t="n">
        <v>45604</v>
      </c>
      <c r="K508" s="16" t="n">
        <v>45609</v>
      </c>
      <c r="L508" s="17" t="n">
        <v>11327.43</v>
      </c>
      <c r="M508" s="17" t="n">
        <v>4499</v>
      </c>
      <c r="N508" s="17" t="n">
        <v>6828.43</v>
      </c>
      <c r="O508" s="15" t="inlineStr">
        <is>
          <t>Final issue (ipoplatform)</t>
        </is>
      </c>
      <c r="P508" s="15" t="n"/>
      <c r="Q508" s="18" t="inlineStr">
        <is>
          <t>https://www.sebi.gov.in/sebi_data/attachdocs/sep-2024/1727416339523.pdf</t>
        </is>
      </c>
      <c r="R508" s="18" t="inlineStr">
        <is>
          <t>https://www.sebi.gov.in/filings/public-issues/sep-2024/swiggy-limited-updated-drhp-i_87047.html</t>
        </is>
      </c>
      <c r="S508" s="15" t="n"/>
      <c r="T508" s="15" t="inlineStr">
        <is>
          <t>SEBI filing link</t>
        </is>
      </c>
      <c r="U508" s="15" t="inlineStr">
        <is>
          <t>Swiggy Limited</t>
        </is>
      </c>
      <c r="V508" s="15" t="n"/>
      <c r="W508" s="15" t="n"/>
      <c r="X508" s="15" t="n"/>
      <c r="Y508" s="15" t="n"/>
      <c r="Z508" s="15" t="n"/>
      <c r="AA508" s="15" t="n"/>
      <c r="AB508" s="15" t="n"/>
    </row>
    <row r="509" ht="15" customHeight="1" s="12">
      <c r="A509" s="14" t="n">
        <v>508</v>
      </c>
      <c r="B509" s="16" t="n">
        <v>45561</v>
      </c>
      <c r="C509" s="15" t="n">
        <v>2024</v>
      </c>
      <c r="D509" s="15" t="inlineStr">
        <is>
          <t>Glottis Limited</t>
        </is>
      </c>
      <c r="E509" s="15" t="inlineStr">
        <is>
          <t>DRHP</t>
        </is>
      </c>
      <c r="F509" s="15" t="inlineStr">
        <is>
          <t>Glottis Limited</t>
        </is>
      </c>
      <c r="G509" s="15" t="inlineStr">
        <is>
          <t>IPO launched</t>
        </is>
      </c>
      <c r="H509" s="15" t="inlineStr">
        <is>
          <t>Mainboard</t>
        </is>
      </c>
      <c r="I509" s="16" t="n">
        <v>45929</v>
      </c>
      <c r="J509" s="16" t="n">
        <v>45931</v>
      </c>
      <c r="K509" s="16" t="n">
        <v>45937</v>
      </c>
      <c r="L509" s="17" t="n">
        <v>307</v>
      </c>
      <c r="M509" s="17" t="n">
        <v>160</v>
      </c>
      <c r="N509" s="17" t="n">
        <v>147</v>
      </c>
      <c r="O509" s="15" t="inlineStr">
        <is>
          <t>Final issue (ipoplatform)</t>
        </is>
      </c>
      <c r="P509" s="15" t="n"/>
      <c r="Q509" s="18" t="inlineStr">
        <is>
          <t>https://www.sebi.gov.in/sebi_data/attachdocs/sep-2024/1727350212456_515.pdf</t>
        </is>
      </c>
      <c r="R509" s="18" t="inlineStr">
        <is>
          <t>https://www.sebi.gov.in/filings/public-issues/sep-2024/glottis-limited_87019.html</t>
        </is>
      </c>
      <c r="S509" s="15" t="n"/>
      <c r="T509" s="15" t="inlineStr">
        <is>
          <t>Company name + date window</t>
        </is>
      </c>
      <c r="U509" s="15" t="inlineStr">
        <is>
          <t>Glottis Limited</t>
        </is>
      </c>
      <c r="V509" s="15" t="n"/>
      <c r="W509" s="15" t="n"/>
      <c r="X509" s="15" t="n"/>
      <c r="Y509" s="15" t="n"/>
      <c r="Z509" s="15" t="n"/>
      <c r="AA509" s="15" t="n"/>
      <c r="AB509" s="15" t="n"/>
    </row>
    <row r="510" ht="15" customHeight="1" s="12">
      <c r="A510" s="14" t="n">
        <v>509</v>
      </c>
      <c r="B510" s="16" t="n">
        <v>45559</v>
      </c>
      <c r="C510" s="15" t="n">
        <v>2024</v>
      </c>
      <c r="D510" s="15" t="inlineStr">
        <is>
          <t>Schloss Bangalore Limited</t>
        </is>
      </c>
      <c r="E510" s="15" t="inlineStr">
        <is>
          <t>DRHP</t>
        </is>
      </c>
      <c r="F510" s="15" t="inlineStr">
        <is>
          <t>Schloss Bangalore Limited</t>
        </is>
      </c>
      <c r="G510" s="15" t="inlineStr">
        <is>
          <t>No launched IPO found</t>
        </is>
      </c>
      <c r="H510" s="15" t="n"/>
      <c r="I510" s="16" t="n"/>
      <c r="J510" s="16" t="n"/>
      <c r="K510" s="16" t="n"/>
      <c r="L510" s="17" t="n"/>
      <c r="M510" s="17" t="n"/>
      <c r="N510" s="17" t="n"/>
      <c r="O510" s="15" t="n"/>
      <c r="P510" s="15" t="n"/>
      <c r="Q510" s="18" t="inlineStr">
        <is>
          <t>https://www.sebi.gov.in/sebi_data/attachdocs/sep-2024/1727163005636_513.pdf</t>
        </is>
      </c>
      <c r="R510" s="18" t="inlineStr">
        <is>
          <t>https://www.sebi.gov.in/filings/public-issues/sep-2024/schloss-bangalore-limited_86948.html</t>
        </is>
      </c>
      <c r="S510" s="15" t="n"/>
      <c r="T510" s="15" t="n"/>
      <c r="U510" s="15" t="n"/>
      <c r="V510" s="15" t="n"/>
      <c r="W510" s="19" t="n">
        <v>45803</v>
      </c>
      <c r="X510" s="19" t="n">
        <v>45805</v>
      </c>
      <c r="Y510" s="19" t="n">
        <v>45810</v>
      </c>
      <c r="Z510" s="20" t="inlineStr">
        <is>
          <t>Issue opened</t>
        </is>
      </c>
      <c r="AA510" s="15" t="inlineStr">
        <is>
          <t>Matched on chittorgarh.com</t>
        </is>
      </c>
      <c r="AB510" s="18" t="inlineStr">
        <is>
          <t>https://www.chittorgarh.com/ipo/leela-hotels-ipo/2182/</t>
        </is>
      </c>
    </row>
    <row r="511" ht="15" customHeight="1" s="12">
      <c r="A511" s="14" t="n">
        <v>510</v>
      </c>
      <c r="B511" s="16" t="n">
        <v>45558</v>
      </c>
      <c r="C511" s="15" t="n">
        <v>2024</v>
      </c>
      <c r="D511" s="15" t="inlineStr">
        <is>
          <t>CASAGRAND PREMIER BUILDER LIMITED</t>
        </is>
      </c>
      <c r="E511" s="15" t="inlineStr">
        <is>
          <t>DRHP</t>
        </is>
      </c>
      <c r="F511" s="15" t="inlineStr">
        <is>
          <t>CASAGRAND PREMIER BUILDER LIMITED</t>
        </is>
      </c>
      <c r="G511" s="15" t="inlineStr">
        <is>
          <t>No launched IPO found</t>
        </is>
      </c>
      <c r="H511" s="15" t="n"/>
      <c r="I511" s="16" t="n"/>
      <c r="J511" s="16" t="n"/>
      <c r="K511" s="16" t="n"/>
      <c r="L511" s="17" t="n"/>
      <c r="M511" s="17" t="n"/>
      <c r="N511" s="17" t="n"/>
      <c r="O511" s="15" t="n"/>
      <c r="P511" s="15" t="n"/>
      <c r="Q511" s="18" t="inlineStr">
        <is>
          <t>https://www.sebi.gov.in/sebi_data/attachdocs/sep-2024/1727091006102_511.pdf</t>
        </is>
      </c>
      <c r="R511" s="18" t="inlineStr">
        <is>
          <t>https://www.sebi.gov.in/filings/public-issues/sep-2024/casagrand-premier-builder-limited_86912.html</t>
        </is>
      </c>
      <c r="S511" s="15" t="n"/>
      <c r="T511" s="15" t="n"/>
      <c r="U511" s="15" t="n"/>
      <c r="V511" s="15" t="n"/>
      <c r="W511" s="16" t="n"/>
      <c r="X511" s="16" t="n"/>
      <c r="Y511" s="16" t="n"/>
      <c r="Z511" s="15" t="inlineStr">
        <is>
          <t>No issue found</t>
        </is>
      </c>
      <c r="AA511" s="15" t="inlineStr">
        <is>
          <t>SEBI nod 8-Jun-2026; Rs1,220cr; dates not announced</t>
        </is>
      </c>
      <c r="AB511" s="18" t="inlineStr">
        <is>
          <t>https://www.chittorgarh.com/ipo/casagrand-premier-builder-ipo/2183/</t>
        </is>
      </c>
    </row>
    <row r="512" ht="15" customHeight="1" s="12">
      <c r="A512" s="14" t="n">
        <v>511</v>
      </c>
      <c r="B512" s="16" t="n">
        <v>45558</v>
      </c>
      <c r="C512" s="15" t="n">
        <v>2024</v>
      </c>
      <c r="D512" s="15" t="inlineStr">
        <is>
          <t>ELLENBARRIE INDUSTRIAL GASES LIMITED</t>
        </is>
      </c>
      <c r="E512" s="15" t="inlineStr">
        <is>
          <t>DRHP</t>
        </is>
      </c>
      <c r="F512" s="15" t="inlineStr">
        <is>
          <t>ELLENBARRIE INDUSTRIAL GASES LIMITED</t>
        </is>
      </c>
      <c r="G512" s="15" t="inlineStr">
        <is>
          <t>IPO launched</t>
        </is>
      </c>
      <c r="H512" s="15" t="inlineStr">
        <is>
          <t>Mainboard</t>
        </is>
      </c>
      <c r="I512" s="16" t="n">
        <v>45832</v>
      </c>
      <c r="J512" s="16" t="n">
        <v>45834</v>
      </c>
      <c r="K512" s="16" t="n">
        <v>45839</v>
      </c>
      <c r="L512" s="17" t="n">
        <v>852.53</v>
      </c>
      <c r="M512" s="17" t="n">
        <v>400</v>
      </c>
      <c r="N512" s="17" t="n">
        <v>452.53</v>
      </c>
      <c r="O512" s="15" t="inlineStr">
        <is>
          <t>Final issue (ipoplatform)</t>
        </is>
      </c>
      <c r="P512" s="15" t="n"/>
      <c r="Q512" s="18" t="inlineStr">
        <is>
          <t>https://www.sebi.gov.in/sebi_data/attachdocs/sep-2024/1727076635928_509.pdf</t>
        </is>
      </c>
      <c r="R512" s="18" t="inlineStr">
        <is>
          <t>https://www.sebi.gov.in/filings/public-issues/sep-2024/ellenbarrie-industrial-gases-limited_86902.html</t>
        </is>
      </c>
      <c r="S512" s="15" t="n"/>
      <c r="T512" s="15" t="inlineStr">
        <is>
          <t>Company name + date window</t>
        </is>
      </c>
      <c r="U512" s="15" t="inlineStr">
        <is>
          <t>Ellenbarrie Industrial Gases Limited</t>
        </is>
      </c>
      <c r="V512" s="15" t="n"/>
      <c r="W512" s="15" t="n"/>
      <c r="X512" s="15" t="n"/>
      <c r="Y512" s="15" t="n"/>
      <c r="Z512" s="15" t="n"/>
      <c r="AA512" s="15" t="n"/>
      <c r="AB512" s="15" t="n"/>
    </row>
    <row r="513" ht="15" customHeight="1" s="12">
      <c r="A513" s="14" t="n">
        <v>512</v>
      </c>
      <c r="B513" s="16" t="n">
        <v>45558</v>
      </c>
      <c r="C513" s="15" t="n">
        <v>2024</v>
      </c>
      <c r="D513" s="15" t="inlineStr">
        <is>
          <t>PMEA SOLAR TECH SOLUTIONS LIMITED</t>
        </is>
      </c>
      <c r="E513" s="15" t="inlineStr">
        <is>
          <t>DRHP</t>
        </is>
      </c>
      <c r="F513" s="15" t="inlineStr">
        <is>
          <t>PMEA SOLAR TECH SOLUTIONS LIMITED</t>
        </is>
      </c>
      <c r="G513" s="15" t="inlineStr">
        <is>
          <t>No launched IPO found</t>
        </is>
      </c>
      <c r="H513" s="15" t="n"/>
      <c r="I513" s="16" t="n"/>
      <c r="J513" s="16" t="n"/>
      <c r="K513" s="16" t="n"/>
      <c r="L513" s="17" t="n"/>
      <c r="M513" s="17" t="n"/>
      <c r="N513" s="17" t="n"/>
      <c r="O513" s="15" t="n"/>
      <c r="P513" s="15" t="n"/>
      <c r="Q513" s="18" t="inlineStr">
        <is>
          <t>https://www.sebi.gov.in/sebi_data/attachdocs/sep-2024/1727076635928_506.pdf</t>
        </is>
      </c>
      <c r="R513" s="18" t="inlineStr">
        <is>
          <t>https://www.sebi.gov.in/filings/public-issues/sep-2024/pmea-solar-tech-solutions-limited_86896.html</t>
        </is>
      </c>
      <c r="S513" s="15" t="n"/>
      <c r="T513" s="15" t="n"/>
      <c r="U513" s="15" t="n"/>
      <c r="V513" s="15" t="n"/>
      <c r="W513" s="16" t="n"/>
      <c r="X513" s="16" t="n"/>
      <c r="Y513" s="16" t="n"/>
      <c r="Z513" s="15" t="inlineStr">
        <is>
          <t>No issue found</t>
        </is>
      </c>
      <c r="AA513" s="15" t="inlineStr">
        <is>
          <t>SEBI approval received; IPO dates not announced.</t>
        </is>
      </c>
      <c r="AB513" s="18" t="inlineStr">
        <is>
          <t>https://www.chittorgarh.com/ipo/pmea-solar-tech-ipo/2199/</t>
        </is>
      </c>
    </row>
    <row r="514" ht="15" customHeight="1" s="12">
      <c r="A514" s="14" t="n">
        <v>513</v>
      </c>
      <c r="B514" s="16" t="n">
        <v>45555</v>
      </c>
      <c r="C514" s="15" t="n">
        <v>2024</v>
      </c>
      <c r="D514" s="15" t="inlineStr">
        <is>
          <t>QUALITY POWER ELECTRICAL EQUIPMENTS LIMITED</t>
        </is>
      </c>
      <c r="E514" s="15" t="inlineStr">
        <is>
          <t>DRHP</t>
        </is>
      </c>
      <c r="F514" s="15" t="inlineStr">
        <is>
          <t>QUALITY POWER ELECTRICAL EQUIPMENTS LIMITED</t>
        </is>
      </c>
      <c r="G514" s="15" t="inlineStr">
        <is>
          <t>IPO launched</t>
        </is>
      </c>
      <c r="H514" s="15" t="inlineStr">
        <is>
          <t>Mainboard</t>
        </is>
      </c>
      <c r="I514" s="16" t="n">
        <v>45702</v>
      </c>
      <c r="J514" s="16" t="n">
        <v>45706</v>
      </c>
      <c r="K514" s="16" t="n">
        <v>45713</v>
      </c>
      <c r="L514" s="17" t="n">
        <v>858.7</v>
      </c>
      <c r="M514" s="17" t="n">
        <v>225</v>
      </c>
      <c r="N514" s="17" t="n">
        <v>633.7</v>
      </c>
      <c r="O514" s="15" t="inlineStr">
        <is>
          <t>Final issue (ipoplatform)</t>
        </is>
      </c>
      <c r="P514" s="15" t="n"/>
      <c r="Q514" s="18" t="inlineStr">
        <is>
          <t>https://www.sebi.gov.in/sebi_data/attachdocs/sep-2024/1726831818736_504.pdf</t>
        </is>
      </c>
      <c r="R514" s="18" t="inlineStr">
        <is>
          <t>https://www.sebi.gov.in/filings/public-issues/sep-2024/quality-power-electrical-equipments-limited_86877.html</t>
        </is>
      </c>
      <c r="S514" s="15" t="n"/>
      <c r="T514" s="15" t="inlineStr">
        <is>
          <t>Company name + date window</t>
        </is>
      </c>
      <c r="U514" s="15" t="inlineStr">
        <is>
          <t>Quality Power Electrical Equipments Limited</t>
        </is>
      </c>
      <c r="V514" s="15" t="n"/>
      <c r="W514" s="15" t="n"/>
      <c r="X514" s="15" t="n"/>
      <c r="Y514" s="15" t="n"/>
      <c r="Z514" s="15" t="n"/>
      <c r="AA514" s="15" t="n"/>
      <c r="AB514" s="15" t="n"/>
    </row>
    <row r="515" ht="15" customHeight="1" s="12">
      <c r="A515" s="14" t="n">
        <v>514</v>
      </c>
      <c r="B515" s="16" t="n">
        <v>45555</v>
      </c>
      <c r="C515" s="15" t="n">
        <v>2024</v>
      </c>
      <c r="D515" s="15" t="inlineStr">
        <is>
          <t>NTPC Green Energy Limited</t>
        </is>
      </c>
      <c r="E515" s="15" t="inlineStr">
        <is>
          <t>DRHP</t>
        </is>
      </c>
      <c r="F515" s="15" t="inlineStr">
        <is>
          <t>NTPC Green Energy Limited</t>
        </is>
      </c>
      <c r="G515" s="15" t="inlineStr">
        <is>
          <t>IPO launched</t>
        </is>
      </c>
      <c r="H515" s="15" t="inlineStr">
        <is>
          <t>Mainboard</t>
        </is>
      </c>
      <c r="I515" s="16" t="n">
        <v>45615</v>
      </c>
      <c r="J515" s="16" t="n">
        <v>45618</v>
      </c>
      <c r="K515" s="16" t="n">
        <v>45623</v>
      </c>
      <c r="L515" s="17" t="n">
        <v>10000</v>
      </c>
      <c r="M515" s="17" t="n">
        <v>10000</v>
      </c>
      <c r="N515" s="17" t="n">
        <v>0</v>
      </c>
      <c r="O515" s="15" t="inlineStr">
        <is>
          <t>Final issue (ipoplatform)</t>
        </is>
      </c>
      <c r="P515" s="15" t="n"/>
      <c r="Q515" s="18" t="inlineStr">
        <is>
          <t>https://www.sebi.gov.in/sebi_data/attachdocs/sep-2024/1726831818736_503.pdf</t>
        </is>
      </c>
      <c r="R515" s="18" t="inlineStr">
        <is>
          <t>https://www.sebi.gov.in/filings/public-issues/sep-2024/ntpc-green-energy-limited_86875.html</t>
        </is>
      </c>
      <c r="S515" s="15" t="n"/>
      <c r="T515" s="15" t="inlineStr">
        <is>
          <t>SEBI filing link</t>
        </is>
      </c>
      <c r="U515" s="15" t="inlineStr">
        <is>
          <t>NTPC Green Energy Limited</t>
        </is>
      </c>
      <c r="V515" s="15" t="n"/>
      <c r="W515" s="15" t="n"/>
      <c r="X515" s="15" t="n"/>
      <c r="Y515" s="15" t="n"/>
      <c r="Z515" s="15" t="n"/>
      <c r="AA515" s="15" t="n"/>
      <c r="AB515" s="15" t="n"/>
    </row>
    <row r="516" ht="15" customHeight="1" s="12">
      <c r="A516" s="14" t="n">
        <v>515</v>
      </c>
      <c r="B516" s="16" t="n">
        <v>45555</v>
      </c>
      <c r="C516" s="15" t="n">
        <v>2024</v>
      </c>
      <c r="D516" s="15" t="inlineStr">
        <is>
          <t>Oswal Pumps Limited</t>
        </is>
      </c>
      <c r="E516" s="15" t="inlineStr">
        <is>
          <t>DRHP</t>
        </is>
      </c>
      <c r="F516" s="15" t="inlineStr">
        <is>
          <t>Oswal Pumps Limited</t>
        </is>
      </c>
      <c r="G516" s="15" t="inlineStr">
        <is>
          <t>IPO launched</t>
        </is>
      </c>
      <c r="H516" s="15" t="inlineStr">
        <is>
          <t>Mainboard</t>
        </is>
      </c>
      <c r="I516" s="16" t="n">
        <v>45821</v>
      </c>
      <c r="J516" s="16" t="n">
        <v>45825</v>
      </c>
      <c r="K516" s="16" t="n">
        <v>45828</v>
      </c>
      <c r="L516" s="17" t="n">
        <v>1387.34</v>
      </c>
      <c r="M516" s="17" t="n">
        <v>890</v>
      </c>
      <c r="N516" s="17" t="n">
        <v>497.34</v>
      </c>
      <c r="O516" s="15" t="inlineStr">
        <is>
          <t>Final issue (ipoplatform)</t>
        </is>
      </c>
      <c r="P516" s="15" t="n"/>
      <c r="Q516" s="18" t="inlineStr">
        <is>
          <t>https://www.sebi.gov.in/sebi_data/attachdocs/sep-2024/1726831818736_502.pdf</t>
        </is>
      </c>
      <c r="R516" s="18" t="inlineStr">
        <is>
          <t>https://www.sebi.gov.in/filings/public-issues/sep-2024/oswal-pumps-limited_86873.html</t>
        </is>
      </c>
      <c r="S516" s="15" t="n"/>
      <c r="T516" s="15" t="inlineStr">
        <is>
          <t>Company name + date window</t>
        </is>
      </c>
      <c r="U516" s="15" t="inlineStr">
        <is>
          <t>Oswal Pumps Limited</t>
        </is>
      </c>
      <c r="V516" s="15" t="n"/>
      <c r="W516" s="15" t="n"/>
      <c r="X516" s="15" t="n"/>
      <c r="Y516" s="15" t="n"/>
      <c r="Z516" s="15" t="n"/>
      <c r="AA516" s="15" t="n"/>
      <c r="AB516" s="15" t="n"/>
    </row>
    <row r="517" ht="15" customHeight="1" s="12">
      <c r="A517" s="14" t="n">
        <v>516</v>
      </c>
      <c r="B517" s="16" t="n">
        <v>45554</v>
      </c>
      <c r="C517" s="15" t="n">
        <v>2024</v>
      </c>
      <c r="D517" s="15" t="inlineStr">
        <is>
          <t>Fabtech Technologies Limited</t>
        </is>
      </c>
      <c r="E517" s="15" t="inlineStr">
        <is>
          <t>DRHP</t>
        </is>
      </c>
      <c r="F517" s="15" t="inlineStr">
        <is>
          <t>Fabtech Technologies Limited</t>
        </is>
      </c>
      <c r="G517" s="15" t="inlineStr">
        <is>
          <t>IPO launched</t>
        </is>
      </c>
      <c r="H517" s="15" t="inlineStr">
        <is>
          <t>Mainboard</t>
        </is>
      </c>
      <c r="I517" s="16" t="n">
        <v>45929</v>
      </c>
      <c r="J517" s="16" t="n">
        <v>45931</v>
      </c>
      <c r="K517" s="16" t="n">
        <v>45937</v>
      </c>
      <c r="L517" s="17" t="n">
        <v>230.35</v>
      </c>
      <c r="M517" s="17" t="n">
        <v>230.35</v>
      </c>
      <c r="N517" s="17" t="n">
        <v>0</v>
      </c>
      <c r="O517" s="15" t="inlineStr">
        <is>
          <t>Final issue (ipoplatform)</t>
        </is>
      </c>
      <c r="P517" s="15" t="n"/>
      <c r="Q517" s="18" t="inlineStr">
        <is>
          <t>https://www.sebi.gov.in/sebi_data/attachdocs/sep-2024/1726795805717_500.pdf</t>
        </is>
      </c>
      <c r="R517" s="18" t="inlineStr">
        <is>
          <t>https://www.sebi.gov.in/filings/public-issues/sep-2024/fabtech-technologies-limited_86808.html</t>
        </is>
      </c>
      <c r="S517" s="15" t="n"/>
      <c r="T517" s="15" t="inlineStr">
        <is>
          <t>Company name + date window</t>
        </is>
      </c>
      <c r="U517" s="15" t="inlineStr">
        <is>
          <t>Fabtech Technologies Limited</t>
        </is>
      </c>
      <c r="V517" s="15" t="n"/>
      <c r="W517" s="15" t="n"/>
      <c r="X517" s="15" t="n"/>
      <c r="Y517" s="15" t="n"/>
      <c r="Z517" s="15" t="n"/>
      <c r="AA517" s="15" t="n"/>
      <c r="AB517" s="15" t="n"/>
    </row>
    <row r="518" ht="15" customHeight="1" s="12">
      <c r="A518" s="14" t="n">
        <v>517</v>
      </c>
      <c r="B518" s="16" t="n">
        <v>45554</v>
      </c>
      <c r="C518" s="15" t="n">
        <v>2024</v>
      </c>
      <c r="D518" s="15" t="inlineStr">
        <is>
          <t>Regreen-Excel EPC India Limited</t>
        </is>
      </c>
      <c r="E518" s="15" t="inlineStr">
        <is>
          <t>DRHP</t>
        </is>
      </c>
      <c r="F518" s="15" t="inlineStr">
        <is>
          <t>Regreen-Excel EPC India Limited</t>
        </is>
      </c>
      <c r="G518" s="15" t="inlineStr">
        <is>
          <t>No launched IPO found</t>
        </is>
      </c>
      <c r="H518" s="15" t="n"/>
      <c r="I518" s="16" t="n"/>
      <c r="J518" s="16" t="n"/>
      <c r="K518" s="16" t="n"/>
      <c r="L518" s="17" t="n"/>
      <c r="M518" s="17" t="n"/>
      <c r="N518" s="17" t="n"/>
      <c r="O518" s="15" t="n"/>
      <c r="P518" s="15" t="n"/>
      <c r="Q518" s="18" t="inlineStr">
        <is>
          <t>https://www.sebi.gov.in/sebi_data/attachdocs/sep-2024/1726795805717_501.pdf</t>
        </is>
      </c>
      <c r="R518" s="18" t="inlineStr">
        <is>
          <t>https://www.sebi.gov.in/filings/public-issues/sep-2024/regreen-excel-epc-india-limited_86810.html</t>
        </is>
      </c>
      <c r="S518" s="15" t="n"/>
      <c r="T518" s="15" t="n"/>
      <c r="U518" s="15" t="n"/>
      <c r="V518" s="15" t="n"/>
      <c r="W518" s="16" t="n"/>
      <c r="X518" s="16" t="n"/>
      <c r="Y518" s="16" t="n"/>
      <c r="Z518" s="15" t="inlineStr">
        <is>
          <t>No issue found</t>
        </is>
      </c>
      <c r="AA518" s="15" t="inlineStr">
        <is>
          <t>SEBI approved Dec 2024; only placeholder 18 Feb 2026 date, unconfirmed.</t>
        </is>
      </c>
      <c r="AB518" s="18" t="inlineStr">
        <is>
          <t>https://www.chittorgarh.com/ipo/regreen-excel-epc-india-ipo/2205/</t>
        </is>
      </c>
    </row>
    <row r="519" ht="15" customHeight="1" s="12">
      <c r="A519" s="14" t="n">
        <v>518</v>
      </c>
      <c r="B519" s="16" t="n">
        <v>45554</v>
      </c>
      <c r="C519" s="15" t="n">
        <v>2024</v>
      </c>
      <c r="D519" s="15" t="inlineStr">
        <is>
          <t>LAXMI DENTAL LIMITED</t>
        </is>
      </c>
      <c r="E519" s="15" t="inlineStr">
        <is>
          <t>DRHP</t>
        </is>
      </c>
      <c r="F519" s="15" t="inlineStr">
        <is>
          <t>LAXMI DENTAL LIMITED</t>
        </is>
      </c>
      <c r="G519" s="15" t="inlineStr">
        <is>
          <t>IPO launched</t>
        </is>
      </c>
      <c r="H519" s="15" t="inlineStr">
        <is>
          <t>Mainboard</t>
        </is>
      </c>
      <c r="I519" s="16" t="n">
        <v>45670</v>
      </c>
      <c r="J519" s="16" t="n">
        <v>45672</v>
      </c>
      <c r="K519" s="16" t="n">
        <v>45677</v>
      </c>
      <c r="L519" s="17" t="n">
        <v>698.0599999999999</v>
      </c>
      <c r="M519" s="17" t="n">
        <v>138</v>
      </c>
      <c r="N519" s="17" t="n">
        <v>560.0599999999999</v>
      </c>
      <c r="O519" s="15" t="inlineStr">
        <is>
          <t>Final issue (ipoplatform)</t>
        </is>
      </c>
      <c r="P519" s="15" t="n"/>
      <c r="Q519" s="18" t="inlineStr">
        <is>
          <t>https://www.sebi.gov.in/sebi_data/attachdocs/sep-2024/1726731020171_499.pdf</t>
        </is>
      </c>
      <c r="R519" s="18" t="inlineStr">
        <is>
          <t>https://www.sebi.gov.in/filings/public-issues/sep-2024/laxmi-dental-limited_86796.html</t>
        </is>
      </c>
      <c r="S519" s="15" t="n"/>
      <c r="T519" s="15" t="inlineStr">
        <is>
          <t>Company name + date window</t>
        </is>
      </c>
      <c r="U519" s="15" t="inlineStr">
        <is>
          <t>Laxmi Dental Limited</t>
        </is>
      </c>
      <c r="V519" s="15" t="n"/>
      <c r="W519" s="15" t="n"/>
      <c r="X519" s="15" t="n"/>
      <c r="Y519" s="15" t="n"/>
      <c r="Z519" s="15" t="n"/>
      <c r="AA519" s="15" t="n"/>
      <c r="AB519" s="15" t="n"/>
    </row>
    <row r="520" ht="15" customHeight="1" s="12">
      <c r="A520" s="14" t="n">
        <v>519</v>
      </c>
      <c r="B520" s="16" t="n">
        <v>45548</v>
      </c>
      <c r="C520" s="15" t="n">
        <v>2024</v>
      </c>
      <c r="D520" s="15" t="inlineStr">
        <is>
          <t>Hexaware Technologies Limited</t>
        </is>
      </c>
      <c r="E520" s="15" t="inlineStr">
        <is>
          <t>DRHP</t>
        </is>
      </c>
      <c r="F520" s="15" t="inlineStr">
        <is>
          <t>Hexaware Technologies Limited - DRHP</t>
        </is>
      </c>
      <c r="G520" s="15" t="inlineStr">
        <is>
          <t>IPO launched</t>
        </is>
      </c>
      <c r="H520" s="15" t="inlineStr">
        <is>
          <t>Mainboard</t>
        </is>
      </c>
      <c r="I520" s="16" t="n">
        <v>45700</v>
      </c>
      <c r="J520" s="16" t="n">
        <v>45702</v>
      </c>
      <c r="K520" s="16" t="n">
        <v>45707</v>
      </c>
      <c r="L520" s="17" t="n">
        <v>8750</v>
      </c>
      <c r="M520" s="17" t="n">
        <v>0</v>
      </c>
      <c r="N520" s="17" t="n">
        <v>8750</v>
      </c>
      <c r="O520" s="15" t="inlineStr">
        <is>
          <t>Final issue (ipoplatform)</t>
        </is>
      </c>
      <c r="P520" s="15" t="n"/>
      <c r="Q520" s="18" t="inlineStr">
        <is>
          <t>https://www.sebi.gov.in/sebi_data/attachdocs/sep-2024/1726227537582.pdf</t>
        </is>
      </c>
      <c r="R520" s="18" t="inlineStr">
        <is>
          <t>https://www.sebi.gov.in/filings/public-issues/sep-2024/hexaware-technologies-limited-drhp_86673.html</t>
        </is>
      </c>
      <c r="S520" s="15" t="n"/>
      <c r="T520" s="15" t="inlineStr">
        <is>
          <t>Company name + date window</t>
        </is>
      </c>
      <c r="U520" s="15" t="inlineStr">
        <is>
          <t>Hexaware Technologies Limited</t>
        </is>
      </c>
      <c r="V520" s="15" t="n"/>
      <c r="W520" s="15" t="n"/>
      <c r="X520" s="15" t="n"/>
      <c r="Y520" s="15" t="n"/>
      <c r="Z520" s="15" t="n"/>
      <c r="AA520" s="15" t="n"/>
      <c r="AB520" s="15" t="n"/>
    </row>
    <row r="521" ht="15" customHeight="1" s="12">
      <c r="A521" s="14" t="n">
        <v>520</v>
      </c>
      <c r="B521" s="16" t="n">
        <v>45547</v>
      </c>
      <c r="C521" s="15" t="n">
        <v>2024</v>
      </c>
      <c r="D521" s="15" t="inlineStr">
        <is>
          <t>VENTIVE HOSPITALITY LIMITED</t>
        </is>
      </c>
      <c r="E521" s="15" t="inlineStr">
        <is>
          <t>DRHP</t>
        </is>
      </c>
      <c r="F521" s="15" t="inlineStr">
        <is>
          <t>VENTIVE HOSPITALITY LIMITED</t>
        </is>
      </c>
      <c r="G521" s="15" t="inlineStr">
        <is>
          <t>IPO launched</t>
        </is>
      </c>
      <c r="H521" s="15" t="inlineStr">
        <is>
          <t>Mainboard</t>
        </is>
      </c>
      <c r="I521" s="16" t="n">
        <v>45646</v>
      </c>
      <c r="J521" s="16" t="n">
        <v>45650</v>
      </c>
      <c r="K521" s="16" t="n">
        <v>45656</v>
      </c>
      <c r="L521" s="17" t="n">
        <v>1600</v>
      </c>
      <c r="M521" s="17" t="n">
        <v>1600</v>
      </c>
      <c r="N521" s="17" t="n">
        <v>0</v>
      </c>
      <c r="O521" s="15" t="inlineStr">
        <is>
          <t>Final issue (ipoplatform)</t>
        </is>
      </c>
      <c r="P521" s="15" t="n"/>
      <c r="Q521" s="18" t="inlineStr">
        <is>
          <t>https://www.sebi.gov.in/sebi_data/attachdocs/sep-2024/1726277408114_454.pdf</t>
        </is>
      </c>
      <c r="R521" s="18" t="inlineStr">
        <is>
          <t>https://www.sebi.gov.in/filings/public-issues/sep-2024/ventive-hospitality-limited_86694.html</t>
        </is>
      </c>
      <c r="S521" s="15" t="n"/>
      <c r="T521" s="15" t="inlineStr">
        <is>
          <t>Company name + date window</t>
        </is>
      </c>
      <c r="U521" s="15" t="inlineStr">
        <is>
          <t>Ventive Hospitality Limited</t>
        </is>
      </c>
      <c r="V521" s="15" t="n"/>
      <c r="W521" s="15" t="n"/>
      <c r="X521" s="15" t="n"/>
      <c r="Y521" s="15" t="n"/>
      <c r="Z521" s="15" t="n"/>
      <c r="AA521" s="15" t="n"/>
      <c r="AB521" s="15" t="n"/>
    </row>
    <row r="522" ht="15" customHeight="1" s="12">
      <c r="A522" s="14" t="n">
        <v>521</v>
      </c>
      <c r="B522" s="16" t="n">
        <v>45547</v>
      </c>
      <c r="C522" s="15" t="n">
        <v>2024</v>
      </c>
      <c r="D522" s="15" t="inlineStr">
        <is>
          <t>Hexaware Technologies Limited</t>
        </is>
      </c>
      <c r="E522" s="15" t="inlineStr">
        <is>
          <t>DRHP</t>
        </is>
      </c>
      <c r="F522" s="15" t="inlineStr">
        <is>
          <t>Hexaware Technologies Limited</t>
        </is>
      </c>
      <c r="G522" s="15" t="inlineStr">
        <is>
          <t>IPO launched</t>
        </is>
      </c>
      <c r="H522" s="15" t="inlineStr">
        <is>
          <t>Mainboard</t>
        </is>
      </c>
      <c r="I522" s="16" t="n">
        <v>45700</v>
      </c>
      <c r="J522" s="16" t="n">
        <v>45702</v>
      </c>
      <c r="K522" s="16" t="n">
        <v>45707</v>
      </c>
      <c r="L522" s="17" t="n">
        <v>8750</v>
      </c>
      <c r="M522" s="17" t="n">
        <v>0</v>
      </c>
      <c r="N522" s="17" t="n">
        <v>8750</v>
      </c>
      <c r="O522" s="15" t="inlineStr">
        <is>
          <t>Final issue (ipoplatform)</t>
        </is>
      </c>
      <c r="P522" s="15" t="n"/>
      <c r="Q522" s="18" t="inlineStr">
        <is>
          <t>https://www.sebi.gov.in/sebi_data/attachdocs/sep-2024/1726277408114_452.pdf</t>
        </is>
      </c>
      <c r="R522" s="18" t="inlineStr">
        <is>
          <t>https://www.sebi.gov.in/filings/public-issues/sep-2024/hexaware-technologies-limited_86690.html</t>
        </is>
      </c>
      <c r="S522" s="15" t="n"/>
      <c r="T522" s="15" t="inlineStr">
        <is>
          <t>Company name + date window</t>
        </is>
      </c>
      <c r="U522" s="15" t="inlineStr">
        <is>
          <t>Hexaware Technologies Limited</t>
        </is>
      </c>
      <c r="V522" s="15" t="n"/>
      <c r="W522" s="15" t="n"/>
      <c r="X522" s="15" t="n"/>
      <c r="Y522" s="15" t="n"/>
      <c r="Z522" s="15" t="n"/>
      <c r="AA522" s="15" t="n"/>
      <c r="AB522" s="15" t="n"/>
    </row>
    <row r="523" ht="15" customHeight="1" s="12">
      <c r="A523" s="14" t="n">
        <v>522</v>
      </c>
      <c r="B523" s="16" t="n">
        <v>45547</v>
      </c>
      <c r="C523" s="15" t="n">
        <v>2024</v>
      </c>
      <c r="D523" s="15" t="inlineStr">
        <is>
          <t>BMW Ventures Limited</t>
        </is>
      </c>
      <c r="E523" s="15" t="inlineStr">
        <is>
          <t>DRHP</t>
        </is>
      </c>
      <c r="F523" s="15" t="inlineStr">
        <is>
          <t>BMW Ventures Limited- DRHP</t>
        </is>
      </c>
      <c r="G523" s="15" t="inlineStr">
        <is>
          <t>IPO launched</t>
        </is>
      </c>
      <c r="H523" s="15" t="inlineStr">
        <is>
          <t>Mainboard</t>
        </is>
      </c>
      <c r="I523" s="16" t="n">
        <v>45924</v>
      </c>
      <c r="J523" s="16" t="n">
        <v>45926</v>
      </c>
      <c r="K523" s="16" t="n">
        <v>45931</v>
      </c>
      <c r="L523" s="17" t="n">
        <v>231.66</v>
      </c>
      <c r="M523" s="17" t="n">
        <v>231.66</v>
      </c>
      <c r="N523" s="17" t="n">
        <v>0</v>
      </c>
      <c r="O523" s="15" t="inlineStr">
        <is>
          <t>Final issue (ipoplatform)</t>
        </is>
      </c>
      <c r="P523" s="15" t="n"/>
      <c r="Q523" s="18" t="inlineStr">
        <is>
          <t>https://www.sebi.gov.in/sebi_data/attachdocs/sep-2024/1726135446964.PDF</t>
        </is>
      </c>
      <c r="R523" s="18" t="inlineStr">
        <is>
          <t>https://www.sebi.gov.in/filings/public-issues/sep-2024/bmw-ventures-limited-drhp_86603.html</t>
        </is>
      </c>
      <c r="S523" s="15" t="n"/>
      <c r="T523" s="15" t="inlineStr">
        <is>
          <t>Company name + date window</t>
        </is>
      </c>
      <c r="U523" s="15" t="inlineStr">
        <is>
          <t>BMW Ventures Limited</t>
        </is>
      </c>
      <c r="V523" s="15" t="n"/>
      <c r="W523" s="15" t="n"/>
      <c r="X523" s="15" t="n"/>
      <c r="Y523" s="15" t="n"/>
      <c r="Z523" s="15" t="n"/>
      <c r="AA523" s="15" t="n"/>
      <c r="AB523" s="15" t="n"/>
    </row>
    <row r="524" ht="15" customHeight="1" s="12">
      <c r="A524" s="14" t="n">
        <v>523</v>
      </c>
      <c r="B524" s="16" t="n">
        <v>45546</v>
      </c>
      <c r="C524" s="15" t="n">
        <v>2024</v>
      </c>
      <c r="D524" s="15" t="inlineStr">
        <is>
          <t>ATHER ENERGY LIMITED</t>
        </is>
      </c>
      <c r="E524" s="15" t="inlineStr">
        <is>
          <t>DRHP</t>
        </is>
      </c>
      <c r="F524" s="15" t="inlineStr">
        <is>
          <t>ATHER ENERGY LIMITED</t>
        </is>
      </c>
      <c r="G524" s="15" t="inlineStr">
        <is>
          <t>IPO launched</t>
        </is>
      </c>
      <c r="H524" s="15" t="inlineStr">
        <is>
          <t>Mainboard</t>
        </is>
      </c>
      <c r="I524" s="16" t="n">
        <v>45775</v>
      </c>
      <c r="J524" s="16" t="n">
        <v>45777</v>
      </c>
      <c r="K524" s="16" t="n">
        <v>45783</v>
      </c>
      <c r="L524" s="17" t="n">
        <v>2980.76</v>
      </c>
      <c r="M524" s="17" t="n">
        <v>2626</v>
      </c>
      <c r="N524" s="17" t="n">
        <v>354.76</v>
      </c>
      <c r="O524" s="15" t="inlineStr">
        <is>
          <t>Final issue (ipoplatform)</t>
        </is>
      </c>
      <c r="P524" s="15" t="n"/>
      <c r="Q524" s="18" t="inlineStr">
        <is>
          <t>https://www.sebi.gov.in/sebi_data/attachdocs/sep-2024/1726054206064_451.pdf</t>
        </is>
      </c>
      <c r="R524" s="18" t="inlineStr">
        <is>
          <t>https://www.sebi.gov.in/filings/public-issues/sep-2024/ather-energy-limited_86582.html</t>
        </is>
      </c>
      <c r="S524" s="15" t="n"/>
      <c r="T524" s="15" t="inlineStr">
        <is>
          <t>Company name + date window</t>
        </is>
      </c>
      <c r="U524" s="15" t="inlineStr">
        <is>
          <t>Ather Energy Limited</t>
        </is>
      </c>
      <c r="V524" s="15" t="n"/>
      <c r="W524" s="15" t="n"/>
      <c r="X524" s="15" t="n"/>
      <c r="Y524" s="15" t="n"/>
      <c r="Z524" s="15" t="n"/>
      <c r="AA524" s="15" t="n"/>
      <c r="AB524" s="15" t="n"/>
    </row>
    <row r="525" ht="15" customHeight="1" s="12">
      <c r="A525" s="14" t="n">
        <v>524</v>
      </c>
      <c r="B525" s="16" t="n">
        <v>45545</v>
      </c>
      <c r="C525" s="15" t="n">
        <v>2024</v>
      </c>
      <c r="D525" s="15" t="inlineStr">
        <is>
          <t>Ivalue Infosolutions Limited</t>
        </is>
      </c>
      <c r="E525" s="15" t="inlineStr">
        <is>
          <t>DRHP</t>
        </is>
      </c>
      <c r="F525" s="15" t="inlineStr">
        <is>
          <t>Ivalue Infosolutions Limited</t>
        </is>
      </c>
      <c r="G525" s="15" t="inlineStr">
        <is>
          <t>IPO launched</t>
        </is>
      </c>
      <c r="H525" s="15" t="inlineStr">
        <is>
          <t>Mainboard</t>
        </is>
      </c>
      <c r="I525" s="16" t="n">
        <v>45918</v>
      </c>
      <c r="J525" s="16" t="n">
        <v>45922</v>
      </c>
      <c r="K525" s="16" t="n">
        <v>45925</v>
      </c>
      <c r="L525" s="17" t="n">
        <v>560.29</v>
      </c>
      <c r="M525" s="17" t="n">
        <v>0</v>
      </c>
      <c r="N525" s="17" t="n">
        <v>560.29</v>
      </c>
      <c r="O525" s="15" t="inlineStr">
        <is>
          <t>Final issue (ipoplatform)</t>
        </is>
      </c>
      <c r="P525" s="15" t="n"/>
      <c r="Q525" s="18" t="inlineStr">
        <is>
          <t>https://www.sebi.gov.in/sebi_data/attachdocs/sep-2024/1725967808342_450.pdf</t>
        </is>
      </c>
      <c r="R525" s="18" t="inlineStr">
        <is>
          <t>https://www.sebi.gov.in/filings/public-issues/sep-2024/ivalue-infosolutions-limited_86554.html</t>
        </is>
      </c>
      <c r="S525" s="15" t="n"/>
      <c r="T525" s="15" t="inlineStr">
        <is>
          <t>Company name + date window</t>
        </is>
      </c>
      <c r="U525" s="15" t="inlineStr">
        <is>
          <t>iValue Infosolutions Limited</t>
        </is>
      </c>
      <c r="V525" s="15" t="n"/>
      <c r="W525" s="15" t="n"/>
      <c r="X525" s="15" t="n"/>
      <c r="Y525" s="15" t="n"/>
      <c r="Z525" s="15" t="n"/>
      <c r="AA525" s="15" t="n"/>
      <c r="AB525" s="15" t="n"/>
    </row>
    <row r="526" ht="15" customHeight="1" s="12">
      <c r="A526" s="14" t="n">
        <v>525</v>
      </c>
      <c r="B526" s="16" t="n">
        <v>45545</v>
      </c>
      <c r="C526" s="15" t="n">
        <v>2024</v>
      </c>
      <c r="D526" s="15" t="inlineStr">
        <is>
          <t>DAM Capital Advisors Limited</t>
        </is>
      </c>
      <c r="E526" s="15" t="inlineStr">
        <is>
          <t>DRHP</t>
        </is>
      </c>
      <c r="F526" s="15" t="inlineStr">
        <is>
          <t>DAM Capital Advisors Limited</t>
        </is>
      </c>
      <c r="G526" s="15" t="inlineStr">
        <is>
          <t>IPO launched</t>
        </is>
      </c>
      <c r="H526" s="15" t="inlineStr">
        <is>
          <t>Mainboard</t>
        </is>
      </c>
      <c r="I526" s="16" t="n">
        <v>45645</v>
      </c>
      <c r="J526" s="16" t="n">
        <v>45649</v>
      </c>
      <c r="K526" s="16" t="n">
        <v>45653</v>
      </c>
      <c r="L526" s="17" t="n">
        <v>840.25</v>
      </c>
      <c r="M526" s="17" t="n">
        <v>0</v>
      </c>
      <c r="N526" s="17" t="n">
        <v>840.25</v>
      </c>
      <c r="O526" s="15" t="inlineStr">
        <is>
          <t>Final issue (ipoplatform)</t>
        </is>
      </c>
      <c r="P526" s="15" t="n"/>
      <c r="Q526" s="18" t="inlineStr">
        <is>
          <t>https://www.sebi.gov.in/sebi_data/attachdocs/sep-2024/1725953407337_448.pdf</t>
        </is>
      </c>
      <c r="R526" s="18" t="inlineStr">
        <is>
          <t>https://www.sebi.gov.in/filings/public-issues/sep-2024/dam-capital-advisors-limited_86541.html</t>
        </is>
      </c>
      <c r="S526" s="15" t="n"/>
      <c r="T526" s="15" t="inlineStr">
        <is>
          <t>Company name + date window</t>
        </is>
      </c>
      <c r="U526" s="15" t="inlineStr">
        <is>
          <t>DAM Capital Advisors Limited</t>
        </is>
      </c>
      <c r="V526" s="15" t="n"/>
      <c r="W526" s="15" t="n"/>
      <c r="X526" s="15" t="n"/>
      <c r="Y526" s="15" t="n"/>
      <c r="Z526" s="15" t="n"/>
      <c r="AA526" s="15" t="n"/>
      <c r="AB526" s="15" t="n"/>
    </row>
    <row r="527" ht="15" customHeight="1" s="12">
      <c r="A527" s="14" t="n">
        <v>526</v>
      </c>
      <c r="B527" s="16" t="n">
        <v>45540</v>
      </c>
      <c r="C527" s="15" t="n">
        <v>2024</v>
      </c>
      <c r="D527" s="15" t="inlineStr">
        <is>
          <t>Corrigendum on Niva Bupa Health Insurance Company Limited</t>
        </is>
      </c>
      <c r="E527" s="15" t="inlineStr">
        <is>
          <t>Corrigendum</t>
        </is>
      </c>
      <c r="F527" s="15" t="inlineStr">
        <is>
          <t>Corrigendum on Niva Bupa Health Insurance Company Limited</t>
        </is>
      </c>
      <c r="G527" s="15" t="inlineStr">
        <is>
          <t>No launched IPO found</t>
        </is>
      </c>
      <c r="H527" s="15" t="n"/>
      <c r="I527" s="16" t="n"/>
      <c r="J527" s="16" t="n"/>
      <c r="K527" s="16" t="n"/>
      <c r="L527" s="17" t="n"/>
      <c r="M527" s="17" t="n"/>
      <c r="N527" s="17" t="n"/>
      <c r="O527" s="15" t="n"/>
      <c r="P527" s="15" t="n"/>
      <c r="Q527" s="18" t="inlineStr">
        <is>
          <t>https://www.sebi.gov.in/sebi_data/attachdocs/sep-2024/1725528785359.pdf</t>
        </is>
      </c>
      <c r="R527" s="18" t="inlineStr">
        <is>
          <t>https://www.sebi.gov.in/filings/public-issues/sep-2024/corrigendum-on-niva-bupa-health-insurance-company-limited_86464.html</t>
        </is>
      </c>
      <c r="S527" s="15" t="n"/>
      <c r="T527" s="15" t="n"/>
      <c r="U527" s="15" t="n"/>
      <c r="V527" s="15" t="n"/>
      <c r="W527" s="19" t="n">
        <v>45603</v>
      </c>
      <c r="X527" s="19" t="n">
        <v>45607</v>
      </c>
      <c r="Y527" s="19" t="n">
        <v>45610</v>
      </c>
      <c r="Z527" s="20" t="inlineStr">
        <is>
          <t>Issue opened</t>
        </is>
      </c>
      <c r="AA527" s="15" t="inlineStr">
        <is>
          <t>Matched on chittorgarh.com (close name match: Niva Bupa Health Insurance)</t>
        </is>
      </c>
      <c r="AB527" s="18" t="inlineStr">
        <is>
          <t>https://www.chittorgarh.com/ipo/niva-bupa-health-insurance-ipo/1899/</t>
        </is>
      </c>
    </row>
    <row r="528" ht="15" customHeight="1" s="12">
      <c r="A528" s="14" t="n">
        <v>527</v>
      </c>
      <c r="B528" s="16" t="n">
        <v>45534</v>
      </c>
      <c r="C528" s="15" t="n">
        <v>2024</v>
      </c>
      <c r="D528" s="15" t="inlineStr">
        <is>
          <t>CONCORD ENVIRO SYSTEMS LIMITED</t>
        </is>
      </c>
      <c r="E528" s="15" t="inlineStr">
        <is>
          <t>DRHP</t>
        </is>
      </c>
      <c r="F528" s="15" t="inlineStr">
        <is>
          <t>CONCORD ENVIRO SYSTEMS LIMITED</t>
        </is>
      </c>
      <c r="G528" s="15" t="inlineStr">
        <is>
          <t>IPO launched</t>
        </is>
      </c>
      <c r="H528" s="15" t="inlineStr">
        <is>
          <t>Mainboard</t>
        </is>
      </c>
      <c r="I528" s="16" t="n">
        <v>45645</v>
      </c>
      <c r="J528" s="16" t="n">
        <v>45649</v>
      </c>
      <c r="K528" s="16" t="n">
        <v>45653</v>
      </c>
      <c r="L528" s="17" t="n">
        <v>500.33</v>
      </c>
      <c r="M528" s="17" t="n">
        <v>175</v>
      </c>
      <c r="N528" s="17" t="n">
        <v>325.33</v>
      </c>
      <c r="O528" s="15" t="inlineStr">
        <is>
          <t>Final issue (ipoplatform)</t>
        </is>
      </c>
      <c r="P528" s="15" t="n"/>
      <c r="Q528" s="18" t="inlineStr">
        <is>
          <t>https://www.sebi.gov.in/sebi_data/attachdocs/aug-2024/1725003011524_443.pdf</t>
        </is>
      </c>
      <c r="R528" s="18" t="inlineStr">
        <is>
          <t>https://www.sebi.gov.in/filings/public-issues/aug-2024/concord-enviro-systems-limited_86346.html</t>
        </is>
      </c>
      <c r="S528" s="15" t="n"/>
      <c r="T528" s="15" t="inlineStr">
        <is>
          <t>Company name + date window</t>
        </is>
      </c>
      <c r="U528" s="15" t="inlineStr">
        <is>
          <t>Concord Enviro Systems Limited</t>
        </is>
      </c>
      <c r="V528" s="15" t="n"/>
      <c r="W528" s="15" t="n"/>
      <c r="X528" s="15" t="n"/>
      <c r="Y528" s="15" t="n"/>
      <c r="Z528" s="15" t="n"/>
      <c r="AA528" s="15" t="n"/>
      <c r="AB528" s="15" t="n"/>
    </row>
    <row r="529" ht="15" customHeight="1" s="12">
      <c r="A529" s="14" t="n">
        <v>528</v>
      </c>
      <c r="B529" s="16" t="n">
        <v>45532</v>
      </c>
      <c r="C529" s="15" t="n">
        <v>2024</v>
      </c>
      <c r="D529" s="15" t="inlineStr">
        <is>
          <t>CARRARO INDIA LIMITED</t>
        </is>
      </c>
      <c r="E529" s="15" t="inlineStr">
        <is>
          <t>DRHP</t>
        </is>
      </c>
      <c r="F529" s="15" t="inlineStr">
        <is>
          <t>CARRARO INDIA LIMITED</t>
        </is>
      </c>
      <c r="G529" s="15" t="inlineStr">
        <is>
          <t>IPO launched</t>
        </is>
      </c>
      <c r="H529" s="15" t="inlineStr">
        <is>
          <t>Mainboard</t>
        </is>
      </c>
      <c r="I529" s="16" t="n">
        <v>45646</v>
      </c>
      <c r="J529" s="16" t="n">
        <v>45650</v>
      </c>
      <c r="K529" s="16" t="n">
        <v>45656</v>
      </c>
      <c r="L529" s="17" t="n">
        <v>1250</v>
      </c>
      <c r="M529" s="17" t="n">
        <v>0</v>
      </c>
      <c r="N529" s="17" t="n">
        <v>1250</v>
      </c>
      <c r="O529" s="15" t="inlineStr">
        <is>
          <t>Final issue (ipoplatform)</t>
        </is>
      </c>
      <c r="P529" s="15" t="n"/>
      <c r="Q529" s="18" t="inlineStr">
        <is>
          <t>https://www.sebi.gov.in/sebi_data/attachdocs/aug-2024/1724844610206_440.pdf</t>
        </is>
      </c>
      <c r="R529" s="18" t="inlineStr">
        <is>
          <t>https://www.sebi.gov.in/filings/public-issues/aug-2024/carraro-india-limited_86218.html</t>
        </is>
      </c>
      <c r="S529" s="15" t="n"/>
      <c r="T529" s="15" t="inlineStr">
        <is>
          <t>Company name + date window</t>
        </is>
      </c>
      <c r="U529" s="15" t="inlineStr">
        <is>
          <t>Carraro India Limited</t>
        </is>
      </c>
      <c r="V529" s="15" t="n"/>
      <c r="W529" s="15" t="n"/>
      <c r="X529" s="15" t="n"/>
      <c r="Y529" s="15" t="n"/>
      <c r="Z529" s="15" t="n"/>
      <c r="AA529" s="15" t="n"/>
      <c r="AB529" s="15" t="n"/>
    </row>
    <row r="530" ht="15" customHeight="1" s="12">
      <c r="A530" s="14" t="n">
        <v>529</v>
      </c>
      <c r="B530" s="16" t="n">
        <v>45531</v>
      </c>
      <c r="C530" s="15" t="n">
        <v>2024</v>
      </c>
      <c r="D530" s="15" t="inlineStr">
        <is>
          <t>International Gemmological Institute India Limited</t>
        </is>
      </c>
      <c r="E530" s="15" t="inlineStr">
        <is>
          <t>DRHP</t>
        </is>
      </c>
      <c r="F530" s="15" t="inlineStr">
        <is>
          <t>International Gemmological Institute India Limited</t>
        </is>
      </c>
      <c r="G530" s="15" t="inlineStr">
        <is>
          <t>IPO launched</t>
        </is>
      </c>
      <c r="H530" s="15" t="inlineStr">
        <is>
          <t>Mainboard</t>
        </is>
      </c>
      <c r="I530" s="16" t="n">
        <v>45639</v>
      </c>
      <c r="J530" s="16" t="n">
        <v>45643</v>
      </c>
      <c r="K530" s="16" t="n">
        <v>45645</v>
      </c>
      <c r="L530" s="17" t="n">
        <v>4225</v>
      </c>
      <c r="M530" s="17" t="n">
        <v>1475</v>
      </c>
      <c r="N530" s="17" t="n">
        <v>2750</v>
      </c>
      <c r="O530" s="15" t="inlineStr">
        <is>
          <t>Final issue (ipoplatform)</t>
        </is>
      </c>
      <c r="P530" s="15" t="n"/>
      <c r="Q530" s="18" t="inlineStr">
        <is>
          <t>https://www.sebi.gov.in/sebi_data/attachdocs/aug-2024/1724758229418_433.pdf</t>
        </is>
      </c>
      <c r="R530" s="18" t="inlineStr">
        <is>
          <t>https://www.sebi.gov.in/filings/public-issues/aug-2024/international-gemmological-institute-india-limited_86157.html</t>
        </is>
      </c>
      <c r="S530" s="15" t="n"/>
      <c r="T530" s="15" t="inlineStr">
        <is>
          <t>Company name (close spelling) + date window</t>
        </is>
      </c>
      <c r="U530" s="15" t="inlineStr">
        <is>
          <t>IGI International Gemmological Institute (India) Limited</t>
        </is>
      </c>
      <c r="V530" s="15" t="n"/>
      <c r="W530" s="15" t="n"/>
      <c r="X530" s="15" t="n"/>
      <c r="Y530" s="15" t="n"/>
      <c r="Z530" s="15" t="n"/>
      <c r="AA530" s="15" t="n"/>
      <c r="AB530" s="15" t="n"/>
    </row>
    <row r="531" ht="15" customHeight="1" s="12">
      <c r="A531" s="14" t="n">
        <v>530</v>
      </c>
      <c r="B531" s="16" t="n">
        <v>45530</v>
      </c>
      <c r="C531" s="15" t="n">
        <v>2024</v>
      </c>
      <c r="D531" s="15" t="inlineStr">
        <is>
          <t>Hero Motors Limited</t>
        </is>
      </c>
      <c r="E531" s="15" t="inlineStr">
        <is>
          <t>DRHP</t>
        </is>
      </c>
      <c r="F531" s="15" t="inlineStr">
        <is>
          <t>Hero Motors Limited - DRHP</t>
        </is>
      </c>
      <c r="G531" s="15" t="inlineStr">
        <is>
          <t>No launched IPO found</t>
        </is>
      </c>
      <c r="H531" s="15" t="n"/>
      <c r="I531" s="16" t="n"/>
      <c r="J531" s="16" t="n"/>
      <c r="K531" s="16" t="n"/>
      <c r="L531" s="17" t="n"/>
      <c r="M531" s="17" t="n"/>
      <c r="N531" s="17" t="n"/>
      <c r="O531" s="15" t="n"/>
      <c r="P531" s="15" t="n"/>
      <c r="Q531" s="18" t="inlineStr">
        <is>
          <t>https://www.sebi.gov.in/sebi_data/attachdocs/aug-2024/1724670869826.pdf</t>
        </is>
      </c>
      <c r="R531" s="18" t="inlineStr">
        <is>
          <t>https://www.sebi.gov.in/filings/public-issues/aug-2024/hero-motors-limited-drhp_86112.html</t>
        </is>
      </c>
      <c r="S531" s="15" t="n"/>
      <c r="T531" s="15" t="n"/>
      <c r="U531" s="15" t="n"/>
      <c r="V531" s="15" t="inlineStr">
        <is>
          <t>Same-name IPO opened 16-Sep-2026 — outside 2 years of this filing, so not linked</t>
        </is>
      </c>
      <c r="W531" s="19" t="n">
        <v>46281</v>
      </c>
      <c r="X531" s="19" t="n">
        <v>46283</v>
      </c>
      <c r="Y531" s="19" t="n">
        <v>46288</v>
      </c>
      <c r="Z531" s="20" t="inlineStr">
        <is>
          <t>Issue opened</t>
        </is>
      </c>
      <c r="AA531" s="15" t="inlineStr">
        <is>
          <t>Matched on chittorgarh.com</t>
        </is>
      </c>
      <c r="AB531" s="18" t="inlineStr">
        <is>
          <t>https://www.chittorgarh.com/ipo/hero-motors-ipo/2225/</t>
        </is>
      </c>
    </row>
    <row r="532" ht="15" customHeight="1" s="12">
      <c r="A532" s="14" t="n">
        <v>531</v>
      </c>
      <c r="B532" s="16" t="n">
        <v>45527</v>
      </c>
      <c r="C532" s="15" t="n">
        <v>2024</v>
      </c>
      <c r="D532" s="15" t="inlineStr">
        <is>
          <t>SANATHAN TEXTILES LIMITED</t>
        </is>
      </c>
      <c r="E532" s="15" t="inlineStr">
        <is>
          <t>DRHP</t>
        </is>
      </c>
      <c r="F532" s="15" t="inlineStr">
        <is>
          <t>SANATHAN TEXTILES LIMITED</t>
        </is>
      </c>
      <c r="G532" s="15" t="inlineStr">
        <is>
          <t>IPO launched</t>
        </is>
      </c>
      <c r="H532" s="15" t="inlineStr">
        <is>
          <t>Mainboard</t>
        </is>
      </c>
      <c r="I532" s="16" t="n">
        <v>45645</v>
      </c>
      <c r="J532" s="16" t="n">
        <v>45649</v>
      </c>
      <c r="K532" s="16" t="n">
        <v>45653</v>
      </c>
      <c r="L532" s="17" t="n">
        <v>550</v>
      </c>
      <c r="M532" s="17" t="n">
        <v>400</v>
      </c>
      <c r="N532" s="17" t="n">
        <v>150</v>
      </c>
      <c r="O532" s="15" t="inlineStr">
        <is>
          <t>Final issue (ipoplatform)</t>
        </is>
      </c>
      <c r="P532" s="15" t="n"/>
      <c r="Q532" s="18" t="inlineStr">
        <is>
          <t>https://www.sebi.gov.in/sebi_data/attachdocs/aug-2024/1724398208705_427.pdf</t>
        </is>
      </c>
      <c r="R532" s="18" t="inlineStr">
        <is>
          <t>https://www.sebi.gov.in/filings/public-issues/aug-2024/sanathan-textiles-limited_86063.html</t>
        </is>
      </c>
      <c r="S532" s="15" t="n"/>
      <c r="T532" s="15" t="inlineStr">
        <is>
          <t>Company name + date window</t>
        </is>
      </c>
      <c r="U532" s="15" t="inlineStr">
        <is>
          <t>Sanathan Textiles Limited</t>
        </is>
      </c>
      <c r="V532" s="15" t="n"/>
      <c r="W532" s="15" t="n"/>
      <c r="X532" s="15" t="n"/>
      <c r="Y532" s="15" t="n"/>
      <c r="Z532" s="15" t="n"/>
      <c r="AA532" s="15" t="n"/>
      <c r="AB532" s="15" t="n"/>
    </row>
    <row r="533" ht="15" customHeight="1" s="12">
      <c r="A533" s="14" t="n">
        <v>532</v>
      </c>
      <c r="B533" s="16" t="n">
        <v>45526</v>
      </c>
      <c r="C533" s="15" t="n">
        <v>2024</v>
      </c>
      <c r="D533" s="15" t="inlineStr">
        <is>
          <t>Kalpataru Limited</t>
        </is>
      </c>
      <c r="E533" s="15" t="inlineStr">
        <is>
          <t>DRHP</t>
        </is>
      </c>
      <c r="F533" s="15" t="inlineStr">
        <is>
          <t>Kalpataru Limited - DRHP</t>
        </is>
      </c>
      <c r="G533" s="15" t="inlineStr">
        <is>
          <t>IPO launched</t>
        </is>
      </c>
      <c r="H533" s="15" t="inlineStr">
        <is>
          <t>Mainboard</t>
        </is>
      </c>
      <c r="I533" s="16" t="n">
        <v>45832</v>
      </c>
      <c r="J533" s="16" t="n">
        <v>45834</v>
      </c>
      <c r="K533" s="16" t="n">
        <v>45839</v>
      </c>
      <c r="L533" s="17" t="n">
        <v>1590</v>
      </c>
      <c r="M533" s="17" t="n">
        <v>1590</v>
      </c>
      <c r="N533" s="17" t="n">
        <v>0</v>
      </c>
      <c r="O533" s="15" t="inlineStr">
        <is>
          <t>Final issue (ipoplatform)</t>
        </is>
      </c>
      <c r="P533" s="15" t="n"/>
      <c r="Q533" s="18" t="inlineStr">
        <is>
          <t>https://www.sebi.gov.in/sebi_data/attachdocs/aug-2024/1724326286102.PDF</t>
        </is>
      </c>
      <c r="R533" s="18" t="inlineStr">
        <is>
          <t>https://www.sebi.gov.in/filings/public-issues/aug-2024/kalpataru-limited-drhp_86040.html</t>
        </is>
      </c>
      <c r="S533" s="15" t="n"/>
      <c r="T533" s="15" t="inlineStr">
        <is>
          <t>Company name + date window</t>
        </is>
      </c>
      <c r="U533" s="15" t="inlineStr">
        <is>
          <t>Kalpataru Limited</t>
        </is>
      </c>
      <c r="V533" s="15" t="n"/>
      <c r="W533" s="15" t="n"/>
      <c r="X533" s="15" t="n"/>
      <c r="Y533" s="15" t="n"/>
      <c r="Z533" s="15" t="n"/>
      <c r="AA533" s="15" t="n"/>
      <c r="AB533" s="15" t="n"/>
    </row>
    <row r="534" ht="15" customHeight="1" s="12">
      <c r="A534" s="14" t="n">
        <v>533</v>
      </c>
      <c r="B534" s="16" t="n">
        <v>45526</v>
      </c>
      <c r="C534" s="15" t="n">
        <v>2024</v>
      </c>
      <c r="D534" s="15" t="inlineStr">
        <is>
          <t>MANJUSHREE TECHNOPACK LIMITED</t>
        </is>
      </c>
      <c r="E534" s="15" t="inlineStr">
        <is>
          <t>DRHP</t>
        </is>
      </c>
      <c r="F534" s="15" t="inlineStr">
        <is>
          <t>MANJUSHREE TECHNOPACK LIMITED</t>
        </is>
      </c>
      <c r="G534" s="15" t="inlineStr">
        <is>
          <t>No launched IPO found</t>
        </is>
      </c>
      <c r="H534" s="15" t="n"/>
      <c r="I534" s="16" t="n"/>
      <c r="J534" s="16" t="n"/>
      <c r="K534" s="16" t="n"/>
      <c r="L534" s="17" t="n"/>
      <c r="M534" s="17" t="n"/>
      <c r="N534" s="17" t="n"/>
      <c r="O534" s="15" t="n"/>
      <c r="P534" s="15" t="n"/>
      <c r="Q534" s="18" t="inlineStr">
        <is>
          <t>https://www.sebi.gov.in/sebi_data/attachdocs/aug-2024/1724326207281_426.pdf</t>
        </is>
      </c>
      <c r="R534" s="18" t="inlineStr">
        <is>
          <t>https://www.sebi.gov.in/filings/public-issues/aug-2024/manjushree-technopack-limited_86038.html</t>
        </is>
      </c>
      <c r="S534" s="15" t="n"/>
      <c r="T534" s="15" t="n"/>
      <c r="U534" s="15" t="n"/>
      <c r="V534" s="15" t="n"/>
      <c r="W534" s="16" t="n"/>
      <c r="X534" s="16" t="n"/>
      <c r="Y534" s="16" t="n"/>
      <c r="Z534" s="15" t="inlineStr">
        <is>
          <t>Withdrawn / approval lapsed</t>
        </is>
      </c>
      <c r="AA534" s="15" t="inlineStr">
        <is>
          <t>IPO documents withdrawn; no issue opened.</t>
        </is>
      </c>
      <c r="AB534" s="18" t="inlineStr">
        <is>
          <t>https://www.chittorgarh.com/ipo/manjushree-technopack-ipo/2457/</t>
        </is>
      </c>
    </row>
    <row r="535" ht="15" customHeight="1" s="12">
      <c r="A535" s="14" t="n">
        <v>534</v>
      </c>
      <c r="B535" s="16" t="n">
        <v>45525</v>
      </c>
      <c r="C535" s="15" t="n">
        <v>2024</v>
      </c>
      <c r="D535" s="15" t="inlineStr">
        <is>
          <t>UNIMECH AEROSPACE AND MANUFACTURING LIMITED</t>
        </is>
      </c>
      <c r="E535" s="15" t="inlineStr">
        <is>
          <t>DRHP</t>
        </is>
      </c>
      <c r="F535" s="15" t="inlineStr">
        <is>
          <t>UNIMECH AEROSPACE AND MANUFACTURING LIMITED</t>
        </is>
      </c>
      <c r="G535" s="15" t="inlineStr">
        <is>
          <t>IPO launched</t>
        </is>
      </c>
      <c r="H535" s="15" t="inlineStr">
        <is>
          <t>Mainboard</t>
        </is>
      </c>
      <c r="I535" s="16" t="n">
        <v>45649</v>
      </c>
      <c r="J535" s="16" t="n">
        <v>45652</v>
      </c>
      <c r="K535" s="16" t="n">
        <v>45657</v>
      </c>
      <c r="L535" s="17" t="n">
        <v>500</v>
      </c>
      <c r="M535" s="17" t="n">
        <v>250</v>
      </c>
      <c r="N535" s="17" t="n">
        <v>250</v>
      </c>
      <c r="O535" s="15" t="inlineStr">
        <is>
          <t>Final issue (ipoplatform)</t>
        </is>
      </c>
      <c r="P535" s="15" t="n"/>
      <c r="Q535" s="18" t="inlineStr">
        <is>
          <t>https://www.sebi.gov.in/sebi_data/attachdocs/aug-2024/1724290207324_424.pdf</t>
        </is>
      </c>
      <c r="R535" s="18" t="inlineStr">
        <is>
          <t>https://www.sebi.gov.in/filings/public-issues/aug-2024/unimech-aerospace-and-manufacturing-limited_85994.html</t>
        </is>
      </c>
      <c r="S535" s="15" t="n"/>
      <c r="T535" s="15" t="inlineStr">
        <is>
          <t>Company name + date window</t>
        </is>
      </c>
      <c r="U535" s="15" t="inlineStr">
        <is>
          <t>Unimech Aerospace And Manufacturing Limited</t>
        </is>
      </c>
      <c r="V535" s="15" t="n"/>
      <c r="W535" s="15" t="n"/>
      <c r="X535" s="15" t="n"/>
      <c r="Y535" s="15" t="n"/>
      <c r="Z535" s="15" t="n"/>
      <c r="AA535" s="15" t="n"/>
      <c r="AB535" s="15" t="n"/>
    </row>
    <row r="536" ht="15" customHeight="1" s="12">
      <c r="A536" s="14" t="n">
        <v>535</v>
      </c>
      <c r="B536" s="16" t="n">
        <v>45525</v>
      </c>
      <c r="C536" s="15" t="n">
        <v>2024</v>
      </c>
      <c r="D536" s="15" t="inlineStr">
        <is>
          <t>JSW Cement Limited</t>
        </is>
      </c>
      <c r="E536" s="15" t="inlineStr">
        <is>
          <t>DRHP</t>
        </is>
      </c>
      <c r="F536" s="15" t="inlineStr">
        <is>
          <t>JSW Cement Limited</t>
        </is>
      </c>
      <c r="G536" s="15" t="inlineStr">
        <is>
          <t>IPO launched</t>
        </is>
      </c>
      <c r="H536" s="15" t="inlineStr">
        <is>
          <t>Mainboard</t>
        </is>
      </c>
      <c r="I536" s="16" t="n">
        <v>45876</v>
      </c>
      <c r="J536" s="16" t="n">
        <v>45880</v>
      </c>
      <c r="K536" s="16" t="n">
        <v>45883</v>
      </c>
      <c r="L536" s="17" t="n">
        <v>3600</v>
      </c>
      <c r="M536" s="17" t="n">
        <v>1600</v>
      </c>
      <c r="N536" s="17" t="n">
        <v>2000</v>
      </c>
      <c r="O536" s="15" t="inlineStr">
        <is>
          <t>Final issue (ipoplatform)</t>
        </is>
      </c>
      <c r="P536" s="15" t="n"/>
      <c r="Q536" s="18" t="inlineStr">
        <is>
          <t>https://www.sebi.gov.in/sebi_data/attachdocs/aug-2024/1724225410045_422.pdf</t>
        </is>
      </c>
      <c r="R536" s="18" t="inlineStr">
        <is>
          <t>https://www.sebi.gov.in/filings/public-issues/aug-2024/jsw-cement-limited_85982.html</t>
        </is>
      </c>
      <c r="S536" s="15" t="n"/>
      <c r="T536" s="15" t="inlineStr">
        <is>
          <t>Company name + date window</t>
        </is>
      </c>
      <c r="U536" s="15" t="inlineStr">
        <is>
          <t>JSW Cement Limited</t>
        </is>
      </c>
      <c r="V536" s="15" t="n"/>
      <c r="W536" s="15" t="n"/>
      <c r="X536" s="15" t="n"/>
      <c r="Y536" s="15" t="n"/>
      <c r="Z536" s="15" t="n"/>
      <c r="AA536" s="15" t="n"/>
      <c r="AB536" s="15" t="n"/>
    </row>
    <row r="537" ht="15" customHeight="1" s="12">
      <c r="A537" s="14" t="n">
        <v>536</v>
      </c>
      <c r="B537" s="16" t="n">
        <v>45525</v>
      </c>
      <c r="C537" s="15" t="n">
        <v>2024</v>
      </c>
      <c r="D537" s="15" t="inlineStr">
        <is>
          <t>Innovision Limited</t>
        </is>
      </c>
      <c r="E537" s="15" t="inlineStr">
        <is>
          <t>DRHP</t>
        </is>
      </c>
      <c r="F537" s="15" t="inlineStr">
        <is>
          <t>Innovision Limited</t>
        </is>
      </c>
      <c r="G537" s="15" t="inlineStr">
        <is>
          <t>IPO launched</t>
        </is>
      </c>
      <c r="H537" s="15" t="inlineStr">
        <is>
          <t>Mainboard</t>
        </is>
      </c>
      <c r="I537" s="16" t="n">
        <v>46091</v>
      </c>
      <c r="J537" s="16" t="n">
        <v>46098</v>
      </c>
      <c r="K537" s="16" t="n">
        <v>46101</v>
      </c>
      <c r="L537" s="17" t="n">
        <v>322.84</v>
      </c>
      <c r="M537" s="17" t="n">
        <v>255</v>
      </c>
      <c r="N537" s="17" t="n">
        <v>67.84</v>
      </c>
      <c r="O537" s="15" t="inlineStr">
        <is>
          <t>Final issue (ipoplatform)</t>
        </is>
      </c>
      <c r="P537" s="15" t="n"/>
      <c r="Q537" s="18" t="inlineStr">
        <is>
          <t>https://www.sebi.gov.in/sebi_data/attachdocs/aug-2024/1724225410045_421.pdf</t>
        </is>
      </c>
      <c r="R537" s="18" t="inlineStr">
        <is>
          <t>https://www.sebi.gov.in/filings/public-issues/aug-2024/innovision-limited_85980.html</t>
        </is>
      </c>
      <c r="S537" s="15" t="n"/>
      <c r="T537" s="15" t="inlineStr">
        <is>
          <t>Company name + date window</t>
        </is>
      </c>
      <c r="U537" s="15" t="inlineStr">
        <is>
          <t>Innovision Limited</t>
        </is>
      </c>
      <c r="V537" s="15" t="n"/>
      <c r="W537" s="15" t="n"/>
      <c r="X537" s="15" t="n"/>
      <c r="Y537" s="15" t="n"/>
      <c r="Z537" s="15" t="n"/>
      <c r="AA537" s="15" t="n"/>
      <c r="AB537" s="15" t="n"/>
    </row>
    <row r="538" ht="15" customHeight="1" s="12">
      <c r="A538" s="14" t="n">
        <v>537</v>
      </c>
      <c r="B538" s="16" t="n">
        <v>45524</v>
      </c>
      <c r="C538" s="15" t="n">
        <v>2024</v>
      </c>
      <c r="D538" s="15" t="inlineStr">
        <is>
          <t>TRUALT BIOENERGY LIMITED</t>
        </is>
      </c>
      <c r="E538" s="15" t="inlineStr">
        <is>
          <t>DRHP</t>
        </is>
      </c>
      <c r="F538" s="15" t="inlineStr">
        <is>
          <t>TRUALT BIOENERGY LIMITED</t>
        </is>
      </c>
      <c r="G538" s="15" t="inlineStr">
        <is>
          <t>IPO launched</t>
        </is>
      </c>
      <c r="H538" s="15" t="inlineStr">
        <is>
          <t>Mainboard</t>
        </is>
      </c>
      <c r="I538" s="16" t="n">
        <v>45925</v>
      </c>
      <c r="J538" s="16" t="n">
        <v>45929</v>
      </c>
      <c r="K538" s="16" t="n">
        <v>45933</v>
      </c>
      <c r="L538" s="17" t="n">
        <v>839.28</v>
      </c>
      <c r="M538" s="17" t="n">
        <v>750</v>
      </c>
      <c r="N538" s="17" t="n">
        <v>89.28</v>
      </c>
      <c r="O538" s="15" t="inlineStr">
        <is>
          <t>Final issue (ipoplatform)</t>
        </is>
      </c>
      <c r="P538" s="15" t="n"/>
      <c r="Q538" s="18" t="inlineStr">
        <is>
          <t>https://www.sebi.gov.in/sebi_data/attachdocs/aug-2024/1724153409095_420.pdf</t>
        </is>
      </c>
      <c r="R538" s="18" t="inlineStr">
        <is>
          <t>https://www.sebi.gov.in/filings/public-issues/aug-2024/trualt-bioenergy-limited_85963.html</t>
        </is>
      </c>
      <c r="S538" s="15" t="n"/>
      <c r="T538" s="15" t="inlineStr">
        <is>
          <t>Company name + date window</t>
        </is>
      </c>
      <c r="U538" s="15" t="inlineStr">
        <is>
          <t>Trualt Bioenergy Limited</t>
        </is>
      </c>
      <c r="V538" s="15" t="n"/>
      <c r="W538" s="15" t="n"/>
      <c r="X538" s="15" t="n"/>
      <c r="Y538" s="15" t="n"/>
      <c r="Z538" s="15" t="n"/>
      <c r="AA538" s="15" t="n"/>
      <c r="AB538" s="15" t="n"/>
    </row>
    <row r="539" ht="15" customHeight="1" s="12">
      <c r="A539" s="14" t="n">
        <v>538</v>
      </c>
      <c r="B539" s="16" t="n">
        <v>45523</v>
      </c>
      <c r="C539" s="15" t="n">
        <v>2024</v>
      </c>
      <c r="D539" s="15" t="inlineStr">
        <is>
          <t>ECOM EXPRESS LIMITED</t>
        </is>
      </c>
      <c r="E539" s="15" t="inlineStr">
        <is>
          <t>DRHP</t>
        </is>
      </c>
      <c r="F539" s="15" t="inlineStr">
        <is>
          <t>ECOM EXPRESS LIMITED</t>
        </is>
      </c>
      <c r="G539" s="15" t="inlineStr">
        <is>
          <t>No launched IPO found</t>
        </is>
      </c>
      <c r="H539" s="15" t="n"/>
      <c r="I539" s="16" t="n"/>
      <c r="J539" s="16" t="n"/>
      <c r="K539" s="16" t="n"/>
      <c r="L539" s="17" t="n"/>
      <c r="M539" s="17" t="n"/>
      <c r="N539" s="17" t="n"/>
      <c r="O539" s="15" t="n"/>
      <c r="P539" s="15" t="n"/>
      <c r="Q539" s="18" t="inlineStr">
        <is>
          <t>https://www.sebi.gov.in/sebi_data/attachdocs/aug-2024/1724067006923_419.pdf</t>
        </is>
      </c>
      <c r="R539" s="18" t="inlineStr">
        <is>
          <t>https://www.sebi.gov.in/filings/public-issues/aug-2024/ecom-express-limited_85933.html</t>
        </is>
      </c>
      <c r="S539" s="15" t="n"/>
      <c r="T539" s="15" t="n"/>
      <c r="U539" s="15" t="n"/>
      <c r="V539" s="15" t="n"/>
      <c r="W539" s="16" t="n"/>
      <c r="X539" s="16" t="n"/>
      <c r="Y539" s="16" t="n"/>
      <c r="Z539" s="15" t="inlineStr">
        <is>
          <t>Withdrawn / approval lapsed</t>
        </is>
      </c>
      <c r="AA539" s="15" t="inlineStr">
        <is>
          <t>IPO documents withdrawn May 2025 (acquired); no issue opened.</t>
        </is>
      </c>
      <c r="AB539" s="18" t="inlineStr">
        <is>
          <t>https://www.chittorgarh.com/ipo/ecom-express-ipo/2235/</t>
        </is>
      </c>
    </row>
    <row r="540" ht="15" customHeight="1" s="12">
      <c r="A540" s="14" t="n">
        <v>539</v>
      </c>
      <c r="B540" s="16" t="n">
        <v>45523</v>
      </c>
      <c r="C540" s="15" t="n">
        <v>2024</v>
      </c>
      <c r="D540" s="15" t="inlineStr">
        <is>
          <t>Smartworks Coworking Spaces Limited</t>
        </is>
      </c>
      <c r="E540" s="15" t="inlineStr">
        <is>
          <t>DRHP</t>
        </is>
      </c>
      <c r="F540" s="15" t="inlineStr">
        <is>
          <t>Smartworks Coworking Spaces Limited</t>
        </is>
      </c>
      <c r="G540" s="15" t="inlineStr">
        <is>
          <t>IPO launched</t>
        </is>
      </c>
      <c r="H540" s="15" t="inlineStr">
        <is>
          <t>Mainboard</t>
        </is>
      </c>
      <c r="I540" s="16" t="n">
        <v>45848</v>
      </c>
      <c r="J540" s="16" t="n">
        <v>45852</v>
      </c>
      <c r="K540" s="16" t="n">
        <v>45855</v>
      </c>
      <c r="L540" s="17" t="n">
        <v>582.5599999999999</v>
      </c>
      <c r="M540" s="17" t="n">
        <v>445</v>
      </c>
      <c r="N540" s="17" t="n">
        <v>137.56</v>
      </c>
      <c r="O540" s="15" t="inlineStr">
        <is>
          <t>Final issue (ipoplatform)</t>
        </is>
      </c>
      <c r="P540" s="15" t="n"/>
      <c r="Q540" s="18" t="inlineStr">
        <is>
          <t>https://www.sebi.gov.in/sebi_data/attachdocs/aug-2024/1724052616977_417.pdf</t>
        </is>
      </c>
      <c r="R540" s="18" t="inlineStr">
        <is>
          <t>https://www.sebi.gov.in/filings/public-issues/aug-2024/smartworks-coworking-spaces-limited_85838.html</t>
        </is>
      </c>
      <c r="S540" s="15" t="n"/>
      <c r="T540" s="15" t="inlineStr">
        <is>
          <t>Company name + date window</t>
        </is>
      </c>
      <c r="U540" s="15" t="inlineStr">
        <is>
          <t>Smartworks Coworking Spaces Limited</t>
        </is>
      </c>
      <c r="V540" s="15" t="n"/>
      <c r="W540" s="15" t="n"/>
      <c r="X540" s="15" t="n"/>
      <c r="Y540" s="15" t="n"/>
      <c r="Z540" s="15" t="n"/>
      <c r="AA540" s="15" t="n"/>
      <c r="AB540" s="15" t="n"/>
    </row>
    <row r="541" ht="15" customHeight="1" s="12">
      <c r="A541" s="14" t="n">
        <v>540</v>
      </c>
      <c r="B541" s="16" t="n">
        <v>45518</v>
      </c>
      <c r="C541" s="15" t="n">
        <v>2024</v>
      </c>
      <c r="D541" s="15" t="inlineStr">
        <is>
          <t>METALMAN AUTO LIMITED</t>
        </is>
      </c>
      <c r="E541" s="15" t="inlineStr">
        <is>
          <t>DRHP</t>
        </is>
      </c>
      <c r="F541" s="15" t="inlineStr">
        <is>
          <t>METALMAN AUTO LIMITED</t>
        </is>
      </c>
      <c r="G541" s="15" t="inlineStr">
        <is>
          <t>No launched IPO found</t>
        </is>
      </c>
      <c r="H541" s="15" t="n"/>
      <c r="I541" s="16" t="n"/>
      <c r="J541" s="16" t="n"/>
      <c r="K541" s="16" t="n"/>
      <c r="L541" s="17" t="n"/>
      <c r="M541" s="17" t="n"/>
      <c r="N541" s="17" t="n"/>
      <c r="O541" s="15" t="n"/>
      <c r="P541" s="15" t="n"/>
      <c r="Q541" s="18" t="inlineStr">
        <is>
          <t>https://www.sebi.gov.in/sebi_data/attachdocs/aug-2024/1723635011579_398.pdf</t>
        </is>
      </c>
      <c r="R541" s="18" t="inlineStr">
        <is>
          <t>https://www.sebi.gov.in/filings/public-issues/aug-2024/metalman-auto-limited_85671.html</t>
        </is>
      </c>
      <c r="S541" s="15" t="n"/>
      <c r="T541" s="15" t="n"/>
      <c r="U541" s="15" t="n"/>
      <c r="V541" s="15" t="n"/>
      <c r="W541" s="16" t="n"/>
      <c r="X541" s="16" t="n"/>
      <c r="Y541" s="16" t="n"/>
      <c r="Z541" s="15" t="inlineStr">
        <is>
          <t>No issue found</t>
        </is>
      </c>
      <c r="AA541" s="15" t="inlineStr">
        <is>
          <t>SEBI approved Oct 2025; dates yet to be announced.</t>
        </is>
      </c>
      <c r="AB541" s="18" t="inlineStr">
        <is>
          <t>https://www.chittorgarh.com/ipo/metalman-auto-ipo/2247/</t>
        </is>
      </c>
    </row>
    <row r="542" ht="15" customHeight="1" s="12">
      <c r="A542" s="14" t="n">
        <v>541</v>
      </c>
      <c r="B542" s="16" t="n">
        <v>45518</v>
      </c>
      <c r="C542" s="15" t="n">
        <v>2024</v>
      </c>
      <c r="D542" s="15" t="inlineStr">
        <is>
          <t>Inventurus Knowledge Solutions Limited</t>
        </is>
      </c>
      <c r="E542" s="15" t="inlineStr">
        <is>
          <t>DRHP</t>
        </is>
      </c>
      <c r="F542" s="15" t="inlineStr">
        <is>
          <t>Inventurus Knowledge Solutions Limited</t>
        </is>
      </c>
      <c r="G542" s="15" t="inlineStr">
        <is>
          <t>IPO launched</t>
        </is>
      </c>
      <c r="H542" s="15" t="inlineStr">
        <is>
          <t>Mainboard</t>
        </is>
      </c>
      <c r="I542" s="16" t="n">
        <v>45638</v>
      </c>
      <c r="J542" s="16" t="n">
        <v>45642</v>
      </c>
      <c r="K542" s="16" t="n">
        <v>45645</v>
      </c>
      <c r="L542" s="17" t="n">
        <v>2497.92</v>
      </c>
      <c r="M542" s="17" t="n">
        <v>2497.92</v>
      </c>
      <c r="N542" s="17" t="n">
        <v>0</v>
      </c>
      <c r="O542" s="15" t="inlineStr">
        <is>
          <t>Final issue (ipoplatform)</t>
        </is>
      </c>
      <c r="P542" s="15" t="n"/>
      <c r="Q542" s="18" t="inlineStr">
        <is>
          <t>https://www.sebi.gov.in/sebi_data/attachdocs/aug-2024/1723635011579_397.pdf</t>
        </is>
      </c>
      <c r="R542" s="18" t="inlineStr">
        <is>
          <t>https://www.sebi.gov.in/filings/public-issues/aug-2024/inventurus-knowledge-solutions-limited_85669.html</t>
        </is>
      </c>
      <c r="S542" s="15" t="n"/>
      <c r="T542" s="15" t="inlineStr">
        <is>
          <t>Company name + date window</t>
        </is>
      </c>
      <c r="U542" s="15" t="inlineStr">
        <is>
          <t>Inventurus Knowledge Solutions Limited</t>
        </is>
      </c>
      <c r="V542" s="15" t="n"/>
      <c r="W542" s="15" t="n"/>
      <c r="X542" s="15" t="n"/>
      <c r="Y542" s="15" t="n"/>
      <c r="Z542" s="15" t="n"/>
      <c r="AA542" s="15" t="n"/>
      <c r="AB542" s="15" t="n"/>
    </row>
    <row r="543" ht="15" customHeight="1" s="12">
      <c r="A543" s="14" t="n">
        <v>542</v>
      </c>
      <c r="B543" s="16" t="n">
        <v>45518</v>
      </c>
      <c r="C543" s="15" t="n">
        <v>2024</v>
      </c>
      <c r="D543" s="15" t="inlineStr">
        <is>
          <t>Arisinfra Solutions Limited</t>
        </is>
      </c>
      <c r="E543" s="15" t="inlineStr">
        <is>
          <t>DRHP</t>
        </is>
      </c>
      <c r="F543" s="15" t="inlineStr">
        <is>
          <t>Arisinfra Solutions Limited</t>
        </is>
      </c>
      <c r="G543" s="15" t="inlineStr">
        <is>
          <t>IPO launched</t>
        </is>
      </c>
      <c r="H543" s="15" t="inlineStr">
        <is>
          <t>Mainboard</t>
        </is>
      </c>
      <c r="I543" s="16" t="n">
        <v>45826</v>
      </c>
      <c r="J543" s="16" t="n">
        <v>45828</v>
      </c>
      <c r="K543" s="16" t="n">
        <v>45833</v>
      </c>
      <c r="L543" s="17" t="n">
        <v>499.6</v>
      </c>
      <c r="M543" s="17" t="n">
        <v>499.6</v>
      </c>
      <c r="N543" s="17" t="n">
        <v>0</v>
      </c>
      <c r="O543" s="15" t="inlineStr">
        <is>
          <t>Final issue (ipoplatform)</t>
        </is>
      </c>
      <c r="P543" s="15" t="n"/>
      <c r="Q543" s="18" t="inlineStr">
        <is>
          <t>https://www.sebi.gov.in/sebi_data/attachdocs/aug-2024/1723620609645_396.pdf</t>
        </is>
      </c>
      <c r="R543" s="18" t="inlineStr">
        <is>
          <t>https://www.sebi.gov.in/filings/public-issues/aug-2024/arisinfra-solutions-limited_85663.html</t>
        </is>
      </c>
      <c r="S543" s="15" t="n"/>
      <c r="T543" s="15" t="inlineStr">
        <is>
          <t>Company name + date window</t>
        </is>
      </c>
      <c r="U543" s="15" t="inlineStr">
        <is>
          <t>Aris Infra Solutions Limited</t>
        </is>
      </c>
      <c r="V543" s="15" t="n"/>
      <c r="W543" s="15" t="n"/>
      <c r="X543" s="15" t="n"/>
      <c r="Y543" s="15" t="n"/>
      <c r="Z543" s="15" t="n"/>
      <c r="AA543" s="15" t="n"/>
      <c r="AB543" s="15" t="n"/>
    </row>
    <row r="544" ht="15" customHeight="1" s="12">
      <c r="A544" s="14" t="n">
        <v>543</v>
      </c>
      <c r="B544" s="16" t="n">
        <v>45510</v>
      </c>
      <c r="C544" s="15" t="n">
        <v>2024</v>
      </c>
      <c r="D544" s="15" t="inlineStr">
        <is>
          <t>Quadrant Future Tek Limited</t>
        </is>
      </c>
      <c r="E544" s="15" t="inlineStr">
        <is>
          <t>Addendum</t>
        </is>
      </c>
      <c r="F544" s="15" t="inlineStr">
        <is>
          <t>Quadrant Future Tek Limited - Addendum to DRHP</t>
        </is>
      </c>
      <c r="G544" s="15" t="inlineStr">
        <is>
          <t>IPO launched</t>
        </is>
      </c>
      <c r="H544" s="15" t="inlineStr">
        <is>
          <t>Mainboard</t>
        </is>
      </c>
      <c r="I544" s="16" t="n">
        <v>45664</v>
      </c>
      <c r="J544" s="16" t="n">
        <v>45666</v>
      </c>
      <c r="K544" s="16" t="n">
        <v>45671</v>
      </c>
      <c r="L544" s="17" t="n">
        <v>290</v>
      </c>
      <c r="M544" s="17" t="n">
        <v>290</v>
      </c>
      <c r="N544" s="17" t="n">
        <v>0</v>
      </c>
      <c r="O544" s="15" t="inlineStr">
        <is>
          <t>Final issue (ipoplatform)</t>
        </is>
      </c>
      <c r="P544" s="15" t="n"/>
      <c r="Q544" s="18" t="inlineStr">
        <is>
          <t>https://www.sebi.gov.in/sebi_data/attachdocs/aug-2024/1722926461857.PDF</t>
        </is>
      </c>
      <c r="R544" s="18" t="inlineStr">
        <is>
          <t>https://www.sebi.gov.in/filings/public-issues/aug-2024/quadrant-future-tek-limited-addendum-to-drhp_85495.html</t>
        </is>
      </c>
      <c r="S544" s="15" t="n"/>
      <c r="T544" s="15" t="inlineStr">
        <is>
          <t>Company name + date window</t>
        </is>
      </c>
      <c r="U544" s="15" t="inlineStr">
        <is>
          <t>Quadrant Future Tek Limited</t>
        </is>
      </c>
      <c r="V544" s="15" t="n"/>
      <c r="W544" s="15" t="n"/>
      <c r="X544" s="15" t="n"/>
      <c r="Y544" s="15" t="n"/>
      <c r="Z544" s="15" t="n"/>
      <c r="AA544" s="15" t="n"/>
      <c r="AB544" s="15" t="n"/>
    </row>
    <row r="545" ht="15" customHeight="1" s="12">
      <c r="A545" s="14" t="n">
        <v>544</v>
      </c>
      <c r="B545" s="16" t="n">
        <v>45509</v>
      </c>
      <c r="C545" s="15" t="n">
        <v>2024</v>
      </c>
      <c r="D545" s="15" t="inlineStr">
        <is>
          <t>Hero Fincorp Limited</t>
        </is>
      </c>
      <c r="E545" s="15" t="inlineStr">
        <is>
          <t>DRHP</t>
        </is>
      </c>
      <c r="F545" s="15" t="inlineStr">
        <is>
          <t>Hero Fincorp Limited</t>
        </is>
      </c>
      <c r="G545" s="15" t="inlineStr">
        <is>
          <t>No launched IPO found</t>
        </is>
      </c>
      <c r="H545" s="15" t="n"/>
      <c r="I545" s="16" t="n"/>
      <c r="J545" s="16" t="n"/>
      <c r="K545" s="16" t="n"/>
      <c r="L545" s="17" t="n"/>
      <c r="M545" s="17" t="n"/>
      <c r="N545" s="17" t="n"/>
      <c r="O545" s="15" t="n"/>
      <c r="P545" s="15" t="n"/>
      <c r="Q545" s="18" t="inlineStr">
        <is>
          <t>https://www.sebi.gov.in/sebi_data/attachdocs/aug-2024/1722843010781_395.pdf</t>
        </is>
      </c>
      <c r="R545" s="18" t="inlineStr">
        <is>
          <t>https://www.sebi.gov.in/filings/public-issues/aug-2024/hero-fincorp-limited_85465.html</t>
        </is>
      </c>
      <c r="S545" s="15" t="n"/>
      <c r="T545" s="15" t="n"/>
      <c r="U545" s="15" t="n"/>
      <c r="V545" s="15" t="n"/>
      <c r="W545" s="16" t="n"/>
      <c r="X545" s="16" t="n"/>
      <c r="Y545" s="16" t="n"/>
      <c r="Z545" s="15" t="inlineStr">
        <is>
          <t>Withdrawn / approval lapsed</t>
        </is>
      </c>
      <c r="AA545" s="15" t="inlineStr">
        <is>
          <t>SEBI nod 22-May-2025; approval expired without IPO</t>
        </is>
      </c>
      <c r="AB545" s="18" t="inlineStr">
        <is>
          <t>https://www.chittorgarh.com/ipo/hero-fincorp-ipo/2250/</t>
        </is>
      </c>
    </row>
    <row r="546" ht="15" customHeight="1" s="12">
      <c r="A546" s="14" t="n">
        <v>545</v>
      </c>
      <c r="B546" s="16" t="n">
        <v>45509</v>
      </c>
      <c r="C546" s="15" t="n">
        <v>2024</v>
      </c>
      <c r="D546" s="15" t="inlineStr">
        <is>
          <t>Rubicon Research Limited</t>
        </is>
      </c>
      <c r="E546" s="15" t="inlineStr">
        <is>
          <t>DRHP</t>
        </is>
      </c>
      <c r="F546" s="15" t="inlineStr">
        <is>
          <t>Rubicon Research Limited</t>
        </is>
      </c>
      <c r="G546" s="15" t="inlineStr">
        <is>
          <t>IPO launched</t>
        </is>
      </c>
      <c r="H546" s="15" t="inlineStr">
        <is>
          <t>Mainboard</t>
        </is>
      </c>
      <c r="I546" s="16" t="n">
        <v>45939</v>
      </c>
      <c r="J546" s="16" t="n">
        <v>45943</v>
      </c>
      <c r="K546" s="16" t="n">
        <v>45946</v>
      </c>
      <c r="L546" s="17" t="n">
        <v>1377.5</v>
      </c>
      <c r="M546" s="17" t="n">
        <v>500</v>
      </c>
      <c r="N546" s="17" t="n">
        <v>877.5</v>
      </c>
      <c r="O546" s="15" t="inlineStr">
        <is>
          <t>Final issue (ipoplatform)</t>
        </is>
      </c>
      <c r="P546" s="15" t="n"/>
      <c r="Q546" s="18" t="inlineStr">
        <is>
          <t>https://www.sebi.gov.in/sebi_data/attachdocs/aug-2024/1722843010781_394.pdf</t>
        </is>
      </c>
      <c r="R546" s="18" t="inlineStr">
        <is>
          <t>https://www.sebi.gov.in/filings/public-issues/aug-2024/rubicon-research-limited_85463.html</t>
        </is>
      </c>
      <c r="S546" s="15" t="n"/>
      <c r="T546" s="15" t="inlineStr">
        <is>
          <t>Company name + date window</t>
        </is>
      </c>
      <c r="U546" s="15" t="inlineStr">
        <is>
          <t>Rubicon Research Limited</t>
        </is>
      </c>
      <c r="V546" s="15" t="n"/>
      <c r="W546" s="15" t="n"/>
      <c r="X546" s="15" t="n"/>
      <c r="Y546" s="15" t="n"/>
      <c r="Z546" s="15" t="n"/>
      <c r="AA546" s="15" t="n"/>
      <c r="AB546" s="15" t="n"/>
    </row>
    <row r="547" ht="15" customHeight="1" s="12">
      <c r="A547" s="14" t="n">
        <v>546</v>
      </c>
      <c r="B547" s="16" t="n">
        <v>45509</v>
      </c>
      <c r="C547" s="15" t="n">
        <v>2024</v>
      </c>
      <c r="D547" s="15" t="inlineStr">
        <is>
          <t>Afcons Infrastructure Limited</t>
        </is>
      </c>
      <c r="E547" s="15" t="inlineStr">
        <is>
          <t>Addendum</t>
        </is>
      </c>
      <c r="F547" s="15" t="inlineStr">
        <is>
          <t>Afcons Infrastructure Limited - Addendum to DRHP</t>
        </is>
      </c>
      <c r="G547" s="15" t="inlineStr">
        <is>
          <t>IPO launched</t>
        </is>
      </c>
      <c r="H547" s="15" t="inlineStr">
        <is>
          <t>Mainboard</t>
        </is>
      </c>
      <c r="I547" s="16" t="n">
        <v>45590</v>
      </c>
      <c r="J547" s="16" t="n">
        <v>45594</v>
      </c>
      <c r="K547" s="16" t="n">
        <v>45600</v>
      </c>
      <c r="L547" s="17" t="n">
        <v>5430</v>
      </c>
      <c r="M547" s="17" t="n">
        <v>1250</v>
      </c>
      <c r="N547" s="17" t="n">
        <v>4180</v>
      </c>
      <c r="O547" s="15" t="inlineStr">
        <is>
          <t>Final issue (ipoplatform)</t>
        </is>
      </c>
      <c r="P547" s="15" t="n"/>
      <c r="Q547" s="18" t="inlineStr">
        <is>
          <t>https://www.sebi.gov.in/sebi_data/attachdocs/aug-2024/1722838226776.pdf</t>
        </is>
      </c>
      <c r="R547" s="18" t="inlineStr">
        <is>
          <t>https://www.sebi.gov.in/filings/public-issues/aug-2024/afcons-infrastructure-limited-addendum-to-drhp_85456.html</t>
        </is>
      </c>
      <c r="S547" s="15" t="n"/>
      <c r="T547" s="15" t="inlineStr">
        <is>
          <t>Company name + date window</t>
        </is>
      </c>
      <c r="U547" s="15" t="inlineStr">
        <is>
          <t>Afcons Infrastructure Limited</t>
        </is>
      </c>
      <c r="V547" s="15" t="n"/>
      <c r="W547" s="15" t="n"/>
      <c r="X547" s="15" t="n"/>
      <c r="Y547" s="15" t="n"/>
      <c r="Z547" s="15" t="n"/>
      <c r="AA547" s="15" t="n"/>
      <c r="AB547" s="15" t="n"/>
    </row>
    <row r="548" ht="15" customHeight="1" s="12">
      <c r="A548" s="14" t="n">
        <v>547</v>
      </c>
      <c r="B548" s="16" t="n">
        <v>45506</v>
      </c>
      <c r="C548" s="15" t="n">
        <v>2024</v>
      </c>
      <c r="D548" s="15" t="inlineStr">
        <is>
          <t>Paras Healthcare Limited</t>
        </is>
      </c>
      <c r="E548" s="15" t="inlineStr">
        <is>
          <t>DRHP</t>
        </is>
      </c>
      <c r="F548" s="15" t="inlineStr">
        <is>
          <t>Paras Healthcare Limited</t>
        </is>
      </c>
      <c r="G548" s="15" t="inlineStr">
        <is>
          <t>No launched IPO found</t>
        </is>
      </c>
      <c r="H548" s="15" t="n"/>
      <c r="I548" s="16" t="n"/>
      <c r="J548" s="16" t="n"/>
      <c r="K548" s="16" t="n"/>
      <c r="L548" s="17" t="n"/>
      <c r="M548" s="17" t="n"/>
      <c r="N548" s="17" t="n"/>
      <c r="O548" s="15" t="n"/>
      <c r="P548" s="15" t="n"/>
      <c r="Q548" s="18" t="inlineStr">
        <is>
          <t>https://www.sebi.gov.in/sebi_data/attachdocs/aug-2024/1722648607615_392.pdf</t>
        </is>
      </c>
      <c r="R548" s="18" t="inlineStr">
        <is>
          <t>https://www.sebi.gov.in/filings/public-issues/aug-2024/paras-healthcare-limited_85419.html</t>
        </is>
      </c>
      <c r="S548" s="15" t="n"/>
      <c r="T548" s="15" t="n"/>
      <c r="U548" s="15" t="n"/>
      <c r="V548" s="15" t="n"/>
      <c r="W548" s="16" t="n"/>
      <c r="X548" s="16" t="n"/>
      <c r="Y548" s="16" t="n"/>
      <c r="Z548" s="15" t="inlineStr">
        <is>
          <t>No issue found</t>
        </is>
      </c>
      <c r="AA548" s="15" t="inlineStr">
        <is>
          <t>SEBI nod 24-Aug-2026 on refiled DRHP; dates not announced</t>
        </is>
      </c>
      <c r="AB548" s="18" t="inlineStr">
        <is>
          <t>https://www.chittorgarh.com/ipo/paras-healthcare-ipo/2256/</t>
        </is>
      </c>
    </row>
    <row r="549" ht="15" customHeight="1" s="12">
      <c r="A549" s="14" t="n">
        <v>548</v>
      </c>
      <c r="B549" s="16" t="n">
        <v>45504</v>
      </c>
      <c r="C549" s="15" t="n">
        <v>2024</v>
      </c>
      <c r="D549" s="15" t="inlineStr">
        <is>
          <t>Avanse Financial Services Limited</t>
        </is>
      </c>
      <c r="E549" s="15" t="inlineStr">
        <is>
          <t>DRHP</t>
        </is>
      </c>
      <c r="F549" s="15" t="inlineStr">
        <is>
          <t>Avanse Financial Services Limited</t>
        </is>
      </c>
      <c r="G549" s="15" t="inlineStr">
        <is>
          <t>No launched IPO found</t>
        </is>
      </c>
      <c r="H549" s="15" t="n"/>
      <c r="I549" s="16" t="n"/>
      <c r="J549" s="16" t="n"/>
      <c r="K549" s="16" t="n"/>
      <c r="L549" s="17" t="n"/>
      <c r="M549" s="17" t="n"/>
      <c r="N549" s="17" t="n"/>
      <c r="O549" s="15" t="n"/>
      <c r="P549" s="15" t="n"/>
      <c r="Q549" s="18" t="inlineStr">
        <is>
          <t>https://www.sebi.gov.in/sebi_data/attachdocs/aug-2024/1722838642508.pdf</t>
        </is>
      </c>
      <c r="R549" s="18" t="inlineStr">
        <is>
          <t>https://www.sebi.gov.in/filings/public-issues/jul-2024/avanse-financial-services-limited_85418.html</t>
        </is>
      </c>
      <c r="S549" s="15" t="n"/>
      <c r="T549" s="15" t="n"/>
      <c r="U549" s="15" t="n"/>
      <c r="V549" s="15" t="n"/>
      <c r="W549" s="16" t="n"/>
      <c r="X549" s="16" t="n"/>
      <c r="Y549" s="16" t="n"/>
      <c r="Z549" s="15" t="inlineStr">
        <is>
          <t>No issue found</t>
        </is>
      </c>
      <c r="AA549" s="15" t="inlineStr">
        <is>
          <t>Tentative Dec 2024 dates did not materialize; no issue found.</t>
        </is>
      </c>
      <c r="AB549" s="18" t="inlineStr">
        <is>
          <t>https://ipowatch.in/avanse-financial-services-ipo/</t>
        </is>
      </c>
    </row>
    <row r="550" ht="15" customHeight="1" s="12">
      <c r="A550" s="14" t="n">
        <v>549</v>
      </c>
      <c r="B550" s="16" t="n">
        <v>45504</v>
      </c>
      <c r="C550" s="15" t="n">
        <v>2024</v>
      </c>
      <c r="D550" s="15" t="inlineStr">
        <is>
          <t>Senores Pharmaceuticals Limited</t>
        </is>
      </c>
      <c r="E550" s="15" t="inlineStr">
        <is>
          <t>DRHP</t>
        </is>
      </c>
      <c r="F550" s="15" t="inlineStr">
        <is>
          <t>Senores Pharmaceuticals Limited</t>
        </is>
      </c>
      <c r="G550" s="15" t="inlineStr">
        <is>
          <t>IPO launched</t>
        </is>
      </c>
      <c r="H550" s="15" t="inlineStr">
        <is>
          <t>Mainboard</t>
        </is>
      </c>
      <c r="I550" s="16" t="n">
        <v>45646</v>
      </c>
      <c r="J550" s="16" t="n">
        <v>45650</v>
      </c>
      <c r="K550" s="16" t="n">
        <v>45656</v>
      </c>
      <c r="L550" s="17" t="n">
        <v>582.11</v>
      </c>
      <c r="M550" s="17" t="n">
        <v>500</v>
      </c>
      <c r="N550" s="17" t="n">
        <v>82.11</v>
      </c>
      <c r="O550" s="15" t="inlineStr">
        <is>
          <t>Final issue (ipoplatform)</t>
        </is>
      </c>
      <c r="P550" s="15" t="n"/>
      <c r="Q550" s="18" t="inlineStr">
        <is>
          <t>https://www.sebi.gov.in/sebi_data/attachdocs/jul-2024/1722425410997_386.pdf</t>
        </is>
      </c>
      <c r="R550" s="18" t="inlineStr">
        <is>
          <t>https://www.sebi.gov.in/filings/public-issues/jul-2024/senores-pharmaceuticals-limited_85341.html</t>
        </is>
      </c>
      <c r="S550" s="15" t="n"/>
      <c r="T550" s="15" t="inlineStr">
        <is>
          <t>Company name + date window</t>
        </is>
      </c>
      <c r="U550" s="15" t="inlineStr">
        <is>
          <t>Senores Pharmaceuticals Limited</t>
        </is>
      </c>
      <c r="V550" s="15" t="n"/>
      <c r="W550" s="15" t="n"/>
      <c r="X550" s="15" t="n"/>
      <c r="Y550" s="15" t="n"/>
      <c r="Z550" s="15" t="n"/>
      <c r="AA550" s="15" t="n"/>
      <c r="AB550" s="15" t="n"/>
    </row>
    <row r="551" ht="15" customHeight="1" s="12">
      <c r="A551" s="14" t="n">
        <v>550</v>
      </c>
      <c r="B551" s="16" t="n">
        <v>45504</v>
      </c>
      <c r="C551" s="15" t="n">
        <v>2024</v>
      </c>
      <c r="D551" s="15" t="inlineStr">
        <is>
          <t>Suraksha Diagnostic Limited</t>
        </is>
      </c>
      <c r="E551" s="15" t="inlineStr">
        <is>
          <t>DRHP</t>
        </is>
      </c>
      <c r="F551" s="15" t="inlineStr">
        <is>
          <t>Suraksha Diagnostic Limited</t>
        </is>
      </c>
      <c r="G551" s="15" t="inlineStr">
        <is>
          <t>IPO launched</t>
        </is>
      </c>
      <c r="H551" s="15" t="inlineStr">
        <is>
          <t>Mainboard</t>
        </is>
      </c>
      <c r="I551" s="16" t="n">
        <v>45625</v>
      </c>
      <c r="J551" s="16" t="n">
        <v>45629</v>
      </c>
      <c r="K551" s="16" t="n">
        <v>45632</v>
      </c>
      <c r="L551" s="17" t="n">
        <v>846.25</v>
      </c>
      <c r="M551" s="17" t="n">
        <v>0</v>
      </c>
      <c r="N551" s="17" t="n">
        <v>846.25</v>
      </c>
      <c r="O551" s="15" t="inlineStr">
        <is>
          <t>Final issue (ipoplatform)</t>
        </is>
      </c>
      <c r="P551" s="15" t="n"/>
      <c r="Q551" s="18" t="inlineStr">
        <is>
          <t>https://www.sebi.gov.in/sebi_data/attachdocs/jul-2024/1722411009015_380.pdf</t>
        </is>
      </c>
      <c r="R551" s="18" t="inlineStr">
        <is>
          <t>https://www.sebi.gov.in/filings/public-issues/jul-2024/suraksha-diagnostic-limited_85320.html</t>
        </is>
      </c>
      <c r="S551" s="15" t="n"/>
      <c r="T551" s="15" t="inlineStr">
        <is>
          <t>SEBI filing link</t>
        </is>
      </c>
      <c r="U551" s="15" t="inlineStr">
        <is>
          <t>Suraksha Diagnostic Limited</t>
        </is>
      </c>
      <c r="V551" s="15" t="n"/>
      <c r="W551" s="15" t="n"/>
      <c r="X551" s="15" t="n"/>
      <c r="Y551" s="15" t="n"/>
      <c r="Z551" s="15" t="n"/>
      <c r="AA551" s="15" t="n"/>
      <c r="AB551" s="15" t="n"/>
    </row>
    <row r="552" ht="15" customHeight="1" s="12">
      <c r="A552" s="14" t="n">
        <v>551</v>
      </c>
      <c r="B552" s="16" t="n">
        <v>45504</v>
      </c>
      <c r="C552" s="15" t="n">
        <v>2024</v>
      </c>
      <c r="D552" s="15" t="inlineStr">
        <is>
          <t>Sai Life Sciences Limited</t>
        </is>
      </c>
      <c r="E552" s="15" t="inlineStr">
        <is>
          <t>DRHP</t>
        </is>
      </c>
      <c r="F552" s="15" t="inlineStr">
        <is>
          <t>Sai Life Sciences Limited –DRHP</t>
        </is>
      </c>
      <c r="G552" s="15" t="inlineStr">
        <is>
          <t>IPO launched</t>
        </is>
      </c>
      <c r="H552" s="15" t="inlineStr">
        <is>
          <t>Mainboard</t>
        </is>
      </c>
      <c r="I552" s="16" t="n">
        <v>45637</v>
      </c>
      <c r="J552" s="16" t="n">
        <v>45639</v>
      </c>
      <c r="K552" s="16" t="n">
        <v>45644</v>
      </c>
      <c r="L552" s="17" t="n">
        <v>3042.62</v>
      </c>
      <c r="M552" s="17" t="n">
        <v>950</v>
      </c>
      <c r="N552" s="17" t="n">
        <v>2092.62</v>
      </c>
      <c r="O552" s="15" t="inlineStr">
        <is>
          <t>Final issue (ipoplatform)</t>
        </is>
      </c>
      <c r="P552" s="15" t="n"/>
      <c r="Q552" s="18" t="inlineStr">
        <is>
          <t>https://www.sebi.gov.in/sebi_data/attachdocs/jul-2024/1722406830171.pdf</t>
        </is>
      </c>
      <c r="R552" s="18" t="inlineStr">
        <is>
          <t>https://www.sebi.gov.in/filings/public-issues/jul-2024/sai-life-sciences-limited-drhp_85317.html</t>
        </is>
      </c>
      <c r="S552" s="15" t="n"/>
      <c r="T552" s="15" t="inlineStr">
        <is>
          <t>SEBI filing link</t>
        </is>
      </c>
      <c r="U552" s="15" t="inlineStr">
        <is>
          <t>Sai Life Sciences Limited</t>
        </is>
      </c>
      <c r="V552" s="15" t="n"/>
      <c r="W552" s="15" t="n"/>
      <c r="X552" s="15" t="n"/>
      <c r="Y552" s="15" t="n"/>
      <c r="Z552" s="15" t="n"/>
      <c r="AA552" s="15" t="n"/>
      <c r="AB552" s="15" t="n"/>
    </row>
    <row r="553" ht="15" customHeight="1" s="12">
      <c r="A553" s="14" t="n">
        <v>552</v>
      </c>
      <c r="B553" s="16" t="n">
        <v>45503</v>
      </c>
      <c r="C553" s="15" t="n">
        <v>2024</v>
      </c>
      <c r="D553" s="15" t="inlineStr">
        <is>
          <t>STANDARD GLASS LINING TECHNOLOGY LIMITED</t>
        </is>
      </c>
      <c r="E553" s="15" t="inlineStr">
        <is>
          <t>DRHP</t>
        </is>
      </c>
      <c r="F553" s="15" t="inlineStr">
        <is>
          <t>STANDARD GLASS LINING TECHNOLOGY LIMITED</t>
        </is>
      </c>
      <c r="G553" s="15" t="inlineStr">
        <is>
          <t>IPO launched</t>
        </is>
      </c>
      <c r="H553" s="15" t="inlineStr">
        <is>
          <t>Mainboard</t>
        </is>
      </c>
      <c r="I553" s="16" t="n">
        <v>45663</v>
      </c>
      <c r="J553" s="16" t="n">
        <v>45665</v>
      </c>
      <c r="K553" s="16" t="n">
        <v>45670</v>
      </c>
      <c r="L553" s="17" t="n">
        <v>410.05</v>
      </c>
      <c r="M553" s="17" t="n">
        <v>210</v>
      </c>
      <c r="N553" s="17" t="n">
        <v>200.05</v>
      </c>
      <c r="O553" s="15" t="inlineStr">
        <is>
          <t>Final issue (ipoplatform)</t>
        </is>
      </c>
      <c r="P553" s="15" t="n"/>
      <c r="Q553" s="18" t="inlineStr">
        <is>
          <t>https://www.sebi.gov.in/sebi_data/attachdocs/jul-2024/1722339011696_377.pdf</t>
        </is>
      </c>
      <c r="R553" s="18" t="inlineStr">
        <is>
          <t>https://www.sebi.gov.in/filings/public-issues/jul-2024/standard-glass-lining-technology-limited_85281.html</t>
        </is>
      </c>
      <c r="S553" s="15" t="n"/>
      <c r="T553" s="15" t="inlineStr">
        <is>
          <t>Company name + date window</t>
        </is>
      </c>
      <c r="U553" s="15" t="inlineStr">
        <is>
          <t>Standard Glass Lining Technology Limited</t>
        </is>
      </c>
      <c r="V553" s="15" t="n"/>
      <c r="W553" s="15" t="n"/>
      <c r="X553" s="15" t="n"/>
      <c r="Y553" s="15" t="n"/>
      <c r="Z553" s="15" t="n"/>
      <c r="AA553" s="15" t="n"/>
      <c r="AB553" s="15" t="n"/>
    </row>
    <row r="554" ht="15" customHeight="1" s="12">
      <c r="A554" s="14" t="n">
        <v>553</v>
      </c>
      <c r="B554" s="16" t="n">
        <v>45489</v>
      </c>
      <c r="C554" s="15" t="n">
        <v>2024</v>
      </c>
      <c r="D554" s="15" t="inlineStr">
        <is>
          <t>Sai Life Sciences Limited</t>
        </is>
      </c>
      <c r="E554" s="15" t="inlineStr">
        <is>
          <t>DRHP</t>
        </is>
      </c>
      <c r="F554" s="15" t="inlineStr">
        <is>
          <t>Sai Life Sciences Limited</t>
        </is>
      </c>
      <c r="G554" s="15" t="inlineStr">
        <is>
          <t>IPO launched</t>
        </is>
      </c>
      <c r="H554" s="15" t="inlineStr">
        <is>
          <t>Mainboard</t>
        </is>
      </c>
      <c r="I554" s="16" t="n">
        <v>45637</v>
      </c>
      <c r="J554" s="16" t="n">
        <v>45639</v>
      </c>
      <c r="K554" s="16" t="n">
        <v>45644</v>
      </c>
      <c r="L554" s="17" t="n">
        <v>3042.62</v>
      </c>
      <c r="M554" s="17" t="n">
        <v>950</v>
      </c>
      <c r="N554" s="17" t="n">
        <v>2092.62</v>
      </c>
      <c r="O554" s="15" t="inlineStr">
        <is>
          <t>Final issue (ipoplatform)</t>
        </is>
      </c>
      <c r="P554" s="15" t="n"/>
      <c r="Q554" s="18" t="inlineStr">
        <is>
          <t>https://www.sebi.gov.in/sebi_data/attachdocs/jul-2024/1721179808702_366.pdf</t>
        </is>
      </c>
      <c r="R554" s="18" t="inlineStr">
        <is>
          <t>https://www.sebi.gov.in/filings/public-issues/jul-2024/sai-life-sciences-limited_84804.html</t>
        </is>
      </c>
      <c r="S554" s="15" t="n"/>
      <c r="T554" s="15" t="inlineStr">
        <is>
          <t>Company name + date window</t>
        </is>
      </c>
      <c r="U554" s="15" t="inlineStr">
        <is>
          <t>Sai Life Sciences Limited</t>
        </is>
      </c>
      <c r="V554" s="15" t="n"/>
      <c r="W554" s="15" t="n"/>
      <c r="X554" s="15" t="n"/>
      <c r="Y554" s="15" t="n"/>
      <c r="Z554" s="15" t="n"/>
      <c r="AA554" s="15" t="n"/>
      <c r="AB554" s="15" t="n"/>
    </row>
    <row r="555" ht="15" customHeight="1" s="12">
      <c r="A555" s="14" t="n">
        <v>554</v>
      </c>
      <c r="B555" s="16" t="n">
        <v>45488</v>
      </c>
      <c r="C555" s="15" t="n">
        <v>2024</v>
      </c>
      <c r="D555" s="15" t="inlineStr">
        <is>
          <t>Patel Retail Limited</t>
        </is>
      </c>
      <c r="E555" s="15" t="inlineStr">
        <is>
          <t>Addendum</t>
        </is>
      </c>
      <c r="F555" s="15" t="inlineStr">
        <is>
          <t>Patel Retail Limited - Addendum to DRHP</t>
        </is>
      </c>
      <c r="G555" s="15" t="inlineStr">
        <is>
          <t>IPO launched</t>
        </is>
      </c>
      <c r="H555" s="15" t="inlineStr">
        <is>
          <t>Mainboard</t>
        </is>
      </c>
      <c r="I555" s="16" t="n">
        <v>45888</v>
      </c>
      <c r="J555" s="16" t="n">
        <v>45890</v>
      </c>
      <c r="K555" s="16" t="n">
        <v>45895</v>
      </c>
      <c r="L555" s="17" t="n">
        <v>242.76</v>
      </c>
      <c r="M555" s="17" t="n">
        <v>217.21</v>
      </c>
      <c r="N555" s="17" t="n">
        <v>25.55</v>
      </c>
      <c r="O555" s="15" t="inlineStr">
        <is>
          <t>Final issue (ipoplatform)</t>
        </is>
      </c>
      <c r="P555" s="15" t="n"/>
      <c r="Q555" s="18" t="inlineStr">
        <is>
          <t>https://www.sebi.gov.in/sebi_data/attachdocs/jul-2024/1721107769405.pdf</t>
        </is>
      </c>
      <c r="R555" s="18" t="inlineStr">
        <is>
          <t>https://www.sebi.gov.in/filings/public-issues/jul-2024/patel-retail-limited-addendum-to-drhp_84778.html</t>
        </is>
      </c>
      <c r="S555" s="15" t="n"/>
      <c r="T555" s="15" t="inlineStr">
        <is>
          <t>Company name + date window</t>
        </is>
      </c>
      <c r="U555" s="15" t="inlineStr">
        <is>
          <t>Patel Retail Limited</t>
        </is>
      </c>
      <c r="V555" s="15" t="n"/>
      <c r="W555" s="15" t="n"/>
      <c r="X555" s="15" t="n"/>
      <c r="Y555" s="15" t="n"/>
      <c r="Z555" s="15" t="n"/>
      <c r="AA555" s="15" t="n"/>
      <c r="AB555" s="15" t="n"/>
    </row>
    <row r="556" ht="15" customHeight="1" s="12">
      <c r="A556" s="14" t="n">
        <v>555</v>
      </c>
      <c r="B556" s="16" t="n">
        <v>45482</v>
      </c>
      <c r="C556" s="15" t="n">
        <v>2024</v>
      </c>
      <c r="D556" s="15" t="inlineStr">
        <is>
          <t>BMW Ventures Limited</t>
        </is>
      </c>
      <c r="E556" s="15" t="inlineStr">
        <is>
          <t>Addendum</t>
        </is>
      </c>
      <c r="F556" s="15" t="inlineStr">
        <is>
          <t>BMW Ventures Limited- Addendum to DRHP</t>
        </is>
      </c>
      <c r="G556" s="15" t="inlineStr">
        <is>
          <t>IPO launched</t>
        </is>
      </c>
      <c r="H556" s="15" t="inlineStr">
        <is>
          <t>Mainboard</t>
        </is>
      </c>
      <c r="I556" s="16" t="n">
        <v>45924</v>
      </c>
      <c r="J556" s="16" t="n">
        <v>45926</v>
      </c>
      <c r="K556" s="16" t="n">
        <v>45931</v>
      </c>
      <c r="L556" s="17" t="n">
        <v>231.66</v>
      </c>
      <c r="M556" s="17" t="n">
        <v>231.66</v>
      </c>
      <c r="N556" s="17" t="n">
        <v>0</v>
      </c>
      <c r="O556" s="15" t="inlineStr">
        <is>
          <t>Final issue (ipoplatform)</t>
        </is>
      </c>
      <c r="P556" s="15" t="n"/>
      <c r="Q556" s="18" t="inlineStr">
        <is>
          <t>https://www.sebi.gov.in/sebi_data/attachdocs/jul-2024/1720523479837.PDF</t>
        </is>
      </c>
      <c r="R556" s="18" t="inlineStr">
        <is>
          <t>https://www.sebi.gov.in/filings/public-issues/jul-2024/bmw-ventures-limited-addendum-to-drhp_84674.html</t>
        </is>
      </c>
      <c r="S556" s="15" t="n"/>
      <c r="T556" s="15" t="inlineStr">
        <is>
          <t>Company name + date window</t>
        </is>
      </c>
      <c r="U556" s="15" t="inlineStr">
        <is>
          <t>BMW Ventures Limited</t>
        </is>
      </c>
      <c r="V556" s="15" t="n"/>
      <c r="W556" s="15" t="n"/>
      <c r="X556" s="15" t="n"/>
      <c r="Y556" s="15" t="n"/>
      <c r="Z556" s="15" t="n"/>
      <c r="AA556" s="15" t="n"/>
      <c r="AB556" s="15" t="n"/>
    </row>
    <row r="557" ht="15" customHeight="1" s="12">
      <c r="A557" s="14" t="n">
        <v>556</v>
      </c>
      <c r="B557" s="16" t="n">
        <v>45481</v>
      </c>
      <c r="C557" s="15" t="n">
        <v>2024</v>
      </c>
      <c r="D557" s="15" t="inlineStr">
        <is>
          <t>ZINKA LOGISTICS SOLUTIONS LIMITED</t>
        </is>
      </c>
      <c r="E557" s="15" t="inlineStr">
        <is>
          <t>DRHP</t>
        </is>
      </c>
      <c r="F557" s="15" t="inlineStr">
        <is>
          <t>ZINKA LOGISTICS SOLUTIONS LIMITED</t>
        </is>
      </c>
      <c r="G557" s="15" t="inlineStr">
        <is>
          <t>IPO launched</t>
        </is>
      </c>
      <c r="H557" s="15" t="inlineStr">
        <is>
          <t>Mainboard</t>
        </is>
      </c>
      <c r="I557" s="16" t="n">
        <v>45609</v>
      </c>
      <c r="J557" s="16" t="n">
        <v>45614</v>
      </c>
      <c r="K557" s="16" t="n">
        <v>45618</v>
      </c>
      <c r="L557" s="17" t="n">
        <v>1114.72</v>
      </c>
      <c r="M557" s="17" t="n">
        <v>550</v>
      </c>
      <c r="N557" s="17" t="n">
        <v>564.72</v>
      </c>
      <c r="O557" s="15" t="inlineStr">
        <is>
          <t>Final issue (ipoplatform)</t>
        </is>
      </c>
      <c r="P557" s="15" t="n"/>
      <c r="Q557" s="18" t="inlineStr">
        <is>
          <t>https://www.sebi.gov.in/sebi_data/attachdocs/jul-2024/1720438209970_359.pdf</t>
        </is>
      </c>
      <c r="R557" s="18" t="inlineStr">
        <is>
          <t>https://www.sebi.gov.in/filings/public-issues/jul-2024/zinka-logistics-solutions-limited_84628.html</t>
        </is>
      </c>
      <c r="S557" s="15" t="n"/>
      <c r="T557" s="15" t="inlineStr">
        <is>
          <t>SEBI filing link</t>
        </is>
      </c>
      <c r="U557" s="15" t="inlineStr">
        <is>
          <t>Zinka Logistics Solution Limited</t>
        </is>
      </c>
      <c r="V557" s="15" t="n"/>
      <c r="W557" s="15" t="n"/>
      <c r="X557" s="15" t="n"/>
      <c r="Y557" s="15" t="n"/>
      <c r="Z557" s="15" t="n"/>
      <c r="AA557" s="15" t="n"/>
      <c r="AB557" s="15" t="n"/>
    </row>
    <row r="558" ht="15" customHeight="1" s="12">
      <c r="A558" s="14" t="n">
        <v>557</v>
      </c>
      <c r="B558" s="16" t="n">
        <v>45477</v>
      </c>
      <c r="C558" s="15" t="n">
        <v>2024</v>
      </c>
      <c r="D558" s="15" t="inlineStr">
        <is>
          <t>ACME SOLAR HOLDINGS LIMITED</t>
        </is>
      </c>
      <c r="E558" s="15" t="inlineStr">
        <is>
          <t>DRHP</t>
        </is>
      </c>
      <c r="F558" s="15" t="inlineStr">
        <is>
          <t>ACME SOLAR HOLDINGS LIMITED</t>
        </is>
      </c>
      <c r="G558" s="15" t="inlineStr">
        <is>
          <t>IPO launched</t>
        </is>
      </c>
      <c r="H558" s="15" t="inlineStr">
        <is>
          <t>Mainboard</t>
        </is>
      </c>
      <c r="I558" s="16" t="n">
        <v>45602</v>
      </c>
      <c r="J558" s="16" t="n">
        <v>45604</v>
      </c>
      <c r="K558" s="16" t="n">
        <v>45609</v>
      </c>
      <c r="L558" s="17" t="n">
        <v>2900</v>
      </c>
      <c r="M558" s="17" t="n">
        <v>2395</v>
      </c>
      <c r="N558" s="17" t="n">
        <v>505</v>
      </c>
      <c r="O558" s="15" t="inlineStr">
        <is>
          <t>Final issue (ipoplatform)</t>
        </is>
      </c>
      <c r="P558" s="15" t="n"/>
      <c r="Q558" s="18" t="inlineStr">
        <is>
          <t>https://www.sebi.gov.in/sebi_data/attachdocs/jul-2024/1720092608504_358.pdf</t>
        </is>
      </c>
      <c r="R558" s="18" t="inlineStr">
        <is>
          <t>https://www.sebi.gov.in/filings/public-issues/jul-2024/acme-solar-holdings-limited_84595.html</t>
        </is>
      </c>
      <c r="S558" s="15" t="n"/>
      <c r="T558" s="15" t="inlineStr">
        <is>
          <t>SEBI filing link</t>
        </is>
      </c>
      <c r="U558" s="15" t="inlineStr">
        <is>
          <t>ACME Solar Holdings Limited</t>
        </is>
      </c>
      <c r="V558" s="15" t="n"/>
      <c r="W558" s="15" t="n"/>
      <c r="X558" s="15" t="n"/>
      <c r="Y558" s="15" t="n"/>
      <c r="Z558" s="15" t="n"/>
      <c r="AA558" s="15" t="n"/>
      <c r="AB558" s="15" t="n"/>
    </row>
    <row r="559" ht="15" customHeight="1" s="12">
      <c r="A559" s="14" t="n">
        <v>558</v>
      </c>
      <c r="B559" s="16" t="n">
        <v>45477</v>
      </c>
      <c r="C559" s="15" t="n">
        <v>2024</v>
      </c>
      <c r="D559" s="15" t="inlineStr">
        <is>
          <t>ARMEE INFOTECH LIMITED</t>
        </is>
      </c>
      <c r="E559" s="15" t="inlineStr">
        <is>
          <t>DRHP</t>
        </is>
      </c>
      <c r="F559" s="15" t="inlineStr">
        <is>
          <t>ARMEE INFOTECH LIMITED</t>
        </is>
      </c>
      <c r="G559" s="15" t="inlineStr">
        <is>
          <t>No launched IPO found</t>
        </is>
      </c>
      <c r="H559" s="15" t="n"/>
      <c r="I559" s="16" t="n"/>
      <c r="J559" s="16" t="n"/>
      <c r="K559" s="16" t="n"/>
      <c r="L559" s="17" t="n"/>
      <c r="M559" s="17" t="n"/>
      <c r="N559" s="17" t="n"/>
      <c r="O559" s="15" t="n"/>
      <c r="P559" s="15" t="n"/>
      <c r="Q559" s="18" t="inlineStr">
        <is>
          <t>https://www.sebi.gov.in/sebi_data/attachdocs/jul-2024/1720078210393_357.pdf</t>
        </is>
      </c>
      <c r="R559" s="18" t="inlineStr">
        <is>
          <t>https://www.sebi.gov.in/filings/public-issues/jul-2024/armee-infotech-limited_84584.html</t>
        </is>
      </c>
      <c r="S559" s="15" t="n"/>
      <c r="T559" s="15" t="n"/>
      <c r="U559" s="15" t="n"/>
      <c r="V559" s="15" t="inlineStr">
        <is>
          <t>Same-name IPO opened 23-Sep-2026 — outside 2 years of this filing, so not linked</t>
        </is>
      </c>
      <c r="W559" s="19" t="n">
        <v>46288</v>
      </c>
      <c r="X559" s="19" t="n">
        <v>46290</v>
      </c>
      <c r="Y559" s="19" t="n">
        <v>46295</v>
      </c>
      <c r="Z559" s="20" t="inlineStr">
        <is>
          <t>Issue opened</t>
        </is>
      </c>
      <c r="AA559" s="15" t="inlineStr">
        <is>
          <t>Matched on chittorgarh.com</t>
        </is>
      </c>
      <c r="AB559" s="18" t="inlineStr">
        <is>
          <t>https://www.chittorgarh.com/ipo/armee-infotech-ipo/2140/</t>
        </is>
      </c>
    </row>
    <row r="560" ht="15" customHeight="1" s="12">
      <c r="A560" s="14" t="n">
        <v>559</v>
      </c>
      <c r="B560" s="16" t="n">
        <v>45476</v>
      </c>
      <c r="C560" s="15" t="n">
        <v>2024</v>
      </c>
      <c r="D560" s="15" t="inlineStr">
        <is>
          <t>Transrail Lighting Limited</t>
        </is>
      </c>
      <c r="E560" s="15" t="inlineStr">
        <is>
          <t>Addendum</t>
        </is>
      </c>
      <c r="F560" s="15" t="inlineStr">
        <is>
          <t>Transrail Lighting Limited - Addendum to DRHP</t>
        </is>
      </c>
      <c r="G560" s="15" t="inlineStr">
        <is>
          <t>IPO launched</t>
        </is>
      </c>
      <c r="H560" s="15" t="inlineStr">
        <is>
          <t>Mainboard</t>
        </is>
      </c>
      <c r="I560" s="16" t="n">
        <v>45645</v>
      </c>
      <c r="J560" s="16" t="n">
        <v>45649</v>
      </c>
      <c r="K560" s="16" t="n">
        <v>45653</v>
      </c>
      <c r="L560" s="17" t="n">
        <v>838.91</v>
      </c>
      <c r="M560" s="17" t="n">
        <v>400</v>
      </c>
      <c r="N560" s="17" t="n">
        <v>438.91</v>
      </c>
      <c r="O560" s="15" t="inlineStr">
        <is>
          <t>Final issue (ipoplatform)</t>
        </is>
      </c>
      <c r="P560" s="15" t="n"/>
      <c r="Q560" s="18" t="inlineStr">
        <is>
          <t>https://www.sebi.gov.in/sebi_data/attachdocs/jul-2024/1720092539000.pdf</t>
        </is>
      </c>
      <c r="R560" s="18" t="inlineStr">
        <is>
          <t>https://www.sebi.gov.in/filings/public-issues/jul-2024/transrail-lighting-limited-addendum-to-drhp_84593.html</t>
        </is>
      </c>
      <c r="S560" s="15" t="n"/>
      <c r="T560" s="15" t="inlineStr">
        <is>
          <t>Company name + date window</t>
        </is>
      </c>
      <c r="U560" s="15" t="inlineStr">
        <is>
          <t>Transrail Lighting Limited</t>
        </is>
      </c>
      <c r="V560" s="15" t="n"/>
      <c r="W560" s="15" t="n"/>
      <c r="X560" s="15" t="n"/>
      <c r="Y560" s="15" t="n"/>
      <c r="Z560" s="15" t="n"/>
      <c r="AA560" s="15" t="n"/>
      <c r="AB560" s="15" t="n"/>
    </row>
    <row r="561" ht="15" customHeight="1" s="12">
      <c r="A561" s="14" t="n">
        <v>560</v>
      </c>
      <c r="B561" s="16" t="n">
        <v>45476</v>
      </c>
      <c r="C561" s="15" t="n">
        <v>2024</v>
      </c>
      <c r="D561" s="15" t="inlineStr">
        <is>
          <t>Niva Bupa Health Insurance Company Limited</t>
        </is>
      </c>
      <c r="E561" s="15" t="inlineStr">
        <is>
          <t>DRHP</t>
        </is>
      </c>
      <c r="F561" s="15" t="inlineStr">
        <is>
          <t>Niva Bupa Health Insurance Company Limited</t>
        </is>
      </c>
      <c r="G561" s="15" t="inlineStr">
        <is>
          <t>IPO launched</t>
        </is>
      </c>
      <c r="H561" s="15" t="inlineStr">
        <is>
          <t>Mainboard</t>
        </is>
      </c>
      <c r="I561" s="16" t="n">
        <v>45603</v>
      </c>
      <c r="J561" s="16" t="n">
        <v>45607</v>
      </c>
      <c r="K561" s="16" t="n">
        <v>45610</v>
      </c>
      <c r="L561" s="17" t="n">
        <v>2200</v>
      </c>
      <c r="M561" s="17" t="n">
        <v>800</v>
      </c>
      <c r="N561" s="17" t="n">
        <v>1400</v>
      </c>
      <c r="O561" s="15" t="inlineStr">
        <is>
          <t>Final issue (ipoplatform)</t>
        </is>
      </c>
      <c r="P561" s="15" t="n"/>
      <c r="Q561" s="18" t="inlineStr">
        <is>
          <t>https://www.sebi.gov.in/sebi_data/attachdocs/jul-2024/1719991821965_356.pdf</t>
        </is>
      </c>
      <c r="R561" s="18" t="inlineStr">
        <is>
          <t>https://www.sebi.gov.in/filings/public-issues/jul-2024/niva-bupa-health-insurance-company-limited_84557.html</t>
        </is>
      </c>
      <c r="S561" s="15" t="n"/>
      <c r="T561" s="15" t="inlineStr">
        <is>
          <t>SEBI filing link</t>
        </is>
      </c>
      <c r="U561" s="15" t="inlineStr">
        <is>
          <t>Niva Bupa Health Insurance Company Limited</t>
        </is>
      </c>
      <c r="V561" s="15" t="n"/>
      <c r="W561" s="15" t="n"/>
      <c r="X561" s="15" t="n"/>
      <c r="Y561" s="15" t="n"/>
      <c r="Z561" s="15" t="n"/>
      <c r="AA561" s="15" t="n"/>
      <c r="AB561" s="15" t="n"/>
    </row>
    <row r="562" ht="15" customHeight="1" s="12">
      <c r="A562" s="14" t="n">
        <v>561</v>
      </c>
      <c r="B562" s="16" t="n">
        <v>45476</v>
      </c>
      <c r="C562" s="15" t="n">
        <v>2024</v>
      </c>
      <c r="D562" s="15" t="inlineStr">
        <is>
          <t>ENVIRO INFRA ENGINEERS LIMITED</t>
        </is>
      </c>
      <c r="E562" s="15" t="inlineStr">
        <is>
          <t>DRHP</t>
        </is>
      </c>
      <c r="F562" s="15" t="inlineStr">
        <is>
          <t>ENVIRO INFRA ENGINEERS LIMITED</t>
        </is>
      </c>
      <c r="G562" s="15" t="inlineStr">
        <is>
          <t>IPO launched</t>
        </is>
      </c>
      <c r="H562" s="15" t="inlineStr">
        <is>
          <t>Mainboard</t>
        </is>
      </c>
      <c r="I562" s="16" t="n">
        <v>45618</v>
      </c>
      <c r="J562" s="16" t="n">
        <v>45622</v>
      </c>
      <c r="K562" s="16" t="n">
        <v>45625</v>
      </c>
      <c r="L562" s="17" t="n">
        <v>650.4299999999999</v>
      </c>
      <c r="M562" s="17" t="n">
        <v>572.46</v>
      </c>
      <c r="N562" s="17" t="n">
        <v>77.97</v>
      </c>
      <c r="O562" s="15" t="inlineStr">
        <is>
          <t>Final issue (ipoplatform)</t>
        </is>
      </c>
      <c r="P562" s="15" t="n"/>
      <c r="Q562" s="18" t="inlineStr">
        <is>
          <t>https://www.sebi.gov.in/sebi_data/attachdocs/jul-2024/1719991821965_355.pdf</t>
        </is>
      </c>
      <c r="R562" s="18" t="inlineStr">
        <is>
          <t>https://www.sebi.gov.in/filings/public-issues/jul-2024/enviro-infra-engineers-limited_84555.html</t>
        </is>
      </c>
      <c r="S562" s="15" t="n"/>
      <c r="T562" s="15" t="inlineStr">
        <is>
          <t>SEBI filing link</t>
        </is>
      </c>
      <c r="U562" s="15" t="inlineStr">
        <is>
          <t>Enviro Infra Engineers Limited</t>
        </is>
      </c>
      <c r="V562" s="15" t="n"/>
      <c r="W562" s="15" t="n"/>
      <c r="X562" s="15" t="n"/>
      <c r="Y562" s="15" t="n"/>
      <c r="Z562" s="15" t="n"/>
      <c r="AA562" s="15" t="n"/>
      <c r="AB562" s="15" t="n"/>
    </row>
    <row r="563" ht="15" customHeight="1" s="12">
      <c r="A563" s="14" t="n">
        <v>562</v>
      </c>
      <c r="B563" s="16" t="n">
        <v>45475</v>
      </c>
      <c r="C563" s="15" t="n">
        <v>2024</v>
      </c>
      <c r="D563" s="15" t="inlineStr">
        <is>
          <t>SHIVALIK ENGINEERING INDUSTRIES LIMITED</t>
        </is>
      </c>
      <c r="E563" s="15" t="inlineStr">
        <is>
          <t>DRHP</t>
        </is>
      </c>
      <c r="F563" s="15" t="inlineStr">
        <is>
          <t>SHIVALIK ENGINEERING INDUSTRIES LIMITED</t>
        </is>
      </c>
      <c r="G563" s="15" t="inlineStr">
        <is>
          <t>No launched IPO found</t>
        </is>
      </c>
      <c r="H563" s="15" t="n"/>
      <c r="I563" s="16" t="n"/>
      <c r="J563" s="16" t="n"/>
      <c r="K563" s="16" t="n"/>
      <c r="L563" s="17" t="n"/>
      <c r="M563" s="17" t="n"/>
      <c r="N563" s="17" t="n"/>
      <c r="O563" s="15" t="n"/>
      <c r="P563" s="15" t="n"/>
      <c r="Q563" s="18" t="inlineStr">
        <is>
          <t>https://www.sebi.gov.in/sebi_data/attachdocs/jul-2024/1719919808817_352.pdf</t>
        </is>
      </c>
      <c r="R563" s="18" t="inlineStr">
        <is>
          <t>https://www.sebi.gov.in/filings/public-issues/jul-2024/shivalik-engineering-industries-limited_84531.html</t>
        </is>
      </c>
      <c r="S563" s="15" t="n"/>
      <c r="T563" s="15" t="n"/>
      <c r="U563" s="15" t="n"/>
      <c r="V563" s="15" t="n"/>
      <c r="W563" s="16" t="n"/>
      <c r="X563" s="16" t="n"/>
      <c r="Y563" s="16" t="n"/>
      <c r="Z563" s="15" t="inlineStr">
        <is>
          <t>No issue found</t>
        </is>
      </c>
      <c r="AA563" s="15" t="inlineStr">
        <is>
          <t>SEBI approved Sep 2024; only dubious future date shown, no real issue.</t>
        </is>
      </c>
      <c r="AB563" s="18" t="inlineStr">
        <is>
          <t>https://www.chittorgarh.com/ipo/shivalik-engineering-ipo/2319/</t>
        </is>
      </c>
    </row>
    <row r="564" ht="15" customHeight="1" s="12">
      <c r="A564" s="14" t="n">
        <v>563</v>
      </c>
      <c r="B564" s="16" t="n">
        <v>45475</v>
      </c>
      <c r="C564" s="15" t="n">
        <v>2024</v>
      </c>
      <c r="D564" s="15" t="inlineStr">
        <is>
          <t>BMW Ventures Limited</t>
        </is>
      </c>
      <c r="E564" s="15" t="inlineStr">
        <is>
          <t>DRHP</t>
        </is>
      </c>
      <c r="F564" s="15" t="inlineStr">
        <is>
          <t>BMW Ventures Limited</t>
        </is>
      </c>
      <c r="G564" s="15" t="inlineStr">
        <is>
          <t>IPO launched</t>
        </is>
      </c>
      <c r="H564" s="15" t="inlineStr">
        <is>
          <t>Mainboard</t>
        </is>
      </c>
      <c r="I564" s="16" t="n">
        <v>45924</v>
      </c>
      <c r="J564" s="16" t="n">
        <v>45926</v>
      </c>
      <c r="K564" s="16" t="n">
        <v>45931</v>
      </c>
      <c r="L564" s="17" t="n">
        <v>231.66</v>
      </c>
      <c r="M564" s="17" t="n">
        <v>231.66</v>
      </c>
      <c r="N564" s="17" t="n">
        <v>0</v>
      </c>
      <c r="O564" s="15" t="inlineStr">
        <is>
          <t>Final issue (ipoplatform)</t>
        </is>
      </c>
      <c r="P564" s="15" t="n"/>
      <c r="Q564" s="18" t="inlineStr">
        <is>
          <t>https://www.sebi.gov.in/sebi_data/attachdocs/jul-2024/1719905409805_351.pdf</t>
        </is>
      </c>
      <c r="R564" s="18" t="inlineStr">
        <is>
          <t>https://www.sebi.gov.in/filings/public-issues/jul-2024/bmw-ventures-limited_84517.html</t>
        </is>
      </c>
      <c r="S564" s="15" t="n"/>
      <c r="T564" s="15" t="inlineStr">
        <is>
          <t>Company name + date window</t>
        </is>
      </c>
      <c r="U564" s="15" t="inlineStr">
        <is>
          <t>BMW Ventures Limited</t>
        </is>
      </c>
      <c r="V564" s="15" t="n"/>
      <c r="W564" s="15" t="n"/>
      <c r="X564" s="15" t="n"/>
      <c r="Y564" s="15" t="n"/>
      <c r="Z564" s="15" t="n"/>
      <c r="AA564" s="15" t="n"/>
      <c r="AB564" s="15" t="n"/>
    </row>
    <row r="565" ht="15" customHeight="1" s="12">
      <c r="A565" s="14" t="n">
        <v>564</v>
      </c>
      <c r="B565" s="16" t="n">
        <v>45474</v>
      </c>
      <c r="C565" s="15" t="n">
        <v>2024</v>
      </c>
      <c r="D565" s="15" t="inlineStr">
        <is>
          <t>Sagility India Limited</t>
        </is>
      </c>
      <c r="E565" s="15" t="inlineStr">
        <is>
          <t>DRHP</t>
        </is>
      </c>
      <c r="F565" s="15" t="inlineStr">
        <is>
          <t>Sagility India Limited</t>
        </is>
      </c>
      <c r="G565" s="15" t="inlineStr">
        <is>
          <t>IPO launched</t>
        </is>
      </c>
      <c r="H565" s="15" t="inlineStr">
        <is>
          <t>Mainboard</t>
        </is>
      </c>
      <c r="I565" s="16" t="n">
        <v>45601</v>
      </c>
      <c r="J565" s="16" t="n">
        <v>45603</v>
      </c>
      <c r="K565" s="16" t="n">
        <v>45608</v>
      </c>
      <c r="L565" s="17" t="n">
        <v>2106.6</v>
      </c>
      <c r="M565" s="17" t="n">
        <v>0</v>
      </c>
      <c r="N565" s="17" t="n">
        <v>2106.6</v>
      </c>
      <c r="O565" s="15" t="inlineStr">
        <is>
          <t>Final issue (ipoplatform)</t>
        </is>
      </c>
      <c r="P565" s="15" t="n"/>
      <c r="Q565" s="18" t="inlineStr">
        <is>
          <t>https://www.sebi.gov.in/sebi_data/attachdocs/jul-2024/1719883808367_350.pdf</t>
        </is>
      </c>
      <c r="R565" s="18" t="inlineStr">
        <is>
          <t>https://www.sebi.gov.in/filings/public-issues/jul-2024/sagility-india-limited_84513.html</t>
        </is>
      </c>
      <c r="S565" s="15" t="n"/>
      <c r="T565" s="15" t="inlineStr">
        <is>
          <t>SEBI filing link</t>
        </is>
      </c>
      <c r="U565" s="15" t="inlineStr">
        <is>
          <t>Sagility India Limited</t>
        </is>
      </c>
      <c r="V565" s="15" t="n"/>
      <c r="W565" s="15" t="n"/>
      <c r="X565" s="15" t="n"/>
      <c r="Y565" s="15" t="n"/>
      <c r="Z565" s="15" t="n"/>
      <c r="AA565" s="15" t="n"/>
      <c r="AB565" s="15" t="n"/>
    </row>
    <row r="566" ht="15" customHeight="1" s="12">
      <c r="A566" s="14" t="n">
        <v>565</v>
      </c>
      <c r="B566" s="16" t="n">
        <v>45474</v>
      </c>
      <c r="C566" s="15" t="n">
        <v>2024</v>
      </c>
      <c r="D566" s="15" t="inlineStr">
        <is>
          <t>Mamata Machinery Limited</t>
        </is>
      </c>
      <c r="E566" s="15" t="inlineStr">
        <is>
          <t>DRHP</t>
        </is>
      </c>
      <c r="F566" s="15" t="inlineStr">
        <is>
          <t>Mamata Machinery Limited</t>
        </is>
      </c>
      <c r="G566" s="15" t="inlineStr">
        <is>
          <t>IPO launched</t>
        </is>
      </c>
      <c r="H566" s="15" t="inlineStr">
        <is>
          <t>Mainboard</t>
        </is>
      </c>
      <c r="I566" s="16" t="n">
        <v>45645</v>
      </c>
      <c r="J566" s="16" t="n">
        <v>45649</v>
      </c>
      <c r="K566" s="16" t="n">
        <v>45653</v>
      </c>
      <c r="L566" s="17" t="n">
        <v>179.39</v>
      </c>
      <c r="M566" s="17" t="n">
        <v>0</v>
      </c>
      <c r="N566" s="17" t="n">
        <v>179.39</v>
      </c>
      <c r="O566" s="15" t="inlineStr">
        <is>
          <t>Final issue (ipoplatform)</t>
        </is>
      </c>
      <c r="P566" s="15" t="n"/>
      <c r="Q566" s="18" t="inlineStr">
        <is>
          <t>https://www.sebi.gov.in/sebi_data/attachdocs/jul-2024/1719833409129_349.pdf</t>
        </is>
      </c>
      <c r="R566" s="18" t="inlineStr">
        <is>
          <t>https://www.sebi.gov.in/filings/public-issues/jul-2024/mamata-machinery-limited_84500.html</t>
        </is>
      </c>
      <c r="S566" s="15" t="n"/>
      <c r="T566" s="15" t="inlineStr">
        <is>
          <t>Company name + date window</t>
        </is>
      </c>
      <c r="U566" s="15" t="inlineStr">
        <is>
          <t>Mamata Machinery Limited</t>
        </is>
      </c>
      <c r="V566" s="15" t="n"/>
      <c r="W566" s="15" t="n"/>
      <c r="X566" s="15" t="n"/>
      <c r="Y566" s="15" t="n"/>
      <c r="Z566" s="15" t="n"/>
      <c r="AA566" s="15" t="n"/>
      <c r="AB566" s="15" t="n"/>
    </row>
    <row r="567" ht="15" customHeight="1" s="12">
      <c r="A567" s="14" t="n">
        <v>566</v>
      </c>
      <c r="B567" s="16" t="n">
        <v>45462</v>
      </c>
      <c r="C567" s="15" t="n">
        <v>2024</v>
      </c>
      <c r="D567" s="15" t="inlineStr">
        <is>
          <t>Bazaar Style Retail Limited</t>
        </is>
      </c>
      <c r="E567" s="15" t="inlineStr">
        <is>
          <t>Addendum</t>
        </is>
      </c>
      <c r="F567" s="15" t="inlineStr">
        <is>
          <t>Bazaar Style Retail Limited- Addendum to DRHP</t>
        </is>
      </c>
      <c r="G567" s="15" t="inlineStr">
        <is>
          <t>IPO launched</t>
        </is>
      </c>
      <c r="H567" s="15" t="inlineStr">
        <is>
          <t>Mainboard</t>
        </is>
      </c>
      <c r="I567" s="16" t="n">
        <v>45534</v>
      </c>
      <c r="J567" s="16" t="n">
        <v>45538</v>
      </c>
      <c r="K567" s="16" t="n">
        <v>45541</v>
      </c>
      <c r="L567" s="17" t="n">
        <v>834.6799999999999</v>
      </c>
      <c r="M567" s="17" t="n">
        <v>148</v>
      </c>
      <c r="N567" s="17" t="n">
        <v>686.6799999999999</v>
      </c>
      <c r="O567" s="15" t="inlineStr">
        <is>
          <t>Final issue (ipoplatform)</t>
        </is>
      </c>
      <c r="P567" s="15" t="n"/>
      <c r="Q567" s="18" t="inlineStr">
        <is>
          <t>https://www.sebi.gov.in/sebi_data/attachdocs/jun-2024/1718873279257.pdf</t>
        </is>
      </c>
      <c r="R567" s="18" t="inlineStr">
        <is>
          <t>https://www.sebi.gov.in/filings/public-issues/jun-2024/bazaar-style-retail-limited-addendum-to-drhp_84307.html</t>
        </is>
      </c>
      <c r="S567" s="15" t="n"/>
      <c r="T567" s="15" t="inlineStr">
        <is>
          <t>Company name (close spelling) + date window</t>
        </is>
      </c>
      <c r="U567" s="15" t="inlineStr">
        <is>
          <t>Baazar Style Retail Limited</t>
        </is>
      </c>
      <c r="V567" s="15" t="n"/>
      <c r="W567" s="15" t="n"/>
      <c r="X567" s="15" t="n"/>
      <c r="Y567" s="15" t="n"/>
      <c r="Z567" s="15" t="n"/>
      <c r="AA567" s="15" t="n"/>
      <c r="AB567" s="15" t="n"/>
    </row>
    <row r="568" ht="15" customHeight="1" s="12">
      <c r="A568" s="14" t="n">
        <v>567</v>
      </c>
      <c r="B568" s="16" t="n">
        <v>45461</v>
      </c>
      <c r="C568" s="15" t="n">
        <v>2024</v>
      </c>
      <c r="D568" s="15" t="inlineStr">
        <is>
          <t>Godavari Biorefineries Limited</t>
        </is>
      </c>
      <c r="E568" s="15" t="inlineStr">
        <is>
          <t>DRHP</t>
        </is>
      </c>
      <c r="F568" s="15" t="inlineStr">
        <is>
          <t>Godavari Biorefineries Limited</t>
        </is>
      </c>
      <c r="G568" s="15" t="inlineStr">
        <is>
          <t>IPO launched</t>
        </is>
      </c>
      <c r="H568" s="15" t="inlineStr">
        <is>
          <t>Mainboard</t>
        </is>
      </c>
      <c r="I568" s="16" t="n">
        <v>45588</v>
      </c>
      <c r="J568" s="16" t="n">
        <v>45590</v>
      </c>
      <c r="K568" s="16" t="n">
        <v>45595</v>
      </c>
      <c r="L568" s="17" t="n">
        <v>554.75</v>
      </c>
      <c r="M568" s="17" t="n">
        <v>325</v>
      </c>
      <c r="N568" s="17" t="n">
        <v>229.75</v>
      </c>
      <c r="O568" s="15" t="inlineStr">
        <is>
          <t>Final issue (ipoplatform)</t>
        </is>
      </c>
      <c r="P568" s="15" t="n"/>
      <c r="Q568" s="18" t="inlineStr">
        <is>
          <t>https://www.sebi.gov.in/sebi_data/attachdocs/jun-2024/1718702291792_334.pdf</t>
        </is>
      </c>
      <c r="R568" s="18" t="inlineStr">
        <is>
          <t>https://www.sebi.gov.in/filings/public-issues/jun-2024/godavari-biorefineries-limited_84190.html</t>
        </is>
      </c>
      <c r="S568" s="15" t="n"/>
      <c r="T568" s="15" t="inlineStr">
        <is>
          <t>SEBI filing link</t>
        </is>
      </c>
      <c r="U568" s="15" t="inlineStr">
        <is>
          <t>Godavari Biorefineries Limited</t>
        </is>
      </c>
      <c r="V568" s="15" t="n"/>
      <c r="W568" s="15" t="n"/>
      <c r="X568" s="15" t="n"/>
      <c r="Y568" s="15" t="n"/>
      <c r="Z568" s="15" t="n"/>
      <c r="AA568" s="15" t="n"/>
      <c r="AB568" s="15" t="n"/>
    </row>
    <row r="569" ht="15" customHeight="1" s="12">
      <c r="A569" s="14" t="n">
        <v>568</v>
      </c>
      <c r="B569" s="16" t="n">
        <v>45461</v>
      </c>
      <c r="C569" s="15" t="n">
        <v>2024</v>
      </c>
      <c r="D569" s="15" t="inlineStr">
        <is>
          <t>Hyundai Motor India Limited</t>
        </is>
      </c>
      <c r="E569" s="15" t="inlineStr">
        <is>
          <t>DRHP</t>
        </is>
      </c>
      <c r="F569" s="15" t="inlineStr">
        <is>
          <t>Hyundai Motor India Limited - DRHP</t>
        </is>
      </c>
      <c r="G569" s="15" t="inlineStr">
        <is>
          <t>IPO launched</t>
        </is>
      </c>
      <c r="H569" s="15" t="inlineStr">
        <is>
          <t>Mainboard</t>
        </is>
      </c>
      <c r="I569" s="16" t="n">
        <v>45580</v>
      </c>
      <c r="J569" s="16" t="n">
        <v>45582</v>
      </c>
      <c r="K569" s="16" t="n">
        <v>45587</v>
      </c>
      <c r="L569" s="17" t="n">
        <v>27870.16</v>
      </c>
      <c r="M569" s="17" t="n">
        <v>0</v>
      </c>
      <c r="N569" s="17" t="n">
        <v>27870.16</v>
      </c>
      <c r="O569" s="15" t="inlineStr">
        <is>
          <t>Final issue (ipoplatform)</t>
        </is>
      </c>
      <c r="P569" s="15" t="n"/>
      <c r="Q569" s="18" t="inlineStr">
        <is>
          <t>https://www.sebi.gov.in/sebi_data/attachdocs/jun-2024/1718692993829.PDF</t>
        </is>
      </c>
      <c r="R569" s="18" t="inlineStr">
        <is>
          <t>https://www.sebi.gov.in/filings/public-issues/jun-2024/hyundai-motor-india-limited-drhp_84186.html</t>
        </is>
      </c>
      <c r="S569" s="15" t="n"/>
      <c r="T569" s="15" t="inlineStr">
        <is>
          <t>SEBI filing link</t>
        </is>
      </c>
      <c r="U569" s="15" t="inlineStr">
        <is>
          <t>Hyundai Motor India Limited</t>
        </is>
      </c>
      <c r="V569" s="15" t="n"/>
      <c r="W569" s="15" t="n"/>
      <c r="X569" s="15" t="n"/>
      <c r="Y569" s="15" t="n"/>
      <c r="Z569" s="15" t="n"/>
      <c r="AA569" s="15" t="n"/>
      <c r="AB569" s="15" t="n"/>
    </row>
    <row r="570" ht="15" customHeight="1" s="12">
      <c r="A570" s="14" t="n">
        <v>569</v>
      </c>
      <c r="B570" s="16" t="n">
        <v>45457</v>
      </c>
      <c r="C570" s="15" t="n">
        <v>2024</v>
      </c>
      <c r="D570" s="15" t="inlineStr">
        <is>
          <t>Denta Water and Infra Solutions Limited</t>
        </is>
      </c>
      <c r="E570" s="15" t="inlineStr">
        <is>
          <t>Addendum</t>
        </is>
      </c>
      <c r="F570" s="15" t="inlineStr">
        <is>
          <t>Denta Water and Infra Solutions Limited - Addendum to DRHP</t>
        </is>
      </c>
      <c r="G570" s="15" t="inlineStr">
        <is>
          <t>IPO launched</t>
        </is>
      </c>
      <c r="H570" s="15" t="inlineStr">
        <is>
          <t>Mainboard</t>
        </is>
      </c>
      <c r="I570" s="16" t="n">
        <v>45679</v>
      </c>
      <c r="J570" s="16" t="n">
        <v>45681</v>
      </c>
      <c r="K570" s="16" t="n">
        <v>45686</v>
      </c>
      <c r="L570" s="17" t="n">
        <v>220.5</v>
      </c>
      <c r="M570" s="17" t="n">
        <v>220.5</v>
      </c>
      <c r="N570" s="17" t="n">
        <v>0</v>
      </c>
      <c r="O570" s="15" t="inlineStr">
        <is>
          <t>Final issue (ipoplatform)</t>
        </is>
      </c>
      <c r="P570" s="15" t="n"/>
      <c r="Q570" s="18" t="inlineStr">
        <is>
          <t>https://www.sebi.gov.in/sebi_data/attachdocs/jun-2024/1718362092516.pdf</t>
        </is>
      </c>
      <c r="R570" s="18" t="inlineStr">
        <is>
          <t>https://www.sebi.gov.in/filings/public-issues/jun-2024/denta-water-and-infra-solutions-limited-addendum-to-drhp_84161.html</t>
        </is>
      </c>
      <c r="S570" s="15" t="n"/>
      <c r="T570" s="15" t="inlineStr">
        <is>
          <t>Company name + date window</t>
        </is>
      </c>
      <c r="U570" s="15" t="inlineStr">
        <is>
          <t>Denta Water and Infra Solutions Limited</t>
        </is>
      </c>
      <c r="V570" s="15" t="n"/>
      <c r="W570" s="15" t="n"/>
      <c r="X570" s="15" t="n"/>
      <c r="Y570" s="15" t="n"/>
      <c r="Z570" s="15" t="n"/>
      <c r="AA570" s="15" t="n"/>
      <c r="AB570" s="15" t="n"/>
    </row>
    <row r="571" ht="15" customHeight="1" s="12">
      <c r="A571" s="14" t="n">
        <v>570</v>
      </c>
      <c r="B571" s="16" t="n">
        <v>45457</v>
      </c>
      <c r="C571" s="15" t="n">
        <v>2024</v>
      </c>
      <c r="D571" s="15" t="inlineStr">
        <is>
          <t>ECOS India Mobility and Hospitality Limited</t>
        </is>
      </c>
      <c r="E571" s="15" t="inlineStr">
        <is>
          <t>Addendum</t>
        </is>
      </c>
      <c r="F571" s="15" t="inlineStr">
        <is>
          <t>ECOS India Mobility and Hospitality Limited - Addendum to the DRHP</t>
        </is>
      </c>
      <c r="G571" s="15" t="inlineStr">
        <is>
          <t>IPO launched</t>
        </is>
      </c>
      <c r="H571" s="15" t="inlineStr">
        <is>
          <t>Mainboard</t>
        </is>
      </c>
      <c r="I571" s="16" t="n">
        <v>45532</v>
      </c>
      <c r="J571" s="16" t="n">
        <v>45534</v>
      </c>
      <c r="K571" s="16" t="n">
        <v>45539</v>
      </c>
      <c r="L571" s="17" t="n">
        <v>601.2</v>
      </c>
      <c r="M571" s="17" t="n">
        <v>0</v>
      </c>
      <c r="N571" s="17" t="n">
        <v>601.2</v>
      </c>
      <c r="O571" s="15" t="inlineStr">
        <is>
          <t>Final issue (ipoplatform)</t>
        </is>
      </c>
      <c r="P571" s="15" t="n"/>
      <c r="Q571" s="18" t="inlineStr">
        <is>
          <t>https://www.sebi.gov.in/sebi_data/attachdocs/jun-2024/1718355674228.pdf</t>
        </is>
      </c>
      <c r="R571" s="18" t="inlineStr">
        <is>
          <t>https://www.sebi.gov.in/filings/public-issues/jun-2024/ecos-india-mobility-and-hospitality-limited-addendum-to-the-drhp_84158.html</t>
        </is>
      </c>
      <c r="S571" s="15" t="n"/>
      <c r="T571" s="15" t="inlineStr">
        <is>
          <t>Company name + date window</t>
        </is>
      </c>
      <c r="U571" s="15" t="inlineStr">
        <is>
          <t>ECOS (India) Mobility &amp; Hospitality Limited</t>
        </is>
      </c>
      <c r="V571" s="15" t="n"/>
      <c r="W571" s="15" t="n"/>
      <c r="X571" s="15" t="n"/>
      <c r="Y571" s="15" t="n"/>
      <c r="Z571" s="15" t="n"/>
      <c r="AA571" s="15" t="n"/>
      <c r="AB571" s="15" t="n"/>
    </row>
    <row r="572" ht="15" customHeight="1" s="12">
      <c r="A572" s="14" t="n">
        <v>571</v>
      </c>
      <c r="B572" s="16" t="n">
        <v>45457</v>
      </c>
      <c r="C572" s="15" t="n">
        <v>2024</v>
      </c>
      <c r="D572" s="15" t="inlineStr">
        <is>
          <t>Bajaj Housing Finance Limited</t>
        </is>
      </c>
      <c r="E572" s="15" t="inlineStr">
        <is>
          <t>DRHP</t>
        </is>
      </c>
      <c r="F572" s="15" t="inlineStr">
        <is>
          <t>Bajaj Housing Finance Limited - DRHP</t>
        </is>
      </c>
      <c r="G572" s="15" t="inlineStr">
        <is>
          <t>IPO launched</t>
        </is>
      </c>
      <c r="H572" s="15" t="inlineStr">
        <is>
          <t>Mainboard</t>
        </is>
      </c>
      <c r="I572" s="16" t="n">
        <v>45544</v>
      </c>
      <c r="J572" s="16" t="n">
        <v>45546</v>
      </c>
      <c r="K572" s="16" t="n">
        <v>45551</v>
      </c>
      <c r="L572" s="17" t="n">
        <v>6560</v>
      </c>
      <c r="M572" s="17" t="n">
        <v>3560</v>
      </c>
      <c r="N572" s="17" t="n">
        <v>3000</v>
      </c>
      <c r="O572" s="15" t="inlineStr">
        <is>
          <t>Final issue (ipoplatform)</t>
        </is>
      </c>
      <c r="P572" s="15" t="n"/>
      <c r="Q572" s="18" t="inlineStr">
        <is>
          <t>https://www.sebi.gov.in/sebi_data/attachdocs/jun-2024/1718346025028.pdf</t>
        </is>
      </c>
      <c r="R572" s="18" t="inlineStr">
        <is>
          <t>https://www.sebi.gov.in/filings/public-issues/jun-2024/bajaj-housing-finance-limited-drhp_84125.html</t>
        </is>
      </c>
      <c r="S572" s="15" t="n"/>
      <c r="T572" s="15" t="inlineStr">
        <is>
          <t>SEBI filing link</t>
        </is>
      </c>
      <c r="U572" s="15" t="inlineStr">
        <is>
          <t>Bajaj Housing Finance Limited</t>
        </is>
      </c>
      <c r="V572" s="15" t="n"/>
      <c r="W572" s="15" t="n"/>
      <c r="X572" s="15" t="n"/>
      <c r="Y572" s="15" t="n"/>
      <c r="Z572" s="15" t="n"/>
      <c r="AA572" s="15" t="n"/>
      <c r="AB572" s="15" t="n"/>
    </row>
    <row r="573" ht="15" customHeight="1" s="12">
      <c r="A573" s="14" t="n">
        <v>572</v>
      </c>
      <c r="B573" s="16" t="n">
        <v>45455</v>
      </c>
      <c r="C573" s="15" t="n">
        <v>2024</v>
      </c>
      <c r="D573" s="15" t="inlineStr">
        <is>
          <t>Quadrant Future Tek Limited</t>
        </is>
      </c>
      <c r="E573" s="15" t="inlineStr">
        <is>
          <t>DRHP</t>
        </is>
      </c>
      <c r="F573" s="15" t="inlineStr">
        <is>
          <t>Quadrant Future Tek Limited</t>
        </is>
      </c>
      <c r="G573" s="15" t="inlineStr">
        <is>
          <t>IPO launched</t>
        </is>
      </c>
      <c r="H573" s="15" t="inlineStr">
        <is>
          <t>Mainboard</t>
        </is>
      </c>
      <c r="I573" s="16" t="n">
        <v>45664</v>
      </c>
      <c r="J573" s="16" t="n">
        <v>45666</v>
      </c>
      <c r="K573" s="16" t="n">
        <v>45671</v>
      </c>
      <c r="L573" s="17" t="n">
        <v>290</v>
      </c>
      <c r="M573" s="17" t="n">
        <v>290</v>
      </c>
      <c r="N573" s="17" t="n">
        <v>0</v>
      </c>
      <c r="O573" s="15" t="inlineStr">
        <is>
          <t>Final issue (ipoplatform)</t>
        </is>
      </c>
      <c r="P573" s="15" t="n"/>
      <c r="Q573" s="18" t="inlineStr">
        <is>
          <t>https://www.sebi.gov.in/sebi_data/attachdocs/jun-2024/1718191808973_297.pdf</t>
        </is>
      </c>
      <c r="R573" s="18" t="inlineStr">
        <is>
          <t>https://www.sebi.gov.in/filings/public-issues/jun-2024/quadrant-future-tek-limited_84099.html</t>
        </is>
      </c>
      <c r="S573" s="15" t="n"/>
      <c r="T573" s="15" t="inlineStr">
        <is>
          <t>Company name + date window</t>
        </is>
      </c>
      <c r="U573" s="15" t="inlineStr">
        <is>
          <t>Quadrant Future Tek Limited</t>
        </is>
      </c>
      <c r="V573" s="15" t="n"/>
      <c r="W573" s="15" t="n"/>
      <c r="X573" s="15" t="n"/>
      <c r="Y573" s="15" t="n"/>
      <c r="Z573" s="15" t="n"/>
      <c r="AA573" s="15" t="n"/>
      <c r="AB573" s="15" t="n"/>
    </row>
    <row r="574" ht="15" customHeight="1" s="12">
      <c r="A574" s="14" t="n">
        <v>573</v>
      </c>
      <c r="B574" s="16" t="n">
        <v>45453</v>
      </c>
      <c r="C574" s="15" t="n">
        <v>2024</v>
      </c>
      <c r="D574" s="15" t="inlineStr">
        <is>
          <t>Deepak Builders &amp; Engineers India Limited</t>
        </is>
      </c>
      <c r="E574" s="15" t="inlineStr">
        <is>
          <t>Addendum</t>
        </is>
      </c>
      <c r="F574" s="15" t="inlineStr">
        <is>
          <t>Deepak Builders &amp; Engineers India Limited - Addendum to DRHP</t>
        </is>
      </c>
      <c r="G574" s="15" t="inlineStr">
        <is>
          <t>IPO launched</t>
        </is>
      </c>
      <c r="H574" s="15" t="inlineStr">
        <is>
          <t>Mainboard</t>
        </is>
      </c>
      <c r="I574" s="16" t="n">
        <v>45586</v>
      </c>
      <c r="J574" s="16" t="n">
        <v>45588</v>
      </c>
      <c r="K574" s="16" t="n">
        <v>45593</v>
      </c>
      <c r="L574" s="17" t="n">
        <v>260.04</v>
      </c>
      <c r="M574" s="17" t="n">
        <v>217.21</v>
      </c>
      <c r="N574" s="17" t="n">
        <v>42.83</v>
      </c>
      <c r="O574" s="15" t="inlineStr">
        <is>
          <t>Final issue (ipoplatform)</t>
        </is>
      </c>
      <c r="P574" s="15" t="n"/>
      <c r="Q574" s="18" t="inlineStr">
        <is>
          <t>https://www.sebi.gov.in/sebi_data/attachdocs/jun-2024/1718021907406.pdf</t>
        </is>
      </c>
      <c r="R574" s="18" t="inlineStr">
        <is>
          <t>https://www.sebi.gov.in/filings/public-issues/jun-2024/deepak-builders-and-engineers-india-limited-addendum-to-drhp_84062.html</t>
        </is>
      </c>
      <c r="S574" s="15" t="n"/>
      <c r="T574" s="15" t="inlineStr">
        <is>
          <t>Company name + date window</t>
        </is>
      </c>
      <c r="U574" s="15" t="inlineStr">
        <is>
          <t>Deepak Builders &amp; Engineers India Limited</t>
        </is>
      </c>
      <c r="V574" s="15" t="n"/>
      <c r="W574" s="15" t="n"/>
      <c r="X574" s="15" t="n"/>
      <c r="Y574" s="15" t="n"/>
      <c r="Z574" s="15" t="n"/>
      <c r="AA574" s="15" t="n"/>
      <c r="AB574" s="15" t="n"/>
    </row>
    <row r="575" ht="15" customHeight="1" s="12">
      <c r="A575" s="14" t="n">
        <v>574</v>
      </c>
      <c r="B575" s="16" t="n">
        <v>45450</v>
      </c>
      <c r="C575" s="15" t="n">
        <v>2024</v>
      </c>
      <c r="D575" s="15" t="inlineStr">
        <is>
          <t>Akums Drugs and Pharmaceuticals Limited</t>
        </is>
      </c>
      <c r="E575" s="15" t="inlineStr">
        <is>
          <t>Addendum cum Corrigendum</t>
        </is>
      </c>
      <c r="F575" s="15" t="inlineStr">
        <is>
          <t>Akums Drugs and Pharmaceuticals Limited – Corrigendum cum Addendum to DRHP</t>
        </is>
      </c>
      <c r="G575" s="15" t="inlineStr">
        <is>
          <t>IPO launched</t>
        </is>
      </c>
      <c r="H575" s="15" t="inlineStr">
        <is>
          <t>Mainboard</t>
        </is>
      </c>
      <c r="I575" s="16" t="n">
        <v>45503</v>
      </c>
      <c r="J575" s="16" t="n">
        <v>45505</v>
      </c>
      <c r="K575" s="16" t="n">
        <v>45510</v>
      </c>
      <c r="L575" s="17" t="n">
        <v>1856.74</v>
      </c>
      <c r="M575" s="17" t="n">
        <v>680</v>
      </c>
      <c r="N575" s="17" t="n">
        <v>1176.74</v>
      </c>
      <c r="O575" s="15" t="inlineStr">
        <is>
          <t>Final issue (ipoplatform)</t>
        </is>
      </c>
      <c r="P575" s="15" t="n"/>
      <c r="Q575" s="18" t="inlineStr">
        <is>
          <t>https://www.sebi.gov.in/sebi_data/attachdocs/jun-2024/1717738109883.pdf</t>
        </is>
      </c>
      <c r="R575" s="18" t="inlineStr">
        <is>
          <t>https://www.sebi.gov.in/filings/public-issues/jun-2024/akums-drugs-and-pharmaceuticals-limited-corrigendum-cum-addendum-to-drhp_84012.html</t>
        </is>
      </c>
      <c r="S575" s="15" t="n"/>
      <c r="T575" s="15" t="inlineStr">
        <is>
          <t>Company name + date window</t>
        </is>
      </c>
      <c r="U575" s="15" t="inlineStr">
        <is>
          <t>Akums Drugs and Pharmaceuticals Limited</t>
        </is>
      </c>
      <c r="V575" s="15" t="n"/>
      <c r="W575" s="15" t="n"/>
      <c r="X575" s="15" t="n"/>
      <c r="Y575" s="15" t="n"/>
      <c r="Z575" s="15" t="n"/>
      <c r="AA575" s="15" t="n"/>
      <c r="AB575" s="15" t="n"/>
    </row>
    <row r="576" ht="15" customHeight="1" s="12">
      <c r="A576" s="14" t="n">
        <v>575</v>
      </c>
      <c r="B576" s="16" t="n">
        <v>45447</v>
      </c>
      <c r="C576" s="15" t="n">
        <v>2024</v>
      </c>
      <c r="D576" s="15" t="inlineStr">
        <is>
          <t>Akums Drugs and Pharmaceuticals Limited</t>
        </is>
      </c>
      <c r="E576" s="15" t="inlineStr">
        <is>
          <t>Addendum</t>
        </is>
      </c>
      <c r="F576" s="15" t="inlineStr">
        <is>
          <t>Akums Drugs and Pharmaceuticals Limited – Addendum to DRHP</t>
        </is>
      </c>
      <c r="G576" s="15" t="inlineStr">
        <is>
          <t>IPO launched</t>
        </is>
      </c>
      <c r="H576" s="15" t="inlineStr">
        <is>
          <t>Mainboard</t>
        </is>
      </c>
      <c r="I576" s="16" t="n">
        <v>45503</v>
      </c>
      <c r="J576" s="16" t="n">
        <v>45505</v>
      </c>
      <c r="K576" s="16" t="n">
        <v>45510</v>
      </c>
      <c r="L576" s="17" t="n">
        <v>1856.74</v>
      </c>
      <c r="M576" s="17" t="n">
        <v>680</v>
      </c>
      <c r="N576" s="17" t="n">
        <v>1176.74</v>
      </c>
      <c r="O576" s="15" t="inlineStr">
        <is>
          <t>Final issue (ipoplatform)</t>
        </is>
      </c>
      <c r="P576" s="15" t="n"/>
      <c r="Q576" s="18" t="inlineStr">
        <is>
          <t>https://www.sebi.gov.in/sebi_data/attachdocs/jun-2024/1717577366448.pdf</t>
        </is>
      </c>
      <c r="R576" s="18" t="inlineStr">
        <is>
          <t>https://www.sebi.gov.in/filings/public-issues/jun-2024/akums-drugs-and-pharmaceuticals-limited-addendum-to-drhp_83924.html</t>
        </is>
      </c>
      <c r="S576" s="15" t="n"/>
      <c r="T576" s="15" t="inlineStr">
        <is>
          <t>Company name + date window</t>
        </is>
      </c>
      <c r="U576" s="15" t="inlineStr">
        <is>
          <t>Akums Drugs and Pharmaceuticals Limited</t>
        </is>
      </c>
      <c r="V576" s="15" t="n"/>
      <c r="W576" s="15" t="n"/>
      <c r="X576" s="15" t="n"/>
      <c r="Y576" s="15" t="n"/>
      <c r="Z576" s="15" t="n"/>
      <c r="AA576" s="15" t="n"/>
      <c r="AB576" s="15" t="n"/>
    </row>
    <row r="577" ht="15" customHeight="1" s="12">
      <c r="A577" s="14" t="n">
        <v>576</v>
      </c>
      <c r="B577" s="16" t="n">
        <v>45447</v>
      </c>
      <c r="C577" s="15" t="n">
        <v>2024</v>
      </c>
      <c r="D577" s="15" t="inlineStr">
        <is>
          <t>Garuda Construction and Engineering Limited</t>
        </is>
      </c>
      <c r="E577" s="15" t="inlineStr">
        <is>
          <t>DRHP</t>
        </is>
      </c>
      <c r="F577" s="15" t="inlineStr">
        <is>
          <t>Garuda Construction and Engineering Limited - DRHP</t>
        </is>
      </c>
      <c r="G577" s="15" t="inlineStr">
        <is>
          <t>IPO launched</t>
        </is>
      </c>
      <c r="H577" s="15" t="inlineStr">
        <is>
          <t>Mainboard</t>
        </is>
      </c>
      <c r="I577" s="16" t="n">
        <v>45573</v>
      </c>
      <c r="J577" s="16" t="n">
        <v>45575</v>
      </c>
      <c r="K577" s="16" t="n">
        <v>45580</v>
      </c>
      <c r="L577" s="17" t="n">
        <v>264.1</v>
      </c>
      <c r="M577" s="17" t="n">
        <v>173.85</v>
      </c>
      <c r="N577" s="17" t="n">
        <v>90.25</v>
      </c>
      <c r="O577" s="15" t="inlineStr">
        <is>
          <t>Final issue (ipoplatform)</t>
        </is>
      </c>
      <c r="P577" s="15" t="n"/>
      <c r="Q577" s="18" t="inlineStr">
        <is>
          <t>https://www.sebi.gov.in/sebi_data/attachdocs/jun-2024/1717583869848.PDF</t>
        </is>
      </c>
      <c r="R577" s="18" t="inlineStr">
        <is>
          <t>https://www.sebi.gov.in/filings/public-issues/jun-2024/garuda-construction-and-engineering-limited-drhp_83911.html</t>
        </is>
      </c>
      <c r="S577" s="15" t="n"/>
      <c r="T577" s="15" t="inlineStr">
        <is>
          <t>SEBI filing link</t>
        </is>
      </c>
      <c r="U577" s="15" t="inlineStr">
        <is>
          <t>Garuda Construction and Engineering Limited</t>
        </is>
      </c>
      <c r="V577" s="15" t="n"/>
      <c r="W577" s="15" t="n"/>
      <c r="X577" s="15" t="n"/>
      <c r="Y577" s="15" t="n"/>
      <c r="Z577" s="15" t="n"/>
      <c r="AA577" s="15" t="n"/>
      <c r="AB577" s="15" t="n"/>
    </row>
    <row r="578" ht="15" customHeight="1" s="12">
      <c r="A578" s="14" t="n">
        <v>577</v>
      </c>
      <c r="B578" s="16" t="n">
        <v>45446</v>
      </c>
      <c r="C578" s="15" t="n">
        <v>2024</v>
      </c>
      <c r="D578" s="15" t="inlineStr">
        <is>
          <t>Unicommerce eSolutions Limited</t>
        </is>
      </c>
      <c r="E578" s="15" t="inlineStr">
        <is>
          <t>Addendum</t>
        </is>
      </c>
      <c r="F578" s="15" t="inlineStr">
        <is>
          <t>Unicommerce eSolutions Limited - Addendum to the DRHP</t>
        </is>
      </c>
      <c r="G578" s="15" t="inlineStr">
        <is>
          <t>IPO launched</t>
        </is>
      </c>
      <c r="H578" s="15" t="inlineStr">
        <is>
          <t>Mainboard</t>
        </is>
      </c>
      <c r="I578" s="16" t="n">
        <v>45510</v>
      </c>
      <c r="J578" s="16" t="n">
        <v>45512</v>
      </c>
      <c r="K578" s="16" t="n">
        <v>45517</v>
      </c>
      <c r="L578" s="17" t="n">
        <v>276.57</v>
      </c>
      <c r="M578" s="17" t="n">
        <v>276.57</v>
      </c>
      <c r="N578" s="17" t="n">
        <v>0</v>
      </c>
      <c r="O578" s="15" t="inlineStr">
        <is>
          <t>Final issue (ipoplatform)</t>
        </is>
      </c>
      <c r="P578" s="15" t="n"/>
      <c r="Q578" s="18" t="inlineStr">
        <is>
          <t>https://www.sebi.gov.in/sebi_data/attachdocs/jun-2024/1717999771433.pdf</t>
        </is>
      </c>
      <c r="R578" s="18" t="inlineStr">
        <is>
          <t>https://www.sebi.gov.in/filings/public-issues/jun-2024/unicommerce-esolutions-limited-addendum-to-the-drhp_84037.html</t>
        </is>
      </c>
      <c r="S578" s="15" t="n"/>
      <c r="T578" s="15" t="inlineStr">
        <is>
          <t>Company name + date window</t>
        </is>
      </c>
      <c r="U578" s="15" t="inlineStr">
        <is>
          <t>Unicommerce eSolutions Limited</t>
        </is>
      </c>
      <c r="V578" s="15" t="n"/>
      <c r="W578" s="15" t="n"/>
      <c r="X578" s="15" t="n"/>
      <c r="Y578" s="15" t="n"/>
      <c r="Z578" s="15" t="n"/>
      <c r="AA578" s="15" t="n"/>
      <c r="AB578" s="15" t="n"/>
    </row>
    <row r="579" ht="15" customHeight="1" s="12">
      <c r="A579" s="14" t="n">
        <v>578</v>
      </c>
      <c r="B579" s="16" t="n">
        <v>45425</v>
      </c>
      <c r="C579" s="15" t="n">
        <v>2024</v>
      </c>
      <c r="D579" s="15" t="inlineStr">
        <is>
          <t>SK Finance Limited</t>
        </is>
      </c>
      <c r="E579" s="15" t="inlineStr">
        <is>
          <t>DRHP</t>
        </is>
      </c>
      <c r="F579" s="15" t="inlineStr">
        <is>
          <t>SK Finance Limited</t>
        </is>
      </c>
      <c r="G579" s="15" t="inlineStr">
        <is>
          <t>No launched IPO found</t>
        </is>
      </c>
      <c r="H579" s="15" t="n"/>
      <c r="I579" s="16" t="n"/>
      <c r="J579" s="16" t="n"/>
      <c r="K579" s="16" t="n"/>
      <c r="L579" s="17" t="n"/>
      <c r="M579" s="17" t="n"/>
      <c r="N579" s="17" t="n"/>
      <c r="O579" s="15" t="n"/>
      <c r="P579" s="15" t="n"/>
      <c r="Q579" s="18" t="inlineStr">
        <is>
          <t>https://www.sebi.gov.in/sebi_data/attachdocs/may-2024/1715599809307_237.pdf</t>
        </is>
      </c>
      <c r="R579" s="18" t="inlineStr">
        <is>
          <t>https://www.sebi.gov.in/filings/public-issues/may-2024/sk-finance-limited_83326.html</t>
        </is>
      </c>
      <c r="S579" s="15" t="n"/>
      <c r="T579" s="15" t="n"/>
      <c r="U579" s="15" t="n"/>
      <c r="V579" s="15" t="n"/>
      <c r="W579" s="16" t="n"/>
      <c r="X579" s="16" t="n"/>
      <c r="Y579" s="16" t="n"/>
      <c r="Z579" s="15" t="inlineStr">
        <is>
          <t>No issue found</t>
        </is>
      </c>
      <c r="AA579" s="15" t="inlineStr">
        <is>
          <t>SEBI approval received; IPO paused; no open date found.</t>
        </is>
      </c>
      <c r="AB579" s="18" t="inlineStr">
        <is>
          <t>https://www.chittorgarh.com/ipo/sk-finance-ipo/2320/</t>
        </is>
      </c>
    </row>
    <row r="580" ht="15" customHeight="1" s="12">
      <c r="A580" s="14" t="n">
        <v>579</v>
      </c>
      <c r="B580" s="16" t="n">
        <v>45418</v>
      </c>
      <c r="C580" s="15" t="n">
        <v>2024</v>
      </c>
      <c r="D580" s="15" t="inlineStr">
        <is>
          <t>BELSTAR MICROFINANCE LIMITED</t>
        </is>
      </c>
      <c r="E580" s="15" t="inlineStr">
        <is>
          <t>DRHP</t>
        </is>
      </c>
      <c r="F580" s="15" t="inlineStr">
        <is>
          <t>BELSTAR MICROFINANCE LIMITED - DRHP</t>
        </is>
      </c>
      <c r="G580" s="15" t="inlineStr">
        <is>
          <t>No launched IPO found</t>
        </is>
      </c>
      <c r="H580" s="15" t="n"/>
      <c r="I580" s="16" t="n"/>
      <c r="J580" s="16" t="n"/>
      <c r="K580" s="16" t="n"/>
      <c r="L580" s="17" t="n"/>
      <c r="M580" s="17" t="n"/>
      <c r="N580" s="17" t="n"/>
      <c r="O580" s="15" t="n"/>
      <c r="P580" s="15" t="n"/>
      <c r="Q580" s="18" t="inlineStr">
        <is>
          <t>https://www.sebi.gov.in/sebi_data/attachdocs/may-2024/1715336659871.pdf</t>
        </is>
      </c>
      <c r="R580" s="18" t="inlineStr">
        <is>
          <t>https://www.sebi.gov.in/filings/public-issues/may-2024/belstar-microfinance-limited-drhp_83303.html</t>
        </is>
      </c>
      <c r="S580" s="15" t="n"/>
      <c r="T580" s="15" t="n"/>
      <c r="U580" s="15" t="n"/>
      <c r="V580" s="15" t="n"/>
      <c r="W580" s="16" t="n"/>
      <c r="X580" s="16" t="n"/>
      <c r="Y580" s="16" t="n"/>
      <c r="Z580" s="15" t="inlineStr">
        <is>
          <t>No issue found</t>
        </is>
      </c>
      <c r="AA580" s="15" t="inlineStr">
        <is>
          <t>SEBI approved Aug 2025; no dates announced.</t>
        </is>
      </c>
      <c r="AB580" s="18" t="inlineStr">
        <is>
          <t>https://www.chittorgarh.com/ipo/belstar-microfinance-ipo/2321/</t>
        </is>
      </c>
    </row>
    <row r="581" ht="15" customHeight="1" s="12">
      <c r="A581" s="14" t="n">
        <v>580</v>
      </c>
      <c r="B581" s="16" t="n">
        <v>45418</v>
      </c>
      <c r="C581" s="15" t="n">
        <v>2024</v>
      </c>
      <c r="D581" s="15" t="inlineStr">
        <is>
          <t>Brainbees Solutions Limited</t>
        </is>
      </c>
      <c r="E581" s="15" t="inlineStr">
        <is>
          <t>DRHP</t>
        </is>
      </c>
      <c r="F581" s="15" t="inlineStr">
        <is>
          <t>Brainbees Solutions Limited - DRHP</t>
        </is>
      </c>
      <c r="G581" s="15" t="inlineStr">
        <is>
          <t>IPO launched</t>
        </is>
      </c>
      <c r="H581" s="15" t="inlineStr">
        <is>
          <t>Mainboard</t>
        </is>
      </c>
      <c r="I581" s="16" t="n">
        <v>45510</v>
      </c>
      <c r="J581" s="16" t="n">
        <v>45512</v>
      </c>
      <c r="K581" s="16" t="n">
        <v>45517</v>
      </c>
      <c r="L581" s="17" t="n">
        <v>4193.73</v>
      </c>
      <c r="M581" s="17" t="n">
        <v>1666</v>
      </c>
      <c r="N581" s="17" t="n">
        <v>2527.73</v>
      </c>
      <c r="O581" s="15" t="inlineStr">
        <is>
          <t>Final issue (ipoplatform)</t>
        </is>
      </c>
      <c r="P581" s="15" t="n"/>
      <c r="Q581" s="18" t="inlineStr">
        <is>
          <t>https://www.sebi.gov.in/sebi_data/attachdocs/may-2024/1714975180552.pdf</t>
        </is>
      </c>
      <c r="R581" s="18" t="inlineStr">
        <is>
          <t>https://www.sebi.gov.in/filings/public-issues/may-2024/brainbees-solutions-limited-drhp_83166.html</t>
        </is>
      </c>
      <c r="S581" s="15" t="n"/>
      <c r="T581" s="15" t="inlineStr">
        <is>
          <t>SEBI filing link</t>
        </is>
      </c>
      <c r="U581" s="15" t="inlineStr">
        <is>
          <t>Brainbees Solutions Limited</t>
        </is>
      </c>
      <c r="V581" s="15" t="n"/>
      <c r="W581" s="15" t="n"/>
      <c r="X581" s="15" t="n"/>
      <c r="Y581" s="15" t="n"/>
      <c r="Z581" s="15" t="n"/>
      <c r="AA581" s="15" t="n"/>
      <c r="AB581" s="15" t="n"/>
    </row>
    <row r="582" ht="15" customHeight="1" s="12">
      <c r="A582" s="14" t="n">
        <v>581</v>
      </c>
      <c r="B582" s="16" t="n">
        <v>45414</v>
      </c>
      <c r="C582" s="15" t="n">
        <v>2024</v>
      </c>
      <c r="D582" s="15" t="inlineStr">
        <is>
          <t>Northern Arc Capital Limited</t>
        </is>
      </c>
      <c r="E582" s="15" t="inlineStr">
        <is>
          <t>Addendum</t>
        </is>
      </c>
      <c r="F582" s="15" t="inlineStr">
        <is>
          <t>Northern Arc Capital Limited - Addendum to DRHP</t>
        </is>
      </c>
      <c r="G582" s="15" t="inlineStr">
        <is>
          <t>IPO launched</t>
        </is>
      </c>
      <c r="H582" s="15" t="inlineStr">
        <is>
          <t>Mainboard</t>
        </is>
      </c>
      <c r="I582" s="16" t="n">
        <v>45551</v>
      </c>
      <c r="J582" s="16" t="n">
        <v>45554</v>
      </c>
      <c r="K582" s="16" t="n">
        <v>45559</v>
      </c>
      <c r="L582" s="17" t="n">
        <v>777</v>
      </c>
      <c r="M582" s="17" t="n">
        <v>500</v>
      </c>
      <c r="N582" s="17" t="n">
        <v>277</v>
      </c>
      <c r="O582" s="15" t="inlineStr">
        <is>
          <t>Final issue (ipoplatform)</t>
        </is>
      </c>
      <c r="P582" s="15" t="n"/>
      <c r="Q582" s="18" t="inlineStr">
        <is>
          <t>https://www.sebi.gov.in/sebi_data/attachdocs/may-2024/1714644769495.pdf</t>
        </is>
      </c>
      <c r="R582" s="18" t="inlineStr">
        <is>
          <t>https://www.sebi.gov.in/filings/public-issues/may-2024/northern-arc-capital-limited-addendum-to-drhp_83136.html</t>
        </is>
      </c>
      <c r="S582" s="15" t="n"/>
      <c r="T582" s="15" t="inlineStr">
        <is>
          <t>Company name + date window</t>
        </is>
      </c>
      <c r="U582" s="15" t="inlineStr">
        <is>
          <t>Northern Arc Capital Limited</t>
        </is>
      </c>
      <c r="V582" s="15" t="n"/>
      <c r="W582" s="15" t="n"/>
      <c r="X582" s="15" t="n"/>
      <c r="Y582" s="15" t="n"/>
      <c r="Z582" s="15" t="n"/>
      <c r="AA582" s="15" t="n"/>
      <c r="AB582" s="15" t="n"/>
    </row>
    <row r="583" ht="15" customHeight="1" s="12">
      <c r="A583" s="14" t="n">
        <v>582</v>
      </c>
      <c r="B583" s="16" t="n">
        <v>45411</v>
      </c>
      <c r="C583" s="15" t="n">
        <v>2024</v>
      </c>
      <c r="D583" s="15" t="inlineStr">
        <is>
          <t>Diffusion Engineers Limited</t>
        </is>
      </c>
      <c r="E583" s="15" t="inlineStr">
        <is>
          <t>DRHP</t>
        </is>
      </c>
      <c r="F583" s="15" t="inlineStr">
        <is>
          <t>Diffusion Engineers Limited - DRHP</t>
        </is>
      </c>
      <c r="G583" s="15" t="inlineStr">
        <is>
          <t>IPO launched</t>
        </is>
      </c>
      <c r="H583" s="15" t="inlineStr">
        <is>
          <t>Mainboard</t>
        </is>
      </c>
      <c r="I583" s="16" t="n">
        <v>45561</v>
      </c>
      <c r="J583" s="16" t="n">
        <v>45565</v>
      </c>
      <c r="K583" s="16" t="n">
        <v>45569</v>
      </c>
      <c r="L583" s="17" t="n">
        <v>158</v>
      </c>
      <c r="M583" s="17" t="n">
        <v>158</v>
      </c>
      <c r="N583" s="17" t="n">
        <v>0</v>
      </c>
      <c r="O583" s="15" t="inlineStr">
        <is>
          <t>Final issue (ipoplatform)</t>
        </is>
      </c>
      <c r="P583" s="15" t="n"/>
      <c r="Q583" s="18" t="inlineStr">
        <is>
          <t>https://www.sebi.gov.in/sebi_data/attachdocs/apr-2024/1714390276512.pdf</t>
        </is>
      </c>
      <c r="R583" s="18" t="inlineStr">
        <is>
          <t>https://www.sebi.gov.in/filings/public-issues/apr-2024/diffusion-engineers-limited-drhp_83088.html</t>
        </is>
      </c>
      <c r="S583" s="15" t="n"/>
      <c r="T583" s="15" t="inlineStr">
        <is>
          <t>SEBI filing link</t>
        </is>
      </c>
      <c r="U583" s="15" t="inlineStr">
        <is>
          <t>Diffusion Engineers Limited</t>
        </is>
      </c>
      <c r="V583" s="15" t="n"/>
      <c r="W583" s="15" t="n"/>
      <c r="X583" s="15" t="n"/>
      <c r="Y583" s="15" t="n"/>
      <c r="Z583" s="15" t="n"/>
      <c r="AA583" s="15" t="n"/>
      <c r="AB583" s="15" t="n"/>
    </row>
    <row r="584" ht="15" customHeight="1" s="12">
      <c r="A584" s="14" t="n">
        <v>583</v>
      </c>
      <c r="B584" s="16" t="n">
        <v>45405</v>
      </c>
      <c r="C584" s="15" t="n">
        <v>2024</v>
      </c>
      <c r="D584" s="15" t="inlineStr">
        <is>
          <t>Premier Energies Limited</t>
        </is>
      </c>
      <c r="E584" s="15" t="inlineStr">
        <is>
          <t>DRHP</t>
        </is>
      </c>
      <c r="F584" s="15" t="inlineStr">
        <is>
          <t>Premier Energies Limited - DRHP</t>
        </is>
      </c>
      <c r="G584" s="15" t="inlineStr">
        <is>
          <t>IPO launched</t>
        </is>
      </c>
      <c r="H584" s="15" t="inlineStr">
        <is>
          <t>Mainboard</t>
        </is>
      </c>
      <c r="I584" s="16" t="n">
        <v>45531</v>
      </c>
      <c r="J584" s="16" t="n">
        <v>45533</v>
      </c>
      <c r="K584" s="16" t="n">
        <v>45538</v>
      </c>
      <c r="L584" s="17" t="n">
        <v>2830.4</v>
      </c>
      <c r="M584" s="17" t="n">
        <v>1291.4</v>
      </c>
      <c r="N584" s="17" t="n">
        <v>1539</v>
      </c>
      <c r="O584" s="15" t="inlineStr">
        <is>
          <t>Final issue (ipoplatform)</t>
        </is>
      </c>
      <c r="P584" s="15" t="n"/>
      <c r="Q584" s="18" t="inlineStr">
        <is>
          <t>https://www.sebi.gov.in/sebi_data/attachdocs/apr-2024/1713869462252.pdf</t>
        </is>
      </c>
      <c r="R584" s="18" t="inlineStr">
        <is>
          <t>https://www.sebi.gov.in/filings/public-issues/apr-2024/premier-energies-limited-drhp_82967.html</t>
        </is>
      </c>
      <c r="S584" s="15" t="n"/>
      <c r="T584" s="15" t="inlineStr">
        <is>
          <t>SEBI filing link</t>
        </is>
      </c>
      <c r="U584" s="15" t="inlineStr">
        <is>
          <t>Premier Energies Limited</t>
        </is>
      </c>
      <c r="V584" s="15" t="n"/>
      <c r="W584" s="15" t="n"/>
      <c r="X584" s="15" t="n"/>
      <c r="Y584" s="15" t="n"/>
      <c r="Z584" s="15" t="n"/>
      <c r="AA584" s="15" t="n"/>
      <c r="AB584" s="15" t="n"/>
    </row>
    <row r="585" ht="15" customHeight="1" s="12">
      <c r="A585" s="14" t="n">
        <v>584</v>
      </c>
      <c r="B585" s="16" t="n">
        <v>45404</v>
      </c>
      <c r="C585" s="15" t="n">
        <v>2024</v>
      </c>
      <c r="D585" s="15" t="inlineStr">
        <is>
          <t>SANATHAN TEXTILES LIMITED</t>
        </is>
      </c>
      <c r="E585" s="15" t="inlineStr">
        <is>
          <t>DRHP</t>
        </is>
      </c>
      <c r="F585" s="15" t="inlineStr">
        <is>
          <t>SANATHAN TEXTILES LIMITED</t>
        </is>
      </c>
      <c r="G585" s="15" t="inlineStr">
        <is>
          <t>IPO launched</t>
        </is>
      </c>
      <c r="H585" s="15" t="inlineStr">
        <is>
          <t>Mainboard</t>
        </is>
      </c>
      <c r="I585" s="16" t="n">
        <v>45645</v>
      </c>
      <c r="J585" s="16" t="n">
        <v>45649</v>
      </c>
      <c r="K585" s="16" t="n">
        <v>45653</v>
      </c>
      <c r="L585" s="17" t="n">
        <v>550</v>
      </c>
      <c r="M585" s="17" t="n">
        <v>400</v>
      </c>
      <c r="N585" s="17" t="n">
        <v>150</v>
      </c>
      <c r="O585" s="15" t="inlineStr">
        <is>
          <t>Final issue (ipoplatform)</t>
        </is>
      </c>
      <c r="P585" s="15" t="n"/>
      <c r="Q585" s="18" t="inlineStr">
        <is>
          <t>https://www.sebi.gov.in/sebi_data/attachdocs/apr-2024/1713785406107_229.pdf</t>
        </is>
      </c>
      <c r="R585" s="18" t="inlineStr">
        <is>
          <t>https://www.sebi.gov.in/filings/public-issues/apr-2024/sanathan-textiles-limited_82952.html</t>
        </is>
      </c>
      <c r="S585" s="15" t="n"/>
      <c r="T585" s="15" t="inlineStr">
        <is>
          <t>Company name + date window</t>
        </is>
      </c>
      <c r="U585" s="15" t="inlineStr">
        <is>
          <t>Sanathan Textiles Limited</t>
        </is>
      </c>
      <c r="V585" s="15" t="n"/>
      <c r="W585" s="15" t="n"/>
      <c r="X585" s="15" t="n"/>
      <c r="Y585" s="15" t="n"/>
      <c r="Z585" s="15" t="n"/>
      <c r="AA585" s="15" t="n"/>
      <c r="AB585" s="15" t="n"/>
    </row>
    <row r="586" ht="15" customHeight="1" s="12">
      <c r="A586" s="14" t="n">
        <v>585</v>
      </c>
      <c r="B586" s="16" t="n">
        <v>45397</v>
      </c>
      <c r="C586" s="15" t="n">
        <v>2024</v>
      </c>
      <c r="D586" s="15" t="inlineStr">
        <is>
          <t>Deepak Builders &amp; Engineers India Limited</t>
        </is>
      </c>
      <c r="E586" s="15" t="inlineStr">
        <is>
          <t>DRHP</t>
        </is>
      </c>
      <c r="F586" s="15" t="inlineStr">
        <is>
          <t>Deepak Builders &amp; Engineers India Limited</t>
        </is>
      </c>
      <c r="G586" s="15" t="inlineStr">
        <is>
          <t>IPO launched</t>
        </is>
      </c>
      <c r="H586" s="15" t="inlineStr">
        <is>
          <t>Mainboard</t>
        </is>
      </c>
      <c r="I586" s="16" t="n">
        <v>45586</v>
      </c>
      <c r="J586" s="16" t="n">
        <v>45588</v>
      </c>
      <c r="K586" s="16" t="n">
        <v>45593</v>
      </c>
      <c r="L586" s="17" t="n">
        <v>260.04</v>
      </c>
      <c r="M586" s="17" t="n">
        <v>217.21</v>
      </c>
      <c r="N586" s="17" t="n">
        <v>42.83</v>
      </c>
      <c r="O586" s="15" t="inlineStr">
        <is>
          <t>Final issue (ipoplatform)</t>
        </is>
      </c>
      <c r="P586" s="15" t="n"/>
      <c r="Q586" s="18" t="inlineStr">
        <is>
          <t>https://www.sebi.gov.in/sebi_data/attachdocs/apr-2024/1713166205195_228.pdf</t>
        </is>
      </c>
      <c r="R586" s="18" t="inlineStr">
        <is>
          <t>https://www.sebi.gov.in/filings/public-issues/apr-2024/deepak-builders-and-engineers-india-limited_82895.html</t>
        </is>
      </c>
      <c r="S586" s="15" t="n"/>
      <c r="T586" s="15" t="inlineStr">
        <is>
          <t>SEBI filing link</t>
        </is>
      </c>
      <c r="U586" s="15" t="inlineStr">
        <is>
          <t>Deepak Builders &amp; Engineers India Limited</t>
        </is>
      </c>
      <c r="V586" s="15" t="n"/>
      <c r="W586" s="15" t="n"/>
      <c r="X586" s="15" t="n"/>
      <c r="Y586" s="15" t="n"/>
      <c r="Z586" s="15" t="n"/>
      <c r="AA586" s="15" t="n"/>
      <c r="AB586" s="15" t="n"/>
    </row>
    <row r="587" ht="15" customHeight="1" s="12">
      <c r="A587" s="14" t="n">
        <v>586</v>
      </c>
      <c r="B587" s="16" t="n">
        <v>45390</v>
      </c>
      <c r="C587" s="15" t="n">
        <v>2024</v>
      </c>
      <c r="D587" s="15" t="inlineStr">
        <is>
          <t>Tolin Tyres Limited</t>
        </is>
      </c>
      <c r="E587" s="15" t="inlineStr">
        <is>
          <t>Addendum</t>
        </is>
      </c>
      <c r="F587" s="15" t="inlineStr">
        <is>
          <t>Tolin Tyres Limited - Addendum to DRHP</t>
        </is>
      </c>
      <c r="G587" s="15" t="inlineStr">
        <is>
          <t>IPO launched</t>
        </is>
      </c>
      <c r="H587" s="15" t="inlineStr">
        <is>
          <t>Mainboard</t>
        </is>
      </c>
      <c r="I587" s="16" t="n">
        <v>45544</v>
      </c>
      <c r="J587" s="16" t="n">
        <v>45546</v>
      </c>
      <c r="K587" s="16" t="n">
        <v>45551</v>
      </c>
      <c r="L587" s="17" t="n">
        <v>230</v>
      </c>
      <c r="M587" s="17" t="n">
        <v>200</v>
      </c>
      <c r="N587" s="17" t="n">
        <v>30</v>
      </c>
      <c r="O587" s="15" t="inlineStr">
        <is>
          <t>Final issue (ipoplatform)</t>
        </is>
      </c>
      <c r="P587" s="15" t="n"/>
      <c r="Q587" s="18" t="inlineStr">
        <is>
          <t>https://www.sebi.gov.in/sebi_data/attachdocs/apr-2024/1712553177770.PDF</t>
        </is>
      </c>
      <c r="R587" s="18" t="inlineStr">
        <is>
          <t>https://www.sebi.gov.in/filings/public-issues/apr-2024/tolin-tyres-limited-addendum-to-drhp_82798.html</t>
        </is>
      </c>
      <c r="S587" s="15" t="n"/>
      <c r="T587" s="15" t="inlineStr">
        <is>
          <t>Company name (close spelling) + date window</t>
        </is>
      </c>
      <c r="U587" s="15" t="inlineStr">
        <is>
          <t>Tolins Tyres Limited</t>
        </is>
      </c>
      <c r="V587" s="15" t="n"/>
      <c r="W587" s="15" t="n"/>
      <c r="X587" s="15" t="n"/>
      <c r="Y587" s="15" t="n"/>
      <c r="Z587" s="15" t="n"/>
      <c r="AA587" s="15" t="n"/>
      <c r="AB587" s="15" t="n"/>
    </row>
    <row r="588" ht="15" customHeight="1" s="12">
      <c r="A588" s="14" t="n">
        <v>587</v>
      </c>
      <c r="B588" s="16" t="n">
        <v>45387</v>
      </c>
      <c r="C588" s="15" t="n">
        <v>2024</v>
      </c>
      <c r="D588" s="15" t="inlineStr">
        <is>
          <t>Crizac Limited</t>
        </is>
      </c>
      <c r="E588" s="15" t="inlineStr">
        <is>
          <t>DRHP</t>
        </is>
      </c>
      <c r="F588" s="15" t="inlineStr">
        <is>
          <t>Crizac Limited-DRHP</t>
        </is>
      </c>
      <c r="G588" s="15" t="inlineStr">
        <is>
          <t>IPO launched</t>
        </is>
      </c>
      <c r="H588" s="15" t="inlineStr">
        <is>
          <t>Mainboard</t>
        </is>
      </c>
      <c r="I588" s="16" t="n">
        <v>45840</v>
      </c>
      <c r="J588" s="16" t="n">
        <v>45842</v>
      </c>
      <c r="K588" s="16" t="n">
        <v>45847</v>
      </c>
      <c r="L588" s="17" t="n">
        <v>860</v>
      </c>
      <c r="M588" s="17" t="n">
        <v>0</v>
      </c>
      <c r="N588" s="17" t="n">
        <v>860</v>
      </c>
      <c r="O588" s="15" t="inlineStr">
        <is>
          <t>Final issue (ipoplatform)</t>
        </is>
      </c>
      <c r="P588" s="15" t="n"/>
      <c r="Q588" s="18" t="inlineStr">
        <is>
          <t>https://www.sebi.gov.in/sebi_data/attachdocs/apr-2024/1712295033208.pdf</t>
        </is>
      </c>
      <c r="R588" s="18" t="inlineStr">
        <is>
          <t>https://www.sebi.gov.in/filings/public-issues/apr-2024/crizac-limited-drhp_82767.html</t>
        </is>
      </c>
      <c r="S588" s="15" t="n"/>
      <c r="T588" s="15" t="inlineStr">
        <is>
          <t>SEBI filing link</t>
        </is>
      </c>
      <c r="U588" s="15" t="inlineStr">
        <is>
          <t>Crizac Limited</t>
        </is>
      </c>
      <c r="V588" s="15" t="n"/>
      <c r="W588" s="15" t="n"/>
      <c r="X588" s="15" t="n"/>
      <c r="Y588" s="15" t="n"/>
      <c r="Z588" s="15" t="n"/>
      <c r="AA588" s="15" t="n"/>
      <c r="AB588" s="15" t="n"/>
    </row>
    <row r="589" ht="15" customHeight="1" s="12">
      <c r="A589" s="14" t="n">
        <v>588</v>
      </c>
      <c r="B589" s="16" t="n">
        <v>45385</v>
      </c>
      <c r="C589" s="15" t="n">
        <v>2024</v>
      </c>
      <c r="D589" s="15" t="inlineStr">
        <is>
          <t>PATEL RETAIL LIMITED</t>
        </is>
      </c>
      <c r="E589" s="15" t="inlineStr">
        <is>
          <t>DRHP</t>
        </is>
      </c>
      <c r="F589" s="15" t="inlineStr">
        <is>
          <t>PATEL RETAIL LIMITED - DRHP</t>
        </is>
      </c>
      <c r="G589" s="15" t="inlineStr">
        <is>
          <t>IPO launched</t>
        </is>
      </c>
      <c r="H589" s="15" t="inlineStr">
        <is>
          <t>Mainboard</t>
        </is>
      </c>
      <c r="I589" s="16" t="n">
        <v>45888</v>
      </c>
      <c r="J589" s="16" t="n">
        <v>45890</v>
      </c>
      <c r="K589" s="16" t="n">
        <v>45895</v>
      </c>
      <c r="L589" s="17" t="n">
        <v>242.76</v>
      </c>
      <c r="M589" s="17" t="n">
        <v>217.21</v>
      </c>
      <c r="N589" s="17" t="n">
        <v>25.55</v>
      </c>
      <c r="O589" s="15" t="inlineStr">
        <is>
          <t>Final issue (ipoplatform)</t>
        </is>
      </c>
      <c r="P589" s="15" t="n"/>
      <c r="Q589" s="18" t="inlineStr">
        <is>
          <t>https://www.sebi.gov.in/sebi_data/attachdocs/apr-2024/1712226750087.pdf</t>
        </is>
      </c>
      <c r="R589" s="18" t="inlineStr">
        <is>
          <t>https://www.sebi.gov.in/filings/public-issues/apr-2024/patel-retail-limited-drhp_82710.html</t>
        </is>
      </c>
      <c r="S589" s="15" t="n"/>
      <c r="T589" s="15" t="inlineStr">
        <is>
          <t>SEBI filing link</t>
        </is>
      </c>
      <c r="U589" s="15" t="inlineStr">
        <is>
          <t>Patel Retail Limited</t>
        </is>
      </c>
      <c r="V589" s="15" t="n"/>
      <c r="W589" s="15" t="n"/>
      <c r="X589" s="15" t="n"/>
      <c r="Y589" s="15" t="n"/>
      <c r="Z589" s="15" t="n"/>
      <c r="AA589" s="15" t="n"/>
      <c r="AB589" s="15" t="n"/>
    </row>
    <row r="590" ht="15" customHeight="1" s="12">
      <c r="A590" s="14" t="n">
        <v>589</v>
      </c>
      <c r="B590" s="16" t="n">
        <v>45385</v>
      </c>
      <c r="C590" s="15" t="n">
        <v>2024</v>
      </c>
      <c r="D590" s="15" t="inlineStr">
        <is>
          <t>Manba Finance Limited</t>
        </is>
      </c>
      <c r="E590" s="15" t="inlineStr">
        <is>
          <t>Addendum</t>
        </is>
      </c>
      <c r="F590" s="15" t="inlineStr">
        <is>
          <t>Manba Finance Limited- Addendum to DRHP</t>
        </is>
      </c>
      <c r="G590" s="15" t="inlineStr">
        <is>
          <t>IPO launched</t>
        </is>
      </c>
      <c r="H590" s="15" t="inlineStr">
        <is>
          <t>Mainboard</t>
        </is>
      </c>
      <c r="I590" s="16" t="n">
        <v>45558</v>
      </c>
      <c r="J590" s="16" t="n">
        <v>45560</v>
      </c>
      <c r="K590" s="16" t="n">
        <v>45565</v>
      </c>
      <c r="L590" s="17" t="n">
        <v>150.84</v>
      </c>
      <c r="M590" s="17" t="n">
        <v>150.84</v>
      </c>
      <c r="N590" s="17" t="n">
        <v>0</v>
      </c>
      <c r="O590" s="15" t="inlineStr">
        <is>
          <t>Final issue (ipoplatform)</t>
        </is>
      </c>
      <c r="P590" s="15" t="n"/>
      <c r="Q590" s="18" t="inlineStr">
        <is>
          <t>https://www.sebi.gov.in/sebi_data/attachdocs/apr-2024/1712207965090.pdf</t>
        </is>
      </c>
      <c r="R590" s="18" t="inlineStr">
        <is>
          <t>https://www.sebi.gov.in/filings/public-issues/apr-2024/manba-finance-limited-addendum-to-drhp_82692.html</t>
        </is>
      </c>
      <c r="S590" s="15" t="n"/>
      <c r="T590" s="15" t="inlineStr">
        <is>
          <t>Company name + date window</t>
        </is>
      </c>
      <c r="U590" s="15" t="inlineStr">
        <is>
          <t>Manba Finance Limited</t>
        </is>
      </c>
      <c r="V590" s="15" t="n"/>
      <c r="W590" s="15" t="n"/>
      <c r="X590" s="15" t="n"/>
      <c r="Y590" s="15" t="n"/>
      <c r="Z590" s="15" t="n"/>
      <c r="AA590" s="15" t="n"/>
      <c r="AB590" s="15" t="n"/>
    </row>
    <row r="591" ht="15" customHeight="1" s="12">
      <c r="A591" s="14" t="n">
        <v>590</v>
      </c>
      <c r="B591" s="16" t="n">
        <v>45385</v>
      </c>
      <c r="C591" s="15" t="n">
        <v>2024</v>
      </c>
      <c r="D591" s="15" t="inlineStr">
        <is>
          <t>Raghuvir Exim Limited</t>
        </is>
      </c>
      <c r="E591" s="15" t="inlineStr">
        <is>
          <t>DRHP</t>
        </is>
      </c>
      <c r="F591" s="15" t="inlineStr">
        <is>
          <t>Raghuvir Exim Limited DRHP</t>
        </is>
      </c>
      <c r="G591" s="15" t="inlineStr">
        <is>
          <t>No launched IPO found</t>
        </is>
      </c>
      <c r="H591" s="15" t="n"/>
      <c r="I591" s="16" t="n"/>
      <c r="J591" s="16" t="n"/>
      <c r="K591" s="16" t="n"/>
      <c r="L591" s="17" t="n"/>
      <c r="M591" s="17" t="n"/>
      <c r="N591" s="17" t="n"/>
      <c r="O591" s="15" t="n"/>
      <c r="P591" s="15" t="n"/>
      <c r="Q591" s="18" t="inlineStr">
        <is>
          <t>https://www.sebi.gov.in/sebi_data/attachdocs/apr-2024/1712206879122.PDF</t>
        </is>
      </c>
      <c r="R591" s="18" t="inlineStr">
        <is>
          <t>https://www.sebi.gov.in/filings/public-issues/apr-2024/raghuvir-exim-limited-drhp_82687.html</t>
        </is>
      </c>
      <c r="S591" s="15" t="n"/>
      <c r="T591" s="15" t="n"/>
      <c r="U591" s="15" t="n"/>
      <c r="V591" s="15" t="n"/>
      <c r="W591" s="16" t="n"/>
      <c r="X591" s="16" t="n"/>
      <c r="Y591" s="16" t="n"/>
      <c r="Z591" s="15" t="inlineStr">
        <is>
          <t>Withdrawn / approval lapsed</t>
        </is>
      </c>
      <c r="AA591" s="15" t="inlineStr">
        <is>
          <t>Search summary says IPO documents withdrawn.</t>
        </is>
      </c>
      <c r="AB591" s="18" t="inlineStr">
        <is>
          <t>https://www.chittorgarh.com/ipo/raghuvir-exim-ipo/2322/</t>
        </is>
      </c>
    </row>
    <row r="592" ht="15" customHeight="1" s="12">
      <c r="A592" s="14" t="n">
        <v>591</v>
      </c>
      <c r="B592" s="16" t="n">
        <v>45385</v>
      </c>
      <c r="C592" s="15" t="n">
        <v>2024</v>
      </c>
      <c r="D592" s="15" t="inlineStr">
        <is>
          <t>Patel Retail Limited</t>
        </is>
      </c>
      <c r="E592" s="15" t="inlineStr">
        <is>
          <t>DRHP</t>
        </is>
      </c>
      <c r="F592" s="15" t="inlineStr">
        <is>
          <t>Patel Retail Limited</t>
        </is>
      </c>
      <c r="G592" s="15" t="inlineStr">
        <is>
          <t>IPO launched</t>
        </is>
      </c>
      <c r="H592" s="15" t="inlineStr">
        <is>
          <t>Mainboard</t>
        </is>
      </c>
      <c r="I592" s="16" t="n">
        <v>45888</v>
      </c>
      <c r="J592" s="16" t="n">
        <v>45890</v>
      </c>
      <c r="K592" s="16" t="n">
        <v>45895</v>
      </c>
      <c r="L592" s="17" t="n">
        <v>242.76</v>
      </c>
      <c r="M592" s="17" t="n">
        <v>217.21</v>
      </c>
      <c r="N592" s="17" t="n">
        <v>25.55</v>
      </c>
      <c r="O592" s="15" t="inlineStr">
        <is>
          <t>Final issue (ipoplatform)</t>
        </is>
      </c>
      <c r="P592" s="15" t="n"/>
      <c r="Q592" s="18" t="inlineStr">
        <is>
          <t>https://www.sebi.gov.in/sebi_data/attachdocs/apr-2024/1712194206944_209.pdf</t>
        </is>
      </c>
      <c r="R592" s="18" t="inlineStr">
        <is>
          <t>https://www.sebi.gov.in/filings/public-issues/apr-2024/patel-retail-limited_82685.html</t>
        </is>
      </c>
      <c r="S592" s="15" t="n"/>
      <c r="T592" s="15" t="inlineStr">
        <is>
          <t>Company name + date window</t>
        </is>
      </c>
      <c r="U592" s="15" t="inlineStr">
        <is>
          <t>Patel Retail Limited</t>
        </is>
      </c>
      <c r="V592" s="15" t="n"/>
      <c r="W592" s="15" t="n"/>
      <c r="X592" s="15" t="n"/>
      <c r="Y592" s="15" t="n"/>
      <c r="Z592" s="15" t="n"/>
      <c r="AA592" s="15" t="n"/>
      <c r="AB592" s="15" t="n"/>
    </row>
    <row r="593" ht="15" customHeight="1" s="12">
      <c r="A593" s="14" t="n">
        <v>592</v>
      </c>
      <c r="B593" s="16" t="n">
        <v>45384</v>
      </c>
      <c r="C593" s="15" t="n">
        <v>2024</v>
      </c>
      <c r="D593" s="15" t="inlineStr">
        <is>
          <t>VASUKI GLOBAL INDUSTRIES LIMITED</t>
        </is>
      </c>
      <c r="E593" s="15" t="inlineStr">
        <is>
          <t>DRHP</t>
        </is>
      </c>
      <c r="F593" s="15" t="inlineStr">
        <is>
          <t>VASUKI GLOBAL INDUSTRIES LIMITED</t>
        </is>
      </c>
      <c r="G593" s="15" t="inlineStr">
        <is>
          <t>No launched IPO found</t>
        </is>
      </c>
      <c r="H593" s="15" t="n"/>
      <c r="I593" s="16" t="n"/>
      <c r="J593" s="16" t="n"/>
      <c r="K593" s="16" t="n"/>
      <c r="L593" s="17" t="n"/>
      <c r="M593" s="17" t="n"/>
      <c r="N593" s="17" t="n"/>
      <c r="O593" s="15" t="n"/>
      <c r="P593" s="15" t="n"/>
      <c r="Q593" s="18" t="inlineStr">
        <is>
          <t>https://www.sebi.gov.in/sebi_data/attachdocs/apr-2024/1712107807123_207.pdf</t>
        </is>
      </c>
      <c r="R593" s="18" t="inlineStr">
        <is>
          <t>https://www.sebi.gov.in/filings/public-issues/apr-2024/vasuki-global-industries-limited_82658.html</t>
        </is>
      </c>
      <c r="S593" s="15" t="n"/>
      <c r="T593" s="15" t="n"/>
      <c r="U593" s="15" t="n"/>
      <c r="V593" s="15" t="n"/>
      <c r="W593" s="16" t="n"/>
      <c r="X593" s="16" t="n"/>
      <c r="Y593" s="16" t="n"/>
      <c r="Z593" s="15" t="inlineStr">
        <is>
          <t>Withdrawn / approval lapsed</t>
        </is>
      </c>
      <c r="AA593" s="15" t="inlineStr">
        <is>
          <t>SEBI returned draft documents 16 May 2024; no issue found.</t>
        </is>
      </c>
      <c r="AB593" s="18" t="inlineStr">
        <is>
          <t>https://www.chittorgarh.com/ipo/vasuki-global-industries-ipo/2329/</t>
        </is>
      </c>
    </row>
    <row r="594" ht="15" customHeight="1" s="12">
      <c r="A594" s="14" t="n">
        <v>593</v>
      </c>
      <c r="B594" s="16" t="n">
        <v>45384</v>
      </c>
      <c r="C594" s="15" t="n">
        <v>2024</v>
      </c>
      <c r="D594" s="15" t="inlineStr">
        <is>
          <t>ECOS India Mobility and Hospitality Limited</t>
        </is>
      </c>
      <c r="E594" s="15" t="inlineStr">
        <is>
          <t>DRHP</t>
        </is>
      </c>
      <c r="F594" s="15" t="inlineStr">
        <is>
          <t>ECOS India Mobility and Hospitality Limited -DRHP</t>
        </is>
      </c>
      <c r="G594" s="15" t="inlineStr">
        <is>
          <t>IPO launched</t>
        </is>
      </c>
      <c r="H594" s="15" t="inlineStr">
        <is>
          <t>Mainboard</t>
        </is>
      </c>
      <c r="I594" s="16" t="n">
        <v>45532</v>
      </c>
      <c r="J594" s="16" t="n">
        <v>45534</v>
      </c>
      <c r="K594" s="16" t="n">
        <v>45539</v>
      </c>
      <c r="L594" s="17" t="n">
        <v>601.2</v>
      </c>
      <c r="M594" s="17" t="n">
        <v>0</v>
      </c>
      <c r="N594" s="17" t="n">
        <v>601.2</v>
      </c>
      <c r="O594" s="15" t="inlineStr">
        <is>
          <t>Final issue (ipoplatform)</t>
        </is>
      </c>
      <c r="P594" s="15" t="n"/>
      <c r="Q594" s="18" t="inlineStr">
        <is>
          <t>https://www.sebi.gov.in/sebi_data/attachdocs/apr-2024/1712054083975.pdf</t>
        </is>
      </c>
      <c r="R594" s="18" t="inlineStr">
        <is>
          <t>https://www.sebi.gov.in/filings/public-issues/apr-2024/ecos-india-mobility-and-hospitality-limited-drhp_82651.html</t>
        </is>
      </c>
      <c r="S594" s="15" t="n"/>
      <c r="T594" s="15" t="inlineStr">
        <is>
          <t>Company name + date window</t>
        </is>
      </c>
      <c r="U594" s="15" t="inlineStr">
        <is>
          <t>ECOS (India) Mobility &amp; Hospitality Limited</t>
        </is>
      </c>
      <c r="V594" s="15" t="n"/>
      <c r="W594" s="15" t="n"/>
      <c r="X594" s="15" t="n"/>
      <c r="Y594" s="15" t="n"/>
      <c r="Z594" s="15" t="n"/>
      <c r="AA594" s="15" t="n"/>
      <c r="AB594" s="15" t="n"/>
    </row>
    <row r="595" ht="15" customHeight="1" s="12">
      <c r="A595" s="14" t="n">
        <v>594</v>
      </c>
      <c r="B595" s="16" t="n">
        <v>45384</v>
      </c>
      <c r="C595" s="15" t="n">
        <v>2024</v>
      </c>
      <c r="D595" s="15" t="inlineStr">
        <is>
          <t>Afcons Infrastructure Limited</t>
        </is>
      </c>
      <c r="E595" s="15" t="inlineStr">
        <is>
          <t>DRHP</t>
        </is>
      </c>
      <c r="F595" s="15" t="inlineStr">
        <is>
          <t>Afcons Infrastructure Limited</t>
        </is>
      </c>
      <c r="G595" s="15" t="inlineStr">
        <is>
          <t>IPO launched</t>
        </is>
      </c>
      <c r="H595" s="15" t="inlineStr">
        <is>
          <t>Mainboard</t>
        </is>
      </c>
      <c r="I595" s="16" t="n">
        <v>45590</v>
      </c>
      <c r="J595" s="16" t="n">
        <v>45594</v>
      </c>
      <c r="K595" s="16" t="n">
        <v>45600</v>
      </c>
      <c r="L595" s="17" t="n">
        <v>5430</v>
      </c>
      <c r="M595" s="17" t="n">
        <v>1250</v>
      </c>
      <c r="N595" s="17" t="n">
        <v>4180</v>
      </c>
      <c r="O595" s="15" t="inlineStr">
        <is>
          <t>Final issue (ipoplatform)</t>
        </is>
      </c>
      <c r="P595" s="15" t="n"/>
      <c r="Q595" s="18" t="inlineStr">
        <is>
          <t>https://www.sebi.gov.in/sebi_data/attachdocs/apr-2024/1712040582074.pdf</t>
        </is>
      </c>
      <c r="R595" s="18" t="inlineStr">
        <is>
          <t>https://www.sebi.gov.in/filings/public-issues/apr-2024/afcons-infrastructure-limited_13596.html</t>
        </is>
      </c>
      <c r="S595" s="15" t="n"/>
      <c r="T595" s="15" t="inlineStr">
        <is>
          <t>SEBI filing link</t>
        </is>
      </c>
      <c r="U595" s="15" t="inlineStr">
        <is>
          <t>Afcons Infrastructure Limited</t>
        </is>
      </c>
      <c r="V595" s="15" t="n"/>
      <c r="W595" s="15" t="n"/>
      <c r="X595" s="15" t="n"/>
      <c r="Y595" s="15" t="n"/>
      <c r="Z595" s="15" t="n"/>
      <c r="AA595" s="15" t="n"/>
      <c r="AB595" s="15" t="n"/>
    </row>
    <row r="596" ht="15" customHeight="1" s="12">
      <c r="A596" s="14" t="n">
        <v>595</v>
      </c>
      <c r="B596" s="16" t="n">
        <v>45383</v>
      </c>
      <c r="C596" s="15" t="n">
        <v>2024</v>
      </c>
      <c r="D596" s="15" t="inlineStr">
        <is>
          <t>KRN Heat Exchanger and Refrigeration Limited</t>
        </is>
      </c>
      <c r="E596" s="15" t="inlineStr">
        <is>
          <t>DRHP</t>
        </is>
      </c>
      <c r="F596" s="15" t="inlineStr">
        <is>
          <t>KRN Heat Exchanger and Refrigeration Limited - DRHP</t>
        </is>
      </c>
      <c r="G596" s="15" t="inlineStr">
        <is>
          <t>IPO launched</t>
        </is>
      </c>
      <c r="H596" s="15" t="inlineStr">
        <is>
          <t>Mainboard</t>
        </is>
      </c>
      <c r="I596" s="16" t="n">
        <v>45560</v>
      </c>
      <c r="J596" s="16" t="n">
        <v>45562</v>
      </c>
      <c r="K596" s="16" t="n">
        <v>45568</v>
      </c>
      <c r="L596" s="17" t="n">
        <v>341.95</v>
      </c>
      <c r="M596" s="17" t="n">
        <v>341.95</v>
      </c>
      <c r="N596" s="17" t="n">
        <v>0</v>
      </c>
      <c r="O596" s="15" t="inlineStr">
        <is>
          <t>Final issue (ipoplatform)</t>
        </is>
      </c>
      <c r="P596" s="15" t="n"/>
      <c r="Q596" s="18" t="inlineStr">
        <is>
          <t>https://www.sebi.gov.in/sebi_data/attachdocs/apr-2024/1712123948559.PDF</t>
        </is>
      </c>
      <c r="R596" s="18" t="inlineStr">
        <is>
          <t>https://www.sebi.gov.in/filings/public-issues/apr-2024/krn-heat-exchanger-and-refrigeration-limited-drhp_82668.html</t>
        </is>
      </c>
      <c r="S596" s="15" t="n"/>
      <c r="T596" s="15" t="inlineStr">
        <is>
          <t>SEBI filing link</t>
        </is>
      </c>
      <c r="U596" s="15" t="inlineStr">
        <is>
          <t>KRN Heat Exchanger and Refrigeration Limited</t>
        </is>
      </c>
      <c r="V596" s="15" t="n"/>
      <c r="W596" s="15" t="n"/>
      <c r="X596" s="15" t="n"/>
      <c r="Y596" s="15" t="n"/>
      <c r="Z596" s="15" t="n"/>
      <c r="AA596" s="15" t="n"/>
      <c r="AB596" s="15" t="n"/>
    </row>
    <row r="597" ht="15" customHeight="1" s="12">
      <c r="A597" s="14" t="n">
        <v>596</v>
      </c>
      <c r="B597" s="16" t="n">
        <v>45379</v>
      </c>
      <c r="C597" s="15" t="n">
        <v>2024</v>
      </c>
      <c r="D597" s="15" t="inlineStr">
        <is>
          <t>P N Gadgil Jewellers Limited</t>
        </is>
      </c>
      <c r="E597" s="15" t="inlineStr">
        <is>
          <t>DRHP</t>
        </is>
      </c>
      <c r="F597" s="15" t="inlineStr">
        <is>
          <t>P N Gadgil Jewellers Limited - DRHP</t>
        </is>
      </c>
      <c r="G597" s="15" t="inlineStr">
        <is>
          <t>IPO launched</t>
        </is>
      </c>
      <c r="H597" s="15" t="inlineStr">
        <is>
          <t>Mainboard</t>
        </is>
      </c>
      <c r="I597" s="16" t="n">
        <v>45545</v>
      </c>
      <c r="J597" s="16" t="n">
        <v>45547</v>
      </c>
      <c r="K597" s="16" t="n">
        <v>45552</v>
      </c>
      <c r="L597" s="17" t="n">
        <v>1100</v>
      </c>
      <c r="M597" s="17" t="n">
        <v>850</v>
      </c>
      <c r="N597" s="17" t="n">
        <v>250</v>
      </c>
      <c r="O597" s="15" t="inlineStr">
        <is>
          <t>Final issue (ipoplatform)</t>
        </is>
      </c>
      <c r="P597" s="15" t="n"/>
      <c r="Q597" s="18" t="inlineStr">
        <is>
          <t>https://www.sebi.gov.in/sebi_data/attachdocs/mar-2024/1711629761734.pdf</t>
        </is>
      </c>
      <c r="R597" s="18" t="inlineStr">
        <is>
          <t>https://www.sebi.gov.in/filings/public-issues/mar-2024/p-n-gadgil-jewellers-limited-drhp_82611.html</t>
        </is>
      </c>
      <c r="S597" s="15" t="n"/>
      <c r="T597" s="15" t="inlineStr">
        <is>
          <t>SEBI filing link</t>
        </is>
      </c>
      <c r="U597" s="15" t="inlineStr">
        <is>
          <t>P N Gadgil Jewellers Limited</t>
        </is>
      </c>
      <c r="V597" s="15" t="n"/>
      <c r="W597" s="15" t="n"/>
      <c r="X597" s="15" t="n"/>
      <c r="Y597" s="15" t="n"/>
      <c r="Z597" s="15" t="n"/>
      <c r="AA597" s="15" t="n"/>
      <c r="AB597" s="15" t="n"/>
    </row>
    <row r="598" ht="15" customHeight="1" s="12">
      <c r="A598" s="14" t="n">
        <v>597</v>
      </c>
      <c r="B598" s="16" t="n">
        <v>45373</v>
      </c>
      <c r="C598" s="15" t="n">
        <v>2024</v>
      </c>
      <c r="D598" s="15" t="inlineStr">
        <is>
          <t>Shree Tirupati Balajee Agro Trading Company Limited</t>
        </is>
      </c>
      <c r="E598" s="15" t="inlineStr">
        <is>
          <t>DRHP</t>
        </is>
      </c>
      <c r="F598" s="15" t="inlineStr">
        <is>
          <t>Shree Tirupati Balajee Agro Trading Company Limited - DRHP</t>
        </is>
      </c>
      <c r="G598" s="15" t="inlineStr">
        <is>
          <t>IPO launched</t>
        </is>
      </c>
      <c r="H598" s="15" t="inlineStr">
        <is>
          <t>Mainboard</t>
        </is>
      </c>
      <c r="I598" s="16" t="n">
        <v>45540</v>
      </c>
      <c r="J598" s="16" t="n">
        <v>45544</v>
      </c>
      <c r="K598" s="16" t="n">
        <v>45547</v>
      </c>
      <c r="L598" s="17" t="n">
        <v>169.65</v>
      </c>
      <c r="M598" s="17" t="n">
        <v>122.43</v>
      </c>
      <c r="N598" s="17" t="n">
        <v>47.22</v>
      </c>
      <c r="O598" s="15" t="inlineStr">
        <is>
          <t>Final issue (ipoplatform)</t>
        </is>
      </c>
      <c r="P598" s="15" t="n"/>
      <c r="Q598" s="18" t="inlineStr">
        <is>
          <t>https://www.sebi.gov.in/sebi_data/attachdocs/mar-2024/1711110860246.pdf</t>
        </is>
      </c>
      <c r="R598" s="18" t="inlineStr">
        <is>
          <t>https://www.sebi.gov.in/filings/public-issues/mar-2024/shree-tirupati-balajee-agro-trading-company-limited-drhp_82507.html</t>
        </is>
      </c>
      <c r="S598" s="15" t="n"/>
      <c r="T598" s="15" t="inlineStr">
        <is>
          <t>SEBI filing link</t>
        </is>
      </c>
      <c r="U598" s="15" t="inlineStr">
        <is>
          <t>Shree Tirupati Balajee Agro Trading Company Limited</t>
        </is>
      </c>
      <c r="V598" s="15" t="n"/>
      <c r="W598" s="15" t="n"/>
      <c r="X598" s="15" t="n"/>
      <c r="Y598" s="15" t="n"/>
      <c r="Z598" s="15" t="n"/>
      <c r="AA598" s="15" t="n"/>
      <c r="AB598" s="15" t="n"/>
    </row>
    <row r="599" ht="15" customHeight="1" s="12">
      <c r="A599" s="14" t="n">
        <v>598</v>
      </c>
      <c r="B599" s="16" t="n">
        <v>45373</v>
      </c>
      <c r="C599" s="15" t="n">
        <v>2024</v>
      </c>
      <c r="D599" s="15" t="inlineStr">
        <is>
          <t>Stallion India Fluorochemicals Limited</t>
        </is>
      </c>
      <c r="E599" s="15" t="inlineStr">
        <is>
          <t>DRHP</t>
        </is>
      </c>
      <c r="F599" s="15" t="inlineStr">
        <is>
          <t>Stallion India Fluorochemicals Limited - DRHP</t>
        </is>
      </c>
      <c r="G599" s="15" t="inlineStr">
        <is>
          <t>IPO launched</t>
        </is>
      </c>
      <c r="H599" s="15" t="inlineStr">
        <is>
          <t>Mainboard</t>
        </is>
      </c>
      <c r="I599" s="16" t="n">
        <v>45673</v>
      </c>
      <c r="J599" s="16" t="n">
        <v>45677</v>
      </c>
      <c r="K599" s="16" t="n">
        <v>45680</v>
      </c>
      <c r="L599" s="17" t="n">
        <v>199.45</v>
      </c>
      <c r="M599" s="17" t="n">
        <v>160.73</v>
      </c>
      <c r="N599" s="17" t="n">
        <v>38.72</v>
      </c>
      <c r="O599" s="15" t="inlineStr">
        <is>
          <t>Final issue (ipoplatform)</t>
        </is>
      </c>
      <c r="P599" s="15" t="n"/>
      <c r="Q599" s="18" t="inlineStr">
        <is>
          <t>https://www.sebi.gov.in/sebi_data/attachdocs/mar-2024/1711110791647.pdf</t>
        </is>
      </c>
      <c r="R599" s="18" t="inlineStr">
        <is>
          <t>https://www.sebi.gov.in/filings/public-issues/mar-2024/stallion-india-fluorochemicals-limited-drhp_82505.html</t>
        </is>
      </c>
      <c r="S599" s="15" t="n"/>
      <c r="T599" s="15" t="inlineStr">
        <is>
          <t>SEBI filing link</t>
        </is>
      </c>
      <c r="U599" s="15" t="inlineStr">
        <is>
          <t>Stallion India Fluorochemicals Limited</t>
        </is>
      </c>
      <c r="V599" s="15" t="n"/>
      <c r="W599" s="15" t="n"/>
      <c r="X599" s="15" t="n"/>
      <c r="Y599" s="15" t="n"/>
      <c r="Z599" s="15" t="n"/>
      <c r="AA599" s="15" t="n"/>
      <c r="AB599" s="15" t="n"/>
    </row>
    <row r="600" ht="15" customHeight="1" s="12">
      <c r="A600" s="14" t="n">
        <v>599</v>
      </c>
      <c r="B600" s="16" t="n">
        <v>45372</v>
      </c>
      <c r="C600" s="15" t="n">
        <v>2024</v>
      </c>
      <c r="D600" s="15" t="inlineStr">
        <is>
          <t>Interarch Building Products Limited</t>
        </is>
      </c>
      <c r="E600" s="15" t="inlineStr">
        <is>
          <t>DRHP</t>
        </is>
      </c>
      <c r="F600" s="15" t="inlineStr">
        <is>
          <t>Interarch Building Products Limited - DRHP</t>
        </is>
      </c>
      <c r="G600" s="15" t="inlineStr">
        <is>
          <t>IPO launched</t>
        </is>
      </c>
      <c r="H600" s="15" t="inlineStr">
        <is>
          <t>Mainboard</t>
        </is>
      </c>
      <c r="I600" s="16" t="n">
        <v>45523</v>
      </c>
      <c r="J600" s="16" t="n">
        <v>45525</v>
      </c>
      <c r="K600" s="16" t="n">
        <v>45530</v>
      </c>
      <c r="L600" s="17" t="n">
        <v>600.29</v>
      </c>
      <c r="M600" s="17" t="n">
        <v>200</v>
      </c>
      <c r="N600" s="17" t="n">
        <v>400.29</v>
      </c>
      <c r="O600" s="15" t="inlineStr">
        <is>
          <t>Final issue (ipoplatform)</t>
        </is>
      </c>
      <c r="P600" s="15" t="n"/>
      <c r="Q600" s="18" t="inlineStr">
        <is>
          <t>https://www.sebi.gov.in/sebi_data/attachdocs/mar-2024/1711009103030.pdf</t>
        </is>
      </c>
      <c r="R600" s="18" t="inlineStr">
        <is>
          <t>https://www.sebi.gov.in/filings/public-issues/mar-2024/interarch-building-products-limited-drhp_82452.html</t>
        </is>
      </c>
      <c r="S600" s="15" t="n"/>
      <c r="T600" s="15" t="inlineStr">
        <is>
          <t>SEBI filing link</t>
        </is>
      </c>
      <c r="U600" s="15" t="inlineStr">
        <is>
          <t>Interarch Building Products Limited</t>
        </is>
      </c>
      <c r="V600" s="15" t="n"/>
      <c r="W600" s="15" t="n"/>
      <c r="X600" s="15" t="n"/>
      <c r="Y600" s="15" t="n"/>
      <c r="Z600" s="15" t="n"/>
      <c r="AA600" s="15" t="n"/>
      <c r="AB600" s="15" t="n"/>
    </row>
    <row r="601" ht="15" customHeight="1" s="12">
      <c r="A601" s="14" t="n">
        <v>600</v>
      </c>
      <c r="B601" s="16" t="n">
        <v>45371</v>
      </c>
      <c r="C601" s="15" t="n">
        <v>2024</v>
      </c>
      <c r="D601" s="15" t="inlineStr">
        <is>
          <t>Emcure Pharmaceuticals Limited</t>
        </is>
      </c>
      <c r="E601" s="15" t="inlineStr">
        <is>
          <t>Addendum</t>
        </is>
      </c>
      <c r="F601" s="15" t="inlineStr">
        <is>
          <t>Emcure Pharmaceuticals Limited - Addendum to DRHP</t>
        </is>
      </c>
      <c r="G601" s="15" t="inlineStr">
        <is>
          <t>IPO launched</t>
        </is>
      </c>
      <c r="H601" s="15" t="inlineStr">
        <is>
          <t>Mainboard</t>
        </is>
      </c>
      <c r="I601" s="16" t="n">
        <v>45476</v>
      </c>
      <c r="J601" s="16" t="n">
        <v>45478</v>
      </c>
      <c r="K601" s="16" t="n">
        <v>45483</v>
      </c>
      <c r="L601" s="17" t="n">
        <v>1952.03</v>
      </c>
      <c r="M601" s="17" t="n">
        <v>800</v>
      </c>
      <c r="N601" s="17" t="n">
        <v>1152.03</v>
      </c>
      <c r="O601" s="15" t="inlineStr">
        <is>
          <t>Final issue (ipoplatform)</t>
        </is>
      </c>
      <c r="P601" s="15" t="n"/>
      <c r="Q601" s="18" t="inlineStr">
        <is>
          <t>https://www.sebi.gov.in/sebi_data/attachdocs/mar-2024/1710917059066.pdf</t>
        </is>
      </c>
      <c r="R601" s="18" t="inlineStr">
        <is>
          <t>https://www.sebi.gov.in/filings/public-issues/mar-2024/emcure-pharmaceuticals-limited-addendum-to-drhp_82408.html</t>
        </is>
      </c>
      <c r="S601" s="15" t="n"/>
      <c r="T601" s="15" t="inlineStr">
        <is>
          <t>Company name + date window</t>
        </is>
      </c>
      <c r="U601" s="15" t="inlineStr">
        <is>
          <t>Emcure Pharmaceuticals Limited</t>
        </is>
      </c>
      <c r="V601" s="15" t="n"/>
      <c r="W601" s="15" t="n"/>
      <c r="X601" s="15" t="n"/>
      <c r="Y601" s="15" t="n"/>
      <c r="Z601" s="15" t="n"/>
      <c r="AA601" s="15" t="n"/>
      <c r="AB601" s="15" t="n"/>
    </row>
    <row r="602" ht="15" customHeight="1" s="12">
      <c r="A602" s="14" t="n">
        <v>601</v>
      </c>
      <c r="B602" s="16" t="n">
        <v>45369</v>
      </c>
      <c r="C602" s="15" t="n">
        <v>2024</v>
      </c>
      <c r="D602" s="15" t="inlineStr">
        <is>
          <t>Bazaar Style Retail Limited</t>
        </is>
      </c>
      <c r="E602" s="15" t="inlineStr">
        <is>
          <t>DRHP</t>
        </is>
      </c>
      <c r="F602" s="15" t="inlineStr">
        <is>
          <t>Bazaar Style Retail Limited - DRHP</t>
        </is>
      </c>
      <c r="G602" s="15" t="inlineStr">
        <is>
          <t>IPO launched</t>
        </is>
      </c>
      <c r="H602" s="15" t="inlineStr">
        <is>
          <t>Mainboard</t>
        </is>
      </c>
      <c r="I602" s="16" t="n">
        <v>45534</v>
      </c>
      <c r="J602" s="16" t="n">
        <v>45538</v>
      </c>
      <c r="K602" s="16" t="n">
        <v>45541</v>
      </c>
      <c r="L602" s="17" t="n">
        <v>834.6799999999999</v>
      </c>
      <c r="M602" s="17" t="n">
        <v>148</v>
      </c>
      <c r="N602" s="17" t="n">
        <v>686.6799999999999</v>
      </c>
      <c r="O602" s="15" t="inlineStr">
        <is>
          <t>Final issue (ipoplatform)</t>
        </is>
      </c>
      <c r="P602" s="15" t="n"/>
      <c r="Q602" s="18" t="inlineStr">
        <is>
          <t>https://www.sebi.gov.in/sebi_data/attachdocs/mar-2024/1710765640937.pdf</t>
        </is>
      </c>
      <c r="R602" s="18" t="inlineStr">
        <is>
          <t>https://www.sebi.gov.in/filings/public-issues/mar-2024/bazaar-style-retail-limited-drhp_82327.html</t>
        </is>
      </c>
      <c r="S602" s="15" t="n"/>
      <c r="T602" s="15" t="inlineStr">
        <is>
          <t>SEBI filing link</t>
        </is>
      </c>
      <c r="U602" s="15" t="inlineStr">
        <is>
          <t>Baazar Style Retail Limited</t>
        </is>
      </c>
      <c r="V602" s="15" t="n"/>
      <c r="W602" s="15" t="n"/>
      <c r="X602" s="15" t="n"/>
      <c r="Y602" s="15" t="n"/>
      <c r="Z602" s="15" t="n"/>
      <c r="AA602" s="15" t="n"/>
      <c r="AB602" s="15" t="n"/>
    </row>
    <row r="603" ht="15" customHeight="1" s="12">
      <c r="A603" s="14" t="n">
        <v>602</v>
      </c>
      <c r="B603" s="16" t="n">
        <v>45365</v>
      </c>
      <c r="C603" s="15" t="n">
        <v>2024</v>
      </c>
      <c r="D603" s="15" t="inlineStr">
        <is>
          <t>Transrail Lighting Limited</t>
        </is>
      </c>
      <c r="E603" s="15" t="inlineStr">
        <is>
          <t>DRHP</t>
        </is>
      </c>
      <c r="F603" s="15" t="inlineStr">
        <is>
          <t>Transrail Lighting Limited</t>
        </is>
      </c>
      <c r="G603" s="15" t="inlineStr">
        <is>
          <t>IPO launched</t>
        </is>
      </c>
      <c r="H603" s="15" t="inlineStr">
        <is>
          <t>Mainboard</t>
        </is>
      </c>
      <c r="I603" s="16" t="n">
        <v>45645</v>
      </c>
      <c r="J603" s="16" t="n">
        <v>45649</v>
      </c>
      <c r="K603" s="16" t="n">
        <v>45653</v>
      </c>
      <c r="L603" s="17" t="n">
        <v>838.91</v>
      </c>
      <c r="M603" s="17" t="n">
        <v>400</v>
      </c>
      <c r="N603" s="17" t="n">
        <v>438.91</v>
      </c>
      <c r="O603" s="15" t="inlineStr">
        <is>
          <t>Final issue (ipoplatform)</t>
        </is>
      </c>
      <c r="P603" s="15" t="n"/>
      <c r="Q603" s="18" t="inlineStr">
        <is>
          <t>https://www.sebi.gov.in/sebi_data/attachdocs/mar-2024/1710415806214_206.pdf</t>
        </is>
      </c>
      <c r="R603" s="18" t="inlineStr">
        <is>
          <t>https://www.sebi.gov.in/filings/public-issues/mar-2024/transrail-lighting-limited_82266.html</t>
        </is>
      </c>
      <c r="S603" s="15" t="n"/>
      <c r="T603" s="15" t="inlineStr">
        <is>
          <t>SEBI filing link</t>
        </is>
      </c>
      <c r="U603" s="15" t="inlineStr">
        <is>
          <t>Transrail Lighting Limited</t>
        </is>
      </c>
      <c r="V603" s="15" t="n"/>
      <c r="W603" s="15" t="n"/>
      <c r="X603" s="15" t="n"/>
      <c r="Y603" s="15" t="n"/>
      <c r="Z603" s="15" t="n"/>
      <c r="AA603" s="15" t="n"/>
      <c r="AB603" s="15" t="n"/>
    </row>
    <row r="604" ht="15" customHeight="1" s="12">
      <c r="A604" s="14" t="n">
        <v>603</v>
      </c>
      <c r="B604" s="16" t="n">
        <v>45365</v>
      </c>
      <c r="C604" s="15" t="n">
        <v>2024</v>
      </c>
      <c r="D604" s="15" t="inlineStr">
        <is>
          <t>Manba Finance Limited</t>
        </is>
      </c>
      <c r="E604" s="15" t="inlineStr">
        <is>
          <t>DRHP</t>
        </is>
      </c>
      <c r="F604" s="15" t="inlineStr">
        <is>
          <t>Manba Finance Limited</t>
        </is>
      </c>
      <c r="G604" s="15" t="inlineStr">
        <is>
          <t>IPO launched</t>
        </is>
      </c>
      <c r="H604" s="15" t="inlineStr">
        <is>
          <t>Mainboard</t>
        </is>
      </c>
      <c r="I604" s="16" t="n">
        <v>45558</v>
      </c>
      <c r="J604" s="16" t="n">
        <v>45560</v>
      </c>
      <c r="K604" s="16" t="n">
        <v>45565</v>
      </c>
      <c r="L604" s="17" t="n">
        <v>150.84</v>
      </c>
      <c r="M604" s="17" t="n">
        <v>150.84</v>
      </c>
      <c r="N604" s="17" t="n">
        <v>0</v>
      </c>
      <c r="O604" s="15" t="inlineStr">
        <is>
          <t>Final issue (ipoplatform)</t>
        </is>
      </c>
      <c r="P604" s="15" t="n"/>
      <c r="Q604" s="18" t="inlineStr">
        <is>
          <t>https://www.sebi.gov.in/sebi_data/attachdocs/mar-2024/1710415806214_205.pdf</t>
        </is>
      </c>
      <c r="R604" s="18" t="inlineStr">
        <is>
          <t>https://www.sebi.gov.in/filings/public-issues/mar-2024/manba-finance-limited_82264.html</t>
        </is>
      </c>
      <c r="S604" s="15" t="n"/>
      <c r="T604" s="15" t="inlineStr">
        <is>
          <t>SEBI filing link</t>
        </is>
      </c>
      <c r="U604" s="15" t="inlineStr">
        <is>
          <t>Manba Finance Limited</t>
        </is>
      </c>
      <c r="V604" s="15" t="n"/>
      <c r="W604" s="15" t="n"/>
      <c r="X604" s="15" t="n"/>
      <c r="Y604" s="15" t="n"/>
      <c r="Z604" s="15" t="n"/>
      <c r="AA604" s="15" t="n"/>
      <c r="AB604" s="15" t="n"/>
    </row>
    <row r="605" ht="15" customHeight="1" s="12">
      <c r="A605" s="14" t="n">
        <v>604</v>
      </c>
      <c r="B605" s="16" t="n">
        <v>45357</v>
      </c>
      <c r="C605" s="15" t="n">
        <v>2024</v>
      </c>
      <c r="D605" s="15" t="inlineStr">
        <is>
          <t>Ceigall India Limited</t>
        </is>
      </c>
      <c r="E605" s="15" t="inlineStr">
        <is>
          <t>DRHP</t>
        </is>
      </c>
      <c r="F605" s="15" t="inlineStr">
        <is>
          <t>Ceigall India Limited - DRHP</t>
        </is>
      </c>
      <c r="G605" s="15" t="inlineStr">
        <is>
          <t>IPO launched</t>
        </is>
      </c>
      <c r="H605" s="15" t="inlineStr">
        <is>
          <t>Mainboard</t>
        </is>
      </c>
      <c r="I605" s="16" t="n">
        <v>45505</v>
      </c>
      <c r="J605" s="16" t="n">
        <v>45509</v>
      </c>
      <c r="K605" s="16" t="n">
        <v>45512</v>
      </c>
      <c r="L605" s="17" t="n">
        <v>1252.66</v>
      </c>
      <c r="M605" s="17" t="n">
        <v>684.25</v>
      </c>
      <c r="N605" s="17" t="n">
        <v>568.41</v>
      </c>
      <c r="O605" s="15" t="inlineStr">
        <is>
          <t>Final issue (ipoplatform)</t>
        </is>
      </c>
      <c r="P605" s="15" t="n"/>
      <c r="Q605" s="18" t="inlineStr">
        <is>
          <t>https://www.sebi.gov.in/sebi_data/attachdocs/mar-2024/1709723234653.pdf</t>
        </is>
      </c>
      <c r="R605" s="18" t="inlineStr">
        <is>
          <t>https://www.sebi.gov.in/filings/public-issues/mar-2024/ceigall-india-limited-drhp_82078.html</t>
        </is>
      </c>
      <c r="S605" s="15" t="n"/>
      <c r="T605" s="15" t="inlineStr">
        <is>
          <t>SEBI filing link</t>
        </is>
      </c>
      <c r="U605" s="15" t="inlineStr">
        <is>
          <t>Ceigall India Limited</t>
        </is>
      </c>
      <c r="V605" s="15" t="n"/>
      <c r="W605" s="15" t="n"/>
      <c r="X605" s="15" t="n"/>
      <c r="Y605" s="15" t="n"/>
      <c r="Z605" s="15" t="n"/>
      <c r="AA605" s="15" t="n"/>
      <c r="AB605" s="15" t="n"/>
    </row>
    <row r="606" ht="15" customHeight="1" s="12">
      <c r="A606" s="14" t="n">
        <v>605</v>
      </c>
      <c r="B606" s="16" t="n">
        <v>45355</v>
      </c>
      <c r="C606" s="15" t="n">
        <v>2024</v>
      </c>
      <c r="D606" s="15" t="inlineStr">
        <is>
          <t>Vraj Iron and Steel Limited</t>
        </is>
      </c>
      <c r="E606" s="15" t="inlineStr">
        <is>
          <t>Addendum</t>
        </is>
      </c>
      <c r="F606" s="15" t="inlineStr">
        <is>
          <t>Vraj Iron and Steel Limited - Addendum to DRHP</t>
        </is>
      </c>
      <c r="G606" s="15" t="inlineStr">
        <is>
          <t>IPO launched</t>
        </is>
      </c>
      <c r="H606" s="15" t="inlineStr">
        <is>
          <t>Mainboard</t>
        </is>
      </c>
      <c r="I606" s="16" t="n">
        <v>45469</v>
      </c>
      <c r="J606" s="16" t="n">
        <v>45471</v>
      </c>
      <c r="K606" s="16" t="n">
        <v>45476</v>
      </c>
      <c r="L606" s="17" t="n">
        <v>171</v>
      </c>
      <c r="M606" s="17" t="n">
        <v>171</v>
      </c>
      <c r="N606" s="17" t="n">
        <v>0</v>
      </c>
      <c r="O606" s="15" t="inlineStr">
        <is>
          <t>Final issue (ipoplatform)</t>
        </is>
      </c>
      <c r="P606" s="15" t="n"/>
      <c r="Q606" s="18" t="inlineStr">
        <is>
          <t>https://www.sebi.gov.in/sebi_data/attachdocs/mar-2024/1709533403242.pdf</t>
        </is>
      </c>
      <c r="R606" s="18" t="inlineStr">
        <is>
          <t>https://www.sebi.gov.in/filings/public-issues/mar-2024/vraj-iron-and-steel-limited-addendum-to-drhp_81942.html</t>
        </is>
      </c>
      <c r="S606" s="15" t="n"/>
      <c r="T606" s="15" t="inlineStr">
        <is>
          <t>Company name + date window</t>
        </is>
      </c>
      <c r="U606" s="15" t="inlineStr">
        <is>
          <t>Vraj Iron and Steel Limited</t>
        </is>
      </c>
      <c r="V606" s="15" t="n"/>
      <c r="W606" s="15" t="n"/>
      <c r="X606" s="15" t="n"/>
      <c r="Y606" s="15" t="n"/>
      <c r="Z606" s="15" t="n"/>
      <c r="AA606" s="15" t="n"/>
      <c r="AB606" s="15" t="n"/>
    </row>
    <row r="607" ht="15" customHeight="1" s="12">
      <c r="A607" s="14" t="n">
        <v>606</v>
      </c>
      <c r="B607" s="16" t="n">
        <v>45349</v>
      </c>
      <c r="C607" s="15" t="n">
        <v>2024</v>
      </c>
      <c r="D607" s="15" t="inlineStr">
        <is>
          <t>Orient Technologies Limited</t>
        </is>
      </c>
      <c r="E607" s="15" t="inlineStr">
        <is>
          <t>DRHP</t>
        </is>
      </c>
      <c r="F607" s="15" t="inlineStr">
        <is>
          <t>Orient Technologies Limited - DRHP</t>
        </is>
      </c>
      <c r="G607" s="15" t="inlineStr">
        <is>
          <t>IPO launched</t>
        </is>
      </c>
      <c r="H607" s="15" t="inlineStr">
        <is>
          <t>Mainboard</t>
        </is>
      </c>
      <c r="I607" s="16" t="n">
        <v>45525</v>
      </c>
      <c r="J607" s="16" t="n">
        <v>45527</v>
      </c>
      <c r="K607" s="16" t="n">
        <v>45532</v>
      </c>
      <c r="L607" s="17" t="n">
        <v>214.76</v>
      </c>
      <c r="M607" s="17" t="n">
        <v>120</v>
      </c>
      <c r="N607" s="17" t="n">
        <v>94.76000000000001</v>
      </c>
      <c r="O607" s="15" t="inlineStr">
        <is>
          <t>Final issue (ipoplatform)</t>
        </is>
      </c>
      <c r="P607" s="15" t="n"/>
      <c r="Q607" s="18" t="inlineStr">
        <is>
          <t>https://www.sebi.gov.in/sebi_data/attachdocs/feb-2024/1709007185760.pdf</t>
        </is>
      </c>
      <c r="R607" s="18" t="inlineStr">
        <is>
          <t>https://www.sebi.gov.in/filings/public-issues/feb-2024/orient-technologies-limited-drhp_81751.html</t>
        </is>
      </c>
      <c r="S607" s="15" t="n"/>
      <c r="T607" s="15" t="inlineStr">
        <is>
          <t>SEBI filing link</t>
        </is>
      </c>
      <c r="U607" s="15" t="inlineStr">
        <is>
          <t>Orient Technologies Limited</t>
        </is>
      </c>
      <c r="V607" s="15" t="n"/>
      <c r="W607" s="15" t="n"/>
      <c r="X607" s="15" t="n"/>
      <c r="Y607" s="15" t="n"/>
      <c r="Z607" s="15" t="n"/>
      <c r="AA607" s="15" t="n"/>
      <c r="AB607" s="15" t="n"/>
    </row>
    <row r="608" ht="15" customHeight="1" s="12">
      <c r="A608" s="14" t="n">
        <v>607</v>
      </c>
      <c r="B608" s="16" t="n">
        <v>45348</v>
      </c>
      <c r="C608" s="15" t="n">
        <v>2024</v>
      </c>
      <c r="D608" s="15" t="inlineStr">
        <is>
          <t>Garuda Construction and Engineering Limited</t>
        </is>
      </c>
      <c r="E608" s="15" t="inlineStr">
        <is>
          <t>DRHP</t>
        </is>
      </c>
      <c r="F608" s="15" t="inlineStr">
        <is>
          <t>Garuda Construction and Engineering Limited - DRHP</t>
        </is>
      </c>
      <c r="G608" s="15" t="inlineStr">
        <is>
          <t>IPO launched</t>
        </is>
      </c>
      <c r="H608" s="15" t="inlineStr">
        <is>
          <t>Mainboard</t>
        </is>
      </c>
      <c r="I608" s="16" t="n">
        <v>45573</v>
      </c>
      <c r="J608" s="16" t="n">
        <v>45575</v>
      </c>
      <c r="K608" s="16" t="n">
        <v>45580</v>
      </c>
      <c r="L608" s="17" t="n">
        <v>264.1</v>
      </c>
      <c r="M608" s="17" t="n">
        <v>173.85</v>
      </c>
      <c r="N608" s="17" t="n">
        <v>90.25</v>
      </c>
      <c r="O608" s="15" t="inlineStr">
        <is>
          <t>Final issue (ipoplatform)</t>
        </is>
      </c>
      <c r="P608" s="15" t="n"/>
      <c r="Q608" s="18" t="inlineStr">
        <is>
          <t>https://www.sebi.gov.in/sebi_data/attachdocs/feb-2024/1709209961840.pdf</t>
        </is>
      </c>
      <c r="R608" s="18" t="inlineStr">
        <is>
          <t>https://www.sebi.gov.in/filings/public-issues/feb-2024/garuda-construction-and-engineering-limited-drhp_81845.html</t>
        </is>
      </c>
      <c r="S608" s="15" t="n"/>
      <c r="T608" s="15" t="inlineStr">
        <is>
          <t>Company name + date window</t>
        </is>
      </c>
      <c r="U608" s="15" t="inlineStr">
        <is>
          <t>Garuda Construction and Engineering Limited</t>
        </is>
      </c>
      <c r="V608" s="15" t="n"/>
      <c r="W608" s="15" t="n"/>
      <c r="X608" s="15" t="n"/>
      <c r="Y608" s="15" t="n"/>
      <c r="Z608" s="15" t="n"/>
      <c r="AA608" s="15" t="n"/>
      <c r="AB608" s="15" t="n"/>
    </row>
    <row r="609" ht="15" customHeight="1" s="12">
      <c r="A609" s="14" t="n">
        <v>608</v>
      </c>
      <c r="B609" s="16" t="n">
        <v>45348</v>
      </c>
      <c r="C609" s="15" t="n">
        <v>2024</v>
      </c>
      <c r="D609" s="15" t="inlineStr">
        <is>
          <t>Tolins Tyres Limited</t>
        </is>
      </c>
      <c r="E609" s="15" t="inlineStr">
        <is>
          <t>DRHP</t>
        </is>
      </c>
      <c r="F609" s="15" t="inlineStr">
        <is>
          <t>Tolins Tyres Limited</t>
        </is>
      </c>
      <c r="G609" s="15" t="inlineStr">
        <is>
          <t>IPO launched</t>
        </is>
      </c>
      <c r="H609" s="15" t="inlineStr">
        <is>
          <t>Mainboard</t>
        </is>
      </c>
      <c r="I609" s="16" t="n">
        <v>45544</v>
      </c>
      <c r="J609" s="16" t="n">
        <v>45546</v>
      </c>
      <c r="K609" s="16" t="n">
        <v>45551</v>
      </c>
      <c r="L609" s="17" t="n">
        <v>230</v>
      </c>
      <c r="M609" s="17" t="n">
        <v>200</v>
      </c>
      <c r="N609" s="17" t="n">
        <v>30</v>
      </c>
      <c r="O609" s="15" t="inlineStr">
        <is>
          <t>Final issue (ipoplatform)</t>
        </is>
      </c>
      <c r="P609" s="15" t="n"/>
      <c r="Q609" s="18" t="inlineStr">
        <is>
          <t>https://www.sebi.gov.in/sebi_data/attachdocs/feb-2024/1708947007287_198.pdf</t>
        </is>
      </c>
      <c r="R609" s="18" t="inlineStr">
        <is>
          <t>https://www.sebi.gov.in/filings/public-issues/feb-2024/tolins-tyres-limited_81736.html</t>
        </is>
      </c>
      <c r="S609" s="15" t="n"/>
      <c r="T609" s="15" t="inlineStr">
        <is>
          <t>SEBI filing link</t>
        </is>
      </c>
      <c r="U609" s="15" t="inlineStr">
        <is>
          <t>Tolins Tyres Limited</t>
        </is>
      </c>
      <c r="V609" s="15" t="n"/>
      <c r="W609" s="15" t="n"/>
      <c r="X609" s="15" t="n"/>
      <c r="Y609" s="15" t="n"/>
      <c r="Z609" s="15" t="n"/>
      <c r="AA609" s="15" t="n"/>
      <c r="AB609" s="15" t="n"/>
    </row>
    <row r="610" ht="15" customHeight="1" s="12">
      <c r="A610" s="14" t="n">
        <v>609</v>
      </c>
      <c r="B610" s="16" t="n">
        <v>45342</v>
      </c>
      <c r="C610" s="15" t="n">
        <v>2024</v>
      </c>
      <c r="D610" s="15" t="inlineStr">
        <is>
          <t>Gala Precision Engineering Limited</t>
        </is>
      </c>
      <c r="E610" s="15" t="inlineStr">
        <is>
          <t>DRHP</t>
        </is>
      </c>
      <c r="F610" s="15" t="inlineStr">
        <is>
          <t>Gala Precision Engineering Limited - DRHP</t>
        </is>
      </c>
      <c r="G610" s="15" t="inlineStr">
        <is>
          <t>IPO launched</t>
        </is>
      </c>
      <c r="H610" s="15" t="inlineStr">
        <is>
          <t>Mainboard</t>
        </is>
      </c>
      <c r="I610" s="16" t="n">
        <v>45537</v>
      </c>
      <c r="J610" s="16" t="n">
        <v>45539</v>
      </c>
      <c r="K610" s="16" t="n">
        <v>45544</v>
      </c>
      <c r="L610" s="17" t="n">
        <v>167.93</v>
      </c>
      <c r="M610" s="17" t="n">
        <v>135.34</v>
      </c>
      <c r="N610" s="17" t="n">
        <v>32.59</v>
      </c>
      <c r="O610" s="15" t="inlineStr">
        <is>
          <t>Final issue (ipoplatform)</t>
        </is>
      </c>
      <c r="P610" s="15" t="n"/>
      <c r="Q610" s="18" t="inlineStr">
        <is>
          <t>https://www.sebi.gov.in/sebi_data/attachdocs/feb-2024/1708491659035.pdf</t>
        </is>
      </c>
      <c r="R610" s="18" t="inlineStr">
        <is>
          <t>https://www.sebi.gov.in/filings/public-issues/feb-2024/gala-precision-engineering-limited-drhp_81588.html</t>
        </is>
      </c>
      <c r="S610" s="15" t="n"/>
      <c r="T610" s="15" t="inlineStr">
        <is>
          <t>SEBI filing link</t>
        </is>
      </c>
      <c r="U610" s="15" t="inlineStr">
        <is>
          <t>Gala Precision Engineering Limited</t>
        </is>
      </c>
      <c r="V610" s="15" t="n"/>
      <c r="W610" s="15" t="n"/>
      <c r="X610" s="15" t="n"/>
      <c r="Y610" s="15" t="n"/>
      <c r="Z610" s="15" t="n"/>
      <c r="AA610" s="15" t="n"/>
      <c r="AB610" s="15" t="n"/>
    </row>
    <row r="611" ht="15" customHeight="1" s="12">
      <c r="A611" s="14" t="n">
        <v>610</v>
      </c>
      <c r="B611" s="16" t="n">
        <v>45342</v>
      </c>
      <c r="C611" s="15" t="n">
        <v>2024</v>
      </c>
      <c r="D611" s="15" t="inlineStr">
        <is>
          <t>TBO Tek Ltd</t>
        </is>
      </c>
      <c r="E611" s="15" t="inlineStr">
        <is>
          <t>Addendum</t>
        </is>
      </c>
      <c r="F611" s="15" t="inlineStr">
        <is>
          <t>TBO Tek Ltd - Addendum to DRHP</t>
        </is>
      </c>
      <c r="G611" s="15" t="inlineStr">
        <is>
          <t>IPO launched</t>
        </is>
      </c>
      <c r="H611" s="15" t="inlineStr">
        <is>
          <t>Mainboard</t>
        </is>
      </c>
      <c r="I611" s="16" t="n">
        <v>45420</v>
      </c>
      <c r="J611" s="16" t="n">
        <v>45422</v>
      </c>
      <c r="K611" s="16" t="n">
        <v>45427</v>
      </c>
      <c r="L611" s="17" t="n">
        <v>1550.81</v>
      </c>
      <c r="M611" s="17" t="n">
        <v>400</v>
      </c>
      <c r="N611" s="17" t="n">
        <v>1150.81</v>
      </c>
      <c r="O611" s="15" t="inlineStr">
        <is>
          <t>Final issue (ipoplatform)</t>
        </is>
      </c>
      <c r="P611" s="15" t="n"/>
      <c r="Q611" s="18" t="inlineStr">
        <is>
          <t>https://www.sebi.gov.in/sebi_data/attachdocs/feb-2024/1708425327186.PDF</t>
        </is>
      </c>
      <c r="R611" s="18" t="inlineStr">
        <is>
          <t>https://www.sebi.gov.in/filings/public-issues/feb-2024/tbo-tek-ltd-addendum-to-drhp_81568.html</t>
        </is>
      </c>
      <c r="S611" s="15" t="n"/>
      <c r="T611" s="15" t="inlineStr">
        <is>
          <t>Company name + date window</t>
        </is>
      </c>
      <c r="U611" s="15" t="inlineStr">
        <is>
          <t>TBO Tek Limited</t>
        </is>
      </c>
      <c r="V611" s="15" t="n"/>
      <c r="W611" s="15" t="n"/>
      <c r="X611" s="15" t="n"/>
      <c r="Y611" s="15" t="n"/>
      <c r="Z611" s="15" t="n"/>
      <c r="AA611" s="15" t="n"/>
      <c r="AB611" s="15" t="n"/>
    </row>
    <row r="612" ht="15" customHeight="1" s="12">
      <c r="A612" s="14" t="n">
        <v>611</v>
      </c>
      <c r="B612" s="16" t="n">
        <v>45338</v>
      </c>
      <c r="C612" s="15" t="n">
        <v>2024</v>
      </c>
      <c r="D612" s="15" t="inlineStr">
        <is>
          <t>Asirvad Micro Finance Limited</t>
        </is>
      </c>
      <c r="E612" s="15" t="inlineStr">
        <is>
          <t>Addendum</t>
        </is>
      </c>
      <c r="F612" s="15" t="inlineStr">
        <is>
          <t>Asirvad Micro Finance Limited - Addendum to the DRHP</t>
        </is>
      </c>
      <c r="G612" s="15" t="inlineStr">
        <is>
          <t>No launched IPO found</t>
        </is>
      </c>
      <c r="H612" s="15" t="n"/>
      <c r="I612" s="16" t="n"/>
      <c r="J612" s="16" t="n"/>
      <c r="K612" s="16" t="n"/>
      <c r="L612" s="17" t="n"/>
      <c r="M612" s="17" t="n"/>
      <c r="N612" s="17" t="n"/>
      <c r="O612" s="15" t="n"/>
      <c r="P612" s="15" t="n"/>
      <c r="Q612" s="18" t="inlineStr">
        <is>
          <t>https://www.sebi.gov.in/sebi_data/attachdocs/feb-2024/1708409708577.pdf</t>
        </is>
      </c>
      <c r="R612" s="18" t="inlineStr">
        <is>
          <t>https://www.sebi.gov.in/filings/public-issues/feb-2024/asirvad-micro-finance-limited-addendum-to-the-drhp_81506.html</t>
        </is>
      </c>
      <c r="S612" s="15" t="n"/>
      <c r="T612" s="15" t="n"/>
      <c r="U612" s="15" t="n"/>
      <c r="V612" s="15" t="n"/>
      <c r="W612" s="16" t="n"/>
      <c r="X612" s="16" t="n"/>
      <c r="Y612" s="16" t="n"/>
      <c r="Z612" s="15" t="inlineStr">
        <is>
          <t>No issue found</t>
        </is>
      </c>
      <c r="AA612" s="15" t="inlineStr">
        <is>
          <t>Dates not announced in search results.</t>
        </is>
      </c>
      <c r="AB612" s="18" t="inlineStr">
        <is>
          <t>https://www.sharekhan.com/ipo/asirvad-micro-finance-ltd</t>
        </is>
      </c>
    </row>
    <row r="613" ht="15" customHeight="1" s="12">
      <c r="A613" s="14" t="n">
        <v>612</v>
      </c>
      <c r="B613" s="16" t="n">
        <v>45337</v>
      </c>
      <c r="C613" s="15" t="n">
        <v>2024</v>
      </c>
      <c r="D613" s="15" t="inlineStr">
        <is>
          <t>Le Travenues technology Limited</t>
        </is>
      </c>
      <c r="E613" s="15" t="inlineStr">
        <is>
          <t>DRHP</t>
        </is>
      </c>
      <c r="F613" s="15" t="inlineStr">
        <is>
          <t>Le Travenues technology Limited - DRHP</t>
        </is>
      </c>
      <c r="G613" s="15" t="inlineStr">
        <is>
          <t>IPO launched</t>
        </is>
      </c>
      <c r="H613" s="15" t="inlineStr">
        <is>
          <t>Mainboard</t>
        </is>
      </c>
      <c r="I613" s="16" t="n">
        <v>45453</v>
      </c>
      <c r="J613" s="16" t="n">
        <v>45455</v>
      </c>
      <c r="K613" s="16" t="n">
        <v>45461</v>
      </c>
      <c r="L613" s="17" t="n">
        <v>740.1</v>
      </c>
      <c r="M613" s="17" t="n">
        <v>120</v>
      </c>
      <c r="N613" s="17" t="n">
        <v>620.1</v>
      </c>
      <c r="O613" s="15" t="inlineStr">
        <is>
          <t>Final issue (ipoplatform)</t>
        </is>
      </c>
      <c r="P613" s="15" t="n"/>
      <c r="Q613" s="18" t="inlineStr">
        <is>
          <t>https://www.sebi.gov.in/sebi_data/attachdocs/feb-2024/1707994184221.pdf</t>
        </is>
      </c>
      <c r="R613" s="18" t="inlineStr">
        <is>
          <t>https://www.sebi.gov.in/filings/public-issues/feb-2024/le-travenues-technology-limited-drhp_81469.html</t>
        </is>
      </c>
      <c r="S613" s="15" t="n"/>
      <c r="T613" s="15" t="inlineStr">
        <is>
          <t>SEBI filing link</t>
        </is>
      </c>
      <c r="U613" s="15" t="inlineStr">
        <is>
          <t>Le Travenues Technology Limited</t>
        </is>
      </c>
      <c r="V613" s="15" t="n"/>
      <c r="W613" s="15" t="n"/>
      <c r="X613" s="15" t="n"/>
      <c r="Y613" s="15" t="n"/>
      <c r="Z613" s="15" t="n"/>
      <c r="AA613" s="15" t="n"/>
      <c r="AB613" s="15" t="n"/>
    </row>
    <row r="614" ht="15" customHeight="1" s="12">
      <c r="A614" s="14" t="n">
        <v>613</v>
      </c>
      <c r="B614" s="16" t="n">
        <v>45335</v>
      </c>
      <c r="C614" s="15" t="n">
        <v>2024</v>
      </c>
      <c r="D614" s="15" t="inlineStr">
        <is>
          <t>Akums Drugs and Pharmaceuticals Limited</t>
        </is>
      </c>
      <c r="E614" s="15" t="inlineStr">
        <is>
          <t>DRHP</t>
        </is>
      </c>
      <c r="F614" s="15" t="inlineStr">
        <is>
          <t>Akums Drugs and Pharmaceuticals Limited - DRHP</t>
        </is>
      </c>
      <c r="G614" s="15" t="inlineStr">
        <is>
          <t>IPO launched</t>
        </is>
      </c>
      <c r="H614" s="15" t="inlineStr">
        <is>
          <t>Mainboard</t>
        </is>
      </c>
      <c r="I614" s="16" t="n">
        <v>45503</v>
      </c>
      <c r="J614" s="16" t="n">
        <v>45505</v>
      </c>
      <c r="K614" s="16" t="n">
        <v>45510</v>
      </c>
      <c r="L614" s="17" t="n">
        <v>1856.74</v>
      </c>
      <c r="M614" s="17" t="n">
        <v>680</v>
      </c>
      <c r="N614" s="17" t="n">
        <v>1176.74</v>
      </c>
      <c r="O614" s="15" t="inlineStr">
        <is>
          <t>Final issue (ipoplatform)</t>
        </is>
      </c>
      <c r="P614" s="15" t="n"/>
      <c r="Q614" s="18" t="inlineStr">
        <is>
          <t>https://www.sebi.gov.in/sebi_data/attachdocs/feb-2024/1707813802003.pdf</t>
        </is>
      </c>
      <c r="R614" s="18" t="inlineStr">
        <is>
          <t>https://www.sebi.gov.in/filings/public-issues/feb-2024/akums-drugs-and-pharmaceuticals-limited-drhp_81356.html</t>
        </is>
      </c>
      <c r="S614" s="15" t="n"/>
      <c r="T614" s="15" t="inlineStr">
        <is>
          <t>Company name + date window</t>
        </is>
      </c>
      <c r="U614" s="15" t="inlineStr">
        <is>
          <t>Akums Drugs and Pharmaceuticals Limited</t>
        </is>
      </c>
      <c r="V614" s="15" t="n"/>
      <c r="W614" s="15" t="n"/>
      <c r="X614" s="15" t="n"/>
      <c r="Y614" s="15" t="n"/>
      <c r="Z614" s="15" t="n"/>
      <c r="AA614" s="15" t="n"/>
      <c r="AB614" s="15" t="n"/>
    </row>
    <row r="615" ht="15" customHeight="1" s="12">
      <c r="A615" s="14" t="n">
        <v>614</v>
      </c>
      <c r="B615" s="16" t="n">
        <v>45334</v>
      </c>
      <c r="C615" s="15" t="n">
        <v>2024</v>
      </c>
      <c r="D615" s="15" t="inlineStr">
        <is>
          <t>Gold Plus Glass Industry Limited</t>
        </is>
      </c>
      <c r="E615" s="15" t="inlineStr">
        <is>
          <t>DRHP</t>
        </is>
      </c>
      <c r="F615" s="15" t="inlineStr">
        <is>
          <t>Gold Plus Glass Industry Limited - DRHP</t>
        </is>
      </c>
      <c r="G615" s="15" t="inlineStr">
        <is>
          <t>No launched IPO found</t>
        </is>
      </c>
      <c r="H615" s="15" t="n"/>
      <c r="I615" s="16" t="n"/>
      <c r="J615" s="16" t="n"/>
      <c r="K615" s="16" t="n"/>
      <c r="L615" s="17" t="n"/>
      <c r="M615" s="17" t="n"/>
      <c r="N615" s="17" t="n"/>
      <c r="O615" s="15" t="n"/>
      <c r="P615" s="15" t="n"/>
      <c r="Q615" s="18" t="inlineStr">
        <is>
          <t>https://www.sebi.gov.in/sebi_data/attachdocs/feb-2024/1707737247215.pdf</t>
        </is>
      </c>
      <c r="R615" s="18" t="inlineStr">
        <is>
          <t>https://www.sebi.gov.in/filings/public-issues/feb-2024/gold-plus-glass-industry-limited-drhp_81338.html</t>
        </is>
      </c>
      <c r="S615" s="15" t="n"/>
      <c r="T615" s="15" t="n"/>
      <c r="U615" s="15" t="n"/>
      <c r="V615" s="15" t="n"/>
      <c r="W615" s="16" t="n"/>
      <c r="X615" s="16" t="n"/>
      <c r="Y615" s="16" t="n"/>
      <c r="Z615" s="15" t="inlineStr">
        <is>
          <t>Withdrawn / approval lapsed</t>
        </is>
      </c>
      <c r="AA615" s="15" t="inlineStr">
        <is>
          <t>SEBI approval expired 2025-07-01 without an issue.</t>
        </is>
      </c>
      <c r="AB615" s="18" t="inlineStr">
        <is>
          <t>https://www.chittorgarh.com/ipo/gold-plus-glass-industry-ipo/2458/</t>
        </is>
      </c>
    </row>
    <row r="616" ht="15" customHeight="1" s="12">
      <c r="A616" s="14" t="n">
        <v>615</v>
      </c>
      <c r="B616" s="16" t="n">
        <v>45329</v>
      </c>
      <c r="C616" s="15" t="n">
        <v>2024</v>
      </c>
      <c r="D616" s="15" t="inlineStr">
        <is>
          <t>Aadhar Housing Finance Limited</t>
        </is>
      </c>
      <c r="E616" s="15" t="inlineStr">
        <is>
          <t>DRHP</t>
        </is>
      </c>
      <c r="F616" s="15" t="inlineStr">
        <is>
          <t>Aadhar Housing Finance Limited - DRHP</t>
        </is>
      </c>
      <c r="G616" s="15" t="inlineStr">
        <is>
          <t>IPO launched</t>
        </is>
      </c>
      <c r="H616" s="15" t="inlineStr">
        <is>
          <t>Mainboard</t>
        </is>
      </c>
      <c r="I616" s="16" t="n">
        <v>45420</v>
      </c>
      <c r="J616" s="16" t="n">
        <v>45422</v>
      </c>
      <c r="K616" s="16" t="n">
        <v>45427</v>
      </c>
      <c r="L616" s="17" t="n">
        <v>3000</v>
      </c>
      <c r="M616" s="17" t="n">
        <v>1000</v>
      </c>
      <c r="N616" s="17" t="n">
        <v>2000</v>
      </c>
      <c r="O616" s="15" t="inlineStr">
        <is>
          <t>Final issue (ipoplatform)</t>
        </is>
      </c>
      <c r="P616" s="15" t="n"/>
      <c r="Q616" s="18" t="inlineStr">
        <is>
          <t>https://www.sebi.gov.in/sebi_data/attachdocs/feb-2024/1707308536149.pdf</t>
        </is>
      </c>
      <c r="R616" s="18" t="inlineStr">
        <is>
          <t>https://www.sebi.gov.in/filings/public-issues/feb-2024/aadhar-housing-finance-limited-drhp_81209.html</t>
        </is>
      </c>
      <c r="S616" s="15" t="n"/>
      <c r="T616" s="15" t="inlineStr">
        <is>
          <t>SEBI filing link</t>
        </is>
      </c>
      <c r="U616" s="15" t="inlineStr">
        <is>
          <t>Aadhar Housing Finance Limited</t>
        </is>
      </c>
      <c r="V616" s="15" t="n"/>
      <c r="W616" s="15" t="n"/>
      <c r="X616" s="15" t="n"/>
      <c r="Y616" s="15" t="n"/>
      <c r="Z616" s="15" t="n"/>
      <c r="AA616" s="15" t="n"/>
      <c r="AB616" s="15" t="n"/>
    </row>
    <row r="617" ht="15" customHeight="1" s="12">
      <c r="A617" s="14" t="n">
        <v>616</v>
      </c>
      <c r="B617" s="16" t="n">
        <v>45328</v>
      </c>
      <c r="C617" s="15" t="n">
        <v>2024</v>
      </c>
      <c r="D617" s="15" t="inlineStr">
        <is>
          <t>Northern Arc Capital Limited</t>
        </is>
      </c>
      <c r="E617" s="15" t="inlineStr">
        <is>
          <t>DRHP</t>
        </is>
      </c>
      <c r="F617" s="15" t="inlineStr">
        <is>
          <t>Northern Arc Capital Limited - DRHP</t>
        </is>
      </c>
      <c r="G617" s="15" t="inlineStr">
        <is>
          <t>IPO launched</t>
        </is>
      </c>
      <c r="H617" s="15" t="inlineStr">
        <is>
          <t>Mainboard</t>
        </is>
      </c>
      <c r="I617" s="16" t="n">
        <v>45551</v>
      </c>
      <c r="J617" s="16" t="n">
        <v>45554</v>
      </c>
      <c r="K617" s="16" t="n">
        <v>45559</v>
      </c>
      <c r="L617" s="17" t="n">
        <v>777</v>
      </c>
      <c r="M617" s="17" t="n">
        <v>500</v>
      </c>
      <c r="N617" s="17" t="n">
        <v>277</v>
      </c>
      <c r="O617" s="15" t="inlineStr">
        <is>
          <t>Final issue (ipoplatform)</t>
        </is>
      </c>
      <c r="P617" s="15" t="n"/>
      <c r="Q617" s="18" t="inlineStr">
        <is>
          <t>https://www.sebi.gov.in/sebi_data/attachdocs/feb-2024/1707198294323.pdf</t>
        </is>
      </c>
      <c r="R617" s="18" t="inlineStr">
        <is>
          <t>https://www.sebi.gov.in/filings/public-issues/feb-2024/northern-arc-capital-limited-drhp_81105.html</t>
        </is>
      </c>
      <c r="S617" s="15" t="n"/>
      <c r="T617" s="15" t="inlineStr">
        <is>
          <t>SEBI filing link</t>
        </is>
      </c>
      <c r="U617" s="15" t="inlineStr">
        <is>
          <t>Northern Arc Capital Limited</t>
        </is>
      </c>
      <c r="V617" s="15" t="n"/>
      <c r="W617" s="15" t="n"/>
      <c r="X617" s="15" t="n"/>
      <c r="Y617" s="15" t="n"/>
      <c r="Z617" s="15" t="n"/>
      <c r="AA617" s="15" t="n"/>
      <c r="AB617" s="15" t="n"/>
    </row>
    <row r="618" ht="15" customHeight="1" s="12">
      <c r="A618" s="14" t="n">
        <v>617</v>
      </c>
      <c r="B618" s="16" t="n">
        <v>45322</v>
      </c>
      <c r="C618" s="15" t="n">
        <v>2024</v>
      </c>
      <c r="D618" s="15" t="inlineStr">
        <is>
          <t>Kronox Lab Sciences Limited</t>
        </is>
      </c>
      <c r="E618" s="15" t="inlineStr">
        <is>
          <t>DRHP</t>
        </is>
      </c>
      <c r="F618" s="15" t="inlineStr">
        <is>
          <t>Kronox Lab Sciences Limited - DRHP</t>
        </is>
      </c>
      <c r="G618" s="15" t="inlineStr">
        <is>
          <t>IPO launched</t>
        </is>
      </c>
      <c r="H618" s="15" t="inlineStr">
        <is>
          <t>Mainboard</t>
        </is>
      </c>
      <c r="I618" s="16" t="n">
        <v>45446</v>
      </c>
      <c r="J618" s="16" t="n">
        <v>45448</v>
      </c>
      <c r="K618" s="16" t="n">
        <v>45453</v>
      </c>
      <c r="L618" s="17" t="n">
        <v>130.15</v>
      </c>
      <c r="M618" s="17" t="n">
        <v>130.15</v>
      </c>
      <c r="N618" s="17" t="n">
        <v>0</v>
      </c>
      <c r="O618" s="15" t="inlineStr">
        <is>
          <t>Final issue (ipoplatform)</t>
        </is>
      </c>
      <c r="P618" s="15" t="n"/>
      <c r="Q618" s="18" t="inlineStr">
        <is>
          <t>https://www.sebi.gov.in/sebi_data/attachdocs/jan-2024/1706697897563.PDF</t>
        </is>
      </c>
      <c r="R618" s="18" t="inlineStr">
        <is>
          <t>https://www.sebi.gov.in/filings/public-issues/jan-2024/kronox-lab-sciences-limited-drhp_80963.html</t>
        </is>
      </c>
      <c r="S618" s="15" t="n"/>
      <c r="T618" s="15" t="inlineStr">
        <is>
          <t>SEBI filing link</t>
        </is>
      </c>
      <c r="U618" s="15" t="inlineStr">
        <is>
          <t>Kronox Lab Sciences Limited</t>
        </is>
      </c>
      <c r="V618" s="15" t="n"/>
      <c r="W618" s="15" t="n"/>
      <c r="X618" s="15" t="n"/>
      <c r="Y618" s="15" t="n"/>
      <c r="Z618" s="15" t="n"/>
      <c r="AA618" s="15" t="n"/>
      <c r="AB618" s="15" t="n"/>
    </row>
    <row r="619" ht="15" customHeight="1" s="12">
      <c r="A619" s="14" t="n">
        <v>618</v>
      </c>
      <c r="B619" s="16" t="n">
        <v>45314</v>
      </c>
      <c r="C619" s="15" t="n">
        <v>2024</v>
      </c>
      <c r="D619" s="15" t="inlineStr">
        <is>
          <t>Bharti Hexacom Limited</t>
        </is>
      </c>
      <c r="E619" s="15" t="inlineStr">
        <is>
          <t>DRHP</t>
        </is>
      </c>
      <c r="F619" s="15" t="inlineStr">
        <is>
          <t>Bharti Hexacom Limited</t>
        </is>
      </c>
      <c r="G619" s="15" t="inlineStr">
        <is>
          <t>IPO launched</t>
        </is>
      </c>
      <c r="H619" s="15" t="inlineStr">
        <is>
          <t>Mainboard</t>
        </is>
      </c>
      <c r="I619" s="16" t="n">
        <v>45385</v>
      </c>
      <c r="J619" s="16" t="n">
        <v>45387</v>
      </c>
      <c r="K619" s="16" t="n">
        <v>45394</v>
      </c>
      <c r="L619" s="17" t="n">
        <v>4275</v>
      </c>
      <c r="M619" s="17" t="n">
        <v>4275</v>
      </c>
      <c r="N619" s="17" t="n">
        <v>0</v>
      </c>
      <c r="O619" s="15" t="inlineStr">
        <is>
          <t>Final issue (ipoplatform)</t>
        </is>
      </c>
      <c r="P619" s="15" t="n"/>
      <c r="Q619" s="18" t="inlineStr">
        <is>
          <t>https://www.sebi.gov.in/sebi_data/attachdocs/jan-2024/1705994678761.pdf</t>
        </is>
      </c>
      <c r="R619" s="18" t="inlineStr">
        <is>
          <t>https://www.sebi.gov.in/filings/public-issues/jan-2024/bharti-hexacom-limited_80828.html</t>
        </is>
      </c>
      <c r="S619" s="15" t="n"/>
      <c r="T619" s="15" t="inlineStr">
        <is>
          <t>SEBI filing link</t>
        </is>
      </c>
      <c r="U619" s="15" t="inlineStr">
        <is>
          <t>Bharti Hexacom Limited</t>
        </is>
      </c>
      <c r="V619" s="15" t="n"/>
      <c r="W619" s="15" t="n"/>
      <c r="X619" s="15" t="n"/>
      <c r="Y619" s="15" t="n"/>
      <c r="Z619" s="15" t="n"/>
      <c r="AA619" s="15" t="n"/>
      <c r="AB619" s="15" t="n"/>
    </row>
    <row r="620" ht="15" customHeight="1" s="12">
      <c r="A620" s="14" t="n">
        <v>619</v>
      </c>
      <c r="B620" s="16" t="n">
        <v>45310</v>
      </c>
      <c r="C620" s="15" t="n">
        <v>2024</v>
      </c>
      <c r="D620" s="15" t="inlineStr">
        <is>
          <t>Bansal Wire Industries Limited</t>
        </is>
      </c>
      <c r="E620" s="15" t="inlineStr">
        <is>
          <t>DRHP</t>
        </is>
      </c>
      <c r="F620" s="15" t="inlineStr">
        <is>
          <t>Bansal Wire Industries Limited - DRHP</t>
        </is>
      </c>
      <c r="G620" s="15" t="inlineStr">
        <is>
          <t>IPO launched</t>
        </is>
      </c>
      <c r="H620" s="15" t="inlineStr">
        <is>
          <t>Mainboard</t>
        </is>
      </c>
      <c r="I620" s="16" t="n">
        <v>45476</v>
      </c>
      <c r="J620" s="16" t="n">
        <v>45478</v>
      </c>
      <c r="K620" s="16" t="n">
        <v>45483</v>
      </c>
      <c r="L620" s="17" t="n">
        <v>745</v>
      </c>
      <c r="M620" s="17" t="n">
        <v>745</v>
      </c>
      <c r="N620" s="17" t="n">
        <v>0</v>
      </c>
      <c r="O620" s="15" t="inlineStr">
        <is>
          <t>Final issue (ipoplatform)</t>
        </is>
      </c>
      <c r="P620" s="15" t="n"/>
      <c r="Q620" s="18" t="inlineStr">
        <is>
          <t>https://www.sebi.gov.in/sebi_data/attachdocs/jan-2024/1705994158251.pdf</t>
        </is>
      </c>
      <c r="R620" s="18" t="inlineStr">
        <is>
          <t>https://www.sebi.gov.in/filings/public-issues/jan-2024/bansal-wire-industries-limited-drhp_80825.html</t>
        </is>
      </c>
      <c r="S620" s="15" t="n"/>
      <c r="T620" s="15" t="inlineStr">
        <is>
          <t>SEBI filing link</t>
        </is>
      </c>
      <c r="U620" s="15" t="inlineStr">
        <is>
          <t>Bansal Wire Industries Limited</t>
        </is>
      </c>
      <c r="V620" s="15" t="n"/>
      <c r="W620" s="15" t="n"/>
      <c r="X620" s="15" t="n"/>
      <c r="Y620" s="15" t="n"/>
      <c r="Z620" s="15" t="n"/>
      <c r="AA620" s="15" t="n"/>
      <c r="AB620" s="15" t="n"/>
    </row>
    <row r="621" ht="15" customHeight="1" s="12">
      <c r="A621" s="14" t="n">
        <v>620</v>
      </c>
      <c r="B621" s="16" t="n">
        <v>45309</v>
      </c>
      <c r="C621" s="15" t="n">
        <v>2024</v>
      </c>
      <c r="D621" s="15" t="inlineStr">
        <is>
          <t>KRN Heat Exchanger and Refrigeration Limited</t>
        </is>
      </c>
      <c r="E621" s="15" t="inlineStr">
        <is>
          <t>DRHP</t>
        </is>
      </c>
      <c r="F621" s="15" t="inlineStr">
        <is>
          <t>KRN Heat Exchanger and Refrigeration Limited</t>
        </is>
      </c>
      <c r="G621" s="15" t="inlineStr">
        <is>
          <t>IPO launched</t>
        </is>
      </c>
      <c r="H621" s="15" t="inlineStr">
        <is>
          <t>Mainboard</t>
        </is>
      </c>
      <c r="I621" s="16" t="n">
        <v>45560</v>
      </c>
      <c r="J621" s="16" t="n">
        <v>45562</v>
      </c>
      <c r="K621" s="16" t="n">
        <v>45568</v>
      </c>
      <c r="L621" s="17" t="n">
        <v>341.95</v>
      </c>
      <c r="M621" s="17" t="n">
        <v>341.95</v>
      </c>
      <c r="N621" s="17" t="n">
        <v>0</v>
      </c>
      <c r="O621" s="15" t="inlineStr">
        <is>
          <t>Final issue (ipoplatform)</t>
        </is>
      </c>
      <c r="P621" s="15" t="n"/>
      <c r="Q621" s="18" t="inlineStr">
        <is>
          <t>https://www.sebi.gov.in/sebi_data/attachdocs/jan-2024/1706076487601.PDF</t>
        </is>
      </c>
      <c r="R621" s="18" t="inlineStr">
        <is>
          <t>https://www.sebi.gov.in/filings/public-issues/jan-2024/krn-heat-exchanger-and-refrigeration-limited_80846.html</t>
        </is>
      </c>
      <c r="S621" s="15" t="n"/>
      <c r="T621" s="15" t="inlineStr">
        <is>
          <t>Company name + date window</t>
        </is>
      </c>
      <c r="U621" s="15" t="inlineStr">
        <is>
          <t>KRN Heat Exchanger and Refrigeration Limited</t>
        </is>
      </c>
      <c r="V621" s="15" t="n"/>
      <c r="W621" s="15" t="n"/>
      <c r="X621" s="15" t="n"/>
      <c r="Y621" s="15" t="n"/>
      <c r="Z621" s="15" t="n"/>
      <c r="AA621" s="15" t="n"/>
      <c r="AB621" s="15" t="n"/>
    </row>
    <row r="622" ht="15" customHeight="1" s="12">
      <c r="A622" s="14" t="n">
        <v>621</v>
      </c>
      <c r="B622" s="16" t="n">
        <v>45309</v>
      </c>
      <c r="C622" s="15" t="n">
        <v>2024</v>
      </c>
      <c r="D622" s="15" t="inlineStr">
        <is>
          <t>Allied Blenders and Distillers Limited</t>
        </is>
      </c>
      <c r="E622" s="15" t="inlineStr">
        <is>
          <t>DRHP</t>
        </is>
      </c>
      <c r="F622" s="15" t="inlineStr">
        <is>
          <t>Allied Blenders and Distillers Limited - DRHP</t>
        </is>
      </c>
      <c r="G622" s="15" t="inlineStr">
        <is>
          <t>IPO launched</t>
        </is>
      </c>
      <c r="H622" s="15" t="inlineStr">
        <is>
          <t>Mainboard</t>
        </is>
      </c>
      <c r="I622" s="16" t="n">
        <v>45468</v>
      </c>
      <c r="J622" s="16" t="n">
        <v>45470</v>
      </c>
      <c r="K622" s="16" t="n">
        <v>45475</v>
      </c>
      <c r="L622" s="17" t="n">
        <v>1500</v>
      </c>
      <c r="M622" s="17" t="n">
        <v>1000</v>
      </c>
      <c r="N622" s="17" t="n">
        <v>500</v>
      </c>
      <c r="O622" s="15" t="inlineStr">
        <is>
          <t>Final issue (ipoplatform)</t>
        </is>
      </c>
      <c r="P622" s="15" t="n"/>
      <c r="Q622" s="18" t="inlineStr">
        <is>
          <t>https://www.sebi.gov.in/sebi_data/attachdocs/jan-2024/1705570293944.PDF</t>
        </is>
      </c>
      <c r="R622" s="18" t="inlineStr">
        <is>
          <t>https://www.sebi.gov.in/filings/public-issues/jan-2024/allied-blenders-and-distillers-limited-drhp_80708.html</t>
        </is>
      </c>
      <c r="S622" s="15" t="n"/>
      <c r="T622" s="15" t="inlineStr">
        <is>
          <t>SEBI filing link</t>
        </is>
      </c>
      <c r="U622" s="15" t="inlineStr">
        <is>
          <t>Allied Blenders and Distillers Limited</t>
        </is>
      </c>
      <c r="V622" s="15" t="n"/>
      <c r="W622" s="15" t="n"/>
      <c r="X622" s="15" t="n"/>
      <c r="Y622" s="15" t="n"/>
      <c r="Z622" s="15" t="n"/>
      <c r="AA622" s="15" t="n"/>
      <c r="AB622" s="15" t="n"/>
    </row>
    <row r="623" ht="15" customHeight="1" s="12">
      <c r="A623" s="14" t="n">
        <v>622</v>
      </c>
      <c r="B623" s="16" t="n">
        <v>45300</v>
      </c>
      <c r="C623" s="15" t="n">
        <v>2024</v>
      </c>
      <c r="D623" s="15" t="inlineStr">
        <is>
          <t>Dee Development Engineers Limited</t>
        </is>
      </c>
      <c r="E623" s="15" t="inlineStr">
        <is>
          <t>Addendum</t>
        </is>
      </c>
      <c r="F623" s="15" t="inlineStr">
        <is>
          <t>Dee Development Engineers Limited - Addendum to DRHP</t>
        </is>
      </c>
      <c r="G623" s="15" t="inlineStr">
        <is>
          <t>IPO launched</t>
        </is>
      </c>
      <c r="H623" s="15" t="inlineStr">
        <is>
          <t>Mainboard</t>
        </is>
      </c>
      <c r="I623" s="16" t="n">
        <v>45462</v>
      </c>
      <c r="J623" s="16" t="n">
        <v>45464</v>
      </c>
      <c r="K623" s="16" t="n">
        <v>45469</v>
      </c>
      <c r="L623" s="17" t="n">
        <v>418.01</v>
      </c>
      <c r="M623" s="17" t="n">
        <v>325</v>
      </c>
      <c r="N623" s="17" t="n">
        <v>93.01000000000001</v>
      </c>
      <c r="O623" s="15" t="inlineStr">
        <is>
          <t>Final issue (ipoplatform)</t>
        </is>
      </c>
      <c r="P623" s="15" t="n"/>
      <c r="Q623" s="18" t="inlineStr">
        <is>
          <t>https://www.sebi.gov.in/sebi_data/attachdocs/jan-2024/1704794349865.PDF</t>
        </is>
      </c>
      <c r="R623" s="18" t="inlineStr">
        <is>
          <t>https://www.sebi.gov.in/filings/public-issues/jan-2024/dee-development-engineers-limited-addendum-to-drhp_80493.html</t>
        </is>
      </c>
      <c r="S623" s="15" t="n"/>
      <c r="T623" s="15" t="inlineStr">
        <is>
          <t>Company name + date window</t>
        </is>
      </c>
      <c r="U623" s="15" t="inlineStr">
        <is>
          <t>DEE Development Engineers Limited</t>
        </is>
      </c>
      <c r="V623" s="15" t="n"/>
      <c r="W623" s="15" t="n"/>
      <c r="X623" s="15" t="n"/>
      <c r="Y623" s="15" t="n"/>
      <c r="Z623" s="15" t="n"/>
      <c r="AA623" s="15" t="n"/>
      <c r="AB623" s="15" t="n"/>
    </row>
    <row r="624" ht="15" customHeight="1" s="12">
      <c r="A624" s="14" t="n">
        <v>623</v>
      </c>
      <c r="B624" s="16" t="n">
        <v>45299</v>
      </c>
      <c r="C624" s="15" t="n">
        <v>2024</v>
      </c>
      <c r="D624" s="15" t="inlineStr">
        <is>
          <t>Unicommerce eSolutions Limited</t>
        </is>
      </c>
      <c r="E624" s="15" t="inlineStr">
        <is>
          <t>DRHP</t>
        </is>
      </c>
      <c r="F624" s="15" t="inlineStr">
        <is>
          <t>Unicommerce eSolutions Limited</t>
        </is>
      </c>
      <c r="G624" s="15" t="inlineStr">
        <is>
          <t>IPO launched</t>
        </is>
      </c>
      <c r="H624" s="15" t="inlineStr">
        <is>
          <t>Mainboard</t>
        </is>
      </c>
      <c r="I624" s="16" t="n">
        <v>45510</v>
      </c>
      <c r="J624" s="16" t="n">
        <v>45512</v>
      </c>
      <c r="K624" s="16" t="n">
        <v>45517</v>
      </c>
      <c r="L624" s="17" t="n">
        <v>276.57</v>
      </c>
      <c r="M624" s="17" t="n">
        <v>276.57</v>
      </c>
      <c r="N624" s="17" t="n">
        <v>0</v>
      </c>
      <c r="O624" s="15" t="inlineStr">
        <is>
          <t>Final issue (ipoplatform)</t>
        </is>
      </c>
      <c r="P624" s="15" t="n"/>
      <c r="Q624" s="18" t="inlineStr">
        <is>
          <t>https://www.sebi.gov.in/sebi_data/attachdocs/jan-2024/1704710581631.pdf</t>
        </is>
      </c>
      <c r="R624" s="18" t="inlineStr">
        <is>
          <t>https://www.sebi.gov.in/filings/public-issues/jan-2024/unicommerce-esolutions-limited_80463.html</t>
        </is>
      </c>
      <c r="S624" s="15" t="n"/>
      <c r="T624" s="15" t="inlineStr">
        <is>
          <t>SEBI filing link</t>
        </is>
      </c>
      <c r="U624" s="15" t="inlineStr">
        <is>
          <t>Unicommerce eSolutions Limited</t>
        </is>
      </c>
      <c r="V624" s="15" t="n"/>
      <c r="W624" s="15" t="n"/>
      <c r="X624" s="15" t="n"/>
      <c r="Y624" s="15" t="n"/>
      <c r="Z624" s="15" t="n"/>
      <c r="AA624" s="15" t="n"/>
      <c r="AB624" s="15" t="n"/>
    </row>
    <row r="625" ht="15" customHeight="1" s="12">
      <c r="A625" s="14" t="n">
        <v>624</v>
      </c>
      <c r="B625" s="16" t="n">
        <v>45296</v>
      </c>
      <c r="C625" s="15" t="n">
        <v>2024</v>
      </c>
      <c r="D625" s="15" t="inlineStr">
        <is>
          <t>ONE MOBIKWIK SYSTEMS LIMITED</t>
        </is>
      </c>
      <c r="E625" s="15" t="inlineStr">
        <is>
          <t>DRHP</t>
        </is>
      </c>
      <c r="F625" s="15" t="inlineStr">
        <is>
          <t>ONE MOBIKWIK SYSTEMS LIMITED</t>
        </is>
      </c>
      <c r="G625" s="15" t="inlineStr">
        <is>
          <t>IPO launched</t>
        </is>
      </c>
      <c r="H625" s="15" t="inlineStr">
        <is>
          <t>Mainboard</t>
        </is>
      </c>
      <c r="I625" s="16" t="n">
        <v>45637</v>
      </c>
      <c r="J625" s="16" t="n">
        <v>45639</v>
      </c>
      <c r="K625" s="16" t="n">
        <v>45644</v>
      </c>
      <c r="L625" s="17" t="n">
        <v>572</v>
      </c>
      <c r="M625" s="17" t="n">
        <v>572</v>
      </c>
      <c r="N625" s="17" t="n">
        <v>0</v>
      </c>
      <c r="O625" s="15" t="inlineStr">
        <is>
          <t>Final issue (ipoplatform)</t>
        </is>
      </c>
      <c r="P625" s="15" t="n"/>
      <c r="Q625" s="18" t="inlineStr">
        <is>
          <t>https://www.sebi.gov.in/sebi_data/attachdocs/jan-2024/1704504607838_168.pdf</t>
        </is>
      </c>
      <c r="R625" s="18" t="inlineStr">
        <is>
          <t>https://www.sebi.gov.in/filings/public-issues/jan-2024/one-mobikwik-systems-limited_80450.html</t>
        </is>
      </c>
      <c r="S625" s="15" t="n"/>
      <c r="T625" s="15" t="inlineStr">
        <is>
          <t>SEBI filing link</t>
        </is>
      </c>
      <c r="U625" s="15" t="inlineStr">
        <is>
          <t>One Mobikwik Systems Limited</t>
        </is>
      </c>
      <c r="V625" s="15" t="n"/>
      <c r="W625" s="15" t="n"/>
      <c r="X625" s="15" t="n"/>
      <c r="Y625" s="15" t="n"/>
      <c r="Z625" s="15" t="n"/>
      <c r="AA625" s="15" t="n"/>
      <c r="AB625" s="15" t="n"/>
    </row>
    <row r="626" ht="15" customHeight="1" s="12">
      <c r="A626" s="14" t="n">
        <v>625</v>
      </c>
      <c r="B626" s="16" t="n">
        <v>45295</v>
      </c>
      <c r="C626" s="15" t="n">
        <v>2024</v>
      </c>
      <c r="D626" s="15" t="inlineStr">
        <is>
          <t>Sanstar Limited</t>
        </is>
      </c>
      <c r="E626" s="15" t="inlineStr">
        <is>
          <t>DRHP</t>
        </is>
      </c>
      <c r="F626" s="15" t="inlineStr">
        <is>
          <t>Sanstar Limited - DRHP</t>
        </is>
      </c>
      <c r="G626" s="15" t="inlineStr">
        <is>
          <t>IPO launched</t>
        </is>
      </c>
      <c r="H626" s="15" t="inlineStr">
        <is>
          <t>Mainboard</t>
        </is>
      </c>
      <c r="I626" s="16" t="n">
        <v>45492</v>
      </c>
      <c r="J626" s="16" t="n">
        <v>45496</v>
      </c>
      <c r="K626" s="16" t="n">
        <v>45499</v>
      </c>
      <c r="L626" s="17" t="n">
        <v>510.15</v>
      </c>
      <c r="M626" s="17" t="n">
        <v>510.15</v>
      </c>
      <c r="N626" s="17" t="n">
        <v>0</v>
      </c>
      <c r="O626" s="15" t="inlineStr">
        <is>
          <t>Final issue (ipoplatform)</t>
        </is>
      </c>
      <c r="P626" s="15" t="n"/>
      <c r="Q626" s="18" t="inlineStr">
        <is>
          <t>https://www.sebi.gov.in/sebi_data/attachdocs/jan-2024/1704369223582.PDF</t>
        </is>
      </c>
      <c r="R626" s="18" t="inlineStr">
        <is>
          <t>https://www.sebi.gov.in/filings/public-issues/jan-2024/sanstar-limited-drhp_80414.html</t>
        </is>
      </c>
      <c r="S626" s="15" t="n"/>
      <c r="T626" s="15" t="inlineStr">
        <is>
          <t>SEBI filing link</t>
        </is>
      </c>
      <c r="U626" s="15" t="inlineStr">
        <is>
          <t>Sanstar Limited</t>
        </is>
      </c>
      <c r="V626" s="15" t="n"/>
      <c r="W626" s="15" t="n"/>
      <c r="X626" s="15" t="n"/>
      <c r="Y626" s="15" t="n"/>
      <c r="Z626" s="15" t="n"/>
      <c r="AA626" s="15" t="n"/>
      <c r="AB626" s="15" t="n"/>
    </row>
    <row r="627" ht="15" customHeight="1" s="12">
      <c r="A627" s="14" t="n">
        <v>626</v>
      </c>
      <c r="B627" s="16" t="n">
        <v>45293</v>
      </c>
      <c r="C627" s="15" t="n">
        <v>2024</v>
      </c>
      <c r="D627" s="15" t="inlineStr">
        <is>
          <t>Waaree Energies Limited</t>
        </is>
      </c>
      <c r="E627" s="15" t="inlineStr">
        <is>
          <t>DRHP</t>
        </is>
      </c>
      <c r="F627" s="15" t="inlineStr">
        <is>
          <t>Waaree Energies Limited - DRHP</t>
        </is>
      </c>
      <c r="G627" s="15" t="inlineStr">
        <is>
          <t>IPO launched</t>
        </is>
      </c>
      <c r="H627" s="15" t="inlineStr">
        <is>
          <t>Mainboard</t>
        </is>
      </c>
      <c r="I627" s="16" t="n">
        <v>45586</v>
      </c>
      <c r="J627" s="16" t="n">
        <v>45588</v>
      </c>
      <c r="K627" s="16" t="n">
        <v>45593</v>
      </c>
      <c r="L627" s="17" t="n">
        <v>4321.44</v>
      </c>
      <c r="M627" s="17" t="n">
        <v>3600</v>
      </c>
      <c r="N627" s="17" t="n">
        <v>721.4400000000001</v>
      </c>
      <c r="O627" s="15" t="inlineStr">
        <is>
          <t>Final issue (ipoplatform)</t>
        </is>
      </c>
      <c r="P627" s="15" t="n"/>
      <c r="Q627" s="18" t="inlineStr">
        <is>
          <t>https://www.sebi.gov.in/sebi_data/attachdocs/jan-2024/1704369080201.pdf</t>
        </is>
      </c>
      <c r="R627" s="18" t="inlineStr">
        <is>
          <t>https://www.sebi.gov.in/filings/public-issues/jan-2024/waaree-energies-limited-drhp_80409.html</t>
        </is>
      </c>
      <c r="S627" s="15" t="n"/>
      <c r="T627" s="15" t="inlineStr">
        <is>
          <t>SEBI filing link</t>
        </is>
      </c>
      <c r="U627" s="15" t="inlineStr">
        <is>
          <t>Waaree Energies Limited</t>
        </is>
      </c>
      <c r="V627" s="15" t="n"/>
      <c r="W627" s="15" t="n"/>
      <c r="X627" s="15" t="n"/>
      <c r="Y627" s="15" t="n"/>
      <c r="Z627" s="15" t="n"/>
      <c r="AA627" s="15" t="n"/>
      <c r="AB627" s="15" t="n"/>
    </row>
    <row r="628" ht="15" customHeight="1" s="12">
      <c r="A628" s="14" t="n">
        <v>627</v>
      </c>
      <c r="B628" s="16" t="n">
        <v>45293</v>
      </c>
      <c r="C628" s="15" t="n">
        <v>2024</v>
      </c>
      <c r="D628" s="15" t="inlineStr">
        <is>
          <t>Rays Power Infra Limited</t>
        </is>
      </c>
      <c r="E628" s="15" t="inlineStr">
        <is>
          <t>DRHP</t>
        </is>
      </c>
      <c r="F628" s="15" t="inlineStr">
        <is>
          <t>Rays Power Infra Limited - DRHP</t>
        </is>
      </c>
      <c r="G628" s="15" t="inlineStr">
        <is>
          <t>No launched IPO found</t>
        </is>
      </c>
      <c r="H628" s="15" t="n"/>
      <c r="I628" s="16" t="n"/>
      <c r="J628" s="16" t="n"/>
      <c r="K628" s="16" t="n"/>
      <c r="L628" s="17" t="n"/>
      <c r="M628" s="17" t="n"/>
      <c r="N628" s="17" t="n"/>
      <c r="O628" s="15" t="n"/>
      <c r="P628" s="15" t="n"/>
      <c r="Q628" s="18" t="inlineStr">
        <is>
          <t>https://www.sebi.gov.in/sebi_data/attachdocs/jan-2024/1704264566291.pdf</t>
        </is>
      </c>
      <c r="R628" s="18" t="inlineStr">
        <is>
          <t>https://www.sebi.gov.in/filings/public-issues/jan-2024/rays-power-infra-limited-drhp_80387.html</t>
        </is>
      </c>
      <c r="S628" s="15" t="n"/>
      <c r="T628" s="15" t="n"/>
      <c r="U628" s="15" t="n"/>
      <c r="V628" s="15" t="n"/>
      <c r="W628" s="16" t="n"/>
      <c r="X628" s="16" t="n"/>
      <c r="Y628" s="16" t="n"/>
      <c r="Z628" s="15" t="inlineStr">
        <is>
          <t>Withdrawn / approval lapsed</t>
        </is>
      </c>
      <c r="AA628" s="15" t="inlineStr">
        <is>
          <t>DRHP withdrawn from SEBI on 13-Mar-2026</t>
        </is>
      </c>
      <c r="AB628" s="18" t="inlineStr">
        <is>
          <t>https://www.chittorgarh.com/ipo/rays-power-infra-ipo/2692/</t>
        </is>
      </c>
    </row>
    <row r="629" ht="15" customHeight="1" s="12">
      <c r="A629" s="14" t="n">
        <v>628</v>
      </c>
      <c r="B629" s="16" t="n">
        <v>45293</v>
      </c>
      <c r="C629" s="15" t="n">
        <v>2024</v>
      </c>
      <c r="D629" s="15" t="inlineStr">
        <is>
          <t>Vraj Iron and Steel Limited</t>
        </is>
      </c>
      <c r="E629" s="15" t="inlineStr">
        <is>
          <t>DRHP</t>
        </is>
      </c>
      <c r="F629" s="15" t="inlineStr">
        <is>
          <t>Vraj Iron and Steel Limited - DRHP</t>
        </is>
      </c>
      <c r="G629" s="15" t="inlineStr">
        <is>
          <t>IPO launched</t>
        </is>
      </c>
      <c r="H629" s="15" t="inlineStr">
        <is>
          <t>Mainboard</t>
        </is>
      </c>
      <c r="I629" s="16" t="n">
        <v>45469</v>
      </c>
      <c r="J629" s="16" t="n">
        <v>45471</v>
      </c>
      <c r="K629" s="16" t="n">
        <v>45476</v>
      </c>
      <c r="L629" s="17" t="n">
        <v>171</v>
      </c>
      <c r="M629" s="17" t="n">
        <v>171</v>
      </c>
      <c r="N629" s="17" t="n">
        <v>0</v>
      </c>
      <c r="O629" s="15" t="inlineStr">
        <is>
          <t>Final issue (ipoplatform)</t>
        </is>
      </c>
      <c r="P629" s="15" t="n"/>
      <c r="Q629" s="18" t="inlineStr">
        <is>
          <t>https://www.sebi.gov.in/sebi_data/attachdocs/jan-2024/1704185197037.pdf</t>
        </is>
      </c>
      <c r="R629" s="18" t="inlineStr">
        <is>
          <t>https://www.sebi.gov.in/filings/public-issues/jan-2024/vraj-iron-and-steel-limited-drhp_80348.html</t>
        </is>
      </c>
      <c r="S629" s="15" t="n"/>
      <c r="T629" s="15" t="inlineStr">
        <is>
          <t>SEBI filing link</t>
        </is>
      </c>
      <c r="U629" s="15" t="inlineStr">
        <is>
          <t>Vraj Iron and Steel Limited</t>
        </is>
      </c>
      <c r="V629" s="15" t="n"/>
      <c r="W629" s="15" t="n"/>
      <c r="X629" s="15" t="n"/>
      <c r="Y629" s="15" t="n"/>
      <c r="Z629" s="15" t="n"/>
      <c r="AA629" s="15" t="n"/>
      <c r="AB629" s="15" t="n"/>
    </row>
    <row r="630" ht="15" customHeight="1" s="12">
      <c r="A630" s="14" t="n">
        <v>629</v>
      </c>
      <c r="B630" s="16" t="n">
        <v>45293</v>
      </c>
      <c r="C630" s="15" t="n">
        <v>2024</v>
      </c>
      <c r="D630" s="15" t="inlineStr">
        <is>
          <t>Shree Tirupati Balajee Agro Trading Company Limited</t>
        </is>
      </c>
      <c r="E630" s="15" t="inlineStr">
        <is>
          <t>DRHP</t>
        </is>
      </c>
      <c r="F630" s="15" t="inlineStr">
        <is>
          <t>Shree Tirupati Balajee Agro Trading Company Limited - DRHP</t>
        </is>
      </c>
      <c r="G630" s="15" t="inlineStr">
        <is>
          <t>IPO launched</t>
        </is>
      </c>
      <c r="H630" s="15" t="inlineStr">
        <is>
          <t>Mainboard</t>
        </is>
      </c>
      <c r="I630" s="16" t="n">
        <v>45540</v>
      </c>
      <c r="J630" s="16" t="n">
        <v>45544</v>
      </c>
      <c r="K630" s="16" t="n">
        <v>45547</v>
      </c>
      <c r="L630" s="17" t="n">
        <v>169.65</v>
      </c>
      <c r="M630" s="17" t="n">
        <v>122.43</v>
      </c>
      <c r="N630" s="17" t="n">
        <v>47.22</v>
      </c>
      <c r="O630" s="15" t="inlineStr">
        <is>
          <t>Final issue (ipoplatform)</t>
        </is>
      </c>
      <c r="P630" s="15" t="n"/>
      <c r="Q630" s="18" t="inlineStr">
        <is>
          <t>https://www.sebi.gov.in/sebi_data/attachdocs/jan-2024/1704185137810.pdf</t>
        </is>
      </c>
      <c r="R630" s="18" t="inlineStr">
        <is>
          <t>https://www.sebi.gov.in/filings/public-issues/jan-2024/shree-tirupati-balajee-agro-trading-company-limited-drhp_80347.html</t>
        </is>
      </c>
      <c r="S630" s="15" t="n"/>
      <c r="T630" s="15" t="inlineStr">
        <is>
          <t>Company name + date window</t>
        </is>
      </c>
      <c r="U630" s="15" t="inlineStr">
        <is>
          <t>Shree Tirupati Balajee Agro Trading Company Limited</t>
        </is>
      </c>
      <c r="V630" s="15" t="n"/>
      <c r="W630" s="15" t="n"/>
      <c r="X630" s="15" t="n"/>
      <c r="Y630" s="15" t="n"/>
      <c r="Z630" s="15" t="n"/>
      <c r="AA630" s="15" t="n"/>
      <c r="AB630" s="15" t="n"/>
    </row>
    <row r="631" ht="15" customHeight="1" s="12">
      <c r="A631" s="14" t="n">
        <v>630</v>
      </c>
      <c r="B631" s="16" t="n">
        <v>45292</v>
      </c>
      <c r="C631" s="15" t="n">
        <v>2024</v>
      </c>
      <c r="D631" s="15" t="inlineStr">
        <is>
          <t>Diffusion Engineers Limited</t>
        </is>
      </c>
      <c r="E631" s="15" t="inlineStr">
        <is>
          <t>DRHP</t>
        </is>
      </c>
      <c r="F631" s="15" t="inlineStr">
        <is>
          <t>Diffusion Engineers Limited - DRHP</t>
        </is>
      </c>
      <c r="G631" s="15" t="inlineStr">
        <is>
          <t>IPO launched</t>
        </is>
      </c>
      <c r="H631" s="15" t="inlineStr">
        <is>
          <t>Mainboard</t>
        </is>
      </c>
      <c r="I631" s="16" t="n">
        <v>45561</v>
      </c>
      <c r="J631" s="16" t="n">
        <v>45565</v>
      </c>
      <c r="K631" s="16" t="n">
        <v>45569</v>
      </c>
      <c r="L631" s="17" t="n">
        <v>158</v>
      </c>
      <c r="M631" s="17" t="n">
        <v>158</v>
      </c>
      <c r="N631" s="17" t="n">
        <v>0</v>
      </c>
      <c r="O631" s="15" t="inlineStr">
        <is>
          <t>Final issue (ipoplatform)</t>
        </is>
      </c>
      <c r="P631" s="15" t="n"/>
      <c r="Q631" s="18" t="inlineStr">
        <is>
          <t>https://www.sebi.gov.in/sebi_data/attachdocs/jan-2024/1704110723922.PDF</t>
        </is>
      </c>
      <c r="R631" s="18" t="inlineStr">
        <is>
          <t>https://www.sebi.gov.in/filings/public-issues/jan-2024/diffusion-engineers-limited-drhp_80291.html</t>
        </is>
      </c>
      <c r="S631" s="15" t="n"/>
      <c r="T631" s="15" t="inlineStr">
        <is>
          <t>Company name + date window</t>
        </is>
      </c>
      <c r="U631" s="15" t="inlineStr">
        <is>
          <t>Diffusion Engineers Limited</t>
        </is>
      </c>
      <c r="V631" s="15" t="n"/>
      <c r="W631" s="15" t="n"/>
      <c r="X631" s="15" t="n"/>
      <c r="Y631" s="15" t="n"/>
      <c r="Z631" s="15" t="n"/>
      <c r="AA631" s="15" t="n"/>
      <c r="AB631" s="15" t="n"/>
    </row>
    <row r="632" ht="15" customHeight="1" s="12">
      <c r="A632" s="14" t="n">
        <v>631</v>
      </c>
      <c r="B632" s="16" t="n">
        <v>45289</v>
      </c>
      <c r="C632" s="15" t="n">
        <v>2023</v>
      </c>
      <c r="D632" s="15" t="inlineStr">
        <is>
          <t>Vibhor Steel Tubes Limited</t>
        </is>
      </c>
      <c r="E632" s="15" t="inlineStr">
        <is>
          <t>Addendum</t>
        </is>
      </c>
      <c r="F632" s="15" t="inlineStr">
        <is>
          <t>Vibhor Steel Tubes Limited - Addendum to DRHP</t>
        </is>
      </c>
      <c r="G632" s="15" t="inlineStr">
        <is>
          <t>No launched IPO found</t>
        </is>
      </c>
      <c r="H632" s="15" t="n"/>
      <c r="I632" s="16" t="n"/>
      <c r="J632" s="16" t="n"/>
      <c r="K632" s="16" t="n"/>
      <c r="L632" s="17" t="n"/>
      <c r="M632" s="17" t="n"/>
      <c r="N632" s="17" t="n"/>
      <c r="O632" s="15" t="n"/>
      <c r="P632" s="15" t="n"/>
      <c r="Q632" s="18" t="inlineStr">
        <is>
          <t>https://www.sebi.gov.in/sebi_data/attachdocs/jan-2024/1704281497043.pdf</t>
        </is>
      </c>
      <c r="R632" s="18" t="inlineStr">
        <is>
          <t>https://www.sebi.gov.in/filings/public-issues/dec-2023/vibhor-steel-tubes-limited-addendum-to-drhp_80398.html</t>
        </is>
      </c>
      <c r="S632" s="15" t="n"/>
      <c r="T632" s="15" t="n"/>
      <c r="U632" s="15" t="n"/>
      <c r="V632" s="15" t="inlineStr">
        <is>
          <t>Same-name IPO opened 13-Feb-2023 — outside 2 years of this filing, so not linked</t>
        </is>
      </c>
      <c r="W632" s="19" t="n">
        <v>45335</v>
      </c>
      <c r="X632" s="19" t="n">
        <v>45337</v>
      </c>
      <c r="Y632" s="19" t="n">
        <v>45342</v>
      </c>
      <c r="Z632" s="20" t="inlineStr">
        <is>
          <t>Issue opened</t>
        </is>
      </c>
      <c r="AA632" s="15" t="inlineStr">
        <is>
          <t>Matched on chittorgarh.com</t>
        </is>
      </c>
      <c r="AB632" s="18" t="inlineStr">
        <is>
          <t>https://www.chittorgarh.com/ipo/vibhor-steel-tubes-ipo/1646/</t>
        </is>
      </c>
    </row>
    <row r="633" ht="15" customHeight="1" s="12">
      <c r="A633" s="14" t="n">
        <v>632</v>
      </c>
      <c r="B633" s="16" t="n">
        <v>45289</v>
      </c>
      <c r="C633" s="15" t="n">
        <v>2023</v>
      </c>
      <c r="D633" s="15" t="inlineStr">
        <is>
          <t>Awfis Space Solutions Limited</t>
        </is>
      </c>
      <c r="E633" s="15" t="inlineStr">
        <is>
          <t>DRHP</t>
        </is>
      </c>
      <c r="F633" s="15" t="inlineStr">
        <is>
          <t>Awfis Space Solutions Limited - DRHP</t>
        </is>
      </c>
      <c r="G633" s="15" t="inlineStr">
        <is>
          <t>IPO launched</t>
        </is>
      </c>
      <c r="H633" s="15" t="inlineStr">
        <is>
          <t>Mainboard</t>
        </is>
      </c>
      <c r="I633" s="16" t="n">
        <v>45434</v>
      </c>
      <c r="J633" s="16" t="n">
        <v>45439</v>
      </c>
      <c r="K633" s="16" t="n">
        <v>45442</v>
      </c>
      <c r="L633" s="17" t="n">
        <v>598.9299999999999</v>
      </c>
      <c r="M633" s="17" t="n">
        <v>128</v>
      </c>
      <c r="N633" s="17" t="n">
        <v>470.93</v>
      </c>
      <c r="O633" s="15" t="inlineStr">
        <is>
          <t>Final issue (ipoplatform)</t>
        </is>
      </c>
      <c r="P633" s="15" t="n"/>
      <c r="Q633" s="18" t="inlineStr">
        <is>
          <t>https://www.sebi.gov.in/sebi_data/attachdocs/dec-2023/1703849570967.pdf</t>
        </is>
      </c>
      <c r="R633" s="18" t="inlineStr">
        <is>
          <t>https://www.sebi.gov.in/filings/public-issues/dec-2023/awfis-space-solutions-limited-drhp_80277.html</t>
        </is>
      </c>
      <c r="S633" s="15" t="n"/>
      <c r="T633" s="15" t="inlineStr">
        <is>
          <t>SEBI filing link</t>
        </is>
      </c>
      <c r="U633" s="15" t="inlineStr">
        <is>
          <t>Awfis Space Solutions Limited</t>
        </is>
      </c>
      <c r="V633" s="15" t="n"/>
      <c r="W633" s="15" t="n"/>
      <c r="X633" s="15" t="n"/>
      <c r="Y633" s="15" t="n"/>
      <c r="Z633" s="15" t="n"/>
      <c r="AA633" s="15" t="n"/>
      <c r="AB633" s="15" t="n"/>
    </row>
    <row r="634" ht="15" customHeight="1" s="12">
      <c r="A634" s="14" t="n">
        <v>633</v>
      </c>
      <c r="B634" s="16" t="n">
        <v>45289</v>
      </c>
      <c r="C634" s="15" t="n">
        <v>2023</v>
      </c>
      <c r="D634" s="15" t="inlineStr">
        <is>
          <t>Brainbees Solutions Limited</t>
        </is>
      </c>
      <c r="E634" s="15" t="inlineStr">
        <is>
          <t>DRHP</t>
        </is>
      </c>
      <c r="F634" s="15" t="inlineStr">
        <is>
          <t>Brainbees Solutions Limited - DRHP</t>
        </is>
      </c>
      <c r="G634" s="15" t="inlineStr">
        <is>
          <t>IPO launched</t>
        </is>
      </c>
      <c r="H634" s="15" t="inlineStr">
        <is>
          <t>Mainboard</t>
        </is>
      </c>
      <c r="I634" s="16" t="n">
        <v>45510</v>
      </c>
      <c r="J634" s="16" t="n">
        <v>45512</v>
      </c>
      <c r="K634" s="16" t="n">
        <v>45517</v>
      </c>
      <c r="L634" s="17" t="n">
        <v>4193.73</v>
      </c>
      <c r="M634" s="17" t="n">
        <v>1666</v>
      </c>
      <c r="N634" s="17" t="n">
        <v>2527.73</v>
      </c>
      <c r="O634" s="15" t="inlineStr">
        <is>
          <t>Final issue (ipoplatform)</t>
        </is>
      </c>
      <c r="P634" s="15" t="n"/>
      <c r="Q634" s="18" t="inlineStr">
        <is>
          <t>https://www.sebi.gov.in/sebi_data/attachdocs/dec-2023/1703849505363.pdf</t>
        </is>
      </c>
      <c r="R634" s="18" t="inlineStr">
        <is>
          <t>https://www.sebi.gov.in/filings/public-issues/dec-2023/brainbees-solutions-limited-drhp_80275.html</t>
        </is>
      </c>
      <c r="S634" s="15" t="n"/>
      <c r="T634" s="15" t="inlineStr">
        <is>
          <t>Company name + date window</t>
        </is>
      </c>
      <c r="U634" s="15" t="inlineStr">
        <is>
          <t>Brainbees Solutions Limited</t>
        </is>
      </c>
      <c r="V634" s="15" t="n"/>
      <c r="W634" s="15" t="n"/>
      <c r="X634" s="15" t="n"/>
      <c r="Y634" s="15" t="n"/>
      <c r="Z634" s="15" t="n"/>
      <c r="AA634" s="15" t="n"/>
      <c r="AB634" s="15" t="n"/>
    </row>
    <row r="635" ht="15" customHeight="1" s="12">
      <c r="A635" s="14" t="n">
        <v>634</v>
      </c>
      <c r="B635" s="16" t="n">
        <v>45286</v>
      </c>
      <c r="C635" s="15" t="n">
        <v>2023</v>
      </c>
      <c r="D635" s="15" t="inlineStr">
        <is>
          <t>Ola Electric Mobility Limited</t>
        </is>
      </c>
      <c r="E635" s="15" t="inlineStr">
        <is>
          <t>DRHP</t>
        </is>
      </c>
      <c r="F635" s="15" t="inlineStr">
        <is>
          <t>Ola Electric Mobility Limited - DRHP</t>
        </is>
      </c>
      <c r="G635" s="15" t="inlineStr">
        <is>
          <t>IPO launched</t>
        </is>
      </c>
      <c r="H635" s="15" t="inlineStr">
        <is>
          <t>Mainboard</t>
        </is>
      </c>
      <c r="I635" s="16" t="n">
        <v>45506</v>
      </c>
      <c r="J635" s="16" t="n">
        <v>45510</v>
      </c>
      <c r="K635" s="16" t="n">
        <v>45513</v>
      </c>
      <c r="L635" s="17" t="n">
        <v>6145.56</v>
      </c>
      <c r="M635" s="17" t="n">
        <v>5500</v>
      </c>
      <c r="N635" s="17" t="n">
        <v>645.5599999999999</v>
      </c>
      <c r="O635" s="15" t="inlineStr">
        <is>
          <t>Final issue (ipoplatform)</t>
        </is>
      </c>
      <c r="P635" s="15" t="n"/>
      <c r="Q635" s="18" t="inlineStr">
        <is>
          <t>https://www.sebi.gov.in/sebi_data/attachdocs/dec-2023/1703580725954.PDF</t>
        </is>
      </c>
      <c r="R635" s="18" t="inlineStr">
        <is>
          <t>https://www.sebi.gov.in/filings/public-issues/dec-2023/ola-electric-mobility-limited-drhp_80215.html</t>
        </is>
      </c>
      <c r="S635" s="15" t="n"/>
      <c r="T635" s="15" t="inlineStr">
        <is>
          <t>SEBI filing link</t>
        </is>
      </c>
      <c r="U635" s="15" t="inlineStr">
        <is>
          <t>Ola Electric Mobility Limited</t>
        </is>
      </c>
      <c r="V635" s="15" t="n"/>
      <c r="W635" s="15" t="n"/>
      <c r="X635" s="15" t="n"/>
      <c r="Y635" s="15" t="n"/>
      <c r="Z635" s="15" t="n"/>
      <c r="AA635" s="15" t="n"/>
      <c r="AB635" s="15" t="n"/>
    </row>
    <row r="636" ht="15" customHeight="1" s="12">
      <c r="A636" s="14" t="n">
        <v>635</v>
      </c>
      <c r="B636" s="16" t="n">
        <v>45282</v>
      </c>
      <c r="C636" s="15" t="n">
        <v>2023</v>
      </c>
      <c r="D636" s="15" t="inlineStr">
        <is>
          <t>Gretex Share Broking Limited</t>
        </is>
      </c>
      <c r="E636" s="15" t="inlineStr">
        <is>
          <t>DRHP</t>
        </is>
      </c>
      <c r="F636" s="15" t="inlineStr">
        <is>
          <t>Gretex Share Broking Limited - DRHP</t>
        </is>
      </c>
      <c r="G636" s="15" t="inlineStr">
        <is>
          <t>No launched IPO found</t>
        </is>
      </c>
      <c r="H636" s="15" t="n"/>
      <c r="I636" s="16" t="n"/>
      <c r="J636" s="16" t="n"/>
      <c r="K636" s="16" t="n"/>
      <c r="L636" s="17" t="n"/>
      <c r="M636" s="17" t="n"/>
      <c r="N636" s="17" t="n"/>
      <c r="O636" s="15" t="n"/>
      <c r="P636" s="15" t="n"/>
      <c r="Q636" s="18" t="inlineStr">
        <is>
          <t>https://www.sebi.gov.in/sebi_data/attachdocs/dec-2023/1703228626909.pdf</t>
        </is>
      </c>
      <c r="R636" s="18" t="inlineStr">
        <is>
          <t>https://www.sebi.gov.in/filings/public-issues/dec-2023/gretex-share-broking-limited-drhp_80178.html</t>
        </is>
      </c>
      <c r="S636" s="15" t="n"/>
      <c r="T636" s="15" t="n"/>
      <c r="U636" s="15" t="n"/>
      <c r="V636" s="15" t="n"/>
      <c r="W636" s="16" t="n"/>
      <c r="X636" s="16" t="n"/>
      <c r="Y636" s="16" t="n"/>
      <c r="Z636" s="15" t="inlineStr">
        <is>
          <t>No issue found</t>
        </is>
      </c>
      <c r="AA636" s="15" t="inlineStr">
        <is>
          <t>Dates to be announced; no issue found.</t>
        </is>
      </c>
      <c r="AB636" s="18" t="inlineStr">
        <is>
          <t>https://www.5paisa.com/ipo/gretex-share-broking-ltd-ipo</t>
        </is>
      </c>
    </row>
    <row r="637" ht="15" customHeight="1" s="12">
      <c r="A637" s="14" t="n">
        <v>636</v>
      </c>
      <c r="B637" s="16" t="n">
        <v>45280</v>
      </c>
      <c r="C637" s="15" t="n">
        <v>2023</v>
      </c>
      <c r="D637" s="15" t="inlineStr">
        <is>
          <t>Emcure Pharmaceuticals Limited</t>
        </is>
      </c>
      <c r="E637" s="15" t="inlineStr">
        <is>
          <t>DRHP</t>
        </is>
      </c>
      <c r="F637" s="15" t="inlineStr">
        <is>
          <t>Emcure Pharmaceuticals Limited - DRHP</t>
        </is>
      </c>
      <c r="G637" s="15" t="inlineStr">
        <is>
          <t>IPO launched</t>
        </is>
      </c>
      <c r="H637" s="15" t="inlineStr">
        <is>
          <t>Mainboard</t>
        </is>
      </c>
      <c r="I637" s="16" t="n">
        <v>45476</v>
      </c>
      <c r="J637" s="16" t="n">
        <v>45478</v>
      </c>
      <c r="K637" s="16" t="n">
        <v>45483</v>
      </c>
      <c r="L637" s="17" t="n">
        <v>1952.03</v>
      </c>
      <c r="M637" s="17" t="n">
        <v>800</v>
      </c>
      <c r="N637" s="17" t="n">
        <v>1152.03</v>
      </c>
      <c r="O637" s="15" t="inlineStr">
        <is>
          <t>Final issue (ipoplatform)</t>
        </is>
      </c>
      <c r="P637" s="15" t="n"/>
      <c r="Q637" s="18" t="inlineStr">
        <is>
          <t>https://www.sebi.gov.in/sebi_data/attachdocs/dec-2023/1703071663670.pdf</t>
        </is>
      </c>
      <c r="R637" s="18" t="inlineStr">
        <is>
          <t>https://www.sebi.gov.in/filings/public-issues/dec-2023/emcure-pharmaceuticals-limited-drhp_80072.html</t>
        </is>
      </c>
      <c r="S637" s="15" t="n"/>
      <c r="T637" s="15" t="inlineStr">
        <is>
          <t>SEBI filing link</t>
        </is>
      </c>
      <c r="U637" s="15" t="inlineStr">
        <is>
          <t>Emcure Pharmaceuticals Limited</t>
        </is>
      </c>
      <c r="V637" s="15" t="n"/>
      <c r="W637" s="15" t="n"/>
      <c r="X637" s="15" t="n"/>
      <c r="Y637" s="15" t="n"/>
      <c r="Z637" s="15" t="n"/>
      <c r="AA637" s="15" t="n"/>
      <c r="AB637" s="15" t="n"/>
    </row>
    <row r="638" ht="15" customHeight="1" s="12">
      <c r="A638" s="14" t="n">
        <v>637</v>
      </c>
      <c r="B638" s="16" t="n">
        <v>45279</v>
      </c>
      <c r="C638" s="15" t="n">
        <v>2023</v>
      </c>
      <c r="D638" s="15" t="inlineStr">
        <is>
          <t>Stallion India Fluorochemicals Limited</t>
        </is>
      </c>
      <c r="E638" s="15" t="inlineStr">
        <is>
          <t>DRHP</t>
        </is>
      </c>
      <c r="F638" s="15" t="inlineStr">
        <is>
          <t>Stallion India Fluorochemicals Limited - DRHP</t>
        </is>
      </c>
      <c r="G638" s="15" t="inlineStr">
        <is>
          <t>IPO launched</t>
        </is>
      </c>
      <c r="H638" s="15" t="inlineStr">
        <is>
          <t>Mainboard</t>
        </is>
      </c>
      <c r="I638" s="16" t="n">
        <v>45673</v>
      </c>
      <c r="J638" s="16" t="n">
        <v>45677</v>
      </c>
      <c r="K638" s="16" t="n">
        <v>45680</v>
      </c>
      <c r="L638" s="17" t="n">
        <v>199.45</v>
      </c>
      <c r="M638" s="17" t="n">
        <v>160.73</v>
      </c>
      <c r="N638" s="17" t="n">
        <v>38.72</v>
      </c>
      <c r="O638" s="15" t="inlineStr">
        <is>
          <t>Final issue (ipoplatform)</t>
        </is>
      </c>
      <c r="P638" s="15" t="n"/>
      <c r="Q638" s="18" t="inlineStr">
        <is>
          <t>https://www.sebi.gov.in/sebi_data/attachdocs/dec-2023/1702983438613.PDF</t>
        </is>
      </c>
      <c r="R638" s="18" t="inlineStr">
        <is>
          <t>https://www.sebi.gov.in/filings/public-issues/dec-2023/stallion-india-fluorochemicals-limited-drhp_80009.html</t>
        </is>
      </c>
      <c r="S638" s="15" t="n"/>
      <c r="T638" s="15" t="inlineStr">
        <is>
          <t>Company name + date window</t>
        </is>
      </c>
      <c r="U638" s="15" t="inlineStr">
        <is>
          <t>Stallion India Fluorochemicals Limited</t>
        </is>
      </c>
      <c r="V638" s="15" t="n"/>
      <c r="W638" s="15" t="n"/>
      <c r="X638" s="15" t="n"/>
      <c r="Y638" s="15" t="n"/>
      <c r="Z638" s="15" t="n"/>
      <c r="AA638" s="15" t="n"/>
      <c r="AB638" s="15" t="n"/>
    </row>
    <row r="639" ht="15" customHeight="1" s="12">
      <c r="A639" s="14" t="n">
        <v>638</v>
      </c>
      <c r="B639" s="16" t="n">
        <v>45273</v>
      </c>
      <c r="C639" s="15" t="n">
        <v>2023</v>
      </c>
      <c r="D639" s="15" t="inlineStr">
        <is>
          <t>Denta Water and Infra Solutions Limited</t>
        </is>
      </c>
      <c r="E639" s="15" t="inlineStr">
        <is>
          <t>DRHP</t>
        </is>
      </c>
      <c r="F639" s="15" t="inlineStr">
        <is>
          <t>Denta Water and Infra Solutions Limited - DRHP</t>
        </is>
      </c>
      <c r="G639" s="15" t="inlineStr">
        <is>
          <t>IPO launched</t>
        </is>
      </c>
      <c r="H639" s="15" t="inlineStr">
        <is>
          <t>Mainboard</t>
        </is>
      </c>
      <c r="I639" s="16" t="n">
        <v>45679</v>
      </c>
      <c r="J639" s="16" t="n">
        <v>45681</v>
      </c>
      <c r="K639" s="16" t="n">
        <v>45686</v>
      </c>
      <c r="L639" s="17" t="n">
        <v>220.5</v>
      </c>
      <c r="M639" s="17" t="n">
        <v>220.5</v>
      </c>
      <c r="N639" s="17" t="n">
        <v>0</v>
      </c>
      <c r="O639" s="15" t="inlineStr">
        <is>
          <t>Final issue (ipoplatform)</t>
        </is>
      </c>
      <c r="P639" s="15" t="n"/>
      <c r="Q639" s="18" t="inlineStr">
        <is>
          <t>https://www.sebi.gov.in/sebi_data/attachdocs/dec-2023/1702445180827.pdf</t>
        </is>
      </c>
      <c r="R639" s="18" t="inlineStr">
        <is>
          <t>https://www.sebi.gov.in/filings/public-issues/dec-2023/denta-water-and-infra-solutions-limited-drhp_79817.html</t>
        </is>
      </c>
      <c r="S639" s="15" t="n"/>
      <c r="T639" s="15" t="inlineStr">
        <is>
          <t>Company name + date window</t>
        </is>
      </c>
      <c r="U639" s="15" t="inlineStr">
        <is>
          <t>Denta Water and Infra Solutions Limited</t>
        </is>
      </c>
      <c r="V639" s="15" t="n"/>
      <c r="W639" s="15" t="n"/>
      <c r="X639" s="15" t="n"/>
      <c r="Y639" s="15" t="n"/>
      <c r="Z639" s="15" t="n"/>
      <c r="AA639" s="15" t="n"/>
      <c r="AB639" s="15" t="n"/>
    </row>
    <row r="640" ht="15" customHeight="1" s="12">
      <c r="A640" s="14" t="n">
        <v>639</v>
      </c>
      <c r="B640" s="16" t="n">
        <v>45264</v>
      </c>
      <c r="C640" s="15" t="n">
        <v>2023</v>
      </c>
      <c r="D640" s="15" t="inlineStr">
        <is>
          <t>Kronox Lab Sciences Limited</t>
        </is>
      </c>
      <c r="E640" s="15" t="inlineStr">
        <is>
          <t>DRHP</t>
        </is>
      </c>
      <c r="F640" s="15" t="inlineStr">
        <is>
          <t>Kronox Lab Sciences Limited - DRHP</t>
        </is>
      </c>
      <c r="G640" s="15" t="inlineStr">
        <is>
          <t>IPO launched</t>
        </is>
      </c>
      <c r="H640" s="15" t="inlineStr">
        <is>
          <t>Mainboard</t>
        </is>
      </c>
      <c r="I640" s="16" t="n">
        <v>45446</v>
      </c>
      <c r="J640" s="16" t="n">
        <v>45448</v>
      </c>
      <c r="K640" s="16" t="n">
        <v>45453</v>
      </c>
      <c r="L640" s="17" t="n">
        <v>130.15</v>
      </c>
      <c r="M640" s="17" t="n">
        <v>130.15</v>
      </c>
      <c r="N640" s="17" t="n">
        <v>0</v>
      </c>
      <c r="O640" s="15" t="inlineStr">
        <is>
          <t>Final issue (ipoplatform)</t>
        </is>
      </c>
      <c r="P640" s="15" t="n"/>
      <c r="Q640" s="18" t="inlineStr">
        <is>
          <t>https://www.sebi.gov.in/sebi_data/attachdocs/dec-2023/1701684884086.pdf</t>
        </is>
      </c>
      <c r="R640" s="18" t="inlineStr">
        <is>
          <t>https://www.sebi.gov.in/filings/public-issues/dec-2023/kronox-lab-sciences-limited-drhp_79536.html</t>
        </is>
      </c>
      <c r="S640" s="15" t="n"/>
      <c r="T640" s="15" t="inlineStr">
        <is>
          <t>Company name + date window</t>
        </is>
      </c>
      <c r="U640" s="15" t="inlineStr">
        <is>
          <t>Kronox Lab Sciences Limited</t>
        </is>
      </c>
      <c r="V640" s="15" t="n"/>
      <c r="W640" s="15" t="n"/>
      <c r="X640" s="15" t="n"/>
      <c r="Y640" s="15" t="n"/>
      <c r="Z640" s="15" t="n"/>
      <c r="AA640" s="15" t="n"/>
      <c r="AB640" s="15" t="n"/>
    </row>
    <row r="641" ht="15" customHeight="1" s="12">
      <c r="A641" s="14" t="n">
        <v>640</v>
      </c>
      <c r="B641" s="16" t="n">
        <v>45261</v>
      </c>
      <c r="C641" s="15" t="n">
        <v>2023</v>
      </c>
      <c r="D641" s="15" t="inlineStr">
        <is>
          <t>Kross Limited</t>
        </is>
      </c>
      <c r="E641" s="15" t="inlineStr">
        <is>
          <t>DRHP</t>
        </is>
      </c>
      <c r="F641" s="15" t="inlineStr">
        <is>
          <t>Kross Limited - DRHP</t>
        </is>
      </c>
      <c r="G641" s="15" t="inlineStr">
        <is>
          <t>IPO launched</t>
        </is>
      </c>
      <c r="H641" s="15" t="inlineStr">
        <is>
          <t>Mainboard</t>
        </is>
      </c>
      <c r="I641" s="16" t="n">
        <v>45544</v>
      </c>
      <c r="J641" s="16" t="n">
        <v>45546</v>
      </c>
      <c r="K641" s="16" t="n">
        <v>45551</v>
      </c>
      <c r="L641" s="17" t="n">
        <v>500</v>
      </c>
      <c r="M641" s="17" t="n">
        <v>250</v>
      </c>
      <c r="N641" s="17" t="n">
        <v>250</v>
      </c>
      <c r="O641" s="15" t="inlineStr">
        <is>
          <t>Final issue (ipoplatform)</t>
        </is>
      </c>
      <c r="P641" s="15" t="n"/>
      <c r="Q641" s="18" t="inlineStr">
        <is>
          <t>https://www.sebi.gov.in/sebi_data/attachdocs/dec-2023/1701426739048.pdf</t>
        </is>
      </c>
      <c r="R641" s="18" t="inlineStr">
        <is>
          <t>https://www.sebi.gov.in/filings/public-issues/dec-2023/kross-limited-drhp_79503.html</t>
        </is>
      </c>
      <c r="S641" s="15" t="n"/>
      <c r="T641" s="15" t="inlineStr">
        <is>
          <t>Company name + date window</t>
        </is>
      </c>
      <c r="U641" s="15" t="inlineStr">
        <is>
          <t>Kross Limited</t>
        </is>
      </c>
      <c r="V641" s="15" t="n"/>
      <c r="W641" s="15" t="n"/>
      <c r="X641" s="15" t="n"/>
      <c r="Y641" s="15" t="n"/>
      <c r="Z641" s="15" t="n"/>
      <c r="AA641" s="15" t="n"/>
      <c r="AB641" s="15" t="n"/>
    </row>
    <row r="642" ht="15" customHeight="1" s="12">
      <c r="A642" s="14" t="n">
        <v>641</v>
      </c>
      <c r="B642" s="16" t="n">
        <v>45254</v>
      </c>
      <c r="C642" s="15" t="n">
        <v>2023</v>
      </c>
      <c r="D642" s="15" t="inlineStr">
        <is>
          <t>Gopal Snacks Limited</t>
        </is>
      </c>
      <c r="E642" s="15" t="inlineStr">
        <is>
          <t>DRHP</t>
        </is>
      </c>
      <c r="F642" s="15" t="inlineStr">
        <is>
          <t>Gopal Snacks Limited - DRHP</t>
        </is>
      </c>
      <c r="G642" s="15" t="inlineStr">
        <is>
          <t>IPO launched</t>
        </is>
      </c>
      <c r="H642" s="15" t="inlineStr">
        <is>
          <t>Mainboard</t>
        </is>
      </c>
      <c r="I642" s="16" t="n">
        <v>45357</v>
      </c>
      <c r="J642" s="16" t="n">
        <v>45362</v>
      </c>
      <c r="K642" s="16" t="n">
        <v>45365</v>
      </c>
      <c r="L642" s="17" t="n">
        <v>650</v>
      </c>
      <c r="M642" s="17" t="n">
        <v>650</v>
      </c>
      <c r="N642" s="17" t="n">
        <v>0</v>
      </c>
      <c r="O642" s="15" t="inlineStr">
        <is>
          <t>Final issue (ipoplatform)</t>
        </is>
      </c>
      <c r="P642" s="15" t="n"/>
      <c r="Q642" s="18" t="inlineStr">
        <is>
          <t>https://www.sebi.gov.in/sebi_data/attachdocs/nov-2023/1700819557215.PDF</t>
        </is>
      </c>
      <c r="R642" s="18" t="inlineStr">
        <is>
          <t>https://www.sebi.gov.in/filings/public-issues/nov-2023/gopal-snacks-limited-drhp_79319.html</t>
        </is>
      </c>
      <c r="S642" s="15" t="n"/>
      <c r="T642" s="15" t="inlineStr">
        <is>
          <t>SEBI filing link</t>
        </is>
      </c>
      <c r="U642" s="15" t="inlineStr">
        <is>
          <t>Gopal Snacks Limited</t>
        </is>
      </c>
      <c r="V642" s="15" t="n"/>
      <c r="W642" s="15" t="n"/>
      <c r="X642" s="15" t="n"/>
      <c r="Y642" s="15" t="n"/>
      <c r="Z642" s="15" t="n"/>
      <c r="AA642" s="15" t="n"/>
      <c r="AB642" s="15" t="n"/>
    </row>
    <row r="643" ht="15" customHeight="1" s="12">
      <c r="A643" s="14" t="n">
        <v>642</v>
      </c>
      <c r="B643" s="16" t="n">
        <v>45247</v>
      </c>
      <c r="C643" s="15" t="n">
        <v>2023</v>
      </c>
      <c r="D643" s="15" t="inlineStr">
        <is>
          <t>TBO Tek Limited</t>
        </is>
      </c>
      <c r="E643" s="15" t="inlineStr">
        <is>
          <t>DRHP</t>
        </is>
      </c>
      <c r="F643" s="15" t="inlineStr">
        <is>
          <t>TBO Tek Limited - DRHP</t>
        </is>
      </c>
      <c r="G643" s="15" t="inlineStr">
        <is>
          <t>IPO launched</t>
        </is>
      </c>
      <c r="H643" s="15" t="inlineStr">
        <is>
          <t>Mainboard</t>
        </is>
      </c>
      <c r="I643" s="16" t="n">
        <v>45420</v>
      </c>
      <c r="J643" s="16" t="n">
        <v>45422</v>
      </c>
      <c r="K643" s="16" t="n">
        <v>45427</v>
      </c>
      <c r="L643" s="17" t="n">
        <v>1550.81</v>
      </c>
      <c r="M643" s="17" t="n">
        <v>400</v>
      </c>
      <c r="N643" s="17" t="n">
        <v>1150.81</v>
      </c>
      <c r="O643" s="15" t="inlineStr">
        <is>
          <t>Final issue (ipoplatform)</t>
        </is>
      </c>
      <c r="P643" s="15" t="n"/>
      <c r="Q643" s="18" t="inlineStr">
        <is>
          <t>https://www.sebi.gov.in/sebi_data/attachdocs/nov-2023/1700471261335.PDF</t>
        </is>
      </c>
      <c r="R643" s="18" t="inlineStr">
        <is>
          <t>https://www.sebi.gov.in/filings/public-issues/nov-2023/tbo-tek-limited-drhp_79211.html</t>
        </is>
      </c>
      <c r="S643" s="15" t="n"/>
      <c r="T643" s="15" t="inlineStr">
        <is>
          <t>SEBI filing link</t>
        </is>
      </c>
      <c r="U643" s="15" t="inlineStr">
        <is>
          <t>TBO Tek Limited</t>
        </is>
      </c>
      <c r="V643" s="15" t="n"/>
      <c r="W643" s="15" t="n"/>
      <c r="X643" s="15" t="n"/>
      <c r="Y643" s="15" t="n"/>
      <c r="Z643" s="15" t="n"/>
      <c r="AA643" s="15" t="n"/>
      <c r="AB643" s="15" t="n"/>
    </row>
    <row r="644" ht="15" customHeight="1" s="12">
      <c r="A644" s="14" t="n">
        <v>643</v>
      </c>
      <c r="B644" s="16" t="n">
        <v>45243</v>
      </c>
      <c r="C644" s="15" t="n">
        <v>2023</v>
      </c>
      <c r="D644" s="15" t="inlineStr">
        <is>
          <t>RK Swamy Limited</t>
        </is>
      </c>
      <c r="E644" s="15" t="inlineStr">
        <is>
          <t>Addendum</t>
        </is>
      </c>
      <c r="F644" s="15" t="inlineStr">
        <is>
          <t>RK Swamy Limited - Addendum to DRHP</t>
        </is>
      </c>
      <c r="G644" s="15" t="inlineStr">
        <is>
          <t>IPO launched</t>
        </is>
      </c>
      <c r="H644" s="15" t="inlineStr">
        <is>
          <t>Mainboard</t>
        </is>
      </c>
      <c r="I644" s="16" t="n">
        <v>45355</v>
      </c>
      <c r="J644" s="16" t="n">
        <v>45357</v>
      </c>
      <c r="K644" s="16" t="n">
        <v>45363</v>
      </c>
      <c r="L644" s="17" t="n">
        <v>423.56</v>
      </c>
      <c r="M644" s="17" t="n">
        <v>173</v>
      </c>
      <c r="N644" s="17" t="n">
        <v>250.56</v>
      </c>
      <c r="O644" s="15" t="inlineStr">
        <is>
          <t>Final issue (ipoplatform)</t>
        </is>
      </c>
      <c r="P644" s="15" t="n"/>
      <c r="Q644" s="18" t="inlineStr">
        <is>
          <t>https://www.sebi.gov.in/sebi_data/attachdocs/nov-2023/1699876044670.pdf</t>
        </is>
      </c>
      <c r="R644" s="18" t="inlineStr">
        <is>
          <t>https://www.sebi.gov.in/filings/public-issues/nov-2023/rk-swamy-limited-addendum-to-drhp_79086.html</t>
        </is>
      </c>
      <c r="S644" s="15" t="n"/>
      <c r="T644" s="15" t="inlineStr">
        <is>
          <t>Company name + date window</t>
        </is>
      </c>
      <c r="U644" s="15" t="inlineStr">
        <is>
          <t>RK SWAMY Limited</t>
        </is>
      </c>
      <c r="V644" s="15" t="n"/>
      <c r="W644" s="15" t="n"/>
      <c r="X644" s="15" t="n"/>
      <c r="Y644" s="15" t="n"/>
      <c r="Z644" s="15" t="n"/>
      <c r="AA644" s="15" t="n"/>
      <c r="AB644" s="15" t="n"/>
    </row>
    <row r="645" ht="15" customHeight="1" s="12">
      <c r="A645" s="14" t="n">
        <v>644</v>
      </c>
      <c r="B645" s="16" t="n">
        <v>45240</v>
      </c>
      <c r="C645" s="15" t="n">
        <v>2023</v>
      </c>
      <c r="D645" s="15" t="inlineStr">
        <is>
          <t>Go Digit General Insurance Limited</t>
        </is>
      </c>
      <c r="E645" s="15" t="inlineStr">
        <is>
          <t>Addendum</t>
        </is>
      </c>
      <c r="F645" s="15" t="inlineStr">
        <is>
          <t>Go Digit General Insurance Limited - Addendum to DRHP</t>
        </is>
      </c>
      <c r="G645" s="15" t="inlineStr">
        <is>
          <t>IPO launched</t>
        </is>
      </c>
      <c r="H645" s="15" t="inlineStr">
        <is>
          <t>Mainboard</t>
        </is>
      </c>
      <c r="I645" s="16" t="n">
        <v>45427</v>
      </c>
      <c r="J645" s="16" t="n">
        <v>45429</v>
      </c>
      <c r="K645" s="16" t="n">
        <v>45435</v>
      </c>
      <c r="L645" s="17" t="n">
        <v>2614.65</v>
      </c>
      <c r="M645" s="17" t="n">
        <v>1125</v>
      </c>
      <c r="N645" s="17" t="n">
        <v>1489.65</v>
      </c>
      <c r="O645" s="15" t="inlineStr">
        <is>
          <t>Final issue (ipoplatform)</t>
        </is>
      </c>
      <c r="P645" s="15" t="n"/>
      <c r="Q645" s="18" t="inlineStr">
        <is>
          <t>https://www.sebi.gov.in/sebi_data/attachdocs/nov-2023/1699616304302.pdf</t>
        </is>
      </c>
      <c r="R645" s="18" t="inlineStr">
        <is>
          <t>https://www.sebi.gov.in/filings/public-issues/nov-2023/go-digit-general-insurance-limited-addendum-to-drhp_79068.html</t>
        </is>
      </c>
      <c r="S645" s="15" t="n"/>
      <c r="T645" s="15" t="inlineStr">
        <is>
          <t>Company name + date window</t>
        </is>
      </c>
      <c r="U645" s="15" t="inlineStr">
        <is>
          <t>Go Digit General Insurance Limited</t>
        </is>
      </c>
      <c r="V645" s="15" t="n"/>
      <c r="W645" s="15" t="n"/>
      <c r="X645" s="15" t="n"/>
      <c r="Y645" s="15" t="n"/>
      <c r="Z645" s="15" t="n"/>
      <c r="AA645" s="15" t="n"/>
      <c r="AB645" s="15" t="n"/>
    </row>
    <row r="646" ht="15" customHeight="1" s="12">
      <c r="A646" s="14" t="n">
        <v>645</v>
      </c>
      <c r="B646" s="16" t="n">
        <v>45236</v>
      </c>
      <c r="C646" s="15" t="n">
        <v>2023</v>
      </c>
      <c r="D646" s="15" t="inlineStr">
        <is>
          <t>BLS E-Services Limited</t>
        </is>
      </c>
      <c r="E646" s="15" t="inlineStr">
        <is>
          <t>Addendum</t>
        </is>
      </c>
      <c r="F646" s="15" t="inlineStr">
        <is>
          <t>BLS E-Services Limited - Addendum to the DRHP</t>
        </is>
      </c>
      <c r="G646" s="15" t="inlineStr">
        <is>
          <t>IPO launched</t>
        </is>
      </c>
      <c r="H646" s="15" t="inlineStr">
        <is>
          <t>Mainboard</t>
        </is>
      </c>
      <c r="I646" s="16" t="n">
        <v>45321</v>
      </c>
      <c r="J646" s="16" t="n">
        <v>45323</v>
      </c>
      <c r="K646" s="16" t="n">
        <v>45328</v>
      </c>
      <c r="L646" s="17" t="n">
        <v>310.91</v>
      </c>
      <c r="M646" s="17" t="n">
        <v>310.91</v>
      </c>
      <c r="N646" s="17" t="n">
        <v>0</v>
      </c>
      <c r="O646" s="15" t="inlineStr">
        <is>
          <t>Final issue (ipoplatform)</t>
        </is>
      </c>
      <c r="P646" s="15" t="n"/>
      <c r="Q646" s="18" t="inlineStr">
        <is>
          <t>https://www.sebi.gov.in/sebi_data/attachdocs/nov-2023/1699250482759.pdf</t>
        </is>
      </c>
      <c r="R646" s="18" t="inlineStr">
        <is>
          <t>https://www.sebi.gov.in/filings/public-issues/nov-2023/bls-e-services-limited-addendum-to-the-drhp_78756.html</t>
        </is>
      </c>
      <c r="S646" s="15" t="n"/>
      <c r="T646" s="15" t="inlineStr">
        <is>
          <t>Company name + date window</t>
        </is>
      </c>
      <c r="U646" s="15" t="inlineStr">
        <is>
          <t>BLS E-Services Limited</t>
        </is>
      </c>
      <c r="V646" s="15" t="n"/>
      <c r="W646" s="15" t="n"/>
      <c r="X646" s="15" t="n"/>
      <c r="Y646" s="15" t="n"/>
      <c r="Z646" s="15" t="n"/>
      <c r="AA646" s="15" t="n"/>
      <c r="AB646" s="15" t="n"/>
    </row>
    <row r="647" ht="15" customHeight="1" s="12">
      <c r="A647" s="14" t="n">
        <v>646</v>
      </c>
      <c r="B647" s="16" t="n">
        <v>45217</v>
      </c>
      <c r="C647" s="15" t="n">
        <v>2023</v>
      </c>
      <c r="D647" s="15" t="inlineStr">
        <is>
          <t>GPT Healthcare Limited</t>
        </is>
      </c>
      <c r="E647" s="15" t="inlineStr">
        <is>
          <t>DRHP</t>
        </is>
      </c>
      <c r="F647" s="15" t="inlineStr">
        <is>
          <t>GPT Healthcare Limited - DRHP</t>
        </is>
      </c>
      <c r="G647" s="15" t="inlineStr">
        <is>
          <t>IPO launched</t>
        </is>
      </c>
      <c r="H647" s="15" t="inlineStr">
        <is>
          <t>Mainboard</t>
        </is>
      </c>
      <c r="I647" s="16" t="n">
        <v>45344</v>
      </c>
      <c r="J647" s="16" t="n">
        <v>45348</v>
      </c>
      <c r="K647" s="16" t="n">
        <v>45351</v>
      </c>
      <c r="L647" s="17" t="n">
        <v>525.14</v>
      </c>
      <c r="M647" s="17" t="n">
        <v>40</v>
      </c>
      <c r="N647" s="17" t="n">
        <v>485.14</v>
      </c>
      <c r="O647" s="15" t="inlineStr">
        <is>
          <t>Final issue (ipoplatform)</t>
        </is>
      </c>
      <c r="P647" s="15" t="n"/>
      <c r="Q647" s="18" t="inlineStr">
        <is>
          <t>https://www.sebi.gov.in/sebi_data/attachdocs/oct-2023/1697628062099.pdf</t>
        </is>
      </c>
      <c r="R647" s="18" t="inlineStr">
        <is>
          <t>https://www.sebi.gov.in/filings/public-issues/oct-2023/gpt-healthcare-limited-drhp_78170.html</t>
        </is>
      </c>
      <c r="S647" s="15" t="n"/>
      <c r="T647" s="15" t="inlineStr">
        <is>
          <t>SEBI filing link</t>
        </is>
      </c>
      <c r="U647" s="15" t="inlineStr">
        <is>
          <t>GPT Healthcare Limited</t>
        </is>
      </c>
      <c r="V647" s="15" t="n"/>
      <c r="W647" s="15" t="n"/>
      <c r="X647" s="15" t="n"/>
      <c r="Y647" s="15" t="n"/>
      <c r="Z647" s="15" t="n"/>
      <c r="AA647" s="15" t="n"/>
      <c r="AB647" s="15" t="n"/>
    </row>
    <row r="648" ht="15" customHeight="1" s="12">
      <c r="A648" s="14" t="n">
        <v>647</v>
      </c>
      <c r="B648" s="16" t="n">
        <v>45205</v>
      </c>
      <c r="C648" s="15" t="n">
        <v>2023</v>
      </c>
      <c r="D648" s="15" t="inlineStr">
        <is>
          <t>SRM Contractors Limited</t>
        </is>
      </c>
      <c r="E648" s="15" t="inlineStr">
        <is>
          <t>DRHP</t>
        </is>
      </c>
      <c r="F648" s="15" t="inlineStr">
        <is>
          <t>SRM Contractors Limited - DRHP</t>
        </is>
      </c>
      <c r="G648" s="15" t="inlineStr">
        <is>
          <t>IPO launched</t>
        </is>
      </c>
      <c r="H648" s="15" t="inlineStr">
        <is>
          <t>Mainboard</t>
        </is>
      </c>
      <c r="I648" s="16" t="n">
        <v>45377</v>
      </c>
      <c r="J648" s="16" t="n">
        <v>45379</v>
      </c>
      <c r="K648" s="16" t="n">
        <v>45385</v>
      </c>
      <c r="L648" s="17" t="n">
        <v>130.2</v>
      </c>
      <c r="M648" s="17" t="n">
        <v>130.2</v>
      </c>
      <c r="N648" s="17" t="n">
        <v>0</v>
      </c>
      <c r="O648" s="15" t="inlineStr">
        <is>
          <t>Final issue (ipoplatform)</t>
        </is>
      </c>
      <c r="P648" s="15" t="n"/>
      <c r="Q648" s="18" t="inlineStr">
        <is>
          <t>https://www.sebi.gov.in/sebi_data/attachdocs/oct-2023/1696572041590.pdf</t>
        </is>
      </c>
      <c r="R648" s="18" t="inlineStr">
        <is>
          <t>https://www.sebi.gov.in/filings/public-issues/oct-2023/srm-contractors-limited-drhp_77731.html</t>
        </is>
      </c>
      <c r="S648" s="15" t="n"/>
      <c r="T648" s="15" t="inlineStr">
        <is>
          <t>SEBI filing link</t>
        </is>
      </c>
      <c r="U648" s="15" t="inlineStr">
        <is>
          <t>SRM Contractors Limited</t>
        </is>
      </c>
      <c r="V648" s="15" t="n"/>
      <c r="W648" s="15" t="n"/>
      <c r="X648" s="15" t="n"/>
      <c r="Y648" s="15" t="n"/>
      <c r="Z648" s="15" t="n"/>
      <c r="AA648" s="15" t="n"/>
      <c r="AB648" s="15" t="n"/>
    </row>
    <row r="649" ht="15" customHeight="1" s="12">
      <c r="A649" s="14" t="n">
        <v>648</v>
      </c>
      <c r="B649" s="16" t="n">
        <v>45204</v>
      </c>
      <c r="C649" s="15" t="n">
        <v>2023</v>
      </c>
      <c r="D649" s="15" t="inlineStr">
        <is>
          <t>Asirvad Micro Finance Limited</t>
        </is>
      </c>
      <c r="E649" s="15" t="inlineStr">
        <is>
          <t>DRHP</t>
        </is>
      </c>
      <c r="F649" s="15" t="inlineStr">
        <is>
          <t>Asirvad Micro Finance Limited - DRHP</t>
        </is>
      </c>
      <c r="G649" s="15" t="inlineStr">
        <is>
          <t>No launched IPO found</t>
        </is>
      </c>
      <c r="H649" s="15" t="n"/>
      <c r="I649" s="16" t="n"/>
      <c r="J649" s="16" t="n"/>
      <c r="K649" s="16" t="n"/>
      <c r="L649" s="17" t="n"/>
      <c r="M649" s="17" t="n"/>
      <c r="N649" s="17" t="n"/>
      <c r="O649" s="15" t="n"/>
      <c r="P649" s="15" t="n"/>
      <c r="Q649" s="18" t="inlineStr">
        <is>
          <t>https://www.sebi.gov.in/sebi_data/attachdocs/oct-2023/1696567415411.pdf</t>
        </is>
      </c>
      <c r="R649" s="18" t="inlineStr">
        <is>
          <t>https://www.sebi.gov.in/filings/public-issues/oct-2023/asirvad-micro-finance-limited-drhp_77706.html</t>
        </is>
      </c>
      <c r="S649" s="15" t="n"/>
      <c r="T649" s="15" t="n"/>
      <c r="U649" s="15" t="n"/>
      <c r="V649" s="15" t="n"/>
      <c r="W649" s="16" t="n"/>
      <c r="X649" s="16" t="n"/>
      <c r="Y649" s="16" t="n"/>
      <c r="Z649" s="15" t="inlineStr">
        <is>
          <t>No issue found</t>
        </is>
      </c>
      <c r="AA649" s="15" t="inlineStr">
        <is>
          <t>Dates not announced in search results.</t>
        </is>
      </c>
      <c r="AB649" s="18" t="inlineStr">
        <is>
          <t>https://www.sharekhan.com/ipo/asirvad-micro-finance-ltd</t>
        </is>
      </c>
    </row>
    <row r="650" ht="15" customHeight="1" s="12">
      <c r="A650" s="14" t="n">
        <v>649</v>
      </c>
      <c r="B650" s="16" t="n">
        <v>45204</v>
      </c>
      <c r="C650" s="15" t="n">
        <v>2023</v>
      </c>
      <c r="D650" s="15" t="inlineStr">
        <is>
          <t>CJ Darcl Logistics Limited</t>
        </is>
      </c>
      <c r="E650" s="15" t="inlineStr">
        <is>
          <t>DRHP</t>
        </is>
      </c>
      <c r="F650" s="15" t="inlineStr">
        <is>
          <t>CJ Darcl Logistics Limited</t>
        </is>
      </c>
      <c r="G650" s="15" t="inlineStr">
        <is>
          <t>No launched IPO found</t>
        </is>
      </c>
      <c r="H650" s="15" t="n"/>
      <c r="I650" s="16" t="n"/>
      <c r="J650" s="16" t="n"/>
      <c r="K650" s="16" t="n"/>
      <c r="L650" s="17" t="n"/>
      <c r="M650" s="17" t="n"/>
      <c r="N650" s="17" t="n"/>
      <c r="O650" s="15" t="n"/>
      <c r="P650" s="15" t="n"/>
      <c r="Q650" s="18" t="inlineStr">
        <is>
          <t>https://www.sebi.gov.in/sebi_data/attachdocs/oct-2023/1696556596064_146.pdf</t>
        </is>
      </c>
      <c r="R650" s="18" t="inlineStr">
        <is>
          <t>https://www.sebi.gov.in/filings/public-issues/oct-2023/cj-darcl-logistics-limited_77705.html</t>
        </is>
      </c>
      <c r="S650" s="15" t="n"/>
      <c r="T650" s="15" t="n"/>
      <c r="U650" s="15" t="n"/>
      <c r="V650" s="15" t="n"/>
      <c r="W650" s="16" t="n"/>
      <c r="X650" s="16" t="n"/>
      <c r="Y650" s="16" t="n"/>
      <c r="Z650" s="15" t="inlineStr">
        <is>
          <t>No issue found</t>
        </is>
      </c>
      <c r="AA650" s="15" t="inlineStr">
        <is>
          <t>SEBI nod 14-Jan-2026; dates not yet announced</t>
        </is>
      </c>
      <c r="AB650" s="18" t="inlineStr">
        <is>
          <t>https://www.chittorgarh.com/ipo/cj-darcl-logistics-ipo/2680/</t>
        </is>
      </c>
    </row>
    <row r="651" ht="15" customHeight="1" s="12">
      <c r="A651" s="14" t="n">
        <v>650</v>
      </c>
      <c r="B651" s="16" t="n">
        <v>45204</v>
      </c>
      <c r="C651" s="15" t="n">
        <v>2023</v>
      </c>
      <c r="D651" s="15" t="inlineStr">
        <is>
          <t>DEE DEVELOPMENT ENGINEERS LIMITED</t>
        </is>
      </c>
      <c r="E651" s="15" t="inlineStr">
        <is>
          <t>DRHP</t>
        </is>
      </c>
      <c r="F651" s="15" t="inlineStr">
        <is>
          <t>DEE DEVELOPMENT ENGINEERS LIMITED</t>
        </is>
      </c>
      <c r="G651" s="15" t="inlineStr">
        <is>
          <t>IPO launched</t>
        </is>
      </c>
      <c r="H651" s="15" t="inlineStr">
        <is>
          <t>Mainboard</t>
        </is>
      </c>
      <c r="I651" s="16" t="n">
        <v>45462</v>
      </c>
      <c r="J651" s="16" t="n">
        <v>45464</v>
      </c>
      <c r="K651" s="16" t="n">
        <v>45469</v>
      </c>
      <c r="L651" s="17" t="n">
        <v>418.01</v>
      </c>
      <c r="M651" s="17" t="n">
        <v>325</v>
      </c>
      <c r="N651" s="17" t="n">
        <v>93.01000000000001</v>
      </c>
      <c r="O651" s="15" t="inlineStr">
        <is>
          <t>Final issue (ipoplatform)</t>
        </is>
      </c>
      <c r="P651" s="15" t="n"/>
      <c r="Q651" s="18" t="inlineStr">
        <is>
          <t>https://www.sebi.gov.in/sebi_data/attachdocs/oct-2023/1696556596064_145.pdf</t>
        </is>
      </c>
      <c r="R651" s="18" t="inlineStr">
        <is>
          <t>https://www.sebi.gov.in/filings/public-issues/oct-2023/dee-development-engineers-limited_77703.html</t>
        </is>
      </c>
      <c r="S651" s="15" t="n"/>
      <c r="T651" s="15" t="inlineStr">
        <is>
          <t>SEBI filing link</t>
        </is>
      </c>
      <c r="U651" s="15" t="inlineStr">
        <is>
          <t>DEE Development Engineers Limited</t>
        </is>
      </c>
      <c r="V651" s="15" t="n"/>
      <c r="W651" s="15" t="n"/>
      <c r="X651" s="15" t="n"/>
      <c r="Y651" s="15" t="n"/>
      <c r="Z651" s="15" t="n"/>
      <c r="AA651" s="15" t="n"/>
      <c r="AB651" s="15" t="n"/>
    </row>
    <row r="652" ht="15" customHeight="1" s="12">
      <c r="A652" s="14" t="n">
        <v>651</v>
      </c>
      <c r="B652" s="16" t="n">
        <v>45204</v>
      </c>
      <c r="C652" s="15" t="n">
        <v>2023</v>
      </c>
      <c r="D652" s="15" t="inlineStr">
        <is>
          <t>Krystal Integrated Services Limited</t>
        </is>
      </c>
      <c r="E652" s="15" t="inlineStr">
        <is>
          <t>DRHP</t>
        </is>
      </c>
      <c r="F652" s="15" t="inlineStr">
        <is>
          <t>Krystal Integrated Services Limited</t>
        </is>
      </c>
      <c r="G652" s="15" t="inlineStr">
        <is>
          <t>IPO launched</t>
        </is>
      </c>
      <c r="H652" s="15" t="inlineStr">
        <is>
          <t>Mainboard</t>
        </is>
      </c>
      <c r="I652" s="16" t="n">
        <v>45365</v>
      </c>
      <c r="J652" s="16" t="n">
        <v>45369</v>
      </c>
      <c r="K652" s="16" t="n">
        <v>45372</v>
      </c>
      <c r="L652" s="17" t="n">
        <v>300.13</v>
      </c>
      <c r="M652" s="17" t="n">
        <v>175</v>
      </c>
      <c r="N652" s="17" t="n">
        <v>125.13</v>
      </c>
      <c r="O652" s="15" t="inlineStr">
        <is>
          <t>Final issue (ipoplatform)</t>
        </is>
      </c>
      <c r="P652" s="15" t="n"/>
      <c r="Q652" s="18" t="inlineStr">
        <is>
          <t>https://www.sebi.gov.in/sebi_data/attachdocs/oct-2023/1696556596064_144.pdf</t>
        </is>
      </c>
      <c r="R652" s="18" t="inlineStr">
        <is>
          <t>https://www.sebi.gov.in/filings/public-issues/oct-2023/krystal-integrated-services-limited_77701.html</t>
        </is>
      </c>
      <c r="S652" s="15" t="n"/>
      <c r="T652" s="15" t="inlineStr">
        <is>
          <t>SEBI filing link</t>
        </is>
      </c>
      <c r="U652" s="15" t="inlineStr">
        <is>
          <t>Krystal Integrated Services Limited</t>
        </is>
      </c>
      <c r="V652" s="15" t="n"/>
      <c r="W652" s="15" t="n"/>
      <c r="X652" s="15" t="n"/>
      <c r="Y652" s="15" t="n"/>
      <c r="Z652" s="15" t="n"/>
      <c r="AA652" s="15" t="n"/>
      <c r="AB652" s="15" t="n"/>
    </row>
    <row r="653" ht="15" customHeight="1" s="12">
      <c r="A653" s="14" t="n">
        <v>652</v>
      </c>
      <c r="B653" s="16" t="n">
        <v>45204</v>
      </c>
      <c r="C653" s="15" t="n">
        <v>2023</v>
      </c>
      <c r="D653" s="15" t="inlineStr">
        <is>
          <t>Agilus Diagnostics Limited</t>
        </is>
      </c>
      <c r="E653" s="15" t="inlineStr">
        <is>
          <t>DRHP</t>
        </is>
      </c>
      <c r="F653" s="15" t="inlineStr">
        <is>
          <t>Agilus Diagnostics Limited</t>
        </is>
      </c>
      <c r="G653" s="15" t="inlineStr">
        <is>
          <t>No launched IPO found</t>
        </is>
      </c>
      <c r="H653" s="15" t="n"/>
      <c r="I653" s="16" t="n"/>
      <c r="J653" s="16" t="n"/>
      <c r="K653" s="16" t="n"/>
      <c r="L653" s="17" t="n"/>
      <c r="M653" s="17" t="n"/>
      <c r="N653" s="17" t="n"/>
      <c r="O653" s="15" t="n"/>
      <c r="P653" s="15" t="n"/>
      <c r="Q653" s="18" t="inlineStr">
        <is>
          <t>https://www.sebi.gov.in/sebi_data/attachdocs/oct-2023/1696556596064_139.pdf</t>
        </is>
      </c>
      <c r="R653" s="18" t="inlineStr">
        <is>
          <t>https://www.sebi.gov.in/filings/public-issues/oct-2023/agilus-diagnostics-limited_77699.html</t>
        </is>
      </c>
      <c r="S653" s="15" t="n"/>
      <c r="T653" s="15" t="n"/>
      <c r="U653" s="15" t="n"/>
      <c r="V653" s="15" t="n"/>
      <c r="W653" s="16" t="n"/>
      <c r="X653" s="16" t="n"/>
      <c r="Y653" s="16" t="n"/>
      <c r="Z653" s="15" t="inlineStr">
        <is>
          <t>Withdrawn / approval lapsed</t>
        </is>
      </c>
      <c r="AA653" s="15" t="inlineStr">
        <is>
          <t>IPO documents withdrawn after SEBI approval; no issue opened.</t>
        </is>
      </c>
      <c r="AB653" s="18" t="inlineStr">
        <is>
          <t>https://www.chittorgarh.com/ipo/agilus-diagnostics-ipo/2444/</t>
        </is>
      </c>
    </row>
    <row r="654" ht="15" customHeight="1" s="12">
      <c r="A654" s="14" t="n">
        <v>653</v>
      </c>
      <c r="B654" s="16" t="n">
        <v>45203</v>
      </c>
      <c r="C654" s="15" t="n">
        <v>2023</v>
      </c>
      <c r="D654" s="15" t="inlineStr">
        <is>
          <t>Polymatech Electronics Limited</t>
        </is>
      </c>
      <c r="E654" s="15" t="inlineStr">
        <is>
          <t>DRHP</t>
        </is>
      </c>
      <c r="F654" s="15" t="inlineStr">
        <is>
          <t>Polymatech Electronics Limited - DRHP</t>
        </is>
      </c>
      <c r="G654" s="15" t="inlineStr">
        <is>
          <t>No launched IPO found</t>
        </is>
      </c>
      <c r="H654" s="15" t="n"/>
      <c r="I654" s="16" t="n"/>
      <c r="J654" s="16" t="n"/>
      <c r="K654" s="16" t="n"/>
      <c r="L654" s="17" t="n"/>
      <c r="M654" s="17" t="n"/>
      <c r="N654" s="17" t="n"/>
      <c r="O654" s="15" t="n"/>
      <c r="P654" s="15" t="n"/>
      <c r="Q654" s="18" t="inlineStr">
        <is>
          <t>https://www.sebi.gov.in/sebi_data/attachdocs/oct-2023/1696421574051.pdf</t>
        </is>
      </c>
      <c r="R654" s="18" t="inlineStr">
        <is>
          <t>https://www.sebi.gov.in/filings/public-issues/oct-2023/polymatech-electronics-limited-drhp_77644.html</t>
        </is>
      </c>
      <c r="S654" s="15" t="n"/>
      <c r="T654" s="15" t="n"/>
      <c r="U654" s="15" t="n"/>
      <c r="V654" s="15" t="n"/>
      <c r="W654" s="16" t="n"/>
      <c r="X654" s="16" t="n"/>
      <c r="Y654" s="16" t="n"/>
      <c r="Z654" s="15" t="inlineStr">
        <is>
          <t>No issue found</t>
        </is>
      </c>
      <c r="AA654" s="15" t="inlineStr">
        <is>
          <t>Search results show no IPO dates announced.</t>
        </is>
      </c>
      <c r="AB654" s="18" t="inlineStr">
        <is>
          <t>https://ipowatch.in/polymatech-electronics-ipo-date-review-price-allotment-details/</t>
        </is>
      </c>
    </row>
    <row r="655" ht="15" customHeight="1" s="12">
      <c r="A655" s="14" t="n">
        <v>654</v>
      </c>
      <c r="B655" s="16" t="n">
        <v>45202</v>
      </c>
      <c r="C655" s="15" t="n">
        <v>2023</v>
      </c>
      <c r="D655" s="15" t="inlineStr">
        <is>
          <t>Indo Farm Equipment Limited</t>
        </is>
      </c>
      <c r="E655" s="15" t="inlineStr">
        <is>
          <t>DRHP</t>
        </is>
      </c>
      <c r="F655" s="15" t="inlineStr">
        <is>
          <t>Indo Farm Equipment Limited - DRHP</t>
        </is>
      </c>
      <c r="G655" s="15" t="inlineStr">
        <is>
          <t>IPO launched</t>
        </is>
      </c>
      <c r="H655" s="15" t="inlineStr">
        <is>
          <t>Mainboard</t>
        </is>
      </c>
      <c r="I655" s="16" t="n">
        <v>45657</v>
      </c>
      <c r="J655" s="16" t="n">
        <v>45659</v>
      </c>
      <c r="K655" s="16" t="n">
        <v>45664</v>
      </c>
      <c r="L655" s="17" t="n">
        <v>260.15</v>
      </c>
      <c r="M655" s="17" t="n">
        <v>184.9</v>
      </c>
      <c r="N655" s="17" t="n">
        <v>75.25</v>
      </c>
      <c r="O655" s="15" t="inlineStr">
        <is>
          <t>Final issue (ipoplatform)</t>
        </is>
      </c>
      <c r="P655" s="15" t="n"/>
      <c r="Q655" s="18" t="inlineStr">
        <is>
          <t>https://www.sebi.gov.in/sebi_data/attachdocs/oct-2023/1696399548036.pdf</t>
        </is>
      </c>
      <c r="R655" s="18" t="inlineStr">
        <is>
          <t>https://www.sebi.gov.in/filings/public-issues/oct-2023/indo-farm-equipment-limited-drhp_77571.html</t>
        </is>
      </c>
      <c r="S655" s="15" t="n"/>
      <c r="T655" s="15" t="inlineStr">
        <is>
          <t>Company name + date window</t>
        </is>
      </c>
      <c r="U655" s="15" t="inlineStr">
        <is>
          <t>Indo Farm Equipment Limited</t>
        </is>
      </c>
      <c r="V655" s="15" t="n"/>
      <c r="W655" s="15" t="n"/>
      <c r="X655" s="15" t="n"/>
      <c r="Y655" s="15" t="n"/>
      <c r="Z655" s="15" t="n"/>
      <c r="AA655" s="15" t="n"/>
      <c r="AB655" s="15" t="n"/>
    </row>
    <row r="656" ht="15" customHeight="1" s="12">
      <c r="A656" s="14" t="n">
        <v>655</v>
      </c>
      <c r="B656" s="16" t="n">
        <v>45202</v>
      </c>
      <c r="C656" s="15" t="n">
        <v>2023</v>
      </c>
      <c r="D656" s="15" t="inlineStr">
        <is>
          <t>Popular Vehicles and Services Limited</t>
        </is>
      </c>
      <c r="E656" s="15" t="inlineStr">
        <is>
          <t>DRHP</t>
        </is>
      </c>
      <c r="F656" s="15" t="inlineStr">
        <is>
          <t>Popular Vehicles and Services Limited - DRHP</t>
        </is>
      </c>
      <c r="G656" s="15" t="inlineStr">
        <is>
          <t>IPO launched</t>
        </is>
      </c>
      <c r="H656" s="15" t="inlineStr">
        <is>
          <t>Mainboard</t>
        </is>
      </c>
      <c r="I656" s="16" t="n">
        <v>45363</v>
      </c>
      <c r="J656" s="16" t="n">
        <v>45365</v>
      </c>
      <c r="K656" s="16" t="n">
        <v>45370</v>
      </c>
      <c r="L656" s="17" t="n">
        <v>601.55</v>
      </c>
      <c r="M656" s="17" t="n">
        <v>250</v>
      </c>
      <c r="N656" s="17" t="n">
        <v>351.55</v>
      </c>
      <c r="O656" s="15" t="inlineStr">
        <is>
          <t>Final issue (ipoplatform)</t>
        </is>
      </c>
      <c r="P656" s="15" t="n"/>
      <c r="Q656" s="18" t="inlineStr">
        <is>
          <t>https://www.sebi.gov.in/sebi_data/attachdocs/oct-2023/1696399496028.PDF</t>
        </is>
      </c>
      <c r="R656" s="18" t="inlineStr">
        <is>
          <t>https://www.sebi.gov.in/filings/public-issues/oct-2023/popular-vehicles-and-services-limited-drhp_77569.html</t>
        </is>
      </c>
      <c r="S656" s="15" t="n"/>
      <c r="T656" s="15" t="inlineStr">
        <is>
          <t>SEBI filing link</t>
        </is>
      </c>
      <c r="U656" s="15" t="inlineStr">
        <is>
          <t>Popular Vehicles &amp; Services Limited</t>
        </is>
      </c>
      <c r="V656" s="15" t="n"/>
      <c r="W656" s="15" t="n"/>
      <c r="X656" s="15" t="n"/>
      <c r="Y656" s="15" t="n"/>
      <c r="Z656" s="15" t="n"/>
      <c r="AA656" s="15" t="n"/>
      <c r="AB656" s="15" t="n"/>
    </row>
    <row r="657" ht="15" customHeight="1" s="12">
      <c r="A657" s="14" t="n">
        <v>656</v>
      </c>
      <c r="B657" s="16" t="n">
        <v>45202</v>
      </c>
      <c r="C657" s="15" t="n">
        <v>2023</v>
      </c>
      <c r="D657" s="15" t="inlineStr">
        <is>
          <t>Tata Technologies Limited</t>
        </is>
      </c>
      <c r="E657" s="15" t="inlineStr">
        <is>
          <t>Addendum</t>
        </is>
      </c>
      <c r="F657" s="15" t="inlineStr">
        <is>
          <t>Tata Technologies Limited - Addendum to the DRHP</t>
        </is>
      </c>
      <c r="G657" s="15" t="inlineStr">
        <is>
          <t>IPO launched</t>
        </is>
      </c>
      <c r="H657" s="15" t="inlineStr">
        <is>
          <t>Mainboard</t>
        </is>
      </c>
      <c r="I657" s="16" t="n">
        <v>45252</v>
      </c>
      <c r="J657" s="16" t="n">
        <v>45254</v>
      </c>
      <c r="K657" s="16" t="n">
        <v>45260</v>
      </c>
      <c r="L657" s="17" t="n">
        <v>3042.51</v>
      </c>
      <c r="M657" s="17" t="n">
        <v>3042.51</v>
      </c>
      <c r="N657" s="17" t="n">
        <v>0</v>
      </c>
      <c r="O657" s="15" t="inlineStr">
        <is>
          <t>Final issue (ipoplatform)</t>
        </is>
      </c>
      <c r="P657" s="15" t="n"/>
      <c r="Q657" s="18" t="inlineStr">
        <is>
          <t>https://www.sebi.gov.in/sebi_data/attachdocs/oct-2023/1696332932402.pdf</t>
        </is>
      </c>
      <c r="R657" s="18" t="inlineStr">
        <is>
          <t>https://www.sebi.gov.in/filings/public-issues/oct-2023/tata-technologies-limited-addendum-to-the-drhp_77550.html</t>
        </is>
      </c>
      <c r="S657" s="15" t="n"/>
      <c r="T657" s="15" t="inlineStr">
        <is>
          <t>Company name + date window</t>
        </is>
      </c>
      <c r="U657" s="15" t="inlineStr">
        <is>
          <t>Tata Technologies Limited</t>
        </is>
      </c>
      <c r="V657" s="15" t="n"/>
      <c r="W657" s="15" t="n"/>
      <c r="X657" s="15" t="n"/>
      <c r="Y657" s="15" t="n"/>
      <c r="Z657" s="15" t="n"/>
      <c r="AA657" s="15" t="n"/>
      <c r="AB657" s="15" t="n"/>
    </row>
    <row r="658" ht="15" customHeight="1" s="12">
      <c r="A658" s="14" t="n">
        <v>657</v>
      </c>
      <c r="B658" s="16" t="n">
        <v>45202</v>
      </c>
      <c r="C658" s="15" t="n">
        <v>2023</v>
      </c>
      <c r="D658" s="15" t="inlineStr">
        <is>
          <t>Exicom Tele-Systems Limited</t>
        </is>
      </c>
      <c r="E658" s="15" t="inlineStr">
        <is>
          <t>DRHP</t>
        </is>
      </c>
      <c r="F658" s="15" t="inlineStr">
        <is>
          <t>Exicom Tele-Systems Limited - DRHP</t>
        </is>
      </c>
      <c r="G658" s="15" t="inlineStr">
        <is>
          <t>IPO launched</t>
        </is>
      </c>
      <c r="H658" s="15" t="inlineStr">
        <is>
          <t>Mainboard</t>
        </is>
      </c>
      <c r="I658" s="16" t="n">
        <v>45349</v>
      </c>
      <c r="J658" s="16" t="n">
        <v>45351</v>
      </c>
      <c r="K658" s="16" t="n">
        <v>45356</v>
      </c>
      <c r="L658" s="17" t="n">
        <v>429</v>
      </c>
      <c r="M658" s="17" t="n">
        <v>329</v>
      </c>
      <c r="N658" s="17" t="n">
        <v>100</v>
      </c>
      <c r="O658" s="15" t="inlineStr">
        <is>
          <t>Final issue (ipoplatform)</t>
        </is>
      </c>
      <c r="P658" s="15" t="n"/>
      <c r="Q658" s="18" t="inlineStr">
        <is>
          <t>https://www.sebi.gov.in/sebi_data/attachdocs/oct-2023/1696332873231.pdf</t>
        </is>
      </c>
      <c r="R658" s="18" t="inlineStr">
        <is>
          <t>https://www.sebi.gov.in/filings/public-issues/oct-2023/exicom-tele-systems-limited-drhp_77548.html</t>
        </is>
      </c>
      <c r="S658" s="15" t="n"/>
      <c r="T658" s="15" t="inlineStr">
        <is>
          <t>SEBI filing link</t>
        </is>
      </c>
      <c r="U658" s="15" t="inlineStr">
        <is>
          <t>Exicom Tele-Systems Limited</t>
        </is>
      </c>
      <c r="V658" s="15" t="n"/>
      <c r="W658" s="15" t="n"/>
      <c r="X658" s="15" t="n"/>
      <c r="Y658" s="15" t="n"/>
      <c r="Z658" s="15" t="n"/>
      <c r="AA658" s="15" t="n"/>
      <c r="AB658" s="15" t="n"/>
    </row>
    <row r="659" ht="15" customHeight="1" s="12">
      <c r="A659" s="14" t="n">
        <v>658</v>
      </c>
      <c r="B659" s="16" t="n">
        <v>45202</v>
      </c>
      <c r="C659" s="15" t="n">
        <v>2023</v>
      </c>
      <c r="D659" s="15" t="inlineStr">
        <is>
          <t>Vibhor Steel Tubes Limited</t>
        </is>
      </c>
      <c r="E659" s="15" t="inlineStr">
        <is>
          <t>DRHP</t>
        </is>
      </c>
      <c r="F659" s="15" t="inlineStr">
        <is>
          <t>Vibhor Steel Tubes Limited - DRHP</t>
        </is>
      </c>
      <c r="G659" s="15" t="inlineStr">
        <is>
          <t>IPO launched</t>
        </is>
      </c>
      <c r="H659" s="15" t="inlineStr">
        <is>
          <t>Mainboard</t>
        </is>
      </c>
      <c r="I659" s="16" t="n">
        <v>45335</v>
      </c>
      <c r="J659" s="16" t="n"/>
      <c r="K659" s="16" t="n">
        <v>45342</v>
      </c>
      <c r="L659" s="17" t="n">
        <v>72.17</v>
      </c>
      <c r="M659" s="17" t="n">
        <v>72.17</v>
      </c>
      <c r="N659" s="17" t="n">
        <v>0</v>
      </c>
      <c r="O659" s="15" t="inlineStr">
        <is>
          <t>Final issue (ipoplatform)</t>
        </is>
      </c>
      <c r="P659" s="15" t="n"/>
      <c r="Q659" s="18" t="inlineStr">
        <is>
          <t>https://www.sebi.gov.in/sebi_data/attachdocs/oct-2023/1696332838930.pdf</t>
        </is>
      </c>
      <c r="R659" s="18" t="inlineStr">
        <is>
          <t>https://www.sebi.gov.in/filings/public-issues/oct-2023/vibhor-steel-tubes-limited-drhp_77547.html</t>
        </is>
      </c>
      <c r="S659" s="15" t="n"/>
      <c r="T659" s="15" t="inlineStr">
        <is>
          <t>SEBI filing link</t>
        </is>
      </c>
      <c r="U659" s="15" t="inlineStr">
        <is>
          <t>Vibhor Steel Tubes Limited</t>
        </is>
      </c>
      <c r="V659" s="15" t="inlineStr">
        <is>
          <t>Open date corrected from source value 2023-02-13 (contradicts source close/listing date); CHECK — source close/listing date inconsistent with open date</t>
        </is>
      </c>
      <c r="W659" s="15" t="n"/>
      <c r="X659" s="15" t="n"/>
      <c r="Y659" s="15" t="n"/>
      <c r="Z659" s="15" t="n"/>
      <c r="AA659" s="15" t="n"/>
      <c r="AB659" s="15" t="n"/>
    </row>
    <row r="660" ht="15" customHeight="1" s="12">
      <c r="A660" s="14" t="n">
        <v>659</v>
      </c>
      <c r="B660" s="16" t="n">
        <v>45202</v>
      </c>
      <c r="C660" s="15" t="n">
        <v>2023</v>
      </c>
      <c r="D660" s="15" t="inlineStr">
        <is>
          <t>Azad Engineering Limited</t>
        </is>
      </c>
      <c r="E660" s="15" t="inlineStr">
        <is>
          <t>DRHP</t>
        </is>
      </c>
      <c r="F660" s="15" t="inlineStr">
        <is>
          <t>Azad Engineering Limited - DRHP</t>
        </is>
      </c>
      <c r="G660" s="15" t="inlineStr">
        <is>
          <t>IPO launched</t>
        </is>
      </c>
      <c r="H660" s="15" t="inlineStr">
        <is>
          <t>Mainboard</t>
        </is>
      </c>
      <c r="I660" s="16" t="n">
        <v>45280</v>
      </c>
      <c r="J660" s="16" t="n">
        <v>45282</v>
      </c>
      <c r="K660" s="16" t="n">
        <v>45288</v>
      </c>
      <c r="L660" s="17" t="n">
        <v>740</v>
      </c>
      <c r="M660" s="17" t="n">
        <v>240</v>
      </c>
      <c r="N660" s="17" t="n">
        <v>500</v>
      </c>
      <c r="O660" s="15" t="inlineStr">
        <is>
          <t>Final issue (ipoplatform)</t>
        </is>
      </c>
      <c r="P660" s="15" t="n"/>
      <c r="Q660" s="18" t="inlineStr">
        <is>
          <t>https://www.sebi.gov.in/sebi_data/attachdocs/oct-2023/1696332772834.pdf</t>
        </is>
      </c>
      <c r="R660" s="18" t="inlineStr">
        <is>
          <t>https://www.sebi.gov.in/filings/public-issues/oct-2023/azad-engineering-limited-drhp_77546.html</t>
        </is>
      </c>
      <c r="S660" s="15" t="n"/>
      <c r="T660" s="15" t="inlineStr">
        <is>
          <t>SEBI filing link</t>
        </is>
      </c>
      <c r="U660" s="15" t="inlineStr">
        <is>
          <t>Azad Engineering Limited</t>
        </is>
      </c>
      <c r="V660" s="15" t="n"/>
      <c r="W660" s="15" t="n"/>
      <c r="X660" s="15" t="n"/>
      <c r="Y660" s="15" t="n"/>
      <c r="Z660" s="15" t="n"/>
      <c r="AA660" s="15" t="n"/>
      <c r="AB660" s="15" t="n"/>
    </row>
    <row r="661" ht="15" customHeight="1" s="12">
      <c r="A661" s="14" t="n">
        <v>660</v>
      </c>
      <c r="B661" s="16" t="n">
        <v>45202</v>
      </c>
      <c r="C661" s="15" t="n">
        <v>2023</v>
      </c>
      <c r="D661" s="15" t="inlineStr">
        <is>
          <t>Saraswati Saree Depot Limited</t>
        </is>
      </c>
      <c r="E661" s="15" t="inlineStr">
        <is>
          <t>DRHP</t>
        </is>
      </c>
      <c r="F661" s="15" t="inlineStr">
        <is>
          <t>Saraswati Saree Depot Limited - DRHP</t>
        </is>
      </c>
      <c r="G661" s="15" t="inlineStr">
        <is>
          <t>IPO launched</t>
        </is>
      </c>
      <c r="H661" s="15" t="inlineStr">
        <is>
          <t>Mainboard</t>
        </is>
      </c>
      <c r="I661" s="16" t="n">
        <v>45516</v>
      </c>
      <c r="J661" s="16" t="n">
        <v>45518</v>
      </c>
      <c r="K661" s="16" t="n">
        <v>45524</v>
      </c>
      <c r="L661" s="17" t="n">
        <v>160.01</v>
      </c>
      <c r="M661" s="17" t="n">
        <v>104</v>
      </c>
      <c r="N661" s="17" t="n">
        <v>56.01</v>
      </c>
      <c r="O661" s="15" t="inlineStr">
        <is>
          <t>Final issue (ipoplatform)</t>
        </is>
      </c>
      <c r="P661" s="15" t="n"/>
      <c r="Q661" s="18" t="inlineStr">
        <is>
          <t>https://www.sebi.gov.in/sebi_data/attachdocs/oct-2023/1696332716690.pdf</t>
        </is>
      </c>
      <c r="R661" s="18" t="inlineStr">
        <is>
          <t>https://www.sebi.gov.in/filings/public-issues/oct-2023/saraswati-saree-depot-limited-drhp_77544.html</t>
        </is>
      </c>
      <c r="S661" s="15" t="n"/>
      <c r="T661" s="15" t="inlineStr">
        <is>
          <t>SEBI filing link</t>
        </is>
      </c>
      <c r="U661" s="15" t="inlineStr">
        <is>
          <t>Saraswati Saree Depot Limited</t>
        </is>
      </c>
      <c r="V661" s="15" t="n"/>
      <c r="W661" s="15" t="n"/>
      <c r="X661" s="15" t="n"/>
      <c r="Y661" s="15" t="n"/>
      <c r="Z661" s="15" t="n"/>
      <c r="AA661" s="15" t="n"/>
      <c r="AB661" s="15" t="n"/>
    </row>
    <row r="662" ht="15" customHeight="1" s="12">
      <c r="A662" s="14" t="n">
        <v>661</v>
      </c>
      <c r="B662" s="16" t="n">
        <v>45202</v>
      </c>
      <c r="C662" s="15" t="n">
        <v>2023</v>
      </c>
      <c r="D662" s="15" t="inlineStr">
        <is>
          <t>Capital Small Finance Bank Limited</t>
        </is>
      </c>
      <c r="E662" s="15" t="inlineStr">
        <is>
          <t>DRHP</t>
        </is>
      </c>
      <c r="F662" s="15" t="inlineStr">
        <is>
          <t>Capital Small Finance Bank Limited - DRHP</t>
        </is>
      </c>
      <c r="G662" s="15" t="inlineStr">
        <is>
          <t>IPO launched</t>
        </is>
      </c>
      <c r="H662" s="15" t="inlineStr">
        <is>
          <t>Mainboard</t>
        </is>
      </c>
      <c r="I662" s="16" t="n">
        <v>45329</v>
      </c>
      <c r="J662" s="16" t="n">
        <v>45331</v>
      </c>
      <c r="K662" s="16" t="n">
        <v>45336</v>
      </c>
      <c r="L662" s="17" t="n">
        <v>523.0700000000001</v>
      </c>
      <c r="M662" s="17" t="n">
        <v>73.06999999999999</v>
      </c>
      <c r="N662" s="17" t="n">
        <v>450</v>
      </c>
      <c r="O662" s="15" t="inlineStr">
        <is>
          <t>Final issue (ipoplatform)</t>
        </is>
      </c>
      <c r="P662" s="15" t="n"/>
      <c r="Q662" s="18" t="inlineStr">
        <is>
          <t>https://www.sebi.gov.in/sebi_data/attachdocs/oct-2023/1696332658057.pdf</t>
        </is>
      </c>
      <c r="R662" s="18" t="inlineStr">
        <is>
          <t>https://www.sebi.gov.in/filings/public-issues/oct-2023/capital-small-finance-bank-limited-drhp_77543.html</t>
        </is>
      </c>
      <c r="S662" s="15" t="n"/>
      <c r="T662" s="15" t="inlineStr">
        <is>
          <t>SEBI filing link</t>
        </is>
      </c>
      <c r="U662" s="15" t="inlineStr">
        <is>
          <t>Capital Small Finance Bank Limited</t>
        </is>
      </c>
      <c r="V662" s="15" t="n"/>
      <c r="W662" s="15" t="n"/>
      <c r="X662" s="15" t="n"/>
      <c r="Y662" s="15" t="n"/>
      <c r="Z662" s="15" t="n"/>
      <c r="AA662" s="15" t="n"/>
      <c r="AB662" s="15" t="n"/>
    </row>
    <row r="663" ht="15" customHeight="1" s="12">
      <c r="A663" s="14" t="n">
        <v>662</v>
      </c>
      <c r="B663" s="16" t="n">
        <v>45202</v>
      </c>
      <c r="C663" s="15" t="n">
        <v>2023</v>
      </c>
      <c r="D663" s="15" t="inlineStr">
        <is>
          <t>Juniper Hotels Limited</t>
        </is>
      </c>
      <c r="E663" s="15" t="inlineStr">
        <is>
          <t>DRHP</t>
        </is>
      </c>
      <c r="F663" s="15" t="inlineStr">
        <is>
          <t>Juniper Hotels Limited - DRHP</t>
        </is>
      </c>
      <c r="G663" s="15" t="inlineStr">
        <is>
          <t>IPO launched</t>
        </is>
      </c>
      <c r="H663" s="15" t="inlineStr">
        <is>
          <t>Mainboard</t>
        </is>
      </c>
      <c r="I663" s="16" t="n">
        <v>45343</v>
      </c>
      <c r="J663" s="16" t="n">
        <v>45345</v>
      </c>
      <c r="K663" s="16" t="n">
        <v>45350</v>
      </c>
      <c r="L663" s="17" t="n">
        <v>1800</v>
      </c>
      <c r="M663" s="17" t="n">
        <v>1800</v>
      </c>
      <c r="N663" s="17" t="n">
        <v>0</v>
      </c>
      <c r="O663" s="15" t="inlineStr">
        <is>
          <t>Final issue (ipoplatform)</t>
        </is>
      </c>
      <c r="P663" s="15" t="n"/>
      <c r="Q663" s="18" t="inlineStr">
        <is>
          <t>https://www.sebi.gov.in/sebi_data/attachdocs/oct-2023/1696332624558.pdf</t>
        </is>
      </c>
      <c r="R663" s="18" t="inlineStr">
        <is>
          <t>https://www.sebi.gov.in/filings/public-issues/oct-2023/juniper-hotels-limited-drhp_77542.html</t>
        </is>
      </c>
      <c r="S663" s="15" t="n"/>
      <c r="T663" s="15" t="inlineStr">
        <is>
          <t>SEBI filing link</t>
        </is>
      </c>
      <c r="U663" s="15" t="inlineStr">
        <is>
          <t>Juniper Hotels Limited</t>
        </is>
      </c>
      <c r="V663" s="15" t="n"/>
      <c r="W663" s="15" t="n"/>
      <c r="X663" s="15" t="n"/>
      <c r="Y663" s="15" t="n"/>
      <c r="Z663" s="15" t="n"/>
      <c r="AA663" s="15" t="n"/>
      <c r="AB663" s="15" t="n"/>
    </row>
    <row r="664" ht="15" customHeight="1" s="12">
      <c r="A664" s="14" t="n">
        <v>663</v>
      </c>
      <c r="B664" s="16" t="n">
        <v>45187</v>
      </c>
      <c r="C664" s="15" t="n">
        <v>2023</v>
      </c>
      <c r="D664" s="15" t="inlineStr">
        <is>
          <t>Entero Healthcare Solutions Limited</t>
        </is>
      </c>
      <c r="E664" s="15" t="inlineStr">
        <is>
          <t>DRHP</t>
        </is>
      </c>
      <c r="F664" s="15" t="inlineStr">
        <is>
          <t>Entero Healthcare Solutions Limited - DRHP</t>
        </is>
      </c>
      <c r="G664" s="15" t="inlineStr">
        <is>
          <t>IPO launched</t>
        </is>
      </c>
      <c r="H664" s="15" t="inlineStr">
        <is>
          <t>Mainboard</t>
        </is>
      </c>
      <c r="I664" s="16" t="n">
        <v>45331</v>
      </c>
      <c r="J664" s="16" t="n">
        <v>45335</v>
      </c>
      <c r="K664" s="16" t="n">
        <v>45338</v>
      </c>
      <c r="L664" s="17" t="n">
        <v>1600</v>
      </c>
      <c r="M664" s="17" t="n">
        <v>1000</v>
      </c>
      <c r="N664" s="17" t="n">
        <v>600</v>
      </c>
      <c r="O664" s="15" t="inlineStr">
        <is>
          <t>Final issue (ipoplatform)</t>
        </is>
      </c>
      <c r="P664" s="15" t="n"/>
      <c r="Q664" s="18" t="inlineStr">
        <is>
          <t>https://www.sebi.gov.in/sebi_data/attachdocs/sep-2023/1695188931612.pdf</t>
        </is>
      </c>
      <c r="R664" s="18" t="inlineStr">
        <is>
          <t>https://www.sebi.gov.in/filings/public-issues/sep-2023/entero-healthcare-solutions-limited-drhp_76961.html</t>
        </is>
      </c>
      <c r="S664" s="15" t="n"/>
      <c r="T664" s="15" t="inlineStr">
        <is>
          <t>Company name + date window</t>
        </is>
      </c>
      <c r="U664" s="15" t="inlineStr">
        <is>
          <t>Entero Healthcare Solutions Limited</t>
        </is>
      </c>
      <c r="V664" s="15" t="n"/>
      <c r="W664" s="15" t="n"/>
      <c r="X664" s="15" t="n"/>
      <c r="Y664" s="15" t="n"/>
      <c r="Z664" s="15" t="n"/>
      <c r="AA664" s="15" t="n"/>
      <c r="AB664" s="15" t="n"/>
    </row>
    <row r="665" ht="15" customHeight="1" s="12">
      <c r="A665" s="14" t="n">
        <v>664</v>
      </c>
      <c r="B665" s="16" t="n">
        <v>45184</v>
      </c>
      <c r="C665" s="15" t="n">
        <v>2023</v>
      </c>
      <c r="D665" s="15" t="inlineStr">
        <is>
          <t>Flair Writing Industries Limited</t>
        </is>
      </c>
      <c r="E665" s="15" t="inlineStr">
        <is>
          <t>Addendum</t>
        </is>
      </c>
      <c r="F665" s="15" t="inlineStr">
        <is>
          <t>Flair Writing Industries Limited - Addendum to DRHP</t>
        </is>
      </c>
      <c r="G665" s="15" t="inlineStr">
        <is>
          <t>IPO launched</t>
        </is>
      </c>
      <c r="H665" s="15" t="inlineStr">
        <is>
          <t>Mainboard</t>
        </is>
      </c>
      <c r="I665" s="16" t="n">
        <v>45252</v>
      </c>
      <c r="J665" s="16" t="n">
        <v>45254</v>
      </c>
      <c r="K665" s="16" t="n">
        <v>45261</v>
      </c>
      <c r="L665" s="17" t="n">
        <v>593</v>
      </c>
      <c r="M665" s="17" t="n">
        <v>292</v>
      </c>
      <c r="N665" s="17" t="n">
        <v>301</v>
      </c>
      <c r="O665" s="15" t="inlineStr">
        <is>
          <t>Final issue (ipoplatform)</t>
        </is>
      </c>
      <c r="P665" s="15" t="n"/>
      <c r="Q665" s="18" t="inlineStr">
        <is>
          <t>https://www.sebi.gov.in/sebi_data/attachdocs/sep-2023/1694753864099.PDF</t>
        </is>
      </c>
      <c r="R665" s="18" t="inlineStr">
        <is>
          <t>https://www.sebi.gov.in/filings/public-issues/sep-2023/flair-writing-industries-limited-addendum-to-drhp_76927.html</t>
        </is>
      </c>
      <c r="S665" s="15" t="n"/>
      <c r="T665" s="15" t="inlineStr">
        <is>
          <t>Company name + date window</t>
        </is>
      </c>
      <c r="U665" s="15" t="inlineStr">
        <is>
          <t>Flair Writing Industries Limited</t>
        </is>
      </c>
      <c r="V665" s="15" t="n"/>
      <c r="W665" s="15" t="n"/>
      <c r="X665" s="15" t="n"/>
      <c r="Y665" s="15" t="n"/>
      <c r="Z665" s="15" t="n"/>
      <c r="AA665" s="15" t="n"/>
      <c r="AB665" s="15" t="n"/>
    </row>
    <row r="666" ht="15" customHeight="1" s="12">
      <c r="A666" s="14" t="n">
        <v>665</v>
      </c>
      <c r="B666" s="16" t="n">
        <v>45182</v>
      </c>
      <c r="C666" s="15" t="n">
        <v>2023</v>
      </c>
      <c r="D666" s="15" t="inlineStr">
        <is>
          <t>Innova Captab Limited</t>
        </is>
      </c>
      <c r="E666" s="15" t="inlineStr">
        <is>
          <t>Addendum</t>
        </is>
      </c>
      <c r="F666" s="15" t="inlineStr">
        <is>
          <t>Innova Captab Limited - Addendum to DRHP</t>
        </is>
      </c>
      <c r="G666" s="15" t="inlineStr">
        <is>
          <t>IPO launched</t>
        </is>
      </c>
      <c r="H666" s="15" t="inlineStr">
        <is>
          <t>Mainboard</t>
        </is>
      </c>
      <c r="I666" s="16" t="n">
        <v>45281</v>
      </c>
      <c r="J666" s="16" t="n">
        <v>45286</v>
      </c>
      <c r="K666" s="16" t="n">
        <v>45289</v>
      </c>
      <c r="L666" s="17" t="n">
        <v>570</v>
      </c>
      <c r="M666" s="17" t="n">
        <v>570</v>
      </c>
      <c r="N666" s="17" t="n">
        <v>0</v>
      </c>
      <c r="O666" s="15" t="inlineStr">
        <is>
          <t>Final issue (ipoplatform)</t>
        </is>
      </c>
      <c r="P666" s="15" t="n"/>
      <c r="Q666" s="18" t="inlineStr">
        <is>
          <t>https://www.sebi.gov.in/sebi_data/attachdocs/sep-2023/1694582173546.pdf</t>
        </is>
      </c>
      <c r="R666" s="18" t="inlineStr">
        <is>
          <t>https://www.sebi.gov.in/filings/public-issues/sep-2023/innova-captab-limited-addendum-to-drhp_76819.html</t>
        </is>
      </c>
      <c r="S666" s="15" t="n"/>
      <c r="T666" s="15" t="inlineStr">
        <is>
          <t>Company name + date window</t>
        </is>
      </c>
      <c r="U666" s="15" t="inlineStr">
        <is>
          <t>Innova Captab Limited</t>
        </is>
      </c>
      <c r="V666" s="15" t="n"/>
      <c r="W666" s="15" t="n"/>
      <c r="X666" s="15" t="n"/>
      <c r="Y666" s="15" t="n"/>
      <c r="Z666" s="15" t="n"/>
      <c r="AA666" s="15" t="n"/>
      <c r="AB666" s="15" t="n"/>
    </row>
    <row r="667" ht="15" customHeight="1" s="12">
      <c r="A667" s="14" t="n">
        <v>666</v>
      </c>
      <c r="B667" s="16" t="n">
        <v>45181</v>
      </c>
      <c r="C667" s="15" t="n">
        <v>2023</v>
      </c>
      <c r="D667" s="15" t="inlineStr">
        <is>
          <t>Indian Renewable Energy Development Agency Limited</t>
        </is>
      </c>
      <c r="E667" s="15" t="inlineStr">
        <is>
          <t>DRHP</t>
        </is>
      </c>
      <c r="F667" s="15" t="inlineStr">
        <is>
          <t>Indian Renewable Energy Development Agency Limited - DRHP</t>
        </is>
      </c>
      <c r="G667" s="15" t="inlineStr">
        <is>
          <t>IPO launched</t>
        </is>
      </c>
      <c r="H667" s="15" t="inlineStr">
        <is>
          <t>Mainboard</t>
        </is>
      </c>
      <c r="I667" s="16" t="n">
        <v>45251</v>
      </c>
      <c r="J667" s="16" t="n">
        <v>45253</v>
      </c>
      <c r="K667" s="16" t="n">
        <v>45259</v>
      </c>
      <c r="L667" s="17" t="n">
        <v>2150.21</v>
      </c>
      <c r="M667" s="17" t="n">
        <v>1290.13</v>
      </c>
      <c r="N667" s="17" t="n">
        <v>860.08</v>
      </c>
      <c r="O667" s="15" t="inlineStr">
        <is>
          <t>Final issue (ipoplatform)</t>
        </is>
      </c>
      <c r="P667" s="15" t="n"/>
      <c r="Q667" s="18" t="inlineStr">
        <is>
          <t>https://www.sebi.gov.in/sebi_data/attachdocs/sep-2023/1694520772195.pdf</t>
        </is>
      </c>
      <c r="R667" s="18" t="inlineStr">
        <is>
          <t>https://www.sebi.gov.in/filings/public-issues/sep-2023/indian-renewable-energy-development-agency-limited-drhp_76785.html</t>
        </is>
      </c>
      <c r="S667" s="15" t="n"/>
      <c r="T667" s="15" t="inlineStr">
        <is>
          <t>SEBI filing link</t>
        </is>
      </c>
      <c r="U667" s="15" t="inlineStr">
        <is>
          <t>Indian Renewable Energy Development Agency Ltd</t>
        </is>
      </c>
      <c r="V667" s="15" t="n"/>
      <c r="W667" s="15" t="n"/>
      <c r="X667" s="15" t="n"/>
      <c r="Y667" s="15" t="n"/>
      <c r="Z667" s="15" t="n"/>
      <c r="AA667" s="15" t="n"/>
      <c r="AB667" s="15" t="n"/>
    </row>
    <row r="668" ht="15" customHeight="1" s="12">
      <c r="A668" s="14" t="n">
        <v>667</v>
      </c>
      <c r="B668" s="16" t="n">
        <v>45175</v>
      </c>
      <c r="C668" s="15" t="n">
        <v>2023</v>
      </c>
      <c r="D668" s="15" t="inlineStr">
        <is>
          <t>Stanley Lifestyles Limited</t>
        </is>
      </c>
      <c r="E668" s="15" t="inlineStr">
        <is>
          <t>DRHP</t>
        </is>
      </c>
      <c r="F668" s="15" t="inlineStr">
        <is>
          <t>Stanley Lifestyles Limited - DRHP</t>
        </is>
      </c>
      <c r="G668" s="15" t="inlineStr">
        <is>
          <t>IPO launched</t>
        </is>
      </c>
      <c r="H668" s="15" t="inlineStr">
        <is>
          <t>Mainboard</t>
        </is>
      </c>
      <c r="I668" s="16" t="n">
        <v>45464</v>
      </c>
      <c r="J668" s="16" t="n">
        <v>45468</v>
      </c>
      <c r="K668" s="16" t="n">
        <v>45471</v>
      </c>
      <c r="L668" s="17" t="n">
        <v>537.02</v>
      </c>
      <c r="M668" s="17" t="n">
        <v>200</v>
      </c>
      <c r="N668" s="17" t="n">
        <v>337.02</v>
      </c>
      <c r="O668" s="15" t="inlineStr">
        <is>
          <t>Final issue (ipoplatform)</t>
        </is>
      </c>
      <c r="P668" s="15" t="n"/>
      <c r="Q668" s="18" t="inlineStr">
        <is>
          <t>https://www.sebi.gov.in/sebi_data/attachdocs/sep-2023/1693991827914.pdf</t>
        </is>
      </c>
      <c r="R668" s="18" t="inlineStr">
        <is>
          <t>https://www.sebi.gov.in/filings/public-issues/sep-2023/stanley-lifestyles-limited-drhp_76320.html</t>
        </is>
      </c>
      <c r="S668" s="15" t="n"/>
      <c r="T668" s="15" t="inlineStr">
        <is>
          <t>SEBI filing link</t>
        </is>
      </c>
      <c r="U668" s="15" t="inlineStr">
        <is>
          <t>Stanley Lifestyles Limited</t>
        </is>
      </c>
      <c r="V668" s="15" t="n"/>
      <c r="W668" s="15" t="n"/>
      <c r="X668" s="15" t="n"/>
      <c r="Y668" s="15" t="n"/>
      <c r="Z668" s="15" t="n"/>
      <c r="AA668" s="15" t="n"/>
      <c r="AB668" s="15" t="n"/>
    </row>
    <row r="669" ht="15" customHeight="1" s="12">
      <c r="A669" s="14" t="n">
        <v>668</v>
      </c>
      <c r="B669" s="16" t="n">
        <v>45174</v>
      </c>
      <c r="C669" s="15" t="n">
        <v>2023</v>
      </c>
      <c r="D669" s="15" t="inlineStr">
        <is>
          <t>Jyoti CNC Automation Limited</t>
        </is>
      </c>
      <c r="E669" s="15" t="inlineStr">
        <is>
          <t>DRHP</t>
        </is>
      </c>
      <c r="F669" s="15" t="inlineStr">
        <is>
          <t>Jyoti CNC Automation Limited - DRHP</t>
        </is>
      </c>
      <c r="G669" s="15" t="inlineStr">
        <is>
          <t>IPO launched</t>
        </is>
      </c>
      <c r="H669" s="15" t="inlineStr">
        <is>
          <t>Mainboard</t>
        </is>
      </c>
      <c r="I669" s="16" t="n">
        <v>45300</v>
      </c>
      <c r="J669" s="16" t="n">
        <v>45302</v>
      </c>
      <c r="K669" s="16" t="n">
        <v>45307</v>
      </c>
      <c r="L669" s="17" t="n">
        <v>1000</v>
      </c>
      <c r="M669" s="17" t="n">
        <v>1000</v>
      </c>
      <c r="N669" s="17" t="n">
        <v>0</v>
      </c>
      <c r="O669" s="15" t="inlineStr">
        <is>
          <t>Final issue (ipoplatform)</t>
        </is>
      </c>
      <c r="P669" s="15" t="n"/>
      <c r="Q669" s="18" t="inlineStr">
        <is>
          <t>https://www.sebi.gov.in/sebi_data/attachdocs/sep-2023/1693903192757.PDF</t>
        </is>
      </c>
      <c r="R669" s="18" t="inlineStr">
        <is>
          <t>https://www.sebi.gov.in/filings/public-issues/sep-2023/jyoti-cnc-automation-limited-drhp_76520.html</t>
        </is>
      </c>
      <c r="S669" s="15" t="n"/>
      <c r="T669" s="15" t="inlineStr">
        <is>
          <t>SEBI filing link</t>
        </is>
      </c>
      <c r="U669" s="15" t="inlineStr">
        <is>
          <t>Jyoti CNC Automation Limited</t>
        </is>
      </c>
      <c r="V669" s="15" t="n"/>
      <c r="W669" s="15" t="n"/>
      <c r="X669" s="15" t="n"/>
      <c r="Y669" s="15" t="n"/>
      <c r="Z669" s="15" t="n"/>
      <c r="AA669" s="15" t="n"/>
      <c r="AB669" s="15" t="n"/>
    </row>
    <row r="670" ht="15" customHeight="1" s="12">
      <c r="A670" s="14" t="n">
        <v>669</v>
      </c>
      <c r="B670" s="16" t="n">
        <v>45173</v>
      </c>
      <c r="C670" s="15" t="n">
        <v>2023</v>
      </c>
      <c r="D670" s="15" t="inlineStr">
        <is>
          <t>Arkade Developers Limited</t>
        </is>
      </c>
      <c r="E670" s="15" t="inlineStr">
        <is>
          <t>DRHP</t>
        </is>
      </c>
      <c r="F670" s="15" t="inlineStr">
        <is>
          <t>Arkade Developers Limited - DRHP</t>
        </is>
      </c>
      <c r="G670" s="15" t="inlineStr">
        <is>
          <t>IPO launched</t>
        </is>
      </c>
      <c r="H670" s="15" t="inlineStr">
        <is>
          <t>Mainboard</t>
        </is>
      </c>
      <c r="I670" s="16" t="n">
        <v>45551</v>
      </c>
      <c r="J670" s="16" t="n">
        <v>45554</v>
      </c>
      <c r="K670" s="16" t="n">
        <v>45559</v>
      </c>
      <c r="L670" s="17" t="n">
        <v>410</v>
      </c>
      <c r="M670" s="17" t="n">
        <v>410</v>
      </c>
      <c r="N670" s="17" t="n">
        <v>0</v>
      </c>
      <c r="O670" s="15" t="inlineStr">
        <is>
          <t>Final issue (ipoplatform)</t>
        </is>
      </c>
      <c r="P670" s="15" t="n"/>
      <c r="Q670" s="18" t="inlineStr">
        <is>
          <t>https://www.sebi.gov.in/sebi_data/attachdocs/sep-2023/1693890814950.pdf</t>
        </is>
      </c>
      <c r="R670" s="18" t="inlineStr">
        <is>
          <t>https://www.sebi.gov.in/filings/public-issues/sep-2023/arkade-developers-limited-drhp_76492.html</t>
        </is>
      </c>
      <c r="S670" s="15" t="n"/>
      <c r="T670" s="15" t="inlineStr">
        <is>
          <t>Company name + date window</t>
        </is>
      </c>
      <c r="U670" s="15" t="inlineStr">
        <is>
          <t>Arkade Developers Limited</t>
        </is>
      </c>
      <c r="V670" s="15" t="n"/>
      <c r="W670" s="15" t="n"/>
      <c r="X670" s="15" t="n"/>
      <c r="Y670" s="15" t="n"/>
      <c r="Z670" s="15" t="n"/>
      <c r="AA670" s="15" t="n"/>
      <c r="AB670" s="15" t="n"/>
    </row>
    <row r="671" ht="15" customHeight="1" s="12">
      <c r="A671" s="14" t="n">
        <v>670</v>
      </c>
      <c r="B671" s="16" t="n">
        <v>45169</v>
      </c>
      <c r="C671" s="15" t="n">
        <v>2023</v>
      </c>
      <c r="D671" s="15" t="inlineStr">
        <is>
          <t>INOX India Limited</t>
        </is>
      </c>
      <c r="E671" s="15" t="inlineStr">
        <is>
          <t>DRHP</t>
        </is>
      </c>
      <c r="F671" s="15" t="inlineStr">
        <is>
          <t>INOX India Limited - DRHP</t>
        </is>
      </c>
      <c r="G671" s="15" t="inlineStr">
        <is>
          <t>IPO launched</t>
        </is>
      </c>
      <c r="H671" s="15" t="inlineStr">
        <is>
          <t>Mainboard</t>
        </is>
      </c>
      <c r="I671" s="16" t="n">
        <v>45274</v>
      </c>
      <c r="J671" s="16" t="n">
        <v>45278</v>
      </c>
      <c r="K671" s="16" t="n">
        <v>45281</v>
      </c>
      <c r="L671" s="17" t="n">
        <v>1459.32</v>
      </c>
      <c r="M671" s="17" t="n">
        <v>1459.32</v>
      </c>
      <c r="N671" s="17" t="n">
        <v>0</v>
      </c>
      <c r="O671" s="15" t="inlineStr">
        <is>
          <t>Final issue (ipoplatform)</t>
        </is>
      </c>
      <c r="P671" s="15" t="n"/>
      <c r="Q671" s="18" t="inlineStr">
        <is>
          <t>https://www.sebi.gov.in/sebi_data/attachdocs/aug-2023/1693478637360.pdf</t>
        </is>
      </c>
      <c r="R671" s="18" t="inlineStr">
        <is>
          <t>https://www.sebi.gov.in/filings/public-issues/aug-2023/inox-india-limited-drhp_76156.html</t>
        </is>
      </c>
      <c r="S671" s="15" t="n"/>
      <c r="T671" s="15" t="inlineStr">
        <is>
          <t>SEBI filing link</t>
        </is>
      </c>
      <c r="U671" s="15" t="inlineStr">
        <is>
          <t>Inox India Limited</t>
        </is>
      </c>
      <c r="V671" s="15" t="n"/>
      <c r="W671" s="15" t="n"/>
      <c r="X671" s="15" t="n"/>
      <c r="Y671" s="15" t="n"/>
      <c r="Z671" s="15" t="n"/>
      <c r="AA671" s="15" t="n"/>
      <c r="AB671" s="15" t="n"/>
    </row>
    <row r="672" ht="15" customHeight="1" s="12">
      <c r="A672" s="14" t="n">
        <v>671</v>
      </c>
      <c r="B672" s="16" t="n">
        <v>45166</v>
      </c>
      <c r="C672" s="15" t="n">
        <v>2023</v>
      </c>
      <c r="D672" s="15" t="inlineStr">
        <is>
          <t>Medi Assist Healthcare Services Limited</t>
        </is>
      </c>
      <c r="E672" s="15" t="inlineStr">
        <is>
          <t>DRHP</t>
        </is>
      </c>
      <c r="F672" s="15" t="inlineStr">
        <is>
          <t>Medi Assist Healthcare Services Limited - DRHP</t>
        </is>
      </c>
      <c r="G672" s="15" t="inlineStr">
        <is>
          <t>IPO launched</t>
        </is>
      </c>
      <c r="H672" s="15" t="inlineStr">
        <is>
          <t>Mainboard</t>
        </is>
      </c>
      <c r="I672" s="16" t="n">
        <v>45306</v>
      </c>
      <c r="J672" s="16" t="n">
        <v>45308</v>
      </c>
      <c r="K672" s="16" t="n">
        <v>45314</v>
      </c>
      <c r="L672" s="17" t="n">
        <v>1171.58</v>
      </c>
      <c r="M672" s="17" t="n">
        <v>1171.58</v>
      </c>
      <c r="N672" s="17" t="n">
        <v>0</v>
      </c>
      <c r="O672" s="15" t="inlineStr">
        <is>
          <t>Final issue (ipoplatform)</t>
        </is>
      </c>
      <c r="P672" s="15" t="n"/>
      <c r="Q672" s="18" t="inlineStr">
        <is>
          <t>https://www.sebi.gov.in/sebi_data/attachdocs/aug-2023/1693225648714.PDF</t>
        </is>
      </c>
      <c r="R672" s="18" t="inlineStr">
        <is>
          <t>https://www.sebi.gov.in/filings/public-issues/aug-2023/medi-assist-healthcare-services-limited-drhp_75948.html</t>
        </is>
      </c>
      <c r="S672" s="15" t="n"/>
      <c r="T672" s="15" t="inlineStr">
        <is>
          <t>SEBI filing link</t>
        </is>
      </c>
      <c r="U672" s="15" t="inlineStr">
        <is>
          <t>Medi Assist Healthcare Services Limited</t>
        </is>
      </c>
      <c r="V672" s="15" t="n"/>
      <c r="W672" s="15" t="n"/>
      <c r="X672" s="15" t="n"/>
      <c r="Y672" s="15" t="n"/>
      <c r="Z672" s="15" t="n"/>
      <c r="AA672" s="15" t="n"/>
      <c r="AB672" s="15" t="n"/>
    </row>
    <row r="673" ht="15" customHeight="1" s="12">
      <c r="A673" s="14" t="n">
        <v>672</v>
      </c>
      <c r="B673" s="16" t="n">
        <v>45162</v>
      </c>
      <c r="C673" s="15" t="n">
        <v>2023</v>
      </c>
      <c r="D673" s="15" t="inlineStr">
        <is>
          <t>JNK India Limited</t>
        </is>
      </c>
      <c r="E673" s="15" t="inlineStr">
        <is>
          <t>DRHP</t>
        </is>
      </c>
      <c r="F673" s="15" t="inlineStr">
        <is>
          <t>JNK India Limited - DRHP</t>
        </is>
      </c>
      <c r="G673" s="15" t="inlineStr">
        <is>
          <t>IPO launched</t>
        </is>
      </c>
      <c r="H673" s="15" t="inlineStr">
        <is>
          <t>Mainboard</t>
        </is>
      </c>
      <c r="I673" s="16" t="n">
        <v>45405</v>
      </c>
      <c r="J673" s="16" t="n">
        <v>45407</v>
      </c>
      <c r="K673" s="16" t="n">
        <v>45412</v>
      </c>
      <c r="L673" s="17" t="n">
        <v>649.47</v>
      </c>
      <c r="M673" s="17" t="n">
        <v>300</v>
      </c>
      <c r="N673" s="17" t="n">
        <v>349.47</v>
      </c>
      <c r="O673" s="15" t="inlineStr">
        <is>
          <t>Final issue (ipoplatform)</t>
        </is>
      </c>
      <c r="P673" s="15" t="n"/>
      <c r="Q673" s="18" t="inlineStr">
        <is>
          <t>https://www.sebi.gov.in/sebi_data/attachdocs/aug-2023/1692872283972.pdf</t>
        </is>
      </c>
      <c r="R673" s="18" t="inlineStr">
        <is>
          <t>https://www.sebi.gov.in/filings/public-issues/aug-2023/jnk-india-limited-drhp_75836.html</t>
        </is>
      </c>
      <c r="S673" s="15" t="n"/>
      <c r="T673" s="15" t="inlineStr">
        <is>
          <t>SEBI filing link</t>
        </is>
      </c>
      <c r="U673" s="15" t="inlineStr">
        <is>
          <t>JNK India Limited</t>
        </is>
      </c>
      <c r="V673" s="15" t="n"/>
      <c r="W673" s="15" t="n"/>
      <c r="X673" s="15" t="n"/>
      <c r="Y673" s="15" t="n"/>
      <c r="Z673" s="15" t="n"/>
      <c r="AA673" s="15" t="n"/>
      <c r="AB673" s="15" t="n"/>
    </row>
    <row r="674" ht="15" customHeight="1" s="12">
      <c r="A674" s="14" t="n">
        <v>673</v>
      </c>
      <c r="B674" s="16" t="n">
        <v>45161</v>
      </c>
      <c r="C674" s="15" t="n">
        <v>2023</v>
      </c>
      <c r="D674" s="15" t="inlineStr">
        <is>
          <t>DOMS Industries Limited</t>
        </is>
      </c>
      <c r="E674" s="15" t="inlineStr">
        <is>
          <t>DRHP</t>
        </is>
      </c>
      <c r="F674" s="15" t="inlineStr">
        <is>
          <t>DOMS Industries Limited - DRHP</t>
        </is>
      </c>
      <c r="G674" s="15" t="inlineStr">
        <is>
          <t>IPO launched</t>
        </is>
      </c>
      <c r="H674" s="15" t="inlineStr">
        <is>
          <t>Mainboard</t>
        </is>
      </c>
      <c r="I674" s="16" t="n">
        <v>45273</v>
      </c>
      <c r="J674" s="16" t="n">
        <v>45275</v>
      </c>
      <c r="K674" s="16" t="n">
        <v>45280</v>
      </c>
      <c r="L674" s="17" t="n">
        <v>1200</v>
      </c>
      <c r="M674" s="17" t="n">
        <v>350</v>
      </c>
      <c r="N674" s="17" t="n">
        <v>850</v>
      </c>
      <c r="O674" s="15" t="inlineStr">
        <is>
          <t>Final issue (ipoplatform)</t>
        </is>
      </c>
      <c r="P674" s="15" t="n"/>
      <c r="Q674" s="18" t="inlineStr">
        <is>
          <t>https://www.sebi.gov.in/sebi_data/attachdocs/aug-2023/1692782329929.pdf</t>
        </is>
      </c>
      <c r="R674" s="18" t="inlineStr">
        <is>
          <t>https://www.sebi.gov.in/filings/public-issues/aug-2023/doms-industries-limited-drhp_75772.html</t>
        </is>
      </c>
      <c r="S674" s="15" t="n"/>
      <c r="T674" s="15" t="inlineStr">
        <is>
          <t>Company name + date window</t>
        </is>
      </c>
      <c r="U674" s="15" t="inlineStr">
        <is>
          <t>DOMS Industries Limited</t>
        </is>
      </c>
      <c r="V674" s="15" t="n"/>
      <c r="W674" s="15" t="n"/>
      <c r="X674" s="15" t="n"/>
      <c r="Y674" s="15" t="n"/>
      <c r="Z674" s="15" t="n"/>
      <c r="AA674" s="15" t="n"/>
      <c r="AB674" s="15" t="n"/>
    </row>
    <row r="675" ht="15" customHeight="1" s="12">
      <c r="A675" s="14" t="n">
        <v>674</v>
      </c>
      <c r="B675" s="16" t="n">
        <v>45160</v>
      </c>
      <c r="C675" s="15" t="n">
        <v>2023</v>
      </c>
      <c r="D675" s="15" t="inlineStr">
        <is>
          <t>Shiva Pharmachem Limited</t>
        </is>
      </c>
      <c r="E675" s="15" t="inlineStr">
        <is>
          <t>DRHP</t>
        </is>
      </c>
      <c r="F675" s="15" t="inlineStr">
        <is>
          <t>Shiva Pharmachem Limited - DRHP</t>
        </is>
      </c>
      <c r="G675" s="15" t="inlineStr">
        <is>
          <t>No launched IPO found</t>
        </is>
      </c>
      <c r="H675" s="15" t="n"/>
      <c r="I675" s="16" t="n"/>
      <c r="J675" s="16" t="n"/>
      <c r="K675" s="16" t="n"/>
      <c r="L675" s="17" t="n"/>
      <c r="M675" s="17" t="n"/>
      <c r="N675" s="17" t="n"/>
      <c r="O675" s="15" t="n"/>
      <c r="P675" s="15" t="n"/>
      <c r="Q675" s="18" t="inlineStr">
        <is>
          <t>https://www.sebi.gov.in/sebi_data/attachdocs/aug-2023/1692687672999.pdf</t>
        </is>
      </c>
      <c r="R675" s="18" t="inlineStr">
        <is>
          <t>https://www.sebi.gov.in/filings/public-issues/aug-2023/shiva-pharmachem-limited-drhp_75514.html</t>
        </is>
      </c>
      <c r="S675" s="15" t="n"/>
      <c r="T675" s="15" t="n"/>
      <c r="U675" s="15" t="n"/>
      <c r="V675" s="15" t="n"/>
      <c r="W675" s="16" t="n"/>
      <c r="X675" s="16" t="n"/>
      <c r="Y675" s="16" t="n"/>
      <c r="Z675" s="15" t="inlineStr">
        <is>
          <t>No issue found</t>
        </is>
      </c>
      <c r="AA675" s="15" t="inlineStr">
        <is>
          <t>Business Standard lists the company but shows no issue dates; web search limit reached</t>
        </is>
      </c>
      <c r="AB675" s="18" t="inlineStr">
        <is>
          <t>https://www.business-standard.com/markets/ipo/shiva-pharmachem-ltd-ipo-71014</t>
        </is>
      </c>
    </row>
    <row r="676" ht="15" customHeight="1" s="12">
      <c r="A676" s="14" t="n">
        <v>675</v>
      </c>
      <c r="B676" s="16" t="n">
        <v>45159</v>
      </c>
      <c r="C676" s="15" t="n">
        <v>2023</v>
      </c>
      <c r="D676" s="15" t="inlineStr">
        <is>
          <t>Apeejay Surrendra Park Hotels Limited</t>
        </is>
      </c>
      <c r="E676" s="15" t="inlineStr">
        <is>
          <t>DRHP</t>
        </is>
      </c>
      <c r="F676" s="15" t="inlineStr">
        <is>
          <t>Apeejay Surrendra Park Hotels Limited - DRHP</t>
        </is>
      </c>
      <c r="G676" s="15" t="inlineStr">
        <is>
          <t>IPO launched</t>
        </is>
      </c>
      <c r="H676" s="15" t="inlineStr">
        <is>
          <t>Mainboard</t>
        </is>
      </c>
      <c r="I676" s="16" t="n">
        <v>45327</v>
      </c>
      <c r="J676" s="16" t="n">
        <v>45329</v>
      </c>
      <c r="K676" s="16" t="n">
        <v>45334</v>
      </c>
      <c r="L676" s="17" t="n">
        <v>920</v>
      </c>
      <c r="M676" s="17" t="n">
        <v>600</v>
      </c>
      <c r="N676" s="17" t="n">
        <v>320</v>
      </c>
      <c r="O676" s="15" t="inlineStr">
        <is>
          <t>Final issue (ipoplatform)</t>
        </is>
      </c>
      <c r="P676" s="15" t="n"/>
      <c r="Q676" s="18" t="inlineStr">
        <is>
          <t>https://www.sebi.gov.in/sebi_data/attachdocs/aug-2023/1692694441875.PDF</t>
        </is>
      </c>
      <c r="R676" s="18" t="inlineStr">
        <is>
          <t>https://www.sebi.gov.in/filings/public-issues/aug-2023/apeejay-surrendra-park-hotels-limited-drhp_75516.html</t>
        </is>
      </c>
      <c r="S676" s="15" t="n"/>
      <c r="T676" s="15" t="inlineStr">
        <is>
          <t>Company name + date window</t>
        </is>
      </c>
      <c r="U676" s="15" t="inlineStr">
        <is>
          <t>Apeejay Surrendra Park Hotels Limited</t>
        </is>
      </c>
      <c r="V676" s="15" t="n"/>
      <c r="W676" s="15" t="n"/>
      <c r="X676" s="15" t="n"/>
      <c r="Y676" s="15" t="n"/>
      <c r="Z676" s="15" t="n"/>
      <c r="AA676" s="15" t="n"/>
      <c r="AB676" s="15" t="n"/>
    </row>
    <row r="677" ht="15" customHeight="1" s="12">
      <c r="A677" s="14" t="n">
        <v>676</v>
      </c>
      <c r="B677" s="16" t="n">
        <v>45159</v>
      </c>
      <c r="C677" s="15" t="n">
        <v>2023</v>
      </c>
      <c r="D677" s="15" t="inlineStr">
        <is>
          <t>Cello World Limited</t>
        </is>
      </c>
      <c r="E677" s="15" t="inlineStr">
        <is>
          <t>DRHP</t>
        </is>
      </c>
      <c r="F677" s="15" t="inlineStr">
        <is>
          <t>Cello World Limited - DRHP</t>
        </is>
      </c>
      <c r="G677" s="15" t="inlineStr">
        <is>
          <t>IPO launched</t>
        </is>
      </c>
      <c r="H677" s="15" t="inlineStr">
        <is>
          <t>Mainboard</t>
        </is>
      </c>
      <c r="I677" s="16" t="n">
        <v>45229</v>
      </c>
      <c r="J677" s="16" t="n">
        <v>45231</v>
      </c>
      <c r="K677" s="16" t="n">
        <v>45236</v>
      </c>
      <c r="L677" s="17" t="n">
        <v>1900</v>
      </c>
      <c r="M677" s="17" t="n">
        <v>1900</v>
      </c>
      <c r="N677" s="17" t="n">
        <v>0</v>
      </c>
      <c r="O677" s="15" t="inlineStr">
        <is>
          <t>Final issue (ipoplatform)</t>
        </is>
      </c>
      <c r="P677" s="15" t="n"/>
      <c r="Q677" s="18" t="inlineStr">
        <is>
          <t>https://www.sebi.gov.in/sebi_data/attachdocs/aug-2023/1692687550571.pdf</t>
        </is>
      </c>
      <c r="R677" s="18" t="inlineStr">
        <is>
          <t>https://www.sebi.gov.in/filings/public-issues/aug-2023/cello-world-limited-drhp_75512.html</t>
        </is>
      </c>
      <c r="S677" s="15" t="n"/>
      <c r="T677" s="15" t="inlineStr">
        <is>
          <t>SEBI filing link</t>
        </is>
      </c>
      <c r="U677" s="15" t="inlineStr">
        <is>
          <t>Cello World Limited</t>
        </is>
      </c>
      <c r="V677" s="15" t="n"/>
      <c r="W677" s="15" t="n"/>
      <c r="X677" s="15" t="n"/>
      <c r="Y677" s="15" t="n"/>
      <c r="Z677" s="15" t="n"/>
      <c r="AA677" s="15" t="n"/>
      <c r="AB677" s="15" t="n"/>
    </row>
    <row r="678" ht="15" customHeight="1" s="12">
      <c r="A678" s="14" t="n">
        <v>677</v>
      </c>
      <c r="B678" s="16" t="n">
        <v>45159</v>
      </c>
      <c r="C678" s="15" t="n">
        <v>2023</v>
      </c>
      <c r="D678" s="15" t="inlineStr">
        <is>
          <t>Western Carriers (India) Limited</t>
        </is>
      </c>
      <c r="E678" s="15" t="inlineStr">
        <is>
          <t>Corrigendum</t>
        </is>
      </c>
      <c r="F678" s="15" t="inlineStr">
        <is>
          <t>Western Carriers (India) Limited - Corrigendum to DRHP</t>
        </is>
      </c>
      <c r="G678" s="15" t="inlineStr">
        <is>
          <t>IPO launched</t>
        </is>
      </c>
      <c r="H678" s="15" t="inlineStr">
        <is>
          <t>Mainboard</t>
        </is>
      </c>
      <c r="I678" s="16" t="n">
        <v>45548</v>
      </c>
      <c r="J678" s="16" t="n">
        <v>45554</v>
      </c>
      <c r="K678" s="16" t="n">
        <v>45559</v>
      </c>
      <c r="L678" s="17" t="n">
        <v>492.88</v>
      </c>
      <c r="M678" s="17" t="n">
        <v>400</v>
      </c>
      <c r="N678" s="17" t="n">
        <v>92.88</v>
      </c>
      <c r="O678" s="15" t="inlineStr">
        <is>
          <t>Final issue (ipoplatform)</t>
        </is>
      </c>
      <c r="P678" s="15" t="n"/>
      <c r="Q678" s="18" t="inlineStr">
        <is>
          <t>https://www.sebi.gov.in/sebi_data/attachdocs/aug-2023/1692683401706.PDF</t>
        </is>
      </c>
      <c r="R678" s="18" t="inlineStr">
        <is>
          <t>https://www.sebi.gov.in/filings/public-issues/aug-2023/western-carriers-india-limited-corrigendum-to-drhp_75498.html</t>
        </is>
      </c>
      <c r="S678" s="15" t="n"/>
      <c r="T678" s="15" t="inlineStr">
        <is>
          <t>Company name + date window</t>
        </is>
      </c>
      <c r="U678" s="15" t="inlineStr">
        <is>
          <t>Western Carriers (India) Limited</t>
        </is>
      </c>
      <c r="V678" s="15" t="n"/>
      <c r="W678" s="15" t="n"/>
      <c r="X678" s="15" t="n"/>
      <c r="Y678" s="15" t="n"/>
      <c r="Z678" s="15" t="n"/>
      <c r="AA678" s="15" t="n"/>
      <c r="AB678" s="15" t="n"/>
    </row>
    <row r="679" ht="15" customHeight="1" s="12">
      <c r="A679" s="14" t="n">
        <v>678</v>
      </c>
      <c r="B679" s="16" t="n">
        <v>45155</v>
      </c>
      <c r="C679" s="15" t="n">
        <v>2023</v>
      </c>
      <c r="D679" s="15" t="inlineStr">
        <is>
          <t>Happy Forgings Limited</t>
        </is>
      </c>
      <c r="E679" s="15" t="inlineStr">
        <is>
          <t>DRHP</t>
        </is>
      </c>
      <c r="F679" s="15" t="inlineStr">
        <is>
          <t>Happy Forgings Limited - DRHP</t>
        </is>
      </c>
      <c r="G679" s="15" t="inlineStr">
        <is>
          <t>IPO launched</t>
        </is>
      </c>
      <c r="H679" s="15" t="inlineStr">
        <is>
          <t>Mainboard</t>
        </is>
      </c>
      <c r="I679" s="16" t="n">
        <v>45279</v>
      </c>
      <c r="J679" s="16" t="n">
        <v>45281</v>
      </c>
      <c r="K679" s="16" t="n">
        <v>45287</v>
      </c>
      <c r="L679" s="17" t="n">
        <v>1008.59</v>
      </c>
      <c r="M679" s="17" t="n">
        <v>1008.59</v>
      </c>
      <c r="N679" s="17" t="n">
        <v>0</v>
      </c>
      <c r="O679" s="15" t="inlineStr">
        <is>
          <t>Final issue (ipoplatform)</t>
        </is>
      </c>
      <c r="P679" s="15" t="n"/>
      <c r="Q679" s="18" t="inlineStr">
        <is>
          <t>https://www.sebi.gov.in/sebi_data/attachdocs/aug-2023/1692273078754.PDF</t>
        </is>
      </c>
      <c r="R679" s="18" t="inlineStr">
        <is>
          <t>https://www.sebi.gov.in/filings/public-issues/aug-2023/happy-forgings-limited-drhp_75380.html</t>
        </is>
      </c>
      <c r="S679" s="15" t="n"/>
      <c r="T679" s="15" t="inlineStr">
        <is>
          <t>SEBI filing link</t>
        </is>
      </c>
      <c r="U679" s="15" t="inlineStr">
        <is>
          <t>Happy Forgings Limited</t>
        </is>
      </c>
      <c r="V679" s="15" t="n"/>
      <c r="W679" s="15" t="n"/>
      <c r="X679" s="15" t="n"/>
      <c r="Y679" s="15" t="n"/>
      <c r="Z679" s="15" t="n"/>
      <c r="AA679" s="15" t="n"/>
      <c r="AB679" s="15" t="n"/>
    </row>
    <row r="680" ht="15" customHeight="1" s="12">
      <c r="A680" s="14" t="n">
        <v>679</v>
      </c>
      <c r="B680" s="16" t="n">
        <v>45152</v>
      </c>
      <c r="C680" s="15" t="n">
        <v>2023</v>
      </c>
      <c r="D680" s="15" t="inlineStr">
        <is>
          <t>Signatureglobal (India) Limited</t>
        </is>
      </c>
      <c r="E680" s="15" t="inlineStr">
        <is>
          <t>Addendum</t>
        </is>
      </c>
      <c r="F680" s="15" t="inlineStr">
        <is>
          <t>Signatureglobal (India) Limited - Addendum to the DRHP</t>
        </is>
      </c>
      <c r="G680" s="15" t="inlineStr">
        <is>
          <t>IPO launched</t>
        </is>
      </c>
      <c r="H680" s="15" t="inlineStr">
        <is>
          <t>Mainboard</t>
        </is>
      </c>
      <c r="I680" s="16" t="n">
        <v>45189</v>
      </c>
      <c r="J680" s="16" t="n">
        <v>45191</v>
      </c>
      <c r="K680" s="16" t="n">
        <v>45196</v>
      </c>
      <c r="L680" s="17" t="n">
        <v>730</v>
      </c>
      <c r="M680" s="17" t="n">
        <v>603</v>
      </c>
      <c r="N680" s="17" t="n">
        <v>127</v>
      </c>
      <c r="O680" s="15" t="inlineStr">
        <is>
          <t>Final issue (ipoplatform)</t>
        </is>
      </c>
      <c r="P680" s="15" t="n"/>
      <c r="Q680" s="18" t="inlineStr">
        <is>
          <t>https://www.sebi.gov.in/sebi_data/attachdocs/aug-2023/1692003687992.pdf</t>
        </is>
      </c>
      <c r="R680" s="18" t="inlineStr">
        <is>
          <t>https://www.sebi.gov.in/filings/public-issues/aug-2023/signatureglobal-india-limited-addendum-to-the-drhp_75328.html</t>
        </is>
      </c>
      <c r="S680" s="15" t="n"/>
      <c r="T680" s="15" t="inlineStr">
        <is>
          <t>SEBI filing link</t>
        </is>
      </c>
      <c r="U680" s="15" t="inlineStr">
        <is>
          <t>Signatureglobal India Limited</t>
        </is>
      </c>
      <c r="V680" s="15" t="n"/>
      <c r="W680" s="15" t="n"/>
      <c r="X680" s="15" t="n"/>
      <c r="Y680" s="15" t="n"/>
      <c r="Z680" s="15" t="n"/>
      <c r="AA680" s="15" t="n"/>
      <c r="AB680" s="15" t="n"/>
    </row>
    <row r="681" ht="15" customHeight="1" s="12">
      <c r="A681" s="14" t="n">
        <v>680</v>
      </c>
      <c r="B681" s="16" t="n">
        <v>45152</v>
      </c>
      <c r="C681" s="15" t="n">
        <v>2023</v>
      </c>
      <c r="D681" s="15" t="inlineStr">
        <is>
          <t>Samhi Hotels Limited</t>
        </is>
      </c>
      <c r="E681" s="15" t="inlineStr">
        <is>
          <t>Addendum</t>
        </is>
      </c>
      <c r="F681" s="15" t="inlineStr">
        <is>
          <t>Samhi Hotels Limited - Addendum to the DRHP</t>
        </is>
      </c>
      <c r="G681" s="15" t="inlineStr">
        <is>
          <t>IPO launched</t>
        </is>
      </c>
      <c r="H681" s="15" t="inlineStr">
        <is>
          <t>Mainboard</t>
        </is>
      </c>
      <c r="I681" s="16" t="n">
        <v>45183</v>
      </c>
      <c r="J681" s="16" t="n">
        <v>45187</v>
      </c>
      <c r="K681" s="16" t="n">
        <v>45191</v>
      </c>
      <c r="L681" s="17" t="n">
        <v>1370.1</v>
      </c>
      <c r="M681" s="17" t="n">
        <v>1</v>
      </c>
      <c r="N681" s="17" t="n">
        <v>0</v>
      </c>
      <c r="O681" s="15" t="inlineStr">
        <is>
          <t>Final issue (ipoplatform)</t>
        </is>
      </c>
      <c r="P681" s="15" t="n"/>
      <c r="Q681" s="18" t="inlineStr">
        <is>
          <t>https://www.sebi.gov.in/sebi_data/attachdocs/aug-2023/1692003643132.pdf</t>
        </is>
      </c>
      <c r="R681" s="18" t="inlineStr">
        <is>
          <t>https://www.sebi.gov.in/filings/public-issues/aug-2023/samhi-hotels-limited-addendum-to-the-drhp_75326.html</t>
        </is>
      </c>
      <c r="S681" s="15" t="n"/>
      <c r="T681" s="15" t="inlineStr">
        <is>
          <t>Company name + date window</t>
        </is>
      </c>
      <c r="U681" s="15" t="inlineStr">
        <is>
          <t>SAMHI Hotels Limited</t>
        </is>
      </c>
      <c r="V681" s="15" t="n"/>
      <c r="W681" s="15" t="n"/>
      <c r="X681" s="15" t="n"/>
      <c r="Y681" s="15" t="n"/>
      <c r="Z681" s="15" t="n"/>
      <c r="AA681" s="15" t="n"/>
      <c r="AB681" s="15" t="n"/>
    </row>
    <row r="682" ht="15" customHeight="1" s="12">
      <c r="A682" s="14" t="n">
        <v>681</v>
      </c>
      <c r="B682" s="16" t="n">
        <v>45152</v>
      </c>
      <c r="C682" s="15" t="n">
        <v>2023</v>
      </c>
      <c r="D682" s="15" t="inlineStr">
        <is>
          <t>R K Swamy Limited</t>
        </is>
      </c>
      <c r="E682" s="15" t="inlineStr">
        <is>
          <t>DRHP</t>
        </is>
      </c>
      <c r="F682" s="15" t="inlineStr">
        <is>
          <t>R K Swamy Limited - DRHP</t>
        </is>
      </c>
      <c r="G682" s="15" t="inlineStr">
        <is>
          <t>IPO launched</t>
        </is>
      </c>
      <c r="H682" s="15" t="inlineStr">
        <is>
          <t>Mainboard</t>
        </is>
      </c>
      <c r="I682" s="16" t="n">
        <v>45355</v>
      </c>
      <c r="J682" s="16" t="n">
        <v>45357</v>
      </c>
      <c r="K682" s="16" t="n">
        <v>45363</v>
      </c>
      <c r="L682" s="17" t="n">
        <v>423.56</v>
      </c>
      <c r="M682" s="17" t="n">
        <v>173</v>
      </c>
      <c r="N682" s="17" t="n">
        <v>250.56</v>
      </c>
      <c r="O682" s="15" t="inlineStr">
        <is>
          <t>Final issue (ipoplatform)</t>
        </is>
      </c>
      <c r="P682" s="15" t="n"/>
      <c r="Q682" s="18" t="inlineStr">
        <is>
          <t>https://www.sebi.gov.in/sebi_data/attachdocs/aug-2023/1692003158727.pdf</t>
        </is>
      </c>
      <c r="R682" s="18" t="inlineStr">
        <is>
          <t>https://www.sebi.gov.in/filings/public-issues/aug-2023/r-k-swamy-limited-drhp_75323.html</t>
        </is>
      </c>
      <c r="S682" s="15" t="n"/>
      <c r="T682" s="15" t="inlineStr">
        <is>
          <t>SEBI filing link</t>
        </is>
      </c>
      <c r="U682" s="15" t="inlineStr">
        <is>
          <t>RK SWAMY Limited</t>
        </is>
      </c>
      <c r="V682" s="15" t="n"/>
      <c r="W682" s="15" t="n"/>
      <c r="X682" s="15" t="n"/>
      <c r="Y682" s="15" t="n"/>
      <c r="Z682" s="15" t="n"/>
      <c r="AA682" s="15" t="n"/>
      <c r="AB682" s="15" t="n"/>
    </row>
    <row r="683" ht="15" customHeight="1" s="12">
      <c r="A683" s="14" t="n">
        <v>682</v>
      </c>
      <c r="B683" s="16" t="n">
        <v>45152</v>
      </c>
      <c r="C683" s="15" t="n">
        <v>2023</v>
      </c>
      <c r="D683" s="15" t="inlineStr">
        <is>
          <t>EPACK Durable Limited</t>
        </is>
      </c>
      <c r="E683" s="15" t="inlineStr">
        <is>
          <t>DRHP</t>
        </is>
      </c>
      <c r="F683" s="15" t="inlineStr">
        <is>
          <t>EPACK Durable Limited - DRHP</t>
        </is>
      </c>
      <c r="G683" s="15" t="inlineStr">
        <is>
          <t>IPO launched</t>
        </is>
      </c>
      <c r="H683" s="15" t="inlineStr">
        <is>
          <t>Mainboard</t>
        </is>
      </c>
      <c r="I683" s="16" t="n">
        <v>45310</v>
      </c>
      <c r="J683" s="16" t="n">
        <v>45315</v>
      </c>
      <c r="K683" s="16" t="n">
        <v>45321</v>
      </c>
      <c r="L683" s="17" t="n">
        <v>640.05</v>
      </c>
      <c r="M683" s="17" t="n">
        <v>640.05</v>
      </c>
      <c r="N683" s="17" t="n">
        <v>0</v>
      </c>
      <c r="O683" s="15" t="inlineStr">
        <is>
          <t>Final issue (ipoplatform)</t>
        </is>
      </c>
      <c r="P683" s="15" t="n"/>
      <c r="Q683" s="18" t="inlineStr">
        <is>
          <t>https://www.sebi.gov.in/sebi_data/attachdocs/aug-2023/1692002893178.pdf</t>
        </is>
      </c>
      <c r="R683" s="18" t="inlineStr">
        <is>
          <t>https://www.sebi.gov.in/filings/public-issues/aug-2023/epack-durable-limited-drhp_75321.html</t>
        </is>
      </c>
      <c r="S683" s="15" t="n"/>
      <c r="T683" s="15" t="inlineStr">
        <is>
          <t>SEBI filing link</t>
        </is>
      </c>
      <c r="U683" s="15" t="inlineStr">
        <is>
          <t>EPACK Durable Limited</t>
        </is>
      </c>
      <c r="V683" s="15" t="n"/>
      <c r="W683" s="15" t="n"/>
      <c r="X683" s="15" t="n"/>
      <c r="Y683" s="15" t="n"/>
      <c r="Z683" s="15" t="n"/>
      <c r="AA683" s="15" t="n"/>
      <c r="AB683" s="15" t="n"/>
    </row>
    <row r="684" ht="15" customHeight="1" s="12">
      <c r="A684" s="14" t="n">
        <v>683</v>
      </c>
      <c r="B684" s="16" t="n">
        <v>45152</v>
      </c>
      <c r="C684" s="15" t="n">
        <v>2023</v>
      </c>
      <c r="D684" s="15" t="inlineStr">
        <is>
          <t>Valiant Laboratories Limited</t>
        </is>
      </c>
      <c r="E684" s="15" t="inlineStr">
        <is>
          <t>Addendum</t>
        </is>
      </c>
      <c r="F684" s="15" t="inlineStr">
        <is>
          <t>Valiant Laboratories Limited - addendum to DRHP</t>
        </is>
      </c>
      <c r="G684" s="15" t="inlineStr">
        <is>
          <t>IPO launched</t>
        </is>
      </c>
      <c r="H684" s="15" t="inlineStr">
        <is>
          <t>Mainboard</t>
        </is>
      </c>
      <c r="I684" s="16" t="n">
        <v>45196</v>
      </c>
      <c r="J684" s="16" t="n">
        <v>45202</v>
      </c>
      <c r="K684" s="16" t="n">
        <v>45205</v>
      </c>
      <c r="L684" s="17" t="n">
        <v>152.46</v>
      </c>
      <c r="M684" s="17" t="n">
        <v>152.46</v>
      </c>
      <c r="N684" s="17" t="n">
        <v>0</v>
      </c>
      <c r="O684" s="15" t="inlineStr">
        <is>
          <t>Final issue (ipoplatform)</t>
        </is>
      </c>
      <c r="P684" s="15" t="n"/>
      <c r="Q684" s="18" t="inlineStr">
        <is>
          <t>https://www.sebi.gov.in/sebi_data/attachdocs/aug-2023/1691993294169.PDF</t>
        </is>
      </c>
      <c r="R684" s="18" t="inlineStr">
        <is>
          <t>https://www.sebi.gov.in/filings/public-issues/aug-2023/valiant-laboratories-limited-addendum-to-drhp_75301.html</t>
        </is>
      </c>
      <c r="S684" s="15" t="n"/>
      <c r="T684" s="15" t="inlineStr">
        <is>
          <t>Company name + date window</t>
        </is>
      </c>
      <c r="U684" s="15" t="inlineStr">
        <is>
          <t>Valiant Laboratories Limited</t>
        </is>
      </c>
      <c r="V684" s="15" t="n"/>
      <c r="W684" s="15" t="n"/>
      <c r="X684" s="15" t="n"/>
      <c r="Y684" s="15" t="n"/>
      <c r="Z684" s="15" t="n"/>
      <c r="AA684" s="15" t="n"/>
      <c r="AB684" s="15" t="n"/>
    </row>
    <row r="685" ht="15" customHeight="1" s="12">
      <c r="A685" s="14" t="n">
        <v>684</v>
      </c>
      <c r="B685" s="16" t="n">
        <v>45146</v>
      </c>
      <c r="C685" s="15" t="n">
        <v>2023</v>
      </c>
      <c r="D685" s="15" t="inlineStr">
        <is>
          <t>CELL POINT INDIA LIMITED</t>
        </is>
      </c>
      <c r="E685" s="15" t="inlineStr">
        <is>
          <t>DRHP</t>
        </is>
      </c>
      <c r="F685" s="15" t="inlineStr">
        <is>
          <t>CELL POINT INDIA LIMITED</t>
        </is>
      </c>
      <c r="G685" s="15" t="inlineStr">
        <is>
          <t>No launched IPO found</t>
        </is>
      </c>
      <c r="H685" s="15" t="n"/>
      <c r="I685" s="16" t="n"/>
      <c r="J685" s="16" t="n"/>
      <c r="K685" s="16" t="n"/>
      <c r="L685" s="17" t="n"/>
      <c r="M685" s="17" t="n"/>
      <c r="N685" s="17" t="n"/>
      <c r="O685" s="15" t="n"/>
      <c r="P685" s="15" t="n"/>
      <c r="Q685" s="18" t="inlineStr">
        <is>
          <t>https://www.sebi.gov.in/sebi_data/attachdocs/sep-2023/1695778415032_124.pdf</t>
        </is>
      </c>
      <c r="R685" s="18" t="inlineStr">
        <is>
          <t>https://www.sebi.gov.in/filings/public-issues/aug-2023/cell-point-india-limited_77355.html</t>
        </is>
      </c>
      <c r="S685" s="15" t="n"/>
      <c r="T685" s="15" t="n"/>
      <c r="U685" s="15" t="n"/>
      <c r="V685" s="15" t="inlineStr">
        <is>
          <t>Same-name IPO opened 15-Jun-2023 — outside 2 years of this filing, so not linked</t>
        </is>
      </c>
      <c r="W685" s="16" t="n"/>
      <c r="X685" s="16" t="n"/>
      <c r="Y685" s="16" t="n"/>
      <c r="Z685" s="15" t="inlineStr">
        <is>
          <t>No issue found</t>
        </is>
      </c>
      <c r="AA685" s="15" t="inlineStr">
        <is>
          <t>Business Standard lists the company but shows no issue dates; web search limit reached</t>
        </is>
      </c>
      <c r="AB685" s="18" t="inlineStr">
        <is>
          <t>https://www.business-standard.com/markets/ipo/cell-point-india-ltd-ipo-78823</t>
        </is>
      </c>
    </row>
    <row r="686" ht="15" customHeight="1" s="12">
      <c r="A686" s="14" t="n">
        <v>685</v>
      </c>
      <c r="B686" s="16" t="n">
        <v>45146</v>
      </c>
      <c r="C686" s="15" t="n">
        <v>2023</v>
      </c>
      <c r="D686" s="15" t="inlineStr">
        <is>
          <t>BLS E Services Limited</t>
        </is>
      </c>
      <c r="E686" s="15" t="inlineStr">
        <is>
          <t>DRHP</t>
        </is>
      </c>
      <c r="F686" s="15" t="inlineStr">
        <is>
          <t>BLS E Services Limited - DRHP</t>
        </is>
      </c>
      <c r="G686" s="15" t="inlineStr">
        <is>
          <t>IPO launched</t>
        </is>
      </c>
      <c r="H686" s="15" t="inlineStr">
        <is>
          <t>Mainboard</t>
        </is>
      </c>
      <c r="I686" s="16" t="n">
        <v>45321</v>
      </c>
      <c r="J686" s="16" t="n">
        <v>45323</v>
      </c>
      <c r="K686" s="16" t="n">
        <v>45328</v>
      </c>
      <c r="L686" s="17" t="n">
        <v>310.91</v>
      </c>
      <c r="M686" s="17" t="n">
        <v>310.91</v>
      </c>
      <c r="N686" s="17" t="n">
        <v>0</v>
      </c>
      <c r="O686" s="15" t="inlineStr">
        <is>
          <t>Final issue (ipoplatform)</t>
        </is>
      </c>
      <c r="P686" s="15" t="n"/>
      <c r="Q686" s="18" t="inlineStr">
        <is>
          <t>https://www.sebi.gov.in/sebi_data/attachdocs/aug-2023/1691476310848.pdf</t>
        </is>
      </c>
      <c r="R686" s="18" t="inlineStr">
        <is>
          <t>https://www.sebi.gov.in/filings/public-issues/aug-2023/bls-e-services-limited-drhp_75024.html</t>
        </is>
      </c>
      <c r="S686" s="15" t="n"/>
      <c r="T686" s="15" t="inlineStr">
        <is>
          <t>SEBI filing link</t>
        </is>
      </c>
      <c r="U686" s="15" t="inlineStr">
        <is>
          <t>BLS E-Services Limited</t>
        </is>
      </c>
      <c r="V686" s="15" t="n"/>
      <c r="W686" s="15" t="n"/>
      <c r="X686" s="15" t="n"/>
      <c r="Y686" s="15" t="n"/>
      <c r="Z686" s="15" t="n"/>
      <c r="AA686" s="15" t="n"/>
      <c r="AB686" s="15" t="n"/>
    </row>
    <row r="687" ht="15" customHeight="1" s="12">
      <c r="A687" s="14" t="n">
        <v>686</v>
      </c>
      <c r="B687" s="16" t="n">
        <v>45145</v>
      </c>
      <c r="C687" s="15" t="n">
        <v>2023</v>
      </c>
      <c r="D687" s="15" t="inlineStr">
        <is>
          <t>India Shelter Finance Corporation Limited</t>
        </is>
      </c>
      <c r="E687" s="15" t="inlineStr">
        <is>
          <t>DRHP</t>
        </is>
      </c>
      <c r="F687" s="15" t="inlineStr">
        <is>
          <t>India Shelter Finance Corporation Limited - DRHP</t>
        </is>
      </c>
      <c r="G687" s="15" t="inlineStr">
        <is>
          <t>IPO launched</t>
        </is>
      </c>
      <c r="H687" s="15" t="inlineStr">
        <is>
          <t>Mainboard</t>
        </is>
      </c>
      <c r="I687" s="16" t="n">
        <v>45273</v>
      </c>
      <c r="J687" s="16" t="n">
        <v>45275</v>
      </c>
      <c r="K687" s="16" t="n">
        <v>45280</v>
      </c>
      <c r="L687" s="17" t="n">
        <v>1200</v>
      </c>
      <c r="M687" s="17" t="n">
        <v>800</v>
      </c>
      <c r="N687" s="17" t="n">
        <v>400</v>
      </c>
      <c r="O687" s="15" t="inlineStr">
        <is>
          <t>Final issue (ipoplatform)</t>
        </is>
      </c>
      <c r="P687" s="15" t="n"/>
      <c r="Q687" s="18" t="inlineStr">
        <is>
          <t>https://www.sebi.gov.in/sebi_data/attachdocs/aug-2023/1691408632967.PDF</t>
        </is>
      </c>
      <c r="R687" s="18" t="inlineStr">
        <is>
          <t>https://www.sebi.gov.in/filings/public-issues/aug-2023/india-shelter-finance-corporation-limited-drhp_74993.html</t>
        </is>
      </c>
      <c r="S687" s="15" t="n"/>
      <c r="T687" s="15" t="inlineStr">
        <is>
          <t>SEBI filing link</t>
        </is>
      </c>
      <c r="U687" s="15" t="inlineStr">
        <is>
          <t>India Shelter Finance Corporation Limited</t>
        </is>
      </c>
      <c r="V687" s="15" t="n"/>
      <c r="W687" s="15" t="n"/>
      <c r="X687" s="15" t="n"/>
      <c r="Y687" s="15" t="n"/>
      <c r="Z687" s="15" t="n"/>
      <c r="AA687" s="15" t="n"/>
      <c r="AB687" s="15" t="n"/>
    </row>
    <row r="688" ht="15" customHeight="1" s="12">
      <c r="A688" s="14" t="n">
        <v>687</v>
      </c>
      <c r="B688" s="16" t="n">
        <v>45138</v>
      </c>
      <c r="C688" s="15" t="n">
        <v>2023</v>
      </c>
      <c r="D688" s="15" t="inlineStr">
        <is>
          <t>Onest Limited</t>
        </is>
      </c>
      <c r="E688" s="15" t="inlineStr">
        <is>
          <t>DRHP</t>
        </is>
      </c>
      <c r="F688" s="15" t="inlineStr">
        <is>
          <t>Onest Limited - DRHP</t>
        </is>
      </c>
      <c r="G688" s="15" t="inlineStr">
        <is>
          <t>No launched IPO found</t>
        </is>
      </c>
      <c r="H688" s="15" t="n"/>
      <c r="I688" s="16" t="n"/>
      <c r="J688" s="16" t="n"/>
      <c r="K688" s="16" t="n"/>
      <c r="L688" s="17" t="n"/>
      <c r="M688" s="17" t="n"/>
      <c r="N688" s="17" t="n"/>
      <c r="O688" s="15" t="n"/>
      <c r="P688" s="15" t="n"/>
      <c r="Q688" s="18" t="inlineStr">
        <is>
          <t>https://www.sebi.gov.in/sebi_data/attachdocs/jul-2023/1690801962165.pdf</t>
        </is>
      </c>
      <c r="R688" s="18" t="inlineStr">
        <is>
          <t>https://www.sebi.gov.in/filings/public-issues/jul-2023/onest-limited-drhp_74739.html</t>
        </is>
      </c>
      <c r="S688" s="15" t="n"/>
      <c r="T688" s="15" t="n"/>
      <c r="U688" s="15" t="n"/>
      <c r="V688" s="15" t="n"/>
      <c r="W688" s="16" t="n"/>
      <c r="X688" s="16" t="n"/>
      <c r="Y688" s="16" t="n"/>
      <c r="Z688" s="15" t="inlineStr">
        <is>
          <t>No issue found</t>
        </is>
      </c>
      <c r="AA688" s="15" t="inlineStr">
        <is>
          <t>Business Standard lists the company but shows no issue dates; web search limit reached</t>
        </is>
      </c>
      <c r="AB688" s="18" t="inlineStr">
        <is>
          <t>https://www.business-standard.com/markets/ipo/onest-ltd-ipo-91813</t>
        </is>
      </c>
    </row>
    <row r="689" ht="15" customHeight="1" s="12">
      <c r="A689" s="14" t="n">
        <v>688</v>
      </c>
      <c r="B689" s="16" t="n">
        <v>45138</v>
      </c>
      <c r="C689" s="15" t="n">
        <v>2023</v>
      </c>
      <c r="D689" s="15" t="inlineStr">
        <is>
          <t>Jana Small Finance Bank Limited</t>
        </is>
      </c>
      <c r="E689" s="15" t="inlineStr">
        <is>
          <t>DRHP</t>
        </is>
      </c>
      <c r="F689" s="15" t="inlineStr">
        <is>
          <t>Jana Small Finance Bank Limited - DRHP</t>
        </is>
      </c>
      <c r="G689" s="15" t="inlineStr">
        <is>
          <t>IPO launched</t>
        </is>
      </c>
      <c r="H689" s="15" t="inlineStr">
        <is>
          <t>Mainboard</t>
        </is>
      </c>
      <c r="I689" s="16" t="n">
        <v>45329</v>
      </c>
      <c r="J689" s="16" t="n">
        <v>45331</v>
      </c>
      <c r="K689" s="16" t="n">
        <v>45336</v>
      </c>
      <c r="L689" s="17" t="n">
        <v>570</v>
      </c>
      <c r="M689" s="17" t="n">
        <v>462</v>
      </c>
      <c r="N689" s="17" t="n">
        <v>108</v>
      </c>
      <c r="O689" s="15" t="inlineStr">
        <is>
          <t>Final issue (ipoplatform)</t>
        </is>
      </c>
      <c r="P689" s="15" t="n"/>
      <c r="Q689" s="18" t="inlineStr">
        <is>
          <t>https://www.sebi.gov.in/sebi_data/attachdocs/jul-2023/1690794513117.pdf</t>
        </is>
      </c>
      <c r="R689" s="18" t="inlineStr">
        <is>
          <t>https://www.sebi.gov.in/filings/public-issues/jul-2023/jana-small-finance-bank-limited-drhp_74692.html</t>
        </is>
      </c>
      <c r="S689" s="15" t="n"/>
      <c r="T689" s="15" t="inlineStr">
        <is>
          <t>Company name + date window</t>
        </is>
      </c>
      <c r="U689" s="15" t="inlineStr">
        <is>
          <t>Jana Small Finance Bank Limited</t>
        </is>
      </c>
      <c r="V689" s="15" t="n"/>
      <c r="W689" s="15" t="n"/>
      <c r="X689" s="15" t="n"/>
      <c r="Y689" s="15" t="n"/>
      <c r="Z689" s="15" t="n"/>
      <c r="AA689" s="15" t="n"/>
      <c r="AB689" s="15" t="n"/>
    </row>
    <row r="690" ht="15" customHeight="1" s="12">
      <c r="A690" s="14" t="n">
        <v>689</v>
      </c>
      <c r="B690" s="16" t="n">
        <v>45135</v>
      </c>
      <c r="C690" s="15" t="n">
        <v>2023</v>
      </c>
      <c r="D690" s="15" t="inlineStr">
        <is>
          <t>Fedbank Financial Services Limited</t>
        </is>
      </c>
      <c r="E690" s="15" t="inlineStr">
        <is>
          <t>DRHP</t>
        </is>
      </c>
      <c r="F690" s="15" t="inlineStr">
        <is>
          <t>Fedbank Financial Services Limited - DRHP</t>
        </is>
      </c>
      <c r="G690" s="15" t="inlineStr">
        <is>
          <t>IPO launched</t>
        </is>
      </c>
      <c r="H690" s="15" t="inlineStr">
        <is>
          <t>Mainboard</t>
        </is>
      </c>
      <c r="I690" s="16" t="n">
        <v>45252</v>
      </c>
      <c r="J690" s="16" t="n">
        <v>45254</v>
      </c>
      <c r="K690" s="16" t="n">
        <v>45260</v>
      </c>
      <c r="L690" s="17" t="n">
        <v>1092.26</v>
      </c>
      <c r="M690" s="17" t="n">
        <v>600.77</v>
      </c>
      <c r="N690" s="17" t="n">
        <v>491.49</v>
      </c>
      <c r="O690" s="15" t="inlineStr">
        <is>
          <t>Final issue (ipoplatform)</t>
        </is>
      </c>
      <c r="P690" s="15" t="n"/>
      <c r="Q690" s="18" t="inlineStr">
        <is>
          <t>https://www.sebi.gov.in/sebi_data/attachdocs/jul-2023/1690794874974.PDF</t>
        </is>
      </c>
      <c r="R690" s="18" t="inlineStr">
        <is>
          <t>https://www.sebi.gov.in/filings/public-issues/jul-2023/fedbank-financial-services-limited-drhp_74701.html</t>
        </is>
      </c>
      <c r="S690" s="15" t="n"/>
      <c r="T690" s="15" t="inlineStr">
        <is>
          <t>SEBI filing link</t>
        </is>
      </c>
      <c r="U690" s="15" t="inlineStr">
        <is>
          <t>Fedbank Financial Services Limited</t>
        </is>
      </c>
      <c r="V690" s="15" t="n"/>
      <c r="W690" s="15" t="n"/>
      <c r="X690" s="15" t="n"/>
      <c r="Y690" s="15" t="n"/>
      <c r="Z690" s="15" t="n"/>
      <c r="AA690" s="15" t="n"/>
      <c r="AB690" s="15" t="n"/>
    </row>
    <row r="691" ht="15" customHeight="1" s="12">
      <c r="A691" s="14" t="n">
        <v>690</v>
      </c>
      <c r="B691" s="16" t="n">
        <v>45133</v>
      </c>
      <c r="C691" s="15" t="n">
        <v>2023</v>
      </c>
      <c r="D691" s="15" t="inlineStr">
        <is>
          <t>Sai Silks (Kalamandi) Limited</t>
        </is>
      </c>
      <c r="E691" s="15" t="inlineStr">
        <is>
          <t>Addendum</t>
        </is>
      </c>
      <c r="F691" s="15" t="inlineStr">
        <is>
          <t>Sai Silks (Kalamandi) Limited – Addendum to the DRHP</t>
        </is>
      </c>
      <c r="G691" s="15" t="inlineStr">
        <is>
          <t>IPO launched</t>
        </is>
      </c>
      <c r="H691" s="15" t="inlineStr">
        <is>
          <t>Mainboard</t>
        </is>
      </c>
      <c r="I691" s="16" t="n">
        <v>45189</v>
      </c>
      <c r="J691" s="16" t="n">
        <v>45191</v>
      </c>
      <c r="K691" s="16" t="n">
        <v>45196</v>
      </c>
      <c r="L691" s="17" t="n">
        <v>1201</v>
      </c>
      <c r="M691" s="17" t="n">
        <v>600</v>
      </c>
      <c r="N691" s="17" t="n">
        <v>601</v>
      </c>
      <c r="O691" s="15" t="inlineStr">
        <is>
          <t>Final issue (ipoplatform)</t>
        </is>
      </c>
      <c r="P691" s="15" t="n"/>
      <c r="Q691" s="18" t="inlineStr">
        <is>
          <t>https://www.sebi.gov.in/sebi_data/attachdocs/jul-2023/1690372979813.pdf</t>
        </is>
      </c>
      <c r="R691" s="18" t="inlineStr">
        <is>
          <t>https://www.sebi.gov.in/filings/public-issues/jul-2023/sai-silks-kalamandi-limited-addendum-to-the-drhp_74376.html</t>
        </is>
      </c>
      <c r="S691" s="15" t="n"/>
      <c r="T691" s="15" t="inlineStr">
        <is>
          <t>Company name + date window</t>
        </is>
      </c>
      <c r="U691" s="15" t="inlineStr">
        <is>
          <t>Sai Silks (Kalamandir) Limited</t>
        </is>
      </c>
      <c r="V691" s="15" t="n"/>
      <c r="W691" s="15" t="n"/>
      <c r="X691" s="15" t="n"/>
      <c r="Y691" s="15" t="n"/>
      <c r="Z691" s="15" t="n"/>
      <c r="AA691" s="15" t="n"/>
      <c r="AB691" s="15" t="n"/>
    </row>
    <row r="692" ht="15" customHeight="1" s="12">
      <c r="A692" s="14" t="n">
        <v>691</v>
      </c>
      <c r="B692" s="16" t="n">
        <v>45133</v>
      </c>
      <c r="C692" s="15" t="n">
        <v>2023</v>
      </c>
      <c r="D692" s="15" t="inlineStr">
        <is>
          <t>Mukka Proteins Limited</t>
        </is>
      </c>
      <c r="E692" s="15" t="inlineStr">
        <is>
          <t>Addendum</t>
        </is>
      </c>
      <c r="F692" s="15" t="inlineStr">
        <is>
          <t>Mukka Proteins Limited – Addendum to the DRHP</t>
        </is>
      </c>
      <c r="G692" s="15" t="inlineStr">
        <is>
          <t>IPO launched</t>
        </is>
      </c>
      <c r="H692" s="15" t="inlineStr">
        <is>
          <t>Mainboard</t>
        </is>
      </c>
      <c r="I692" s="16" t="n">
        <v>45351</v>
      </c>
      <c r="J692" s="16" t="n">
        <v>45355</v>
      </c>
      <c r="K692" s="16" t="n">
        <v>45358</v>
      </c>
      <c r="L692" s="17" t="n">
        <v>224</v>
      </c>
      <c r="M692" s="17" t="n">
        <v>224</v>
      </c>
      <c r="N692" s="17" t="n">
        <v>0</v>
      </c>
      <c r="O692" s="15" t="inlineStr">
        <is>
          <t>Final issue (ipoplatform)</t>
        </is>
      </c>
      <c r="P692" s="15" t="n"/>
      <c r="Q692" s="18" t="inlineStr">
        <is>
          <t>https://www.sebi.gov.in/sebi_data/attachdocs/jul-2023/1690372907676.pdf</t>
        </is>
      </c>
      <c r="R692" s="18" t="inlineStr">
        <is>
          <t>https://www.sebi.gov.in/filings/public-issues/jul-2023/mukka-proteins-limited-addendum-to-the-drhp_74375.html</t>
        </is>
      </c>
      <c r="S692" s="15" t="n"/>
      <c r="T692" s="15" t="inlineStr">
        <is>
          <t>Company name + date window</t>
        </is>
      </c>
      <c r="U692" s="15" t="inlineStr">
        <is>
          <t>Mukka Proteins Limited</t>
        </is>
      </c>
      <c r="V692" s="15" t="n"/>
      <c r="W692" s="15" t="n"/>
      <c r="X692" s="15" t="n"/>
      <c r="Y692" s="15" t="n"/>
      <c r="Z692" s="15" t="n"/>
      <c r="AA692" s="15" t="n"/>
      <c r="AB692" s="15" t="n"/>
    </row>
    <row r="693" ht="15" customHeight="1" s="12">
      <c r="A693" s="14" t="n">
        <v>692</v>
      </c>
      <c r="B693" s="16" t="n">
        <v>45133</v>
      </c>
      <c r="C693" s="15" t="n">
        <v>2023</v>
      </c>
      <c r="D693" s="15" t="inlineStr">
        <is>
          <t>Suraj Estate Developers Limited</t>
        </is>
      </c>
      <c r="E693" s="15" t="inlineStr">
        <is>
          <t>DRHP</t>
        </is>
      </c>
      <c r="F693" s="15" t="inlineStr">
        <is>
          <t>Suraj Estate Developers Limited - DRHP</t>
        </is>
      </c>
      <c r="G693" s="15" t="inlineStr">
        <is>
          <t>IPO launched</t>
        </is>
      </c>
      <c r="H693" s="15" t="inlineStr">
        <is>
          <t>Mainboard</t>
        </is>
      </c>
      <c r="I693" s="16" t="n">
        <v>45278</v>
      </c>
      <c r="J693" s="16" t="n">
        <v>45280</v>
      </c>
      <c r="K693" s="16" t="n">
        <v>45286</v>
      </c>
      <c r="L693" s="17" t="n">
        <v>400</v>
      </c>
      <c r="M693" s="17" t="n">
        <v>400</v>
      </c>
      <c r="N693" s="17" t="n">
        <v>0</v>
      </c>
      <c r="O693" s="15" t="inlineStr">
        <is>
          <t>Final issue (ipoplatform)</t>
        </is>
      </c>
      <c r="P693" s="15" t="n"/>
      <c r="Q693" s="18" t="inlineStr">
        <is>
          <t>https://www.sebi.gov.in/sebi_data/attachdocs/jul-2023/1690372846450.PDF</t>
        </is>
      </c>
      <c r="R693" s="18" t="inlineStr">
        <is>
          <t>https://www.sebi.gov.in/filings/public-issues/jul-2023/suraj-estate-developers-limited-drhp_74373.html</t>
        </is>
      </c>
      <c r="S693" s="15" t="n"/>
      <c r="T693" s="15" t="inlineStr">
        <is>
          <t>Company name + date window</t>
        </is>
      </c>
      <c r="U693" s="15" t="inlineStr">
        <is>
          <t>Suraj Estate Developers Limited</t>
        </is>
      </c>
      <c r="V693" s="15" t="n"/>
      <c r="W693" s="15" t="n"/>
      <c r="X693" s="15" t="n"/>
      <c r="Y693" s="15" t="n"/>
      <c r="Z693" s="15" t="n"/>
      <c r="AA693" s="15" t="n"/>
      <c r="AB693" s="15" t="n"/>
    </row>
    <row r="694" ht="15" customHeight="1" s="12">
      <c r="A694" s="14" t="n">
        <v>693</v>
      </c>
      <c r="B694" s="16" t="n">
        <v>45131</v>
      </c>
      <c r="C694" s="15" t="n">
        <v>2023</v>
      </c>
      <c r="D694" s="15" t="inlineStr">
        <is>
          <t>Updater Services Limited</t>
        </is>
      </c>
      <c r="E694" s="15" t="inlineStr">
        <is>
          <t>Addendum</t>
        </is>
      </c>
      <c r="F694" s="15" t="inlineStr">
        <is>
          <t>Updater Services Limited - Addendum to DRHP</t>
        </is>
      </c>
      <c r="G694" s="15" t="inlineStr">
        <is>
          <t>IPO launched</t>
        </is>
      </c>
      <c r="H694" s="15" t="inlineStr">
        <is>
          <t>Mainboard</t>
        </is>
      </c>
      <c r="I694" s="16" t="n">
        <v>45194</v>
      </c>
      <c r="J694" s="16" t="n">
        <v>45196</v>
      </c>
      <c r="K694" s="16" t="n">
        <v>45203</v>
      </c>
      <c r="L694" s="17" t="n">
        <v>640</v>
      </c>
      <c r="M694" s="17" t="n">
        <v>640</v>
      </c>
      <c r="N694" s="17" t="n">
        <v>0</v>
      </c>
      <c r="O694" s="15" t="inlineStr">
        <is>
          <t>Final issue (ipoplatform)</t>
        </is>
      </c>
      <c r="P694" s="15" t="n"/>
      <c r="Q694" s="18" t="inlineStr">
        <is>
          <t>https://www.sebi.gov.in/sebi_data/attachdocs/jul-2023/1690189770026.PDF</t>
        </is>
      </c>
      <c r="R694" s="18" t="inlineStr">
        <is>
          <t>https://www.sebi.gov.in/filings/public-issues/jul-2023/updater-services-limited-addendum-to-drhp_74255.html</t>
        </is>
      </c>
      <c r="S694" s="15" t="n"/>
      <c r="T694" s="15" t="inlineStr">
        <is>
          <t>Company name + date window</t>
        </is>
      </c>
      <c r="U694" s="15" t="inlineStr">
        <is>
          <t>Updater Services Limited</t>
        </is>
      </c>
      <c r="V694" s="15" t="n"/>
      <c r="W694" s="15" t="n"/>
      <c r="X694" s="15" t="n"/>
      <c r="Y694" s="15" t="n"/>
      <c r="Z694" s="15" t="n"/>
      <c r="AA694" s="15" t="n"/>
      <c r="AB694" s="15" t="n"/>
    </row>
    <row r="695" ht="15" customHeight="1" s="12">
      <c r="A695" s="14" t="n">
        <v>694</v>
      </c>
      <c r="B695" s="16" t="n">
        <v>45126</v>
      </c>
      <c r="C695" s="15" t="n">
        <v>2023</v>
      </c>
      <c r="D695" s="15" t="inlineStr">
        <is>
          <t>Kaka Industries Limited</t>
        </is>
      </c>
      <c r="E695" s="15" t="inlineStr">
        <is>
          <t>DRHP</t>
        </is>
      </c>
      <c r="F695" s="15" t="inlineStr">
        <is>
          <t>Kaka Industries Limited</t>
        </is>
      </c>
      <c r="G695" s="15" t="inlineStr">
        <is>
          <t>No launched IPO found</t>
        </is>
      </c>
      <c r="H695" s="15" t="n"/>
      <c r="I695" s="16" t="n"/>
      <c r="J695" s="16" t="n"/>
      <c r="K695" s="16" t="n"/>
      <c r="L695" s="17" t="n"/>
      <c r="M695" s="17" t="n"/>
      <c r="N695" s="17" t="n"/>
      <c r="O695" s="15" t="n"/>
      <c r="P695" s="15" t="n"/>
      <c r="Q695" s="18" t="inlineStr">
        <is>
          <t>https://www.sebi.gov.in/sebi_data/attachdocs/sep-2023/1695778415032_120.pdf</t>
        </is>
      </c>
      <c r="R695" s="18" t="inlineStr">
        <is>
          <t>https://www.sebi.gov.in/filings/public-issues/jul-2023/kaka-industries-limited_77353.html</t>
        </is>
      </c>
      <c r="S695" s="15" t="n"/>
      <c r="T695" s="15" t="n"/>
      <c r="U695" s="15" t="n"/>
      <c r="V695" s="15" t="inlineStr">
        <is>
          <t>Same-name IPO opened 10-Jul-2023 — outside 2 years of this filing, so not linked</t>
        </is>
      </c>
      <c r="W695" s="16" t="n"/>
      <c r="X695" s="16" t="n"/>
      <c r="Y695" s="16" t="n"/>
      <c r="Z695" s="15" t="inlineStr">
        <is>
          <t>No issue found</t>
        </is>
      </c>
      <c r="AA695" s="15" t="inlineStr">
        <is>
          <t>Business Standard lists the company but shows no issue dates; web search limit reached</t>
        </is>
      </c>
      <c r="AB695" s="18" t="inlineStr">
        <is>
          <t>https://www.business-standard.com/markets/ipo/kaka-industries-ltd-ipo-78999</t>
        </is>
      </c>
    </row>
    <row r="696" ht="15" customHeight="1" s="12">
      <c r="A696" s="14" t="n">
        <v>695</v>
      </c>
      <c r="B696" s="16" t="n">
        <v>45124</v>
      </c>
      <c r="C696" s="15" t="n">
        <v>2023</v>
      </c>
      <c r="D696" s="15" t="inlineStr">
        <is>
          <t>Flair Writing Industries Limited</t>
        </is>
      </c>
      <c r="E696" s="15" t="inlineStr">
        <is>
          <t>DRHP</t>
        </is>
      </c>
      <c r="F696" s="15" t="inlineStr">
        <is>
          <t>Flair Writing Industries Limited - DRHP</t>
        </is>
      </c>
      <c r="G696" s="15" t="inlineStr">
        <is>
          <t>IPO launched</t>
        </is>
      </c>
      <c r="H696" s="15" t="inlineStr">
        <is>
          <t>Mainboard</t>
        </is>
      </c>
      <c r="I696" s="16" t="n">
        <v>45252</v>
      </c>
      <c r="J696" s="16" t="n">
        <v>45254</v>
      </c>
      <c r="K696" s="16" t="n">
        <v>45261</v>
      </c>
      <c r="L696" s="17" t="n">
        <v>593</v>
      </c>
      <c r="M696" s="17" t="n">
        <v>292</v>
      </c>
      <c r="N696" s="17" t="n">
        <v>301</v>
      </c>
      <c r="O696" s="15" t="inlineStr">
        <is>
          <t>Final issue (ipoplatform)</t>
        </is>
      </c>
      <c r="P696" s="15" t="n"/>
      <c r="Q696" s="18" t="inlineStr">
        <is>
          <t>https://www.sebi.gov.in/sebi_data/attachdocs/jul-2023/1689675851873.PDF</t>
        </is>
      </c>
      <c r="R696" s="18" t="inlineStr">
        <is>
          <t>https://www.sebi.gov.in/filings/public-issues/jul-2023/flair-writing-industries-limited-drhp_74080.html</t>
        </is>
      </c>
      <c r="S696" s="15" t="n"/>
      <c r="T696" s="15" t="inlineStr">
        <is>
          <t>SEBI filing link</t>
        </is>
      </c>
      <c r="U696" s="15" t="inlineStr">
        <is>
          <t>Flair Writing Industries Limited</t>
        </is>
      </c>
      <c r="V696" s="15" t="n"/>
      <c r="W696" s="15" t="n"/>
      <c r="X696" s="15" t="n"/>
      <c r="Y696" s="15" t="n"/>
      <c r="Z696" s="15" t="n"/>
      <c r="AA696" s="15" t="n"/>
      <c r="AB696" s="15" t="n"/>
    </row>
    <row r="697" ht="15" customHeight="1" s="12">
      <c r="A697" s="14" t="n">
        <v>696</v>
      </c>
      <c r="B697" s="16" t="n">
        <v>45124</v>
      </c>
      <c r="C697" s="15" t="n">
        <v>2023</v>
      </c>
      <c r="D697" s="15" t="inlineStr">
        <is>
          <t>Credo Brands Marketing Limited</t>
        </is>
      </c>
      <c r="E697" s="15" t="inlineStr">
        <is>
          <t>DRHP</t>
        </is>
      </c>
      <c r="F697" s="15" t="inlineStr">
        <is>
          <t>Credo Brands Marketing Limited - DRHP</t>
        </is>
      </c>
      <c r="G697" s="15" t="inlineStr">
        <is>
          <t>IPO launched</t>
        </is>
      </c>
      <c r="H697" s="15" t="inlineStr">
        <is>
          <t>Mainboard</t>
        </is>
      </c>
      <c r="I697" s="16" t="n">
        <v>45279</v>
      </c>
      <c r="J697" s="16" t="n">
        <v>45281</v>
      </c>
      <c r="K697" s="16" t="n">
        <v>45287</v>
      </c>
      <c r="L697" s="17" t="n">
        <v>549.78</v>
      </c>
      <c r="M697" s="17" t="n">
        <v>549.78</v>
      </c>
      <c r="N697" s="17" t="n">
        <v>0</v>
      </c>
      <c r="O697" s="15" t="inlineStr">
        <is>
          <t>Final issue (ipoplatform)</t>
        </is>
      </c>
      <c r="P697" s="15" t="n"/>
      <c r="Q697" s="18" t="inlineStr">
        <is>
          <t>https://www.sebi.gov.in/sebi_data/attachdocs/jul-2023/1689661883249.pdf</t>
        </is>
      </c>
      <c r="R697" s="18" t="inlineStr">
        <is>
          <t>https://www.sebi.gov.in/filings/public-issues/jul-2023/credo-brands-marketing-limited-drhp_74077.html</t>
        </is>
      </c>
      <c r="S697" s="15" t="n"/>
      <c r="T697" s="15" t="inlineStr">
        <is>
          <t>Company name + date window</t>
        </is>
      </c>
      <c r="U697" s="15" t="inlineStr">
        <is>
          <t>Credo Brands Marketing (Mufti) Limited</t>
        </is>
      </c>
      <c r="V697" s="15" t="n"/>
      <c r="W697" s="15" t="n"/>
      <c r="X697" s="15" t="n"/>
      <c r="Y697" s="15" t="n"/>
      <c r="Z697" s="15" t="n"/>
      <c r="AA697" s="15" t="n"/>
      <c r="AB697" s="15" t="n"/>
    </row>
    <row r="698" ht="15" customHeight="1" s="12">
      <c r="A698" s="14" t="n">
        <v>697</v>
      </c>
      <c r="B698" s="16" t="n">
        <v>45120</v>
      </c>
      <c r="C698" s="15" t="n">
        <v>2023</v>
      </c>
      <c r="D698" s="15" t="inlineStr">
        <is>
          <t>Platinum Industries Limited</t>
        </is>
      </c>
      <c r="E698" s="15" t="inlineStr">
        <is>
          <t>DRHP</t>
        </is>
      </c>
      <c r="F698" s="15" t="inlineStr">
        <is>
          <t>Platinum Industries Limited - DRHP</t>
        </is>
      </c>
      <c r="G698" s="15" t="inlineStr">
        <is>
          <t>IPO launched</t>
        </is>
      </c>
      <c r="H698" s="15" t="inlineStr">
        <is>
          <t>Mainboard</t>
        </is>
      </c>
      <c r="I698" s="16" t="n">
        <v>45349</v>
      </c>
      <c r="J698" s="16" t="n">
        <v>45351</v>
      </c>
      <c r="K698" s="16" t="n">
        <v>45356</v>
      </c>
      <c r="L698" s="17" t="n">
        <v>235.32</v>
      </c>
      <c r="M698" s="17" t="n">
        <v>235.32</v>
      </c>
      <c r="N698" s="17" t="n">
        <v>0</v>
      </c>
      <c r="O698" s="15" t="inlineStr">
        <is>
          <t>Final issue (ipoplatform)</t>
        </is>
      </c>
      <c r="P698" s="15" t="n"/>
      <c r="Q698" s="18" t="inlineStr">
        <is>
          <t>https://www.sebi.gov.in/sebi_data/attachdocs/jul-2023/1689310532463.pdf</t>
        </is>
      </c>
      <c r="R698" s="18" t="inlineStr">
        <is>
          <t>https://www.sebi.gov.in/filings/public-issues/jul-2023/platinum-industries-limited-drhp_73942.html</t>
        </is>
      </c>
      <c r="S698" s="15" t="n"/>
      <c r="T698" s="15" t="inlineStr">
        <is>
          <t>SEBI filing link</t>
        </is>
      </c>
      <c r="U698" s="15" t="inlineStr">
        <is>
          <t>Platinum Industries Limited</t>
        </is>
      </c>
      <c r="V698" s="15" t="n"/>
      <c r="W698" s="15" t="n"/>
      <c r="X698" s="15" t="n"/>
      <c r="Y698" s="15" t="n"/>
      <c r="Z698" s="15" t="n"/>
      <c r="AA698" s="15" t="n"/>
      <c r="AB698" s="15" t="n"/>
    </row>
    <row r="699" ht="15" customHeight="1" s="12">
      <c r="A699" s="14" t="n">
        <v>698</v>
      </c>
      <c r="B699" s="16" t="n">
        <v>45119</v>
      </c>
      <c r="C699" s="15" t="n">
        <v>2023</v>
      </c>
      <c r="D699" s="15" t="inlineStr">
        <is>
          <t>ACCELERATEBS INDIA LIMITED</t>
        </is>
      </c>
      <c r="E699" s="15" t="inlineStr">
        <is>
          <t>DRHP</t>
        </is>
      </c>
      <c r="F699" s="15" t="inlineStr">
        <is>
          <t>ACCELERATEBS INDIA LIMITED</t>
        </is>
      </c>
      <c r="G699" s="15" t="inlineStr">
        <is>
          <t>No launched IPO found</t>
        </is>
      </c>
      <c r="H699" s="15" t="n"/>
      <c r="I699" s="16" t="n"/>
      <c r="J699" s="16" t="n"/>
      <c r="K699" s="16" t="n"/>
      <c r="L699" s="17" t="n"/>
      <c r="M699" s="17" t="n"/>
      <c r="N699" s="17" t="n"/>
      <c r="O699" s="15" t="n"/>
      <c r="P699" s="15" t="n"/>
      <c r="Q699" s="18" t="inlineStr">
        <is>
          <t>https://www.sebi.gov.in/sebi_data/attachdocs/sep-2023/1695778415032_118.pdf</t>
        </is>
      </c>
      <c r="R699" s="18" t="inlineStr">
        <is>
          <t>https://www.sebi.gov.in/filings/public-issues/jul-2023/acceleratebs-india-limited_77351.html</t>
        </is>
      </c>
      <c r="S699" s="15" t="n"/>
      <c r="T699" s="15" t="n"/>
      <c r="U699" s="15" t="n"/>
      <c r="V699" s="15" t="inlineStr">
        <is>
          <t>Same-name IPO opened 06-Jul-2023 — outside 2 years of this filing, so not linked</t>
        </is>
      </c>
      <c r="W699" s="16" t="n"/>
      <c r="X699" s="16" t="n"/>
      <c r="Y699" s="16" t="n"/>
      <c r="Z699" s="15" t="inlineStr">
        <is>
          <t>No issue found</t>
        </is>
      </c>
      <c r="AA699" s="15" t="inlineStr">
        <is>
          <t>Business Standard lists the company but shows no issue dates; web search limit reached</t>
        </is>
      </c>
      <c r="AB699" s="18" t="inlineStr">
        <is>
          <t>https://www.business-standard.com/markets/ipo/acceleratebs-india-ltd-ipo-79222</t>
        </is>
      </c>
    </row>
    <row r="700" ht="15" customHeight="1" s="12">
      <c r="A700" s="14" t="n">
        <v>699</v>
      </c>
      <c r="B700" s="16" t="n">
        <v>45117</v>
      </c>
      <c r="C700" s="15" t="n">
        <v>2023</v>
      </c>
      <c r="D700" s="15" t="inlineStr">
        <is>
          <t>National Securities Depository Limited</t>
        </is>
      </c>
      <c r="E700" s="15" t="inlineStr">
        <is>
          <t>DRHP</t>
        </is>
      </c>
      <c r="F700" s="15" t="inlineStr">
        <is>
          <t>National Securities Depository Limited - DRHP</t>
        </is>
      </c>
      <c r="G700" s="15" t="inlineStr">
        <is>
          <t>No launched IPO found</t>
        </is>
      </c>
      <c r="H700" s="15" t="n"/>
      <c r="I700" s="16" t="n"/>
      <c r="J700" s="16" t="n"/>
      <c r="K700" s="16" t="n"/>
      <c r="L700" s="17" t="n"/>
      <c r="M700" s="17" t="n"/>
      <c r="N700" s="17" t="n"/>
      <c r="O700" s="15" t="n"/>
      <c r="P700" s="15" t="n"/>
      <c r="Q700" s="18" t="inlineStr">
        <is>
          <t>https://www.sebi.gov.in/sebi_data/attachdocs/jul-2023/1688988952568.PDF</t>
        </is>
      </c>
      <c r="R700" s="18" t="inlineStr">
        <is>
          <t>https://www.sebi.gov.in/filings/public-issues/jul-2023/national-securities-depository-limited-drhp_73701.html</t>
        </is>
      </c>
      <c r="S700" s="15" t="n"/>
      <c r="T700" s="15" t="n"/>
      <c r="U700" s="15" t="n"/>
      <c r="V700" s="15" t="n"/>
      <c r="W700" s="19" t="n">
        <v>45868</v>
      </c>
      <c r="X700" s="19" t="n">
        <v>45870</v>
      </c>
      <c r="Y700" s="19" t="n">
        <v>45875</v>
      </c>
      <c r="Z700" s="20" t="inlineStr">
        <is>
          <t>Issue opened</t>
        </is>
      </c>
      <c r="AA700" s="15" t="inlineStr">
        <is>
          <t>Business Standard IPO page</t>
        </is>
      </c>
      <c r="AB700" s="18" t="inlineStr">
        <is>
          <t>https://www.business-standard.com/markets/ipo/national-securities-depository-ltd-ipo-67048</t>
        </is>
      </c>
    </row>
    <row r="701" ht="15" customHeight="1" s="12">
      <c r="A701" s="14" t="n">
        <v>700</v>
      </c>
      <c r="B701" s="16" t="n">
        <v>45117</v>
      </c>
      <c r="C701" s="15" t="n">
        <v>2023</v>
      </c>
      <c r="D701" s="15" t="inlineStr">
        <is>
          <t>Aeroflex Industries Limited</t>
        </is>
      </c>
      <c r="E701" s="15" t="inlineStr">
        <is>
          <t>Addendum</t>
        </is>
      </c>
      <c r="F701" s="15" t="inlineStr">
        <is>
          <t>Aeroflex Industries Limited - Addendum to DRHP</t>
        </is>
      </c>
      <c r="G701" s="15" t="inlineStr">
        <is>
          <t>IPO launched</t>
        </is>
      </c>
      <c r="H701" s="15" t="inlineStr">
        <is>
          <t>Mainboard</t>
        </is>
      </c>
      <c r="I701" s="16" t="n">
        <v>45160</v>
      </c>
      <c r="J701" s="16" t="n">
        <v>45162</v>
      </c>
      <c r="K701" s="16" t="n">
        <v>45169</v>
      </c>
      <c r="L701" s="17" t="n">
        <v>351</v>
      </c>
      <c r="M701" s="17" t="n">
        <v>162</v>
      </c>
      <c r="N701" s="17" t="n">
        <v>189</v>
      </c>
      <c r="O701" s="15" t="inlineStr">
        <is>
          <t>Final issue (ipoplatform)</t>
        </is>
      </c>
      <c r="P701" s="15" t="n"/>
      <c r="Q701" s="18" t="inlineStr">
        <is>
          <t>https://www.sebi.gov.in/sebi_data/attachdocs/jul-2023/1688988515793.PDF</t>
        </is>
      </c>
      <c r="R701" s="18" t="inlineStr">
        <is>
          <t>https://www.sebi.gov.in/filings/public-issues/jul-2023/aeroflex-industries-limited-addendum-to-drhp_73698.html</t>
        </is>
      </c>
      <c r="S701" s="15" t="n"/>
      <c r="T701" s="15" t="inlineStr">
        <is>
          <t>Company name + date window</t>
        </is>
      </c>
      <c r="U701" s="15" t="inlineStr">
        <is>
          <t>Aeroflex Industries Limited</t>
        </is>
      </c>
      <c r="V701" s="15" t="n"/>
      <c r="W701" s="15" t="n"/>
      <c r="X701" s="15" t="n"/>
      <c r="Y701" s="15" t="n"/>
      <c r="Z701" s="15" t="n"/>
      <c r="AA701" s="15" t="n"/>
      <c r="AB701" s="15" t="n"/>
    </row>
    <row r="702" ht="15" customHeight="1" s="12">
      <c r="A702" s="14" t="n">
        <v>701</v>
      </c>
      <c r="B702" s="16" t="n">
        <v>45117</v>
      </c>
      <c r="C702" s="15" t="n">
        <v>2023</v>
      </c>
      <c r="D702" s="15" t="inlineStr">
        <is>
          <t>ESAF Small Finance Bank Limited</t>
        </is>
      </c>
      <c r="E702" s="15" t="inlineStr">
        <is>
          <t>DRHP</t>
        </is>
      </c>
      <c r="F702" s="15" t="inlineStr">
        <is>
          <t>ESAF Small Finance Bank Limited - DRHP</t>
        </is>
      </c>
      <c r="G702" s="15" t="inlineStr">
        <is>
          <t>IPO launched</t>
        </is>
      </c>
      <c r="H702" s="15" t="inlineStr">
        <is>
          <t>Mainboard</t>
        </is>
      </c>
      <c r="I702" s="16" t="n">
        <v>45233</v>
      </c>
      <c r="J702" s="16" t="n">
        <v>45237</v>
      </c>
      <c r="K702" s="16" t="n">
        <v>45240</v>
      </c>
      <c r="L702" s="17" t="n">
        <v>463</v>
      </c>
      <c r="M702" s="17" t="n">
        <v>390.7</v>
      </c>
      <c r="N702" s="17" t="n">
        <v>72.3</v>
      </c>
      <c r="O702" s="15" t="inlineStr">
        <is>
          <t>Final issue (ipoplatform)</t>
        </is>
      </c>
      <c r="P702" s="15" t="n"/>
      <c r="Q702" s="18" t="inlineStr">
        <is>
          <t>https://www.sebi.gov.in/sebi_data/attachdocs/jul-2023/1688985423010.PDF</t>
        </is>
      </c>
      <c r="R702" s="18" t="inlineStr">
        <is>
          <t>https://www.sebi.gov.in/filings/public-issues/jul-2023/esaf-small-finance-bank-limited-drhp_73679.html</t>
        </is>
      </c>
      <c r="S702" s="15" t="n"/>
      <c r="T702" s="15" t="inlineStr">
        <is>
          <t>SEBI filing link</t>
        </is>
      </c>
      <c r="U702" s="15" t="inlineStr">
        <is>
          <t>ESAF Small Finance Bank Limited</t>
        </is>
      </c>
      <c r="V702" s="15" t="n"/>
      <c r="W702" s="15" t="n"/>
      <c r="X702" s="15" t="n"/>
      <c r="Y702" s="15" t="n"/>
      <c r="Z702" s="15" t="n"/>
      <c r="AA702" s="15" t="n"/>
      <c r="AB702" s="15" t="n"/>
    </row>
    <row r="703" ht="15" customHeight="1" s="12">
      <c r="A703" s="14" t="n">
        <v>702</v>
      </c>
      <c r="B703" s="16" t="n">
        <v>45113</v>
      </c>
      <c r="C703" s="15" t="n">
        <v>2023</v>
      </c>
      <c r="D703" s="15" t="inlineStr">
        <is>
          <t>ALPHALOGIC INDUSTRIES LIMITED</t>
        </is>
      </c>
      <c r="E703" s="15" t="inlineStr">
        <is>
          <t>DRHP</t>
        </is>
      </c>
      <c r="F703" s="15" t="inlineStr">
        <is>
          <t>ALPHALOGIC INDUSTRIES LIMITED</t>
        </is>
      </c>
      <c r="G703" s="15" t="inlineStr">
        <is>
          <t>No launched IPO found</t>
        </is>
      </c>
      <c r="H703" s="15" t="n"/>
      <c r="I703" s="16" t="n"/>
      <c r="J703" s="16" t="n"/>
      <c r="K703" s="16" t="n"/>
      <c r="L703" s="17" t="n"/>
      <c r="M703" s="17" t="n"/>
      <c r="N703" s="17" t="n"/>
      <c r="O703" s="15" t="n"/>
      <c r="P703" s="15" t="n"/>
      <c r="Q703" s="18" t="inlineStr">
        <is>
          <t>https://www.sebi.gov.in/sebi_data/attachdocs/jul-2023/1688731221733_115.pdf</t>
        </is>
      </c>
      <c r="R703" s="18" t="inlineStr">
        <is>
          <t>https://www.sebi.gov.in/filings/public-issues/jul-2023/alphalogic-industries-limited_73636.html</t>
        </is>
      </c>
      <c r="S703" s="15" t="n"/>
      <c r="T703" s="15" t="n"/>
      <c r="U703" s="15" t="n"/>
      <c r="V703" s="15" t="inlineStr">
        <is>
          <t>Same-name IPO opened 03-Jul-2023 — outside 2 years of this filing, so not linked</t>
        </is>
      </c>
      <c r="W703" s="16" t="n"/>
      <c r="X703" s="16" t="n"/>
      <c r="Y703" s="16" t="n"/>
      <c r="Z703" s="15" t="inlineStr">
        <is>
          <t>No issue found</t>
        </is>
      </c>
      <c r="AA703" s="15" t="inlineStr">
        <is>
          <t>Business Standard lists the company but shows no issue dates; web search limit reached</t>
        </is>
      </c>
      <c r="AB703" s="18" t="inlineStr">
        <is>
          <t>https://www.business-standard.com/markets/ipo/alphalogic-industries-ltd-ipo-79223</t>
        </is>
      </c>
    </row>
    <row r="704" ht="15" customHeight="1" s="12">
      <c r="A704" s="14" t="n">
        <v>703</v>
      </c>
      <c r="B704" s="16" t="n">
        <v>45113</v>
      </c>
      <c r="C704" s="15" t="n">
        <v>2023</v>
      </c>
      <c r="D704" s="15" t="inlineStr">
        <is>
          <t>Balaji Speciality Chemicals Limited</t>
        </is>
      </c>
      <c r="E704" s="15" t="inlineStr">
        <is>
          <t>Addendum</t>
        </is>
      </c>
      <c r="F704" s="15" t="inlineStr">
        <is>
          <t>Balaji Speciality Chemicals Limited - Addendum to DRHP</t>
        </is>
      </c>
      <c r="G704" s="15" t="inlineStr">
        <is>
          <t>No launched IPO found</t>
        </is>
      </c>
      <c r="H704" s="15" t="n"/>
      <c r="I704" s="16" t="n"/>
      <c r="J704" s="16" t="n"/>
      <c r="K704" s="16" t="n"/>
      <c r="L704" s="17" t="n"/>
      <c r="M704" s="17" t="n"/>
      <c r="N704" s="17" t="n"/>
      <c r="O704" s="15" t="n"/>
      <c r="P704" s="15" t="n"/>
      <c r="Q704" s="18" t="inlineStr">
        <is>
          <t>https://www.sebi.gov.in/sebi_data/attachdocs/jul-2023/1688616114525.PDF</t>
        </is>
      </c>
      <c r="R704" s="18" t="inlineStr">
        <is>
          <t>https://www.sebi.gov.in/filings/public-issues/jul-2023/balaji-speciality-chemicals-limited-addendum-to-drhp_73526.html</t>
        </is>
      </c>
      <c r="S704" s="15" t="n"/>
      <c r="T704" s="15" t="n"/>
      <c r="U704" s="15" t="n"/>
      <c r="V704" s="15" t="n"/>
      <c r="W704" s="16" t="n"/>
      <c r="X704" s="16" t="n"/>
      <c r="Y704" s="16" t="n"/>
      <c r="Z704" s="15" t="inlineStr">
        <is>
          <t>No issue found</t>
        </is>
      </c>
      <c r="AA704" s="15" t="inlineStr">
        <is>
          <t>Business Standard lists the company but shows no issue dates; web search limit reached</t>
        </is>
      </c>
      <c r="AB704" s="18" t="inlineStr">
        <is>
          <t>https://www.business-standard.com/markets/ipo/balaji-speciality-chemicals-ltd-ipo-74896</t>
        </is>
      </c>
    </row>
    <row r="705" ht="15" customHeight="1" s="12">
      <c r="A705" s="14" t="n">
        <v>704</v>
      </c>
      <c r="B705" s="16" t="n">
        <v>45112</v>
      </c>
      <c r="C705" s="15" t="n">
        <v>2023</v>
      </c>
      <c r="D705" s="15" t="inlineStr">
        <is>
          <t>Motisons Jewellers Limited</t>
        </is>
      </c>
      <c r="E705" s="15" t="inlineStr">
        <is>
          <t>Addendum</t>
        </is>
      </c>
      <c r="F705" s="15" t="inlineStr">
        <is>
          <t>Motisons Jewellers Limited - Addendum to DRHP</t>
        </is>
      </c>
      <c r="G705" s="15" t="inlineStr">
        <is>
          <t>IPO launched</t>
        </is>
      </c>
      <c r="H705" s="15" t="inlineStr">
        <is>
          <t>Mainboard</t>
        </is>
      </c>
      <c r="I705" s="16" t="n">
        <v>45278</v>
      </c>
      <c r="J705" s="16" t="n">
        <v>45280</v>
      </c>
      <c r="K705" s="16" t="n">
        <v>45286</v>
      </c>
      <c r="L705" s="17" t="n">
        <v>151.09</v>
      </c>
      <c r="M705" s="17" t="n">
        <v>151.09</v>
      </c>
      <c r="N705" s="17" t="n">
        <v>0</v>
      </c>
      <c r="O705" s="15" t="inlineStr">
        <is>
          <t>Final issue (ipoplatform)</t>
        </is>
      </c>
      <c r="P705" s="15" t="n"/>
      <c r="Q705" s="18" t="inlineStr">
        <is>
          <t>https://www.sebi.gov.in/sebi_data/attachdocs/jul-2023/1688532204838.pdf</t>
        </is>
      </c>
      <c r="R705" s="18" t="inlineStr">
        <is>
          <t>https://www.sebi.gov.in/filings/public-issues/jul-2023/motisons-jewellers-limited-addendum-to-drhp_73453.html</t>
        </is>
      </c>
      <c r="S705" s="15" t="n"/>
      <c r="T705" s="15" t="inlineStr">
        <is>
          <t>Company name + date window</t>
        </is>
      </c>
      <c r="U705" s="15" t="inlineStr">
        <is>
          <t>Motisons Jewellers Limited</t>
        </is>
      </c>
      <c r="V705" s="15" t="n"/>
      <c r="W705" s="15" t="n"/>
      <c r="X705" s="15" t="n"/>
      <c r="Y705" s="15" t="n"/>
      <c r="Z705" s="15" t="n"/>
      <c r="AA705" s="15" t="n"/>
      <c r="AB705" s="15" t="n"/>
    </row>
    <row r="706" ht="15" customHeight="1" s="12">
      <c r="A706" s="14" t="n">
        <v>705</v>
      </c>
      <c r="B706" s="16" t="n">
        <v>45111</v>
      </c>
      <c r="C706" s="15" t="n">
        <v>2023</v>
      </c>
      <c r="D706" s="15" t="inlineStr">
        <is>
          <t>Muthoot Microfin Limited</t>
        </is>
      </c>
      <c r="E706" s="15" t="inlineStr">
        <is>
          <t>DRHP</t>
        </is>
      </c>
      <c r="F706" s="15" t="inlineStr">
        <is>
          <t>Muthoot Microfin Limited - DRHP</t>
        </is>
      </c>
      <c r="G706" s="15" t="inlineStr">
        <is>
          <t>IPO launched</t>
        </is>
      </c>
      <c r="H706" s="15" t="inlineStr">
        <is>
          <t>Mainboard</t>
        </is>
      </c>
      <c r="I706" s="16" t="n">
        <v>45278</v>
      </c>
      <c r="J706" s="16" t="n">
        <v>45280</v>
      </c>
      <c r="K706" s="16" t="n">
        <v>45286</v>
      </c>
      <c r="L706" s="17" t="n">
        <v>960</v>
      </c>
      <c r="M706" s="17" t="n">
        <v>760</v>
      </c>
      <c r="N706" s="17" t="n">
        <v>200</v>
      </c>
      <c r="O706" s="15" t="inlineStr">
        <is>
          <t>Final issue (ipoplatform)</t>
        </is>
      </c>
      <c r="P706" s="15" t="n"/>
      <c r="Q706" s="18" t="inlineStr">
        <is>
          <t>https://www.sebi.gov.in/sebi_data/attachdocs/jul-2023/1688448970241.pdf</t>
        </is>
      </c>
      <c r="R706" s="18" t="inlineStr">
        <is>
          <t>https://www.sebi.gov.in/filings/public-issues/jul-2023/muthoot-microfin-limited-drhp_73421.html</t>
        </is>
      </c>
      <c r="S706" s="15" t="n"/>
      <c r="T706" s="15" t="inlineStr">
        <is>
          <t>Company name + date window</t>
        </is>
      </c>
      <c r="U706" s="15" t="inlineStr">
        <is>
          <t>Muthoot Microfin Limited</t>
        </is>
      </c>
      <c r="V706" s="15" t="n"/>
      <c r="W706" s="15" t="n"/>
      <c r="X706" s="15" t="n"/>
      <c r="Y706" s="15" t="n"/>
      <c r="Z706" s="15" t="n"/>
      <c r="AA706" s="15" t="n"/>
      <c r="AB706" s="15" t="n"/>
    </row>
    <row r="707" ht="15" customHeight="1" s="12">
      <c r="A707" s="14" t="n">
        <v>706</v>
      </c>
      <c r="B707" s="16" t="n">
        <v>45110</v>
      </c>
      <c r="C707" s="15" t="n">
        <v>2023</v>
      </c>
      <c r="D707" s="15" t="inlineStr">
        <is>
          <t>AKME Fintrade (India) Limited</t>
        </is>
      </c>
      <c r="E707" s="15" t="inlineStr">
        <is>
          <t>DRHP</t>
        </is>
      </c>
      <c r="F707" s="15" t="inlineStr">
        <is>
          <t>AKME Fintrade (India) Limited - DRHP</t>
        </is>
      </c>
      <c r="G707" s="15" t="inlineStr">
        <is>
          <t>IPO launched</t>
        </is>
      </c>
      <c r="H707" s="15" t="inlineStr">
        <is>
          <t>Mainboard</t>
        </is>
      </c>
      <c r="I707" s="16" t="n">
        <v>45462</v>
      </c>
      <c r="J707" s="16" t="n"/>
      <c r="K707" s="16" t="n">
        <v>45469</v>
      </c>
      <c r="L707" s="17" t="n">
        <v>132</v>
      </c>
      <c r="M707" s="17" t="n">
        <v>132</v>
      </c>
      <c r="N707" s="17" t="n">
        <v>0</v>
      </c>
      <c r="O707" s="15" t="inlineStr">
        <is>
          <t>Final issue (ipoplatform)</t>
        </is>
      </c>
      <c r="P707" s="15" t="n"/>
      <c r="Q707" s="18" t="inlineStr">
        <is>
          <t>https://www.sebi.gov.in/sebi_data/attachdocs/jul-2023/1688374136806.PDF</t>
        </is>
      </c>
      <c r="R707" s="18" t="inlineStr">
        <is>
          <t>https://www.sebi.gov.in/filings/public-issues/jul-2023/akme-fintrade-india-limited-drhp_73372.html</t>
        </is>
      </c>
      <c r="S707" s="15" t="n"/>
      <c r="T707" s="15" t="inlineStr">
        <is>
          <t>SEBI filing link</t>
        </is>
      </c>
      <c r="U707" s="15" t="inlineStr">
        <is>
          <t>Akme Fintrade India Limited</t>
        </is>
      </c>
      <c r="V707" s="15" t="inlineStr">
        <is>
          <t>Open date corrected from source value 2015-02-25 (contradicts source close/listing date); CHECK — source close/listing date inconsistent with open date</t>
        </is>
      </c>
      <c r="W707" s="15" t="n"/>
      <c r="X707" s="15" t="n"/>
      <c r="Y707" s="15" t="n"/>
      <c r="Z707" s="15" t="n"/>
      <c r="AA707" s="15" t="n"/>
      <c r="AB707" s="15" t="n"/>
    </row>
    <row r="708" ht="15" customHeight="1" s="12">
      <c r="A708" s="14" t="n">
        <v>707</v>
      </c>
      <c r="B708" s="16" t="n">
        <v>45104</v>
      </c>
      <c r="C708" s="15" t="n">
        <v>2023</v>
      </c>
      <c r="D708" s="15" t="inlineStr">
        <is>
          <t>TRIDHYA TECH LIMITED</t>
        </is>
      </c>
      <c r="E708" s="15" t="inlineStr">
        <is>
          <t>DRHP</t>
        </is>
      </c>
      <c r="F708" s="15" t="inlineStr">
        <is>
          <t>TRIDHYA TECH LIMITED</t>
        </is>
      </c>
      <c r="G708" s="15" t="inlineStr">
        <is>
          <t>IPO launched</t>
        </is>
      </c>
      <c r="H708" s="15" t="inlineStr">
        <is>
          <t>SME</t>
        </is>
      </c>
      <c r="I708" s="16" t="n">
        <v>45107</v>
      </c>
      <c r="J708" s="16" t="n">
        <v>45112</v>
      </c>
      <c r="K708" s="16" t="n">
        <v>45120</v>
      </c>
      <c r="L708" s="17" t="n">
        <v>26.41</v>
      </c>
      <c r="M708" s="17" t="n">
        <v>26.41</v>
      </c>
      <c r="N708" s="17" t="n">
        <v>0</v>
      </c>
      <c r="O708" s="15" t="inlineStr">
        <is>
          <t>Final issue (ipoplatform)</t>
        </is>
      </c>
      <c r="P708" s="15" t="n"/>
      <c r="Q708" s="18" t="inlineStr">
        <is>
          <t>https://www.sebi.gov.in/sebi_data/attachdocs/jun-2023/1687953609609_108.pdf</t>
        </is>
      </c>
      <c r="R708" s="18" t="inlineStr">
        <is>
          <t>https://www.sebi.gov.in/filings/public-issues/jun-2023/tridhya-tech-limited_73260.html</t>
        </is>
      </c>
      <c r="S708" s="15" t="n"/>
      <c r="T708" s="15" t="inlineStr">
        <is>
          <t>Company name + date window</t>
        </is>
      </c>
      <c r="U708" s="15" t="inlineStr">
        <is>
          <t>Tridhya Tech Limited</t>
        </is>
      </c>
      <c r="V708" s="15" t="n"/>
      <c r="W708" s="15" t="n"/>
      <c r="X708" s="15" t="n"/>
      <c r="Y708" s="15" t="n"/>
      <c r="Z708" s="15" t="n"/>
      <c r="AA708" s="15" t="n"/>
      <c r="AB708" s="15" t="n"/>
    </row>
    <row r="709" ht="15" customHeight="1" s="12">
      <c r="A709" s="14" t="n">
        <v>708</v>
      </c>
      <c r="B709" s="16" t="n">
        <v>45103</v>
      </c>
      <c r="C709" s="15" t="n">
        <v>2023</v>
      </c>
      <c r="D709" s="15" t="inlineStr">
        <is>
          <t>Pyramid Technoplast Limited</t>
        </is>
      </c>
      <c r="E709" s="15" t="inlineStr">
        <is>
          <t>Addendum</t>
        </is>
      </c>
      <c r="F709" s="15" t="inlineStr">
        <is>
          <t>Pyramid Technoplast Limited - Addendum to the DRHP</t>
        </is>
      </c>
      <c r="G709" s="15" t="inlineStr">
        <is>
          <t>IPO launched</t>
        </is>
      </c>
      <c r="H709" s="15" t="inlineStr">
        <is>
          <t>Mainboard</t>
        </is>
      </c>
      <c r="I709" s="16" t="n">
        <v>45156</v>
      </c>
      <c r="J709" s="16" t="n">
        <v>45160</v>
      </c>
      <c r="K709" s="16" t="n">
        <v>45167</v>
      </c>
      <c r="L709" s="17" t="n">
        <v>153.05</v>
      </c>
      <c r="M709" s="17" t="n">
        <v>91.3</v>
      </c>
      <c r="N709" s="17" t="n">
        <v>61.75</v>
      </c>
      <c r="O709" s="15" t="inlineStr">
        <is>
          <t>Final issue (ipoplatform)</t>
        </is>
      </c>
      <c r="P709" s="15" t="n"/>
      <c r="Q709" s="18" t="inlineStr">
        <is>
          <t>https://www.sebi.gov.in/sebi_data/attachdocs/jun-2023/1687775088856.pdf</t>
        </is>
      </c>
      <c r="R709" s="18" t="inlineStr">
        <is>
          <t>https://www.sebi.gov.in/filings/public-issues/jun-2023/pyramid-technoplast-limited-addendum-to-the-drhp_73074.html</t>
        </is>
      </c>
      <c r="S709" s="15" t="n"/>
      <c r="T709" s="15" t="inlineStr">
        <is>
          <t>Company name + date window</t>
        </is>
      </c>
      <c r="U709" s="15" t="inlineStr">
        <is>
          <t>Pyramid Technoplast Limited</t>
        </is>
      </c>
      <c r="V709" s="15" t="n"/>
      <c r="W709" s="15" t="n"/>
      <c r="X709" s="15" t="n"/>
      <c r="Y709" s="15" t="n"/>
      <c r="Z709" s="15" t="n"/>
      <c r="AA709" s="15" t="n"/>
      <c r="AB709" s="15" t="n"/>
    </row>
    <row r="710" ht="15" customHeight="1" s="12">
      <c r="A710" s="14" t="n">
        <v>709</v>
      </c>
      <c r="B710" s="16" t="n">
        <v>45097</v>
      </c>
      <c r="C710" s="15" t="n">
        <v>2023</v>
      </c>
      <c r="D710" s="15" t="inlineStr">
        <is>
          <t>Mukka Proteins Limited</t>
        </is>
      </c>
      <c r="E710" s="15" t="inlineStr">
        <is>
          <t>DRHP</t>
        </is>
      </c>
      <c r="F710" s="15" t="inlineStr">
        <is>
          <t>Mukka Proteins Limited - DRHP</t>
        </is>
      </c>
      <c r="G710" s="15" t="inlineStr">
        <is>
          <t>IPO launched</t>
        </is>
      </c>
      <c r="H710" s="15" t="inlineStr">
        <is>
          <t>Mainboard</t>
        </is>
      </c>
      <c r="I710" s="16" t="n">
        <v>45351</v>
      </c>
      <c r="J710" s="16" t="n">
        <v>45355</v>
      </c>
      <c r="K710" s="16" t="n">
        <v>45358</v>
      </c>
      <c r="L710" s="17" t="n">
        <v>224</v>
      </c>
      <c r="M710" s="17" t="n">
        <v>224</v>
      </c>
      <c r="N710" s="17" t="n">
        <v>0</v>
      </c>
      <c r="O710" s="15" t="inlineStr">
        <is>
          <t>Final issue (ipoplatform)</t>
        </is>
      </c>
      <c r="P710" s="15" t="n"/>
      <c r="Q710" s="18" t="inlineStr">
        <is>
          <t>https://www.sebi.gov.in/sebi_data/attachdocs/jun-2023/1687254492875.pdf</t>
        </is>
      </c>
      <c r="R710" s="18" t="inlineStr">
        <is>
          <t>https://www.sebi.gov.in/filings/public-issues/jun-2023/mukka-proteins-limited-drhp_72824.html</t>
        </is>
      </c>
      <c r="S710" s="15" t="n"/>
      <c r="T710" s="15" t="inlineStr">
        <is>
          <t>SEBI filing link</t>
        </is>
      </c>
      <c r="U710" s="15" t="inlineStr">
        <is>
          <t>Mukka Proteins Limited</t>
        </is>
      </c>
      <c r="V710" s="15" t="n"/>
      <c r="W710" s="15" t="n"/>
      <c r="X710" s="15" t="n"/>
      <c r="Y710" s="15" t="n"/>
      <c r="Z710" s="15" t="n"/>
      <c r="AA710" s="15" t="n"/>
      <c r="AB710" s="15" t="n"/>
    </row>
    <row r="711" ht="15" customHeight="1" s="12">
      <c r="A711" s="14" t="n">
        <v>710</v>
      </c>
      <c r="B711" s="16" t="n">
        <v>45096</v>
      </c>
      <c r="C711" s="15" t="n">
        <v>2023</v>
      </c>
      <c r="D711" s="15" t="inlineStr">
        <is>
          <t>AATMAJ HEALTHCARE LIMITED</t>
        </is>
      </c>
      <c r="E711" s="15" t="inlineStr">
        <is>
          <t>DRHP</t>
        </is>
      </c>
      <c r="F711" s="15" t="inlineStr">
        <is>
          <t>AATMAJ HEALTHCARE LIMITED</t>
        </is>
      </c>
      <c r="G711" s="15" t="inlineStr">
        <is>
          <t>IPO launched</t>
        </is>
      </c>
      <c r="H711" s="15" t="inlineStr">
        <is>
          <t>SME</t>
        </is>
      </c>
      <c r="I711" s="16" t="n">
        <v>45096</v>
      </c>
      <c r="J711" s="16" t="n">
        <v>45098</v>
      </c>
      <c r="K711" s="16" t="n">
        <v>45107</v>
      </c>
      <c r="L711" s="17" t="n">
        <v>38.4</v>
      </c>
      <c r="M711" s="17" t="n">
        <v>38.4</v>
      </c>
      <c r="N711" s="17" t="n">
        <v>0</v>
      </c>
      <c r="O711" s="15" t="inlineStr">
        <is>
          <t>Final issue (ipoplatform)</t>
        </is>
      </c>
      <c r="P711" s="15" t="n"/>
      <c r="Q711" s="18" t="inlineStr">
        <is>
          <t>https://www.sebi.gov.in/sebi_data/attachdocs/jun-2023/1687608017479_106.pdf</t>
        </is>
      </c>
      <c r="R711" s="18" t="inlineStr">
        <is>
          <t>https://www.sebi.gov.in/filings/public-issues/jun-2023/aatmaj-healthcare-limited_73068.html</t>
        </is>
      </c>
      <c r="S711" s="15" t="n"/>
      <c r="T711" s="15" t="inlineStr">
        <is>
          <t>Company name + date window</t>
        </is>
      </c>
      <c r="U711" s="15" t="inlineStr">
        <is>
          <t>Aatmaj Healthcare Limited</t>
        </is>
      </c>
      <c r="V711" s="15" t="n"/>
      <c r="W711" s="15" t="n"/>
      <c r="X711" s="15" t="n"/>
      <c r="Y711" s="15" t="n"/>
      <c r="Z711" s="15" t="n"/>
      <c r="AA711" s="15" t="n"/>
      <c r="AB711" s="15" t="n"/>
    </row>
    <row r="712" ht="15" customHeight="1" s="12">
      <c r="A712" s="14" t="n">
        <v>711</v>
      </c>
      <c r="B712" s="16" t="n">
        <v>45096</v>
      </c>
      <c r="C712" s="15" t="n">
        <v>2023</v>
      </c>
      <c r="D712" s="15" t="inlineStr">
        <is>
          <t>Vilin Bio Med Limited</t>
        </is>
      </c>
      <c r="E712" s="15" t="inlineStr">
        <is>
          <t>DRHP</t>
        </is>
      </c>
      <c r="F712" s="15" t="inlineStr">
        <is>
          <t>Vilin Bio Med Limited</t>
        </is>
      </c>
      <c r="G712" s="15" t="inlineStr">
        <is>
          <t>No launched IPO found</t>
        </is>
      </c>
      <c r="H712" s="15" t="n"/>
      <c r="I712" s="16" t="n"/>
      <c r="J712" s="16" t="n"/>
      <c r="K712" s="16" t="n"/>
      <c r="L712" s="17" t="n"/>
      <c r="M712" s="17" t="n"/>
      <c r="N712" s="17" t="n"/>
      <c r="O712" s="15" t="n"/>
      <c r="P712" s="15" t="n"/>
      <c r="Q712" s="18" t="inlineStr">
        <is>
          <t>https://www.sebi.gov.in/sebi_data/attachdocs/jun-2023/1687608017479_107.pdf</t>
        </is>
      </c>
      <c r="R712" s="18" t="inlineStr">
        <is>
          <t>https://www.sebi.gov.in/filings/public-issues/jun-2023/vilin-bio-med-limited_73070.html</t>
        </is>
      </c>
      <c r="S712" s="15" t="n"/>
      <c r="T712" s="15" t="n"/>
      <c r="U712" s="15" t="n"/>
      <c r="V712" s="15" t="inlineStr">
        <is>
          <t>Same-name IPO opened 16-Jun-2023 — outside 2 years of this filing, so not linked</t>
        </is>
      </c>
      <c r="W712" s="16" t="n"/>
      <c r="X712" s="16" t="n"/>
      <c r="Y712" s="16" t="n"/>
      <c r="Z712" s="15" t="inlineStr">
        <is>
          <t>No issue found</t>
        </is>
      </c>
      <c r="AA712" s="15" t="inlineStr">
        <is>
          <t>Business Standard lists the company but shows no issue dates; web search limit reached</t>
        </is>
      </c>
      <c r="AB712" s="18" t="inlineStr">
        <is>
          <t>https://www.business-standard.com/markets/ipo/vilin-bio-med-ltd-ipo-78871</t>
        </is>
      </c>
    </row>
    <row r="713" ht="15" customHeight="1" s="12">
      <c r="A713" s="14" t="n">
        <v>712</v>
      </c>
      <c r="B713" s="16" t="n">
        <v>45096</v>
      </c>
      <c r="C713" s="15" t="n">
        <v>2023</v>
      </c>
      <c r="D713" s="15" t="inlineStr">
        <is>
          <t>VEEFIN SOLUTIONS LIMITED</t>
        </is>
      </c>
      <c r="E713" s="15" t="inlineStr">
        <is>
          <t>DRHP</t>
        </is>
      </c>
      <c r="F713" s="15" t="inlineStr">
        <is>
          <t>VEEFIN SOLUTIONS LIMITED</t>
        </is>
      </c>
      <c r="G713" s="15" t="inlineStr">
        <is>
          <t>IPO launched</t>
        </is>
      </c>
      <c r="H713" s="15" t="inlineStr">
        <is>
          <t>SME</t>
        </is>
      </c>
      <c r="I713" s="16" t="n">
        <v>45099</v>
      </c>
      <c r="J713" s="16" t="n">
        <v>45103</v>
      </c>
      <c r="K713" s="16" t="n">
        <v>45112</v>
      </c>
      <c r="L713" s="17" t="n">
        <v>46.73</v>
      </c>
      <c r="M713" s="17" t="n">
        <v>23.37</v>
      </c>
      <c r="N713" s="17" t="n">
        <v>23.36</v>
      </c>
      <c r="O713" s="15" t="inlineStr">
        <is>
          <t>Final issue (ipoplatform)</t>
        </is>
      </c>
      <c r="P713" s="15" t="n"/>
      <c r="Q713" s="18" t="inlineStr">
        <is>
          <t>https://www.sebi.gov.in/sebi_data/attachdocs/jun-2023/1687608017479_105.pdf</t>
        </is>
      </c>
      <c r="R713" s="18" t="inlineStr">
        <is>
          <t>https://www.sebi.gov.in/filings/public-issues/jun-2023/veefin-solutions-limited_73066.html</t>
        </is>
      </c>
      <c r="S713" s="15" t="n"/>
      <c r="T713" s="15" t="inlineStr">
        <is>
          <t>Company name + date window</t>
        </is>
      </c>
      <c r="U713" s="15" t="inlineStr">
        <is>
          <t>Veefin Solutions Limited</t>
        </is>
      </c>
      <c r="V713" s="15" t="n"/>
      <c r="W713" s="15" t="n"/>
      <c r="X713" s="15" t="n"/>
      <c r="Y713" s="15" t="n"/>
      <c r="Z713" s="15" t="n"/>
      <c r="AA713" s="15" t="n"/>
      <c r="AB713" s="15" t="n"/>
    </row>
    <row r="714" ht="15" customHeight="1" s="12">
      <c r="A714" s="14" t="n">
        <v>713</v>
      </c>
      <c r="B714" s="16" t="n">
        <v>45096</v>
      </c>
      <c r="C714" s="15" t="n">
        <v>2023</v>
      </c>
      <c r="D714" s="15" t="inlineStr">
        <is>
          <t>RBZ Jewellers Limited</t>
        </is>
      </c>
      <c r="E714" s="15" t="inlineStr">
        <is>
          <t>DRHP</t>
        </is>
      </c>
      <c r="F714" s="15" t="inlineStr">
        <is>
          <t>RBZ Jewellers Limited - DRHP</t>
        </is>
      </c>
      <c r="G714" s="15" t="inlineStr">
        <is>
          <t>IPO launched</t>
        </is>
      </c>
      <c r="H714" s="15" t="inlineStr">
        <is>
          <t>Mainboard</t>
        </is>
      </c>
      <c r="I714" s="16" t="n">
        <v>45279</v>
      </c>
      <c r="J714" s="16" t="n">
        <v>45281</v>
      </c>
      <c r="K714" s="16" t="n">
        <v>45287</v>
      </c>
      <c r="L714" s="17" t="n">
        <v>100</v>
      </c>
      <c r="M714" s="17" t="n">
        <v>100</v>
      </c>
      <c r="N714" s="17" t="n">
        <v>0</v>
      </c>
      <c r="O714" s="15" t="inlineStr">
        <is>
          <t>Final issue (ipoplatform)</t>
        </is>
      </c>
      <c r="P714" s="15" t="n"/>
      <c r="Q714" s="18" t="inlineStr">
        <is>
          <t>https://www.sebi.gov.in/sebi_data/attachdocs/jun-2023/1687254609377.pdf</t>
        </is>
      </c>
      <c r="R714" s="18" t="inlineStr">
        <is>
          <t>https://www.sebi.gov.in/filings/public-issues/jun-2023/rbz-jewellers-limited-drhp_72825.html</t>
        </is>
      </c>
      <c r="S714" s="15" t="n"/>
      <c r="T714" s="15" t="inlineStr">
        <is>
          <t>SEBI filing link</t>
        </is>
      </c>
      <c r="U714" s="15" t="inlineStr">
        <is>
          <t>RBZ Jewellers Limited</t>
        </is>
      </c>
      <c r="V714" s="15" t="n"/>
      <c r="W714" s="15" t="n"/>
      <c r="X714" s="15" t="n"/>
      <c r="Y714" s="15" t="n"/>
      <c r="Z714" s="15" t="n"/>
      <c r="AA714" s="15" t="n"/>
      <c r="AB714" s="15" t="n"/>
    </row>
    <row r="715" ht="15" customHeight="1" s="12">
      <c r="A715" s="14" t="n">
        <v>714</v>
      </c>
      <c r="B715" s="16" t="n">
        <v>45093</v>
      </c>
      <c r="C715" s="15" t="n">
        <v>2023</v>
      </c>
      <c r="D715" s="15" t="inlineStr">
        <is>
          <t>ASK Automotive Ltd</t>
        </is>
      </c>
      <c r="E715" s="15" t="inlineStr">
        <is>
          <t>DRHP</t>
        </is>
      </c>
      <c r="F715" s="15" t="inlineStr">
        <is>
          <t>ASK Automotive Ltd - DRHP</t>
        </is>
      </c>
      <c r="G715" s="15" t="inlineStr">
        <is>
          <t>IPO launched</t>
        </is>
      </c>
      <c r="H715" s="15" t="inlineStr">
        <is>
          <t>Mainboard</t>
        </is>
      </c>
      <c r="I715" s="16" t="n">
        <v>45237</v>
      </c>
      <c r="J715" s="16" t="n">
        <v>45239</v>
      </c>
      <c r="K715" s="16" t="n">
        <v>45245</v>
      </c>
      <c r="L715" s="17" t="n">
        <v>834</v>
      </c>
      <c r="M715" s="17" t="n">
        <v>834</v>
      </c>
      <c r="N715" s="17" t="n">
        <v>0</v>
      </c>
      <c r="O715" s="15" t="inlineStr">
        <is>
          <t>Final issue (ipoplatform)</t>
        </is>
      </c>
      <c r="P715" s="15" t="n"/>
      <c r="Q715" s="18" t="inlineStr">
        <is>
          <t>https://www.sebi.gov.in/sebi_data/attachdocs/jun-2023/1686911107445.PDF</t>
        </is>
      </c>
      <c r="R715" s="18" t="inlineStr">
        <is>
          <t>https://www.sebi.gov.in/filings/public-issues/jun-2023/ask-automotive-ltd-drhp_72673.html</t>
        </is>
      </c>
      <c r="S715" s="15" t="n"/>
      <c r="T715" s="15" t="inlineStr">
        <is>
          <t>SEBI filing link</t>
        </is>
      </c>
      <c r="U715" s="15" t="inlineStr">
        <is>
          <t>ASK Automotive Limited</t>
        </is>
      </c>
      <c r="V715" s="15" t="n"/>
      <c r="W715" s="15" t="n"/>
      <c r="X715" s="15" t="n"/>
      <c r="Y715" s="15" t="n"/>
      <c r="Z715" s="15" t="n"/>
      <c r="AA715" s="15" t="n"/>
      <c r="AB715" s="15" t="n"/>
    </row>
    <row r="716" ht="15" customHeight="1" s="12">
      <c r="A716" s="14" t="n">
        <v>715</v>
      </c>
      <c r="B716" s="16" t="n">
        <v>45091</v>
      </c>
      <c r="C716" s="15" t="n">
        <v>2023</v>
      </c>
      <c r="D716" s="15" t="inlineStr">
        <is>
          <t>Sonalis Consumer Products Limited</t>
        </is>
      </c>
      <c r="E716" s="15" t="inlineStr">
        <is>
          <t>DRHP</t>
        </is>
      </c>
      <c r="F716" s="15" t="inlineStr">
        <is>
          <t>Sonalis Consumer Products Limited</t>
        </is>
      </c>
      <c r="G716" s="15" t="inlineStr">
        <is>
          <t>No launched IPO found</t>
        </is>
      </c>
      <c r="H716" s="15" t="n"/>
      <c r="I716" s="16" t="n"/>
      <c r="J716" s="16" t="n"/>
      <c r="K716" s="16" t="n"/>
      <c r="L716" s="17" t="n"/>
      <c r="M716" s="17" t="n"/>
      <c r="N716" s="17" t="n"/>
      <c r="O716" s="15" t="n"/>
      <c r="P716" s="15" t="n"/>
      <c r="Q716" s="18" t="inlineStr">
        <is>
          <t>https://www.sebi.gov.in/sebi_data/attachdocs/jun-2023/1687608017479_102.pdf</t>
        </is>
      </c>
      <c r="R716" s="18" t="inlineStr">
        <is>
          <t>https://www.sebi.gov.in/filings/public-issues/jun-2023/sonalis-consumer-products-limited_73064.html</t>
        </is>
      </c>
      <c r="S716" s="15" t="n"/>
      <c r="T716" s="15" t="n"/>
      <c r="U716" s="15" t="n"/>
      <c r="V716" s="15" t="inlineStr">
        <is>
          <t>Same-name IPO opened 07-Jun-2023 — outside 2 years of this filing, so not linked</t>
        </is>
      </c>
      <c r="W716" s="16" t="n"/>
      <c r="X716" s="16" t="n"/>
      <c r="Y716" s="16" t="n"/>
      <c r="Z716" s="15" t="inlineStr">
        <is>
          <t>No issue found</t>
        </is>
      </c>
      <c r="AA716" s="15" t="inlineStr">
        <is>
          <t>BSE SME IPO opened 07-Jun-2023, closed 09-Jun, listed 19-Jun-2023, before this 14-Jun-2023 entry; no later issue</t>
        </is>
      </c>
      <c r="AB716" s="18" t="inlineStr">
        <is>
          <t>https://www.chittorgarh.com/ipo_review/sonalis-consumer-products-ipo/3592/</t>
        </is>
      </c>
    </row>
    <row r="717" ht="15" customHeight="1" s="12">
      <c r="A717" s="14" t="n">
        <v>716</v>
      </c>
      <c r="B717" s="16" t="n">
        <v>45091</v>
      </c>
      <c r="C717" s="15" t="n">
        <v>2023</v>
      </c>
      <c r="D717" s="15" t="inlineStr">
        <is>
          <t>Spectrum Talent Management Limited</t>
        </is>
      </c>
      <c r="E717" s="15" t="inlineStr">
        <is>
          <t>DRHP</t>
        </is>
      </c>
      <c r="F717" s="15" t="inlineStr">
        <is>
          <t>Spectrum Talent Management Limited</t>
        </is>
      </c>
      <c r="G717" s="15" t="inlineStr">
        <is>
          <t>No launched IPO found</t>
        </is>
      </c>
      <c r="H717" s="15" t="n"/>
      <c r="I717" s="16" t="n"/>
      <c r="J717" s="16" t="n"/>
      <c r="K717" s="16" t="n"/>
      <c r="L717" s="17" t="n"/>
      <c r="M717" s="17" t="n"/>
      <c r="N717" s="17" t="n"/>
      <c r="O717" s="15" t="n"/>
      <c r="P717" s="15" t="n"/>
      <c r="Q717" s="18" t="inlineStr">
        <is>
          <t>https://www.sebi.gov.in/sebi_data/attachdocs/jun-2023/1687608017479_101.pdf</t>
        </is>
      </c>
      <c r="R717" s="18" t="inlineStr">
        <is>
          <t>https://www.sebi.gov.in/filings/public-issues/jun-2023/spectrum-talent-management-limited_73062.html</t>
        </is>
      </c>
      <c r="S717" s="15" t="n"/>
      <c r="T717" s="15" t="n"/>
      <c r="U717" s="15" t="n"/>
      <c r="V717" s="15" t="inlineStr">
        <is>
          <t>Same-name IPO opened 09-Jun-2023 — outside 2 years of this filing, so not linked</t>
        </is>
      </c>
      <c r="W717" s="16" t="n"/>
      <c r="X717" s="16" t="n"/>
      <c r="Y717" s="16" t="n"/>
      <c r="Z717" s="15" t="inlineStr">
        <is>
          <t>No issue found</t>
        </is>
      </c>
      <c r="AA717" s="15" t="inlineStr">
        <is>
          <t>Business Standard lists the company but shows no issue dates; web search limit reached</t>
        </is>
      </c>
      <c r="AB717" s="18" t="inlineStr">
        <is>
          <t>https://www.business-standard.com/markets/ipo/spectrum-talent-management-ltd-ipo-78655</t>
        </is>
      </c>
    </row>
    <row r="718" ht="15" customHeight="1" s="12">
      <c r="A718" s="14" t="n">
        <v>717</v>
      </c>
      <c r="B718" s="16" t="n">
        <v>45091</v>
      </c>
      <c r="C718" s="15" t="n">
        <v>2023</v>
      </c>
      <c r="D718" s="15" t="inlineStr">
        <is>
          <t>SAHANA SYSTEM LIMITED</t>
        </is>
      </c>
      <c r="E718" s="15" t="inlineStr">
        <is>
          <t>DRHP</t>
        </is>
      </c>
      <c r="F718" s="15" t="inlineStr">
        <is>
          <t>SAHANA SYSTEM LIMITED</t>
        </is>
      </c>
      <c r="G718" s="15" t="inlineStr">
        <is>
          <t>No launched IPO found</t>
        </is>
      </c>
      <c r="H718" s="15" t="n"/>
      <c r="I718" s="16" t="n"/>
      <c r="J718" s="16" t="n"/>
      <c r="K718" s="16" t="n"/>
      <c r="L718" s="17" t="n"/>
      <c r="M718" s="17" t="n"/>
      <c r="N718" s="17" t="n"/>
      <c r="O718" s="15" t="n"/>
      <c r="P718" s="15" t="n"/>
      <c r="Q718" s="18" t="inlineStr">
        <is>
          <t>https://www.sebi.gov.in/sebi_data/attachdocs/jun-2023/1687608017479_100.pdf</t>
        </is>
      </c>
      <c r="R718" s="18" t="inlineStr">
        <is>
          <t>https://www.sebi.gov.in/filings/public-issues/jun-2023/sahana-system-limited_73060.html</t>
        </is>
      </c>
      <c r="S718" s="15" t="n"/>
      <c r="T718" s="15" t="n"/>
      <c r="U718" s="15" t="n"/>
      <c r="V718" s="15" t="inlineStr">
        <is>
          <t>Same-name IPO opened 31-May-2023 — outside 2 years of this filing, so not linked</t>
        </is>
      </c>
      <c r="W718" s="16" t="n"/>
      <c r="X718" s="16" t="n"/>
      <c r="Y718" s="16" t="n"/>
      <c r="Z718" s="15" t="inlineStr">
        <is>
          <t>No issue found</t>
        </is>
      </c>
      <c r="AA718" s="15" t="inlineStr">
        <is>
          <t>Business Standard lists the company but shows no issue dates; web search limit reached</t>
        </is>
      </c>
      <c r="AB718" s="18" t="inlineStr">
        <is>
          <t>https://www.business-standard.com/markets/ipo/sahana-systems-ltd-ipo-78078</t>
        </is>
      </c>
    </row>
    <row r="719" ht="15" customHeight="1" s="12">
      <c r="A719" s="14" t="n">
        <v>718</v>
      </c>
      <c r="B719" s="16" t="n">
        <v>45090</v>
      </c>
      <c r="C719" s="15" t="n">
        <v>2023</v>
      </c>
      <c r="D719" s="15" t="inlineStr">
        <is>
          <t>Crayons Advertising Limited</t>
        </is>
      </c>
      <c r="E719" s="15" t="inlineStr">
        <is>
          <t>DRHP</t>
        </is>
      </c>
      <c r="F719" s="15" t="inlineStr">
        <is>
          <t>Crayons Advertising Limited</t>
        </is>
      </c>
      <c r="G719" s="15" t="inlineStr">
        <is>
          <t>No launched IPO found</t>
        </is>
      </c>
      <c r="H719" s="15" t="n"/>
      <c r="I719" s="16" t="n"/>
      <c r="J719" s="16" t="n"/>
      <c r="K719" s="16" t="n"/>
      <c r="L719" s="17" t="n"/>
      <c r="M719" s="17" t="n"/>
      <c r="N719" s="17" t="n"/>
      <c r="O719" s="15" t="n"/>
      <c r="P719" s="15" t="n"/>
      <c r="Q719" s="18" t="inlineStr">
        <is>
          <t>https://www.sebi.gov.in/sebi_data/attachdocs/jun-2023/1686657609955_99.pdf</t>
        </is>
      </c>
      <c r="R719" s="18" t="inlineStr">
        <is>
          <t>https://www.sebi.gov.in/filings/public-issues/jun-2023/crayons-advertising-limited_72503.html</t>
        </is>
      </c>
      <c r="S719" s="15" t="n"/>
      <c r="T719" s="15" t="n"/>
      <c r="U719" s="15" t="n"/>
      <c r="V719" s="15" t="inlineStr">
        <is>
          <t>Same-name IPO opened 22-May-2023 — outside 2 years of this filing, so not linked</t>
        </is>
      </c>
      <c r="W719" s="16" t="n"/>
      <c r="X719" s="16" t="n"/>
      <c r="Y719" s="16" t="n"/>
      <c r="Z719" s="15" t="inlineStr">
        <is>
          <t>No issue found</t>
        </is>
      </c>
      <c r="AA719" s="15" t="inlineStr">
        <is>
          <t>Business Standard lists the company but shows no issue dates; web search limit reached</t>
        </is>
      </c>
      <c r="AB719" s="18" t="inlineStr">
        <is>
          <t>https://www.business-standard.com/markets/ipo/crayons-advertising-ltd-ipo-45823</t>
        </is>
      </c>
    </row>
    <row r="720" ht="15" customHeight="1" s="12">
      <c r="A720" s="14" t="n">
        <v>719</v>
      </c>
      <c r="B720" s="16" t="n">
        <v>45090</v>
      </c>
      <c r="C720" s="15" t="n">
        <v>2023</v>
      </c>
      <c r="D720" s="15" t="inlineStr">
        <is>
          <t>Western Carriers (India) Limited</t>
        </is>
      </c>
      <c r="E720" s="15" t="inlineStr">
        <is>
          <t>DRHP</t>
        </is>
      </c>
      <c r="F720" s="15" t="inlineStr">
        <is>
          <t>Western Carriers (India) Limited - DRHP</t>
        </is>
      </c>
      <c r="G720" s="15" t="inlineStr">
        <is>
          <t>IPO launched</t>
        </is>
      </c>
      <c r="H720" s="15" t="inlineStr">
        <is>
          <t>Mainboard</t>
        </is>
      </c>
      <c r="I720" s="16" t="n">
        <v>45548</v>
      </c>
      <c r="J720" s="16" t="n">
        <v>45554</v>
      </c>
      <c r="K720" s="16" t="n">
        <v>45559</v>
      </c>
      <c r="L720" s="17" t="n">
        <v>492.88</v>
      </c>
      <c r="M720" s="17" t="n">
        <v>400</v>
      </c>
      <c r="N720" s="17" t="n">
        <v>92.88</v>
      </c>
      <c r="O720" s="15" t="inlineStr">
        <is>
          <t>Final issue (ipoplatform)</t>
        </is>
      </c>
      <c r="P720" s="15" t="n"/>
      <c r="Q720" s="18" t="inlineStr">
        <is>
          <t>https://www.sebi.gov.in/sebi_data/attachdocs/jun-2023/1686655767869.pdf</t>
        </is>
      </c>
      <c r="R720" s="18" t="inlineStr">
        <is>
          <t>https://www.sebi.gov.in/filings/public-issues/jun-2023/western-carriers-india-limited-drhp_72492.html</t>
        </is>
      </c>
      <c r="S720" s="15" t="n"/>
      <c r="T720" s="15" t="inlineStr">
        <is>
          <t>SEBI filing link</t>
        </is>
      </c>
      <c r="U720" s="15" t="inlineStr">
        <is>
          <t>Western Carriers (India) Limited</t>
        </is>
      </c>
      <c r="V720" s="15" t="n"/>
      <c r="W720" s="15" t="n"/>
      <c r="X720" s="15" t="n"/>
      <c r="Y720" s="15" t="n"/>
      <c r="Z720" s="15" t="n"/>
      <c r="AA720" s="15" t="n"/>
      <c r="AB720" s="15" t="n"/>
    </row>
    <row r="721" ht="15" customHeight="1" s="12">
      <c r="A721" s="14" t="n">
        <v>720</v>
      </c>
      <c r="B721" s="16" t="n">
        <v>45085</v>
      </c>
      <c r="C721" s="15" t="n">
        <v>2023</v>
      </c>
      <c r="D721" s="15" t="inlineStr">
        <is>
          <t>Valiant Laboratories Limited</t>
        </is>
      </c>
      <c r="E721" s="15" t="inlineStr">
        <is>
          <t>DRHP</t>
        </is>
      </c>
      <c r="F721" s="15" t="inlineStr">
        <is>
          <t>Valiant Laboratories Limited - DRHP</t>
        </is>
      </c>
      <c r="G721" s="15" t="inlineStr">
        <is>
          <t>IPO launched</t>
        </is>
      </c>
      <c r="H721" s="15" t="inlineStr">
        <is>
          <t>Mainboard</t>
        </is>
      </c>
      <c r="I721" s="16" t="n">
        <v>45196</v>
      </c>
      <c r="J721" s="16" t="n">
        <v>45202</v>
      </c>
      <c r="K721" s="16" t="n">
        <v>45205</v>
      </c>
      <c r="L721" s="17" t="n">
        <v>152.46</v>
      </c>
      <c r="M721" s="17" t="n">
        <v>152.46</v>
      </c>
      <c r="N721" s="17" t="n">
        <v>0</v>
      </c>
      <c r="O721" s="15" t="inlineStr">
        <is>
          <t>Final issue (ipoplatform)</t>
        </is>
      </c>
      <c r="P721" s="15" t="n"/>
      <c r="Q721" s="18" t="inlineStr">
        <is>
          <t>https://www.sebi.gov.in/sebi_data/attachdocs/jun-2023/1686204253802.PDF</t>
        </is>
      </c>
      <c r="R721" s="18" t="inlineStr">
        <is>
          <t>https://www.sebi.gov.in/filings/public-issues/jun-2023/valiant-laboratories-limited-drhp_72352.html</t>
        </is>
      </c>
      <c r="S721" s="15" t="n"/>
      <c r="T721" s="15" t="inlineStr">
        <is>
          <t>SEBI filing link</t>
        </is>
      </c>
      <c r="U721" s="15" t="inlineStr">
        <is>
          <t>Valiant Laboratories Limited</t>
        </is>
      </c>
      <c r="V721" s="15" t="n"/>
      <c r="W721" s="15" t="n"/>
      <c r="X721" s="15" t="n"/>
      <c r="Y721" s="15" t="n"/>
      <c r="Z721" s="15" t="n"/>
      <c r="AA721" s="15" t="n"/>
      <c r="AB721" s="15" t="n"/>
    </row>
    <row r="722" ht="15" customHeight="1" s="12">
      <c r="A722" s="14" t="n">
        <v>721</v>
      </c>
      <c r="B722" s="16" t="n">
        <v>45078</v>
      </c>
      <c r="C722" s="15" t="n">
        <v>2023</v>
      </c>
      <c r="D722" s="15" t="inlineStr">
        <is>
          <t>Ebixcash Limited</t>
        </is>
      </c>
      <c r="E722" s="15" t="inlineStr">
        <is>
          <t>Addendum</t>
        </is>
      </c>
      <c r="F722" s="15" t="inlineStr">
        <is>
          <t>Ebixcash Limited -Addendum to DRHP</t>
        </is>
      </c>
      <c r="G722" s="15" t="inlineStr">
        <is>
          <t>No launched IPO found</t>
        </is>
      </c>
      <c r="H722" s="15" t="n"/>
      <c r="I722" s="16" t="n"/>
      <c r="J722" s="16" t="n"/>
      <c r="K722" s="16" t="n"/>
      <c r="L722" s="17" t="n"/>
      <c r="M722" s="17" t="n"/>
      <c r="N722" s="17" t="n"/>
      <c r="O722" s="15" t="n"/>
      <c r="P722" s="15" t="n"/>
      <c r="Q722" s="18" t="inlineStr">
        <is>
          <t>https://www.sebi.gov.in/sebi_data/attachdocs/jun-2023/1685681262177.pdf</t>
        </is>
      </c>
      <c r="R722" s="18" t="inlineStr">
        <is>
          <t>https://www.sebi.gov.in/filings/public-issues/jun-2023/ebixcash-limited-addendum-to-drhp_72220.html</t>
        </is>
      </c>
      <c r="S722" s="15" t="n"/>
      <c r="T722" s="15" t="n"/>
      <c r="U722" s="15" t="n"/>
      <c r="V722" s="15" t="n"/>
      <c r="W722" s="16" t="n"/>
      <c r="X722" s="16" t="n"/>
      <c r="Y722" s="16" t="n"/>
      <c r="Z722" s="15" t="inlineStr">
        <is>
          <t>No issue found</t>
        </is>
      </c>
      <c r="AA722" s="15" t="inlineStr">
        <is>
          <t>Open date never announced; no issue found.</t>
        </is>
      </c>
      <c r="AB722" s="18" t="inlineStr">
        <is>
          <t>https://www.religareonline.com/ipo/ebixcash-ipo</t>
        </is>
      </c>
    </row>
    <row r="723" ht="15" customHeight="1" s="12">
      <c r="A723" s="14" t="n">
        <v>722</v>
      </c>
      <c r="B723" s="16" t="n">
        <v>45068</v>
      </c>
      <c r="C723" s="15" t="n">
        <v>2023</v>
      </c>
      <c r="D723" s="15" t="inlineStr">
        <is>
          <t>INFOLLION RESEARCH SERVICES LIMITED</t>
        </is>
      </c>
      <c r="E723" s="15" t="inlineStr">
        <is>
          <t>DRHP</t>
        </is>
      </c>
      <c r="F723" s="15" t="inlineStr">
        <is>
          <t>INFOLLION RESEARCH SERVICES LIMITED</t>
        </is>
      </c>
      <c r="G723" s="15" t="inlineStr">
        <is>
          <t>IPO launched</t>
        </is>
      </c>
      <c r="H723" s="15" t="inlineStr">
        <is>
          <t>SME</t>
        </is>
      </c>
      <c r="I723" s="16" t="n">
        <v>45075</v>
      </c>
      <c r="J723" s="16" t="n">
        <v>45077</v>
      </c>
      <c r="K723" s="16" t="n">
        <v>45085</v>
      </c>
      <c r="L723" s="17" t="n">
        <v>21.45</v>
      </c>
      <c r="M723" s="17" t="n">
        <v>18.24</v>
      </c>
      <c r="N723" s="17" t="n">
        <v>3.21</v>
      </c>
      <c r="O723" s="15" t="inlineStr">
        <is>
          <t>Final issue (ipoplatform)</t>
        </is>
      </c>
      <c r="P723" s="15" t="n"/>
      <c r="Q723" s="18" t="inlineStr">
        <is>
          <t>https://www.sebi.gov.in/sebi_data/attachdocs/may-2023/1684756814905_93.pdf</t>
        </is>
      </c>
      <c r="R723" s="18" t="inlineStr">
        <is>
          <t>https://www.sebi.gov.in/filings/public-issues/may-2023/infollion-research-services-limited_71491.html</t>
        </is>
      </c>
      <c r="S723" s="15" t="n"/>
      <c r="T723" s="15" t="inlineStr">
        <is>
          <t>Company name + date window</t>
        </is>
      </c>
      <c r="U723" s="15" t="inlineStr">
        <is>
          <t>Infollion Research Services Limited</t>
        </is>
      </c>
      <c r="V723" s="15" t="n"/>
      <c r="W723" s="15" t="n"/>
      <c r="X723" s="15" t="n"/>
      <c r="Y723" s="15" t="n"/>
      <c r="Z723" s="15" t="n"/>
      <c r="AA723" s="15" t="n"/>
      <c r="AB723" s="15" t="n"/>
    </row>
    <row r="724" ht="15" customHeight="1" s="12">
      <c r="A724" s="14" t="n">
        <v>723</v>
      </c>
      <c r="B724" s="16" t="n">
        <v>45068</v>
      </c>
      <c r="C724" s="15" t="n">
        <v>2023</v>
      </c>
      <c r="D724" s="15" t="inlineStr">
        <is>
          <t>Crayons Advertising Limited</t>
        </is>
      </c>
      <c r="E724" s="15" t="inlineStr">
        <is>
          <t>DRHP</t>
        </is>
      </c>
      <c r="F724" s="15" t="inlineStr">
        <is>
          <t>Crayons Advertising Limited</t>
        </is>
      </c>
      <c r="G724" s="15" t="inlineStr">
        <is>
          <t>IPO launched</t>
        </is>
      </c>
      <c r="H724" s="15" t="inlineStr">
        <is>
          <t>SME</t>
        </is>
      </c>
      <c r="I724" s="16" t="n">
        <v>45068</v>
      </c>
      <c r="J724" s="16" t="n">
        <v>45071</v>
      </c>
      <c r="K724" s="16" t="n">
        <v>45079</v>
      </c>
      <c r="L724" s="17" t="n">
        <v>41.8</v>
      </c>
      <c r="M724" s="17" t="n">
        <v>41.8</v>
      </c>
      <c r="N724" s="17" t="n">
        <v>0</v>
      </c>
      <c r="O724" s="15" t="inlineStr">
        <is>
          <t>Final issue (ipoplatform)</t>
        </is>
      </c>
      <c r="P724" s="15" t="n"/>
      <c r="Q724" s="18" t="inlineStr">
        <is>
          <t>https://www.sebi.gov.in/sebi_data/attachdocs/may-2023/1684756814905_91.pdf</t>
        </is>
      </c>
      <c r="R724" s="18" t="inlineStr">
        <is>
          <t>https://www.sebi.gov.in/filings/public-issues/may-2023/crayons-advertising-limited_71487.html</t>
        </is>
      </c>
      <c r="S724" s="15" t="n"/>
      <c r="T724" s="15" t="inlineStr">
        <is>
          <t>Company name + date window</t>
        </is>
      </c>
      <c r="U724" s="15" t="inlineStr">
        <is>
          <t>Crayons Advertising Limited</t>
        </is>
      </c>
      <c r="V724" s="15" t="n"/>
      <c r="W724" s="15" t="n"/>
      <c r="X724" s="15" t="n"/>
      <c r="Y724" s="15" t="n"/>
      <c r="Z724" s="15" t="n"/>
      <c r="AA724" s="15" t="n"/>
      <c r="AB724" s="15" t="n"/>
    </row>
    <row r="725" ht="15" customHeight="1" s="12">
      <c r="A725" s="14" t="n">
        <v>724</v>
      </c>
      <c r="B725" s="16" t="n">
        <v>45068</v>
      </c>
      <c r="C725" s="15" t="n">
        <v>2023</v>
      </c>
      <c r="D725" s="15" t="inlineStr">
        <is>
          <t>HEMANT SURGICAL INDUSTRIES LIMITED</t>
        </is>
      </c>
      <c r="E725" s="15" t="inlineStr">
        <is>
          <t>DRHP</t>
        </is>
      </c>
      <c r="F725" s="15" t="inlineStr">
        <is>
          <t>HEMANT SURGICAL INDUSTRIES LIMITED</t>
        </is>
      </c>
      <c r="G725" s="15" t="inlineStr">
        <is>
          <t>IPO launched</t>
        </is>
      </c>
      <c r="H725" s="15" t="inlineStr">
        <is>
          <t>SME</t>
        </is>
      </c>
      <c r="I725" s="16" t="n">
        <v>45070</v>
      </c>
      <c r="J725" s="16" t="n">
        <v>45072</v>
      </c>
      <c r="K725" s="16" t="n">
        <v>45082</v>
      </c>
      <c r="L725" s="17" t="n">
        <v>24.84</v>
      </c>
      <c r="M725" s="17" t="n">
        <v>24.84</v>
      </c>
      <c r="N725" s="17" t="n">
        <v>0</v>
      </c>
      <c r="O725" s="15" t="inlineStr">
        <is>
          <t>Final issue (ipoplatform)</t>
        </is>
      </c>
      <c r="P725" s="15" t="n"/>
      <c r="Q725" s="18" t="inlineStr">
        <is>
          <t>https://www.sebi.gov.in/sebi_data/attachdocs/may-2023/1684756814905_92.pdf</t>
        </is>
      </c>
      <c r="R725" s="18" t="inlineStr">
        <is>
          <t>https://www.sebi.gov.in/filings/public-issues/may-2023/hemant-surgical-industries-limited_71489.html</t>
        </is>
      </c>
      <c r="S725" s="15" t="n"/>
      <c r="T725" s="15" t="inlineStr">
        <is>
          <t>Company name + date window</t>
        </is>
      </c>
      <c r="U725" s="15" t="inlineStr">
        <is>
          <t>Hemant Surgical Industries Limited</t>
        </is>
      </c>
      <c r="V725" s="15" t="n"/>
      <c r="W725" s="15" t="n"/>
      <c r="X725" s="15" t="n"/>
      <c r="Y725" s="15" t="n"/>
      <c r="Z725" s="15" t="n"/>
      <c r="AA725" s="15" t="n"/>
      <c r="AB725" s="15" t="n"/>
    </row>
    <row r="726" ht="15" customHeight="1" s="12">
      <c r="A726" s="14" t="n">
        <v>725</v>
      </c>
      <c r="B726" s="16" t="n">
        <v>45068</v>
      </c>
      <c r="C726" s="15" t="n">
        <v>2023</v>
      </c>
      <c r="D726" s="15" t="inlineStr">
        <is>
          <t>Nova Agritech Limited</t>
        </is>
      </c>
      <c r="E726" s="15" t="inlineStr">
        <is>
          <t>Addendum</t>
        </is>
      </c>
      <c r="F726" s="15" t="inlineStr">
        <is>
          <t>Nova Agritech Limited - Addendum to DRHP</t>
        </is>
      </c>
      <c r="G726" s="15" t="inlineStr">
        <is>
          <t>IPO launched</t>
        </is>
      </c>
      <c r="H726" s="15" t="inlineStr">
        <is>
          <t>Mainboard</t>
        </is>
      </c>
      <c r="I726" s="16" t="n">
        <v>45314</v>
      </c>
      <c r="J726" s="16" t="n">
        <v>45316</v>
      </c>
      <c r="K726" s="16" t="n">
        <v>45322</v>
      </c>
      <c r="L726" s="17" t="n">
        <v>143.81</v>
      </c>
      <c r="M726" s="17" t="n">
        <v>112</v>
      </c>
      <c r="N726" s="17" t="n">
        <v>31.81</v>
      </c>
      <c r="O726" s="15" t="inlineStr">
        <is>
          <t>Final issue (ipoplatform)</t>
        </is>
      </c>
      <c r="P726" s="15" t="n"/>
      <c r="Q726" s="18" t="inlineStr">
        <is>
          <t>https://www.sebi.gov.in/sebi_data/attachdocs/may-2023/1684753283230.PDF</t>
        </is>
      </c>
      <c r="R726" s="18" t="inlineStr">
        <is>
          <t>https://www.sebi.gov.in/filings/public-issues/may-2023/nova-agritech-limited-addendum-to-drhp_71465.html</t>
        </is>
      </c>
      <c r="S726" s="15" t="n"/>
      <c r="T726" s="15" t="inlineStr">
        <is>
          <t>Company name + date window</t>
        </is>
      </c>
      <c r="U726" s="15" t="inlineStr">
        <is>
          <t>Nova AgriTech Limited</t>
        </is>
      </c>
      <c r="V726" s="15" t="n"/>
      <c r="W726" s="15" t="n"/>
      <c r="X726" s="15" t="n"/>
      <c r="Y726" s="15" t="n"/>
      <c r="Z726" s="15" t="n"/>
      <c r="AA726" s="15" t="n"/>
      <c r="AB726" s="15" t="n"/>
    </row>
    <row r="727" ht="15" customHeight="1" s="12">
      <c r="A727" s="14" t="n">
        <v>726</v>
      </c>
      <c r="B727" s="16" t="n">
        <v>45064</v>
      </c>
      <c r="C727" s="15" t="n">
        <v>2023</v>
      </c>
      <c r="D727" s="15" t="inlineStr">
        <is>
          <t>Netweb Technologies India Limited</t>
        </is>
      </c>
      <c r="E727" s="15" t="inlineStr">
        <is>
          <t>Corrigendum</t>
        </is>
      </c>
      <c r="F727" s="15" t="inlineStr">
        <is>
          <t>Netweb Technologies India Limited - Corrigendum to DRHP</t>
        </is>
      </c>
      <c r="G727" s="15" t="inlineStr">
        <is>
          <t>IPO launched</t>
        </is>
      </c>
      <c r="H727" s="15" t="inlineStr">
        <is>
          <t>Mainboard</t>
        </is>
      </c>
      <c r="I727" s="16" t="n">
        <v>45124</v>
      </c>
      <c r="J727" s="16" t="n">
        <v>45126</v>
      </c>
      <c r="K727" s="16" t="n">
        <v>45134</v>
      </c>
      <c r="L727" s="17" t="n">
        <v>631</v>
      </c>
      <c r="M727" s="17" t="n">
        <v>206</v>
      </c>
      <c r="N727" s="17" t="n">
        <v>425</v>
      </c>
      <c r="O727" s="15" t="inlineStr">
        <is>
          <t>Final issue (ipoplatform)</t>
        </is>
      </c>
      <c r="P727" s="15" t="n"/>
      <c r="Q727" s="18" t="inlineStr">
        <is>
          <t>https://www.sebi.gov.in/sebi_data/attachdocs/may-2023/1684408732919.PDF</t>
        </is>
      </c>
      <c r="R727" s="18" t="inlineStr">
        <is>
          <t>https://www.sebi.gov.in/filings/public-issues/may-2023/netweb-technologies-india-limited-corrigendum-to-drhp_71377.html</t>
        </is>
      </c>
      <c r="S727" s="15" t="n"/>
      <c r="T727" s="15" t="inlineStr">
        <is>
          <t>Company name + date window</t>
        </is>
      </c>
      <c r="U727" s="15" t="inlineStr">
        <is>
          <t>Netweb Technologies India Limited</t>
        </is>
      </c>
      <c r="V727" s="15" t="n"/>
      <c r="W727" s="15" t="n"/>
      <c r="X727" s="15" t="n"/>
      <c r="Y727" s="15" t="n"/>
      <c r="Z727" s="15" t="n"/>
      <c r="AA727" s="15" t="n"/>
      <c r="AB727" s="15" t="n"/>
    </row>
    <row r="728" ht="15" customHeight="1" s="12">
      <c r="A728" s="14" t="n">
        <v>727</v>
      </c>
      <c r="B728" s="16" t="n">
        <v>45063</v>
      </c>
      <c r="C728" s="15" t="n">
        <v>2023</v>
      </c>
      <c r="D728" s="15" t="inlineStr">
        <is>
          <t>Jupiter Life Line Hospitals Limited</t>
        </is>
      </c>
      <c r="E728" s="15" t="inlineStr">
        <is>
          <t>DRHP</t>
        </is>
      </c>
      <c r="F728" s="15" t="inlineStr">
        <is>
          <t>Jupiter Life Line Hospitals Limited - DRHP</t>
        </is>
      </c>
      <c r="G728" s="15" t="inlineStr">
        <is>
          <t>IPO launched</t>
        </is>
      </c>
      <c r="H728" s="15" t="inlineStr">
        <is>
          <t>Mainboard</t>
        </is>
      </c>
      <c r="I728" s="16" t="n">
        <v>45175</v>
      </c>
      <c r="J728" s="16" t="n">
        <v>45177</v>
      </c>
      <c r="K728" s="16" t="n">
        <v>45187</v>
      </c>
      <c r="L728" s="17" t="n">
        <v>869.08</v>
      </c>
      <c r="M728" s="17" t="n">
        <v>542</v>
      </c>
      <c r="N728" s="17" t="n">
        <v>327.08</v>
      </c>
      <c r="O728" s="15" t="inlineStr">
        <is>
          <t>Final issue (ipoplatform)</t>
        </is>
      </c>
      <c r="P728" s="15" t="n"/>
      <c r="Q728" s="18" t="inlineStr">
        <is>
          <t>https://www.sebi.gov.in/sebi_data/attachdocs/may-2023/1684323197879.pdf</t>
        </is>
      </c>
      <c r="R728" s="18" t="inlineStr">
        <is>
          <t>https://www.sebi.gov.in/filings/public-issues/may-2023/jupiter-life-line-hospitals-limited-drhp_71267.html</t>
        </is>
      </c>
      <c r="S728" s="15" t="n"/>
      <c r="T728" s="15" t="inlineStr">
        <is>
          <t>SEBI filing link</t>
        </is>
      </c>
      <c r="U728" s="15" t="inlineStr">
        <is>
          <t>Jupiter Life Line Hospitals Limited</t>
        </is>
      </c>
      <c r="V728" s="15" t="n"/>
      <c r="W728" s="15" t="n"/>
      <c r="X728" s="15" t="n"/>
      <c r="Y728" s="15" t="n"/>
      <c r="Z728" s="15" t="n"/>
      <c r="AA728" s="15" t="n"/>
      <c r="AB728" s="15" t="n"/>
    </row>
    <row r="729" ht="15" customHeight="1" s="12">
      <c r="A729" s="14" t="n">
        <v>728</v>
      </c>
      <c r="B729" s="16" t="n">
        <v>45056</v>
      </c>
      <c r="C729" s="15" t="n">
        <v>2023</v>
      </c>
      <c r="D729" s="15" t="inlineStr">
        <is>
          <t>JSW Infrastructure Limited</t>
        </is>
      </c>
      <c r="E729" s="15" t="inlineStr">
        <is>
          <t>DRHP</t>
        </is>
      </c>
      <c r="F729" s="15" t="inlineStr">
        <is>
          <t>JSW Infrastructure Limited - DRHP</t>
        </is>
      </c>
      <c r="G729" s="15" t="inlineStr">
        <is>
          <t>IPO launched</t>
        </is>
      </c>
      <c r="H729" s="15" t="inlineStr">
        <is>
          <t>Mainboard</t>
        </is>
      </c>
      <c r="I729" s="16" t="n">
        <v>45194</v>
      </c>
      <c r="J729" s="16" t="n">
        <v>45196</v>
      </c>
      <c r="K729" s="16" t="n">
        <v>45202</v>
      </c>
      <c r="L729" s="17" t="n">
        <v>2800</v>
      </c>
      <c r="M729" s="17" t="n">
        <v>2800</v>
      </c>
      <c r="N729" s="17" t="n">
        <v>0</v>
      </c>
      <c r="O729" s="15" t="inlineStr">
        <is>
          <t>Final issue (ipoplatform)</t>
        </is>
      </c>
      <c r="P729" s="15" t="n"/>
      <c r="Q729" s="18" t="inlineStr">
        <is>
          <t>https://www.sebi.gov.in/sebi_data/attachdocs/may-2023/1683716794791.pdf</t>
        </is>
      </c>
      <c r="R729" s="18" t="inlineStr">
        <is>
          <t>https://www.sebi.gov.in/filings/public-issues/may-2023/jsw-infrastructure-limited-drhp_71056.html</t>
        </is>
      </c>
      <c r="S729" s="15" t="n"/>
      <c r="T729" s="15" t="inlineStr">
        <is>
          <t>SEBI filing link</t>
        </is>
      </c>
      <c r="U729" s="15" t="inlineStr">
        <is>
          <t>JSW Infrastructure Limited</t>
        </is>
      </c>
      <c r="V729" s="15" t="n"/>
      <c r="W729" s="15" t="n"/>
      <c r="X729" s="15" t="n"/>
      <c r="Y729" s="15" t="n"/>
      <c r="Z729" s="15" t="n"/>
      <c r="AA729" s="15" t="n"/>
      <c r="AB729" s="15" t="n"/>
    </row>
    <row r="730" ht="15" customHeight="1" s="12">
      <c r="A730" s="14" t="n">
        <v>729</v>
      </c>
      <c r="B730" s="16" t="n">
        <v>45055</v>
      </c>
      <c r="C730" s="15" t="n">
        <v>2023</v>
      </c>
      <c r="D730" s="15" t="inlineStr">
        <is>
          <t>R R Kabel Limited</t>
        </is>
      </c>
      <c r="E730" s="15" t="inlineStr">
        <is>
          <t>DRHP</t>
        </is>
      </c>
      <c r="F730" s="15" t="inlineStr">
        <is>
          <t>R R Kabel Limited - DRHP</t>
        </is>
      </c>
      <c r="G730" s="15" t="inlineStr">
        <is>
          <t>IPO launched</t>
        </is>
      </c>
      <c r="H730" s="15" t="inlineStr">
        <is>
          <t>Mainboard</t>
        </is>
      </c>
      <c r="I730" s="16" t="n">
        <v>45182</v>
      </c>
      <c r="J730" s="16" t="n">
        <v>45184</v>
      </c>
      <c r="K730" s="16" t="n">
        <v>45189</v>
      </c>
      <c r="L730" s="17" t="n">
        <v>1964.01</v>
      </c>
      <c r="M730" s="17" t="n">
        <v>180</v>
      </c>
      <c r="N730" s="17" t="n">
        <v>1784.01</v>
      </c>
      <c r="O730" s="15" t="inlineStr">
        <is>
          <t>Final issue (ipoplatform)</t>
        </is>
      </c>
      <c r="P730" s="15" t="n"/>
      <c r="Q730" s="18" t="inlineStr">
        <is>
          <t>https://www.sebi.gov.in/sebi_data/attachdocs/may-2023/1683621492177.PDF</t>
        </is>
      </c>
      <c r="R730" s="18" t="inlineStr">
        <is>
          <t>https://www.sebi.gov.in/filings/public-issues/may-2023/r-r-kabel-limited-drhp_71012.html</t>
        </is>
      </c>
      <c r="S730" s="15" t="n"/>
      <c r="T730" s="15" t="inlineStr">
        <is>
          <t>SEBI filing link</t>
        </is>
      </c>
      <c r="U730" s="15" t="inlineStr">
        <is>
          <t>RR Kabel Limited</t>
        </is>
      </c>
      <c r="V730" s="15" t="n"/>
      <c r="W730" s="15" t="n"/>
      <c r="X730" s="15" t="n"/>
      <c r="Y730" s="15" t="n"/>
      <c r="Z730" s="15" t="n"/>
      <c r="AA730" s="15" t="n"/>
      <c r="AB730" s="15" t="n"/>
    </row>
    <row r="731" ht="15" customHeight="1" s="12">
      <c r="A731" s="14" t="n">
        <v>730</v>
      </c>
      <c r="B731" s="16" t="n">
        <v>45049</v>
      </c>
      <c r="C731" s="15" t="n">
        <v>2023</v>
      </c>
      <c r="D731" s="15" t="inlineStr">
        <is>
          <t>TVS Supply Chain Solutions Limited</t>
        </is>
      </c>
      <c r="E731" s="15" t="inlineStr">
        <is>
          <t>DRHP</t>
        </is>
      </c>
      <c r="F731" s="15" t="inlineStr">
        <is>
          <t>TVS Supply Chain Solutions Limited - DRHP</t>
        </is>
      </c>
      <c r="G731" s="15" t="inlineStr">
        <is>
          <t>IPO launched</t>
        </is>
      </c>
      <c r="H731" s="15" t="inlineStr">
        <is>
          <t>Mainboard</t>
        </is>
      </c>
      <c r="I731" s="16" t="n">
        <v>45148</v>
      </c>
      <c r="J731" s="16" t="n">
        <v>45152</v>
      </c>
      <c r="K731" s="16" t="n">
        <v>45161</v>
      </c>
      <c r="L731" s="17" t="n">
        <v>880</v>
      </c>
      <c r="M731" s="17" t="n">
        <v>600</v>
      </c>
      <c r="N731" s="17" t="n">
        <v>280</v>
      </c>
      <c r="O731" s="15" t="inlineStr">
        <is>
          <t>Final issue (ipoplatform)</t>
        </is>
      </c>
      <c r="P731" s="15" t="n"/>
      <c r="Q731" s="18" t="inlineStr">
        <is>
          <t>https://www.sebi.gov.in/sebi_data/attachdocs/may-2023/1683116014796.pdf</t>
        </is>
      </c>
      <c r="R731" s="18" t="inlineStr">
        <is>
          <t>https://www.sebi.gov.in/filings/public-issues/may-2023/tvs-supply-chain-solutions-limited-drhp_70876.html</t>
        </is>
      </c>
      <c r="S731" s="15" t="n"/>
      <c r="T731" s="15" t="inlineStr">
        <is>
          <t>SEBI filing link</t>
        </is>
      </c>
      <c r="U731" s="15" t="inlineStr">
        <is>
          <t>TVS Supply Chain Solutions Limited</t>
        </is>
      </c>
      <c r="V731" s="15" t="n"/>
      <c r="W731" s="15" t="n"/>
      <c r="X731" s="15" t="n"/>
      <c r="Y731" s="15" t="n"/>
      <c r="Z731" s="15" t="n"/>
      <c r="AA731" s="15" t="n"/>
      <c r="AB731" s="15" t="n"/>
    </row>
    <row r="732" ht="15" customHeight="1" s="12">
      <c r="A732" s="14" t="n">
        <v>731</v>
      </c>
      <c r="B732" s="16" t="n">
        <v>45049</v>
      </c>
      <c r="C732" s="15" t="n">
        <v>2023</v>
      </c>
      <c r="D732" s="15" t="inlineStr">
        <is>
          <t>Fincare Small Finance Bank Limited</t>
        </is>
      </c>
      <c r="E732" s="15" t="inlineStr">
        <is>
          <t>DRHP</t>
        </is>
      </c>
      <c r="F732" s="15" t="inlineStr">
        <is>
          <t>Fincare Small Finance Bank Limited - DRHP</t>
        </is>
      </c>
      <c r="G732" s="15" t="inlineStr">
        <is>
          <t>No launched IPO found</t>
        </is>
      </c>
      <c r="H732" s="15" t="n"/>
      <c r="I732" s="16" t="n"/>
      <c r="J732" s="16" t="n"/>
      <c r="K732" s="16" t="n"/>
      <c r="L732" s="17" t="n"/>
      <c r="M732" s="17" t="n"/>
      <c r="N732" s="17" t="n"/>
      <c r="O732" s="15" t="n"/>
      <c r="P732" s="15" t="n"/>
      <c r="Q732" s="18" t="inlineStr">
        <is>
          <t>https://www.sebi.gov.in/sebi_data/attachdocs/may-2023/1683096289229.pdf</t>
        </is>
      </c>
      <c r="R732" s="18" t="inlineStr">
        <is>
          <t>https://www.sebi.gov.in/filings/public-issues/may-2023/fincare-small-finance-bank-limited-drhp_70850.html</t>
        </is>
      </c>
      <c r="S732" s="15" t="n"/>
      <c r="T732" s="15" t="n"/>
      <c r="U732" s="15" t="n"/>
      <c r="V732" s="15" t="n"/>
      <c r="W732" s="16" t="n"/>
      <c r="X732" s="16" t="n"/>
      <c r="Y732" s="16" t="n"/>
      <c r="Z732" s="15" t="inlineStr">
        <is>
          <t>No issue found</t>
        </is>
      </c>
      <c r="AA732" s="15" t="inlineStr">
        <is>
          <t>SEBI approval after refiling; open date never announced.</t>
        </is>
      </c>
      <c r="AB732" s="18" t="inlineStr">
        <is>
          <t>https://finance.yahoo.com/news/fincare-small-finance-bank-gets-044405454.html</t>
        </is>
      </c>
    </row>
    <row r="733" ht="15" customHeight="1" s="12">
      <c r="A733" s="14" t="n">
        <v>732</v>
      </c>
      <c r="B733" s="16" t="n">
        <v>45044</v>
      </c>
      <c r="C733" s="15" t="n">
        <v>2023</v>
      </c>
      <c r="D733" s="15" t="inlineStr">
        <is>
          <t>Protean eGOV Technologies Limited</t>
        </is>
      </c>
      <c r="E733" s="15" t="inlineStr">
        <is>
          <t>Addendum</t>
        </is>
      </c>
      <c r="F733" s="15" t="inlineStr">
        <is>
          <t>Protean eGOV Technologies Limited addendum II to the DRHP</t>
        </is>
      </c>
      <c r="G733" s="15" t="inlineStr">
        <is>
          <t>IPO launched</t>
        </is>
      </c>
      <c r="H733" s="15" t="inlineStr">
        <is>
          <t>Mainboard</t>
        </is>
      </c>
      <c r="I733" s="16" t="n">
        <v>45236</v>
      </c>
      <c r="J733" s="16" t="n">
        <v>45238</v>
      </c>
      <c r="K733" s="16" t="n">
        <v>45243</v>
      </c>
      <c r="L733" s="17" t="n">
        <v>490.33</v>
      </c>
      <c r="M733" s="17" t="n">
        <v>490.33</v>
      </c>
      <c r="N733" s="17" t="n">
        <v>0</v>
      </c>
      <c r="O733" s="15" t="inlineStr">
        <is>
          <t>Final issue (ipoplatform)</t>
        </is>
      </c>
      <c r="P733" s="15" t="n"/>
      <c r="Q733" s="18" t="inlineStr">
        <is>
          <t>https://www.sebi.gov.in/sebi_data/attachdocs/apr-2023/1682655967651.pdf</t>
        </is>
      </c>
      <c r="R733" s="18" t="inlineStr">
        <is>
          <t>https://www.sebi.gov.in/filings/public-issues/apr-2023/protean-egov-technologies-limited-addendum-ii-to-the-drhp_70669.html</t>
        </is>
      </c>
      <c r="S733" s="15" t="n"/>
      <c r="T733" s="15" t="inlineStr">
        <is>
          <t>Company name + date window</t>
        </is>
      </c>
      <c r="U733" s="15" t="inlineStr">
        <is>
          <t>Protean eGov Technologies Limited</t>
        </is>
      </c>
      <c r="V733" s="15" t="n"/>
      <c r="W733" s="15" t="n"/>
      <c r="X733" s="15" t="n"/>
      <c r="Y733" s="15" t="n"/>
      <c r="Z733" s="15" t="n"/>
      <c r="AA733" s="15" t="n"/>
      <c r="AB733" s="15" t="n"/>
    </row>
    <row r="734" ht="15" customHeight="1" s="12">
      <c r="A734" s="14" t="n">
        <v>733</v>
      </c>
      <c r="B734" s="16" t="n">
        <v>45035</v>
      </c>
      <c r="C734" s="15" t="n">
        <v>2023</v>
      </c>
      <c r="D734" s="15" t="inlineStr">
        <is>
          <t>VISHNU PRAKASH R PUNGLIA LIMITED</t>
        </is>
      </c>
      <c r="E734" s="15" t="inlineStr">
        <is>
          <t>DRHP</t>
        </is>
      </c>
      <c r="F734" s="15" t="inlineStr">
        <is>
          <t>VISHNU PRAKASH R PUNGLIA LIMITED</t>
        </is>
      </c>
      <c r="G734" s="15" t="inlineStr">
        <is>
          <t>IPO launched</t>
        </is>
      </c>
      <c r="H734" s="15" t="inlineStr">
        <is>
          <t>Mainboard</t>
        </is>
      </c>
      <c r="I734" s="16" t="n">
        <v>45162</v>
      </c>
      <c r="J734" s="16" t="n">
        <v>45166</v>
      </c>
      <c r="K734" s="16" t="n">
        <v>45174</v>
      </c>
      <c r="L734" s="17" t="n">
        <v>308.88</v>
      </c>
      <c r="M734" s="17" t="n">
        <v>308.88</v>
      </c>
      <c r="N734" s="17" t="n">
        <v>0</v>
      </c>
      <c r="O734" s="15" t="inlineStr">
        <is>
          <t>Final issue (ipoplatform)</t>
        </is>
      </c>
      <c r="P734" s="15" t="n"/>
      <c r="Q734" s="18" t="inlineStr">
        <is>
          <t>https://www.sebi.gov.in/sebi_data/attachdocs/apr-2023/1681905621467_88.pdf</t>
        </is>
      </c>
      <c r="R734" s="18" t="inlineStr">
        <is>
          <t>https://www.sebi.gov.in/filings/public-issues/apr-2023/vishnu-prakash-r-punglia-limited_70322.html</t>
        </is>
      </c>
      <c r="S734" s="15" t="n"/>
      <c r="T734" s="15" t="inlineStr">
        <is>
          <t>SEBI filing link</t>
        </is>
      </c>
      <c r="U734" s="15" t="inlineStr">
        <is>
          <t>Vishnu Prakash R Punglia Limited</t>
        </is>
      </c>
      <c r="V734" s="15" t="n"/>
      <c r="W734" s="15" t="n"/>
      <c r="X734" s="15" t="n"/>
      <c r="Y734" s="15" t="n"/>
      <c r="Z734" s="15" t="n"/>
      <c r="AA734" s="15" t="n"/>
      <c r="AB734" s="15" t="n"/>
    </row>
    <row r="735" ht="15" customHeight="1" s="12">
      <c r="A735" s="14" t="n">
        <v>734</v>
      </c>
      <c r="B735" s="16" t="n">
        <v>45034</v>
      </c>
      <c r="C735" s="15" t="n">
        <v>2023</v>
      </c>
      <c r="D735" s="15" t="inlineStr">
        <is>
          <t>Platinumone Business Services Limited</t>
        </is>
      </c>
      <c r="E735" s="15" t="inlineStr">
        <is>
          <t>DRHP</t>
        </is>
      </c>
      <c r="F735" s="15" t="inlineStr">
        <is>
          <t>Platinumone Business Services Limited</t>
        </is>
      </c>
      <c r="G735" s="15" t="inlineStr">
        <is>
          <t>No launched IPO found</t>
        </is>
      </c>
      <c r="H735" s="15" t="n"/>
      <c r="I735" s="16" t="n"/>
      <c r="J735" s="16" t="n"/>
      <c r="K735" s="16" t="n"/>
      <c r="L735" s="17" t="n"/>
      <c r="M735" s="17" t="n"/>
      <c r="N735" s="17" t="n"/>
      <c r="O735" s="15" t="n"/>
      <c r="P735" s="15" t="n"/>
      <c r="Q735" s="18" t="inlineStr">
        <is>
          <t>https://www.sebi.gov.in/sebi_data/attachdocs/apr-2023/1682078412067_87.pdf</t>
        </is>
      </c>
      <c r="R735" s="18" t="inlineStr">
        <is>
          <t>https://www.sebi.gov.in/filings/public-issues/apr-2023/platinumone-business-services-limited_70447.html</t>
        </is>
      </c>
      <c r="S735" s="15" t="n"/>
      <c r="T735" s="15" t="n"/>
      <c r="U735" s="15" t="n"/>
      <c r="V735" s="15" t="inlineStr">
        <is>
          <t>Same-name IPO opened 02-Sep-2021 — outside 2 years of this filing, so not linked</t>
        </is>
      </c>
      <c r="W735" s="16" t="n"/>
      <c r="X735" s="16" t="n"/>
      <c r="Y735" s="16" t="n"/>
      <c r="Z735" s="15" t="inlineStr">
        <is>
          <t>No issue found</t>
        </is>
      </c>
      <c r="AA735" s="15" t="inlineStr">
        <is>
          <t>Business Standard lists the company but shows no issue dates; web search limit reached</t>
        </is>
      </c>
      <c r="AB735" s="18" t="inlineStr">
        <is>
          <t>https://www.business-standard.com/markets/ipo/platinumone-business-services-ltd-ipo-75113</t>
        </is>
      </c>
    </row>
    <row r="736" ht="15" customHeight="1" s="12">
      <c r="A736" s="14" t="n">
        <v>735</v>
      </c>
      <c r="B736" s="16" t="n">
        <v>45027</v>
      </c>
      <c r="C736" s="15" t="n">
        <v>2023</v>
      </c>
      <c r="D736" s="15" t="inlineStr">
        <is>
          <t>EMS Limited</t>
        </is>
      </c>
      <c r="E736" s="15" t="inlineStr">
        <is>
          <t>DRHP</t>
        </is>
      </c>
      <c r="F736" s="15" t="inlineStr">
        <is>
          <t>EMS Limited - DRHP</t>
        </is>
      </c>
      <c r="G736" s="15" t="inlineStr">
        <is>
          <t>IPO launched</t>
        </is>
      </c>
      <c r="H736" s="15" t="inlineStr">
        <is>
          <t>Mainboard</t>
        </is>
      </c>
      <c r="I736" s="16" t="n">
        <v>45177</v>
      </c>
      <c r="J736" s="16" t="n">
        <v>45181</v>
      </c>
      <c r="K736" s="16" t="n">
        <v>45190</v>
      </c>
      <c r="L736" s="17" t="n">
        <v>321.24</v>
      </c>
      <c r="M736" s="17" t="n">
        <v>146.24</v>
      </c>
      <c r="N736" s="17" t="n">
        <v>175</v>
      </c>
      <c r="O736" s="15" t="inlineStr">
        <is>
          <t>Final issue (ipoplatform)</t>
        </is>
      </c>
      <c r="P736" s="15" t="n"/>
      <c r="Q736" s="18" t="inlineStr">
        <is>
          <t>https://www.sebi.gov.in/sebi_data/attachdocs/apr-2023/1681210724670.pdf</t>
        </is>
      </c>
      <c r="R736" s="18" t="inlineStr">
        <is>
          <t>https://www.sebi.gov.in/filings/public-issues/apr-2023/ems-limited-drhp_70016.html</t>
        </is>
      </c>
      <c r="S736" s="15" t="n"/>
      <c r="T736" s="15" t="inlineStr">
        <is>
          <t>SEBI filing link</t>
        </is>
      </c>
      <c r="U736" s="15" t="inlineStr">
        <is>
          <t>EMS Limited</t>
        </is>
      </c>
      <c r="V736" s="15" t="n"/>
      <c r="W736" s="15" t="n"/>
      <c r="X736" s="15" t="n"/>
      <c r="Y736" s="15" t="n"/>
      <c r="Z736" s="15" t="n"/>
      <c r="AA736" s="15" t="n"/>
      <c r="AB736" s="15" t="n"/>
    </row>
    <row r="737" ht="15" customHeight="1" s="12">
      <c r="A737" s="14" t="n">
        <v>736</v>
      </c>
      <c r="B737" s="16" t="n">
        <v>45022</v>
      </c>
      <c r="C737" s="15" t="n">
        <v>2023</v>
      </c>
      <c r="D737" s="15" t="inlineStr">
        <is>
          <t>Go digit General Insurance Limited</t>
        </is>
      </c>
      <c r="E737" s="15" t="inlineStr">
        <is>
          <t>DRHP</t>
        </is>
      </c>
      <c r="F737" s="15" t="inlineStr">
        <is>
          <t>Go digit General Insurance Limited - DRHP</t>
        </is>
      </c>
      <c r="G737" s="15" t="inlineStr">
        <is>
          <t>IPO launched</t>
        </is>
      </c>
      <c r="H737" s="15" t="inlineStr">
        <is>
          <t>Mainboard</t>
        </is>
      </c>
      <c r="I737" s="16" t="n">
        <v>45427</v>
      </c>
      <c r="J737" s="16" t="n">
        <v>45429</v>
      </c>
      <c r="K737" s="16" t="n">
        <v>45435</v>
      </c>
      <c r="L737" s="17" t="n">
        <v>2614.65</v>
      </c>
      <c r="M737" s="17" t="n">
        <v>1125</v>
      </c>
      <c r="N737" s="17" t="n">
        <v>1489.65</v>
      </c>
      <c r="O737" s="15" t="inlineStr">
        <is>
          <t>Final issue (ipoplatform)</t>
        </is>
      </c>
      <c r="P737" s="15" t="n"/>
      <c r="Q737" s="18" t="inlineStr">
        <is>
          <t>https://www.sebi.gov.in/sebi_data/attachdocs/apr-2023/1680765082765.pdf</t>
        </is>
      </c>
      <c r="R737" s="18" t="inlineStr">
        <is>
          <t>https://www.sebi.gov.in/filings/public-issues/apr-2023/go-digit-general-insurance-limited-drhp_69822.html</t>
        </is>
      </c>
      <c r="S737" s="15" t="n"/>
      <c r="T737" s="15" t="inlineStr">
        <is>
          <t>SEBI filing link</t>
        </is>
      </c>
      <c r="U737" s="15" t="inlineStr">
        <is>
          <t>Go Digit General Insurance Limited</t>
        </is>
      </c>
      <c r="V737" s="15" t="n"/>
      <c r="W737" s="15" t="n"/>
      <c r="X737" s="15" t="n"/>
      <c r="Y737" s="15" t="n"/>
      <c r="Z737" s="15" t="n"/>
      <c r="AA737" s="15" t="n"/>
      <c r="AB737" s="15" t="n"/>
    </row>
    <row r="738" ht="15" customHeight="1" s="12">
      <c r="A738" s="14" t="n">
        <v>737</v>
      </c>
      <c r="B738" s="16" t="n">
        <v>45021</v>
      </c>
      <c r="C738" s="15" t="n">
        <v>2023</v>
      </c>
      <c r="D738" s="15" t="inlineStr">
        <is>
          <t>Samhi Hotels Limited</t>
        </is>
      </c>
      <c r="E738" s="15" t="inlineStr">
        <is>
          <t>DRHP</t>
        </is>
      </c>
      <c r="F738" s="15" t="inlineStr">
        <is>
          <t>Samhi Hotels Limited - DRHP</t>
        </is>
      </c>
      <c r="G738" s="15" t="inlineStr">
        <is>
          <t>IPO launched</t>
        </is>
      </c>
      <c r="H738" s="15" t="inlineStr">
        <is>
          <t>Mainboard</t>
        </is>
      </c>
      <c r="I738" s="16" t="n">
        <v>45183</v>
      </c>
      <c r="J738" s="16" t="n">
        <v>45187</v>
      </c>
      <c r="K738" s="16" t="n">
        <v>45191</v>
      </c>
      <c r="L738" s="17" t="n">
        <v>1370.1</v>
      </c>
      <c r="M738" s="17" t="n">
        <v>1</v>
      </c>
      <c r="N738" s="17" t="n">
        <v>0</v>
      </c>
      <c r="O738" s="15" t="inlineStr">
        <is>
          <t>Final issue (ipoplatform)</t>
        </is>
      </c>
      <c r="P738" s="15" t="n"/>
      <c r="Q738" s="18" t="inlineStr">
        <is>
          <t>https://www.sebi.gov.in/sebi_data/attachdocs/apr-2023/1680697115479.pdf</t>
        </is>
      </c>
      <c r="R738" s="18" t="inlineStr">
        <is>
          <t>https://www.sebi.gov.in/filings/public-issues/apr-2023/samhi-hotels-limited-drhp_69808.html</t>
        </is>
      </c>
      <c r="S738" s="15" t="n"/>
      <c r="T738" s="15" t="inlineStr">
        <is>
          <t>SEBI filing link</t>
        </is>
      </c>
      <c r="U738" s="15" t="inlineStr">
        <is>
          <t>SAMHI Hotels Limited</t>
        </is>
      </c>
      <c r="V738" s="15" t="n"/>
      <c r="W738" s="15" t="n"/>
      <c r="X738" s="15" t="n"/>
      <c r="Y738" s="15" t="n"/>
      <c r="Z738" s="15" t="n"/>
      <c r="AA738" s="15" t="n"/>
      <c r="AB738" s="15" t="n"/>
    </row>
    <row r="739" ht="15" customHeight="1" s="12">
      <c r="A739" s="14" t="n">
        <v>738</v>
      </c>
      <c r="B739" s="16" t="n">
        <v>45019</v>
      </c>
      <c r="C739" s="15" t="n">
        <v>2023</v>
      </c>
      <c r="D739" s="15" t="inlineStr">
        <is>
          <t>Aeroflex Industries Limited</t>
        </is>
      </c>
      <c r="E739" s="15" t="inlineStr">
        <is>
          <t>DRHP</t>
        </is>
      </c>
      <c r="F739" s="15" t="inlineStr">
        <is>
          <t>Aeroflex Industries Limited</t>
        </is>
      </c>
      <c r="G739" s="15" t="inlineStr">
        <is>
          <t>IPO launched</t>
        </is>
      </c>
      <c r="H739" s="15" t="inlineStr">
        <is>
          <t>Mainboard</t>
        </is>
      </c>
      <c r="I739" s="16" t="n">
        <v>45160</v>
      </c>
      <c r="J739" s="16" t="n">
        <v>45162</v>
      </c>
      <c r="K739" s="16" t="n">
        <v>45169</v>
      </c>
      <c r="L739" s="17" t="n">
        <v>351</v>
      </c>
      <c r="M739" s="17" t="n">
        <v>162</v>
      </c>
      <c r="N739" s="17" t="n">
        <v>189</v>
      </c>
      <c r="O739" s="15" t="inlineStr">
        <is>
          <t>Final issue (ipoplatform)</t>
        </is>
      </c>
      <c r="P739" s="15" t="n"/>
      <c r="Q739" s="18" t="inlineStr">
        <is>
          <t>https://www.sebi.gov.in/sebi_data/attachdocs/apr-2023/1680523220624_82.pdf</t>
        </is>
      </c>
      <c r="R739" s="18" t="inlineStr">
        <is>
          <t>https://www.sebi.gov.in/filings/public-issues/apr-2023/aeroflex-industries-limited_69721.html</t>
        </is>
      </c>
      <c r="S739" s="15" t="n"/>
      <c r="T739" s="15" t="inlineStr">
        <is>
          <t>SEBI filing link</t>
        </is>
      </c>
      <c r="U739" s="15" t="inlineStr">
        <is>
          <t>Aeroflex Industries Limited</t>
        </is>
      </c>
      <c r="V739" s="15" t="n"/>
      <c r="W739" s="15" t="n"/>
      <c r="X739" s="15" t="n"/>
      <c r="Y739" s="15" t="n"/>
      <c r="Z739" s="15" t="n"/>
      <c r="AA739" s="15" t="n"/>
      <c r="AB739" s="15" t="n"/>
    </row>
    <row r="740" ht="15" customHeight="1" s="12">
      <c r="A740" s="14" t="n">
        <v>739</v>
      </c>
      <c r="B740" s="16" t="n">
        <v>45019</v>
      </c>
      <c r="C740" s="15" t="n">
        <v>2023</v>
      </c>
      <c r="D740" s="15" t="inlineStr">
        <is>
          <t>Sancode Technologies Limited</t>
        </is>
      </c>
      <c r="E740" s="15" t="inlineStr">
        <is>
          <t>DRHP</t>
        </is>
      </c>
      <c r="F740" s="15" t="inlineStr">
        <is>
          <t>Sancode Technologies Limited</t>
        </is>
      </c>
      <c r="G740" s="15" t="inlineStr">
        <is>
          <t>No launched IPO found</t>
        </is>
      </c>
      <c r="H740" s="15" t="n"/>
      <c r="I740" s="16" t="n"/>
      <c r="J740" s="16" t="n"/>
      <c r="K740" s="16" t="n"/>
      <c r="L740" s="17" t="n"/>
      <c r="M740" s="17" t="n"/>
      <c r="N740" s="17" t="n"/>
      <c r="O740" s="15" t="n"/>
      <c r="P740" s="15" t="n"/>
      <c r="Q740" s="18" t="inlineStr">
        <is>
          <t>https://www.sebi.gov.in/sebi_data/attachdocs/apr-2023/1680523220624_81.pdf</t>
        </is>
      </c>
      <c r="R740" s="18" t="inlineStr">
        <is>
          <t>https://www.sebi.gov.in/filings/public-issues/apr-2023/sancode-technologies-limited_69719.html</t>
        </is>
      </c>
      <c r="S740" s="15" t="n"/>
      <c r="T740" s="15" t="n"/>
      <c r="U740" s="15" t="n"/>
      <c r="V740" s="15" t="inlineStr">
        <is>
          <t>Same-name IPO opened 31-Mar-2023 — outside 2 years of this filing, so not linked</t>
        </is>
      </c>
      <c r="W740" s="16" t="n"/>
      <c r="X740" s="16" t="n"/>
      <c r="Y740" s="16" t="n"/>
      <c r="Z740" s="15" t="inlineStr">
        <is>
          <t>No issue found</t>
        </is>
      </c>
      <c r="AA740" s="15" t="inlineStr">
        <is>
          <t>Business Standard lists the company but shows no issue dates; web search limit reached</t>
        </is>
      </c>
      <c r="AB740" s="18" t="inlineStr">
        <is>
          <t>https://www.business-standard.com/markets/ipo/sancode-technologies-ltd-ipo-78789</t>
        </is>
      </c>
    </row>
    <row r="741" ht="15" customHeight="1" s="12">
      <c r="A741" s="14" t="n">
        <v>740</v>
      </c>
      <c r="B741" s="16" t="n">
        <v>45019</v>
      </c>
      <c r="C741" s="15" t="n">
        <v>2023</v>
      </c>
      <c r="D741" s="15" t="inlineStr">
        <is>
          <t>Pyramid Technoplast Limited</t>
        </is>
      </c>
      <c r="E741" s="15" t="inlineStr">
        <is>
          <t>DRHP</t>
        </is>
      </c>
      <c r="F741" s="15" t="inlineStr">
        <is>
          <t>Pyramid Technoplast Limited - DRHP</t>
        </is>
      </c>
      <c r="G741" s="15" t="inlineStr">
        <is>
          <t>IPO launched</t>
        </is>
      </c>
      <c r="H741" s="15" t="inlineStr">
        <is>
          <t>Mainboard</t>
        </is>
      </c>
      <c r="I741" s="16" t="n">
        <v>45156</v>
      </c>
      <c r="J741" s="16" t="n">
        <v>45160</v>
      </c>
      <c r="K741" s="16" t="n">
        <v>45167</v>
      </c>
      <c r="L741" s="17" t="n">
        <v>153.05</v>
      </c>
      <c r="M741" s="17" t="n">
        <v>91.3</v>
      </c>
      <c r="N741" s="17" t="n">
        <v>61.75</v>
      </c>
      <c r="O741" s="15" t="inlineStr">
        <is>
          <t>Final issue (ipoplatform)</t>
        </is>
      </c>
      <c r="P741" s="15" t="n"/>
      <c r="Q741" s="18" t="inlineStr">
        <is>
          <t>https://www.sebi.gov.in/sebi_data/attachdocs/apr-2023/1680765001825.pdf</t>
        </is>
      </c>
      <c r="R741" s="18" t="inlineStr">
        <is>
          <t>https://www.sebi.gov.in/filings/public-issues/apr-2023/pyramid-technoplast-limited-drhp_69688.html</t>
        </is>
      </c>
      <c r="S741" s="15" t="n"/>
      <c r="T741" s="15" t="inlineStr">
        <is>
          <t>SEBI filing link</t>
        </is>
      </c>
      <c r="U741" s="15" t="inlineStr">
        <is>
          <t>Pyramid Technoplast Limited</t>
        </is>
      </c>
      <c r="V741" s="15" t="n"/>
      <c r="W741" s="15" t="n"/>
      <c r="X741" s="15" t="n"/>
      <c r="Y741" s="15" t="n"/>
      <c r="Z741" s="15" t="n"/>
      <c r="AA741" s="15" t="n"/>
      <c r="AB741" s="15" t="n"/>
    </row>
    <row r="742" ht="15" customHeight="1" s="12">
      <c r="A742" s="14" t="n">
        <v>741</v>
      </c>
      <c r="B742" s="16" t="n">
        <v>45016</v>
      </c>
      <c r="C742" s="15" t="n">
        <v>2023</v>
      </c>
      <c r="D742" s="15" t="inlineStr">
        <is>
          <t>Updater Services Limited</t>
        </is>
      </c>
      <c r="E742" s="15" t="inlineStr">
        <is>
          <t>DRHP</t>
        </is>
      </c>
      <c r="F742" s="15" t="inlineStr">
        <is>
          <t>Updater Services Limited</t>
        </is>
      </c>
      <c r="G742" s="15" t="inlineStr">
        <is>
          <t>IPO launched</t>
        </is>
      </c>
      <c r="H742" s="15" t="inlineStr">
        <is>
          <t>Mainboard</t>
        </is>
      </c>
      <c r="I742" s="16" t="n">
        <v>45194</v>
      </c>
      <c r="J742" s="16" t="n">
        <v>45196</v>
      </c>
      <c r="K742" s="16" t="n">
        <v>45203</v>
      </c>
      <c r="L742" s="17" t="n">
        <v>640</v>
      </c>
      <c r="M742" s="17" t="n">
        <v>640</v>
      </c>
      <c r="N742" s="17" t="n">
        <v>0</v>
      </c>
      <c r="O742" s="15" t="inlineStr">
        <is>
          <t>Final issue (ipoplatform)</t>
        </is>
      </c>
      <c r="P742" s="15" t="n"/>
      <c r="Q742" s="18" t="inlineStr">
        <is>
          <t>https://www.sebi.gov.in/sebi_data/attachdocs/mar-2023/1680264041781_80.pdf</t>
        </is>
      </c>
      <c r="R742" s="18" t="inlineStr">
        <is>
          <t>https://www.sebi.gov.in/filings/public-issues/mar-2023/updater-services-limited_69634.html</t>
        </is>
      </c>
      <c r="S742" s="15" t="n"/>
      <c r="T742" s="15" t="inlineStr">
        <is>
          <t>SEBI filing link</t>
        </is>
      </c>
      <c r="U742" s="15" t="inlineStr">
        <is>
          <t>Updater Services Limited</t>
        </is>
      </c>
      <c r="V742" s="15" t="n"/>
      <c r="W742" s="15" t="n"/>
      <c r="X742" s="15" t="n"/>
      <c r="Y742" s="15" t="n"/>
      <c r="Z742" s="15" t="n"/>
      <c r="AA742" s="15" t="n"/>
      <c r="AB742" s="15" t="n"/>
    </row>
    <row r="743" ht="15" customHeight="1" s="12">
      <c r="A743" s="14" t="n">
        <v>742</v>
      </c>
      <c r="B743" s="16" t="n">
        <v>45014</v>
      </c>
      <c r="C743" s="15" t="n">
        <v>2023</v>
      </c>
      <c r="D743" s="15" t="inlineStr">
        <is>
          <t>SPC Life Sciences Limited</t>
        </is>
      </c>
      <c r="E743" s="15" t="inlineStr">
        <is>
          <t>DRHP</t>
        </is>
      </c>
      <c r="F743" s="15" t="inlineStr">
        <is>
          <t>SPC Life Sciences Limited - DRHP</t>
        </is>
      </c>
      <c r="G743" s="15" t="inlineStr">
        <is>
          <t>No launched IPO found</t>
        </is>
      </c>
      <c r="H743" s="15" t="n"/>
      <c r="I743" s="16" t="n"/>
      <c r="J743" s="16" t="n"/>
      <c r="K743" s="16" t="n"/>
      <c r="L743" s="17" t="n"/>
      <c r="M743" s="17" t="n"/>
      <c r="N743" s="17" t="n"/>
      <c r="O743" s="15" t="n"/>
      <c r="P743" s="15" t="n"/>
      <c r="Q743" s="18" t="inlineStr">
        <is>
          <t>https://www.sebi.gov.in/sebi_data/attachdocs/mar-2023/1680236918309.pdf</t>
        </is>
      </c>
      <c r="R743" s="18" t="inlineStr">
        <is>
          <t>https://www.sebi.gov.in/filings/public-issues/mar-2023/spc-life-sciences-limited-drhp_69567.html</t>
        </is>
      </c>
      <c r="S743" s="15" t="n"/>
      <c r="T743" s="15" t="n"/>
      <c r="U743" s="15" t="n"/>
      <c r="V743" s="15" t="n"/>
      <c r="W743" s="16" t="n"/>
      <c r="X743" s="16" t="n"/>
      <c r="Y743" s="16" t="n"/>
      <c r="Z743" s="15" t="inlineStr">
        <is>
          <t>No issue found</t>
        </is>
      </c>
      <c r="AA743" s="15" t="inlineStr">
        <is>
          <t>Business Standard lists the company but shows no issue dates; web search limit reached</t>
        </is>
      </c>
      <c r="AB743" s="18" t="inlineStr">
        <is>
          <t>https://www.business-standard.com/markets/ipo/spc-life-sciences-ltd-ipo-78853</t>
        </is>
      </c>
    </row>
    <row r="744" ht="15" customHeight="1" s="12">
      <c r="A744" s="14" t="n">
        <v>743</v>
      </c>
      <c r="B744" s="16" t="n">
        <v>45013</v>
      </c>
      <c r="C744" s="15" t="n">
        <v>2023</v>
      </c>
      <c r="D744" s="15" t="inlineStr">
        <is>
          <t>Netweb Technologies India Limited</t>
        </is>
      </c>
      <c r="E744" s="15" t="inlineStr">
        <is>
          <t>DRHP</t>
        </is>
      </c>
      <c r="F744" s="15" t="inlineStr">
        <is>
          <t>Netweb Technologies India Limited - DRHP</t>
        </is>
      </c>
      <c r="G744" s="15" t="inlineStr">
        <is>
          <t>IPO launched</t>
        </is>
      </c>
      <c r="H744" s="15" t="inlineStr">
        <is>
          <t>Mainboard</t>
        </is>
      </c>
      <c r="I744" s="16" t="n">
        <v>45124</v>
      </c>
      <c r="J744" s="16" t="n">
        <v>45126</v>
      </c>
      <c r="K744" s="16" t="n">
        <v>45134</v>
      </c>
      <c r="L744" s="17" t="n">
        <v>631</v>
      </c>
      <c r="M744" s="17" t="n">
        <v>206</v>
      </c>
      <c r="N744" s="17" t="n">
        <v>425</v>
      </c>
      <c r="O744" s="15" t="inlineStr">
        <is>
          <t>Final issue (ipoplatform)</t>
        </is>
      </c>
      <c r="P744" s="15" t="n"/>
      <c r="Q744" s="18" t="inlineStr">
        <is>
          <t>https://www.sebi.gov.in/sebi_data/attachdocs/mar-2023/1680257780744.PDF</t>
        </is>
      </c>
      <c r="R744" s="18" t="inlineStr">
        <is>
          <t>https://www.sebi.gov.in/filings/public-issues/mar-2023/netweb-technologies-india-limited-drhp_69580.html</t>
        </is>
      </c>
      <c r="S744" s="15" t="n"/>
      <c r="T744" s="15" t="inlineStr">
        <is>
          <t>SEBI filing link</t>
        </is>
      </c>
      <c r="U744" s="15" t="inlineStr">
        <is>
          <t>Netweb Technologies India Limited</t>
        </is>
      </c>
      <c r="V744" s="15" t="n"/>
      <c r="W744" s="15" t="n"/>
      <c r="X744" s="15" t="n"/>
      <c r="Y744" s="15" t="n"/>
      <c r="Z744" s="15" t="n"/>
      <c r="AA744" s="15" t="n"/>
      <c r="AB744" s="15" t="n"/>
    </row>
    <row r="745" ht="15" customHeight="1" s="12">
      <c r="A745" s="14" t="n">
        <v>744</v>
      </c>
      <c r="B745" s="16" t="n">
        <v>45012</v>
      </c>
      <c r="C745" s="15" t="n">
        <v>2023</v>
      </c>
      <c r="D745" s="15" t="inlineStr">
        <is>
          <t>Motisons Jewellers Limited</t>
        </is>
      </c>
      <c r="E745" s="15" t="inlineStr">
        <is>
          <t>DRHP</t>
        </is>
      </c>
      <c r="F745" s="15" t="inlineStr">
        <is>
          <t>Motisons Jewellers Limited - DRHP</t>
        </is>
      </c>
      <c r="G745" s="15" t="inlineStr">
        <is>
          <t>IPO launched</t>
        </is>
      </c>
      <c r="H745" s="15" t="inlineStr">
        <is>
          <t>Mainboard</t>
        </is>
      </c>
      <c r="I745" s="16" t="n">
        <v>45278</v>
      </c>
      <c r="J745" s="16" t="n">
        <v>45280</v>
      </c>
      <c r="K745" s="16" t="n">
        <v>45286</v>
      </c>
      <c r="L745" s="17" t="n">
        <v>151.09</v>
      </c>
      <c r="M745" s="17" t="n">
        <v>151.09</v>
      </c>
      <c r="N745" s="17" t="n">
        <v>0</v>
      </c>
      <c r="O745" s="15" t="inlineStr">
        <is>
          <t>Final issue (ipoplatform)</t>
        </is>
      </c>
      <c r="P745" s="15" t="n"/>
      <c r="Q745" s="18" t="inlineStr">
        <is>
          <t>https://www.sebi.gov.in/sebi_data/attachdocs/mar-2023/1679900321115.pdf</t>
        </is>
      </c>
      <c r="R745" s="18" t="inlineStr">
        <is>
          <t>https://www.sebi.gov.in/filings/public-issues/mar-2023/motisons-jewellers-limited-drhp_69335.html</t>
        </is>
      </c>
      <c r="S745" s="15" t="n"/>
      <c r="T745" s="15" t="inlineStr">
        <is>
          <t>SEBI filing link</t>
        </is>
      </c>
      <c r="U745" s="15" t="inlineStr">
        <is>
          <t>Motisons Jewellers Limited</t>
        </is>
      </c>
      <c r="V745" s="15" t="n"/>
      <c r="W745" s="15" t="n"/>
      <c r="X745" s="15" t="n"/>
      <c r="Y745" s="15" t="n"/>
      <c r="Z745" s="15" t="n"/>
      <c r="AA745" s="15" t="n"/>
      <c r="AB745" s="15" t="n"/>
    </row>
    <row r="746" ht="15" customHeight="1" s="12">
      <c r="A746" s="14" t="n">
        <v>745</v>
      </c>
      <c r="B746" s="16" t="n">
        <v>45009</v>
      </c>
      <c r="C746" s="15" t="n">
        <v>2023</v>
      </c>
      <c r="D746" s="15" t="inlineStr">
        <is>
          <t>INFINIUM PHARMACHEM LIMITED</t>
        </is>
      </c>
      <c r="E746" s="15" t="inlineStr">
        <is>
          <t>DRHP</t>
        </is>
      </c>
      <c r="F746" s="15" t="inlineStr">
        <is>
          <t>INFINIUM PHARMACHEM LIMITED</t>
        </is>
      </c>
      <c r="G746" s="15" t="inlineStr">
        <is>
          <t>IPO launched</t>
        </is>
      </c>
      <c r="H746" s="15" t="inlineStr">
        <is>
          <t>SME</t>
        </is>
      </c>
      <c r="I746" s="16" t="n">
        <v>45016</v>
      </c>
      <c r="J746" s="16" t="n">
        <v>45021</v>
      </c>
      <c r="K746" s="16" t="n">
        <v>45033</v>
      </c>
      <c r="L746" s="17" t="n">
        <v>25.26</v>
      </c>
      <c r="M746" s="17" t="n">
        <v>25.26</v>
      </c>
      <c r="N746" s="17" t="n">
        <v>0</v>
      </c>
      <c r="O746" s="15" t="inlineStr">
        <is>
          <t>Final issue (ipoplatform)</t>
        </is>
      </c>
      <c r="P746" s="15" t="n"/>
      <c r="Q746" s="18" t="inlineStr">
        <is>
          <t>https://www.sebi.gov.in/sebi_data/attachdocs/mar-2023/1679659218079_76.pdf</t>
        </is>
      </c>
      <c r="R746" s="18" t="inlineStr">
        <is>
          <t>https://www.sebi.gov.in/filings/public-issues/mar-2023/infinium-pharmachem-limited_69297.html</t>
        </is>
      </c>
      <c r="S746" s="15" t="n"/>
      <c r="T746" s="15" t="inlineStr">
        <is>
          <t>Company name + date window</t>
        </is>
      </c>
      <c r="U746" s="15" t="inlineStr">
        <is>
          <t>Infinium Pharmachem Limited</t>
        </is>
      </c>
      <c r="V746" s="15" t="n"/>
      <c r="W746" s="15" t="n"/>
      <c r="X746" s="15" t="n"/>
      <c r="Y746" s="15" t="n"/>
      <c r="Z746" s="15" t="n"/>
      <c r="AA746" s="15" t="n"/>
      <c r="AB746" s="15" t="n"/>
    </row>
    <row r="747" ht="15" customHeight="1" s="12">
      <c r="A747" s="14" t="n">
        <v>746</v>
      </c>
      <c r="B747" s="16" t="n">
        <v>45008</v>
      </c>
      <c r="C747" s="15" t="n">
        <v>2023</v>
      </c>
      <c r="D747" s="15" t="inlineStr">
        <is>
          <t>SBFC Finance Limited</t>
        </is>
      </c>
      <c r="E747" s="15" t="inlineStr">
        <is>
          <t>DRHP</t>
        </is>
      </c>
      <c r="F747" s="15" t="inlineStr">
        <is>
          <t>SBFC Finance Limited - DRHP</t>
        </is>
      </c>
      <c r="G747" s="15" t="inlineStr">
        <is>
          <t>IPO launched</t>
        </is>
      </c>
      <c r="H747" s="15" t="inlineStr">
        <is>
          <t>Mainboard</t>
        </is>
      </c>
      <c r="I747" s="16" t="n">
        <v>45141</v>
      </c>
      <c r="J747" s="16" t="n">
        <v>45145</v>
      </c>
      <c r="K747" s="16" t="n">
        <v>45154</v>
      </c>
      <c r="L747" s="17" t="n">
        <v>1025</v>
      </c>
      <c r="M747" s="17" t="n">
        <v>600</v>
      </c>
      <c r="N747" s="17" t="n">
        <v>425</v>
      </c>
      <c r="O747" s="15" t="inlineStr">
        <is>
          <t>Final issue (ipoplatform)</t>
        </is>
      </c>
      <c r="P747" s="15" t="n"/>
      <c r="Q747" s="18" t="inlineStr">
        <is>
          <t>https://www.sebi.gov.in/sebi_data/attachdocs/mar-2023/1679906630033.pdf</t>
        </is>
      </c>
      <c r="R747" s="18" t="inlineStr">
        <is>
          <t>https://www.sebi.gov.in/filings/public-issues/mar-2023/sbfc-finance-limited-drhp_69343.html</t>
        </is>
      </c>
      <c r="S747" s="15" t="n"/>
      <c r="T747" s="15" t="inlineStr">
        <is>
          <t>SEBI filing link</t>
        </is>
      </c>
      <c r="U747" s="15" t="inlineStr">
        <is>
          <t>SBFC Finance Limited</t>
        </is>
      </c>
      <c r="V747" s="15" t="n"/>
      <c r="W747" s="15" t="n"/>
      <c r="X747" s="15" t="n"/>
      <c r="Y747" s="15" t="n"/>
      <c r="Z747" s="15" t="n"/>
      <c r="AA747" s="15" t="n"/>
      <c r="AB747" s="15" t="n"/>
    </row>
    <row r="748" ht="15" customHeight="1" s="12">
      <c r="A748" s="14" t="n">
        <v>747</v>
      </c>
      <c r="B748" s="16" t="n">
        <v>45006</v>
      </c>
      <c r="C748" s="15" t="n">
        <v>2023</v>
      </c>
      <c r="D748" s="15" t="inlineStr">
        <is>
          <t>SVJ ENTERPRISES LIMITED</t>
        </is>
      </c>
      <c r="E748" s="15" t="inlineStr">
        <is>
          <t>DRHP</t>
        </is>
      </c>
      <c r="F748" s="15" t="inlineStr">
        <is>
          <t>SVJ ENTERPRISES LIMITED</t>
        </is>
      </c>
      <c r="G748" s="15" t="inlineStr">
        <is>
          <t>No launched IPO found</t>
        </is>
      </c>
      <c r="H748" s="15" t="n"/>
      <c r="I748" s="16" t="n"/>
      <c r="J748" s="16" t="n"/>
      <c r="K748" s="16" t="n"/>
      <c r="L748" s="17" t="n"/>
      <c r="M748" s="17" t="n"/>
      <c r="N748" s="17" t="n"/>
      <c r="O748" s="15" t="n"/>
      <c r="P748" s="15" t="n"/>
      <c r="Q748" s="18" t="inlineStr">
        <is>
          <t>https://www.sebi.gov.in/sebi_data/attachdocs/mar-2023/1679486410438_74.pdf</t>
        </is>
      </c>
      <c r="R748" s="18" t="inlineStr">
        <is>
          <t>https://www.sebi.gov.in/filings/public-issues/mar-2023/svj-enterprises-limited_69201.html</t>
        </is>
      </c>
      <c r="S748" s="15" t="n"/>
      <c r="T748" s="15" t="n"/>
      <c r="U748" s="15" t="n"/>
      <c r="V748" s="15" t="inlineStr">
        <is>
          <t>Same-name IPO opened 23-Feb-2023 — outside 2 years of this filing, so not linked</t>
        </is>
      </c>
      <c r="W748" s="16" t="n"/>
      <c r="X748" s="16" t="n"/>
      <c r="Y748" s="16" t="n"/>
      <c r="Z748" s="15" t="inlineStr">
        <is>
          <t>No issue found</t>
        </is>
      </c>
      <c r="AA748" s="15" t="inlineStr">
        <is>
          <t>Business Standard lists the company but shows no issue dates; web search limit reached</t>
        </is>
      </c>
      <c r="AB748" s="18" t="inlineStr">
        <is>
          <t>https://www.business-standard.com/markets/ipo/s-v-j-enterprises-ltd-ipo-78003</t>
        </is>
      </c>
    </row>
    <row r="749" ht="15" customHeight="1" s="12">
      <c r="A749" s="14" t="n">
        <v>748</v>
      </c>
      <c r="B749" s="16" t="n">
        <v>44998</v>
      </c>
      <c r="C749" s="15" t="n">
        <v>2023</v>
      </c>
      <c r="D749" s="15" t="inlineStr">
        <is>
          <t>TATA Technologies Limited</t>
        </is>
      </c>
      <c r="E749" s="15" t="inlineStr">
        <is>
          <t>DRHP</t>
        </is>
      </c>
      <c r="F749" s="15" t="inlineStr">
        <is>
          <t>TATA Technologies Limited</t>
        </is>
      </c>
      <c r="G749" s="15" t="inlineStr">
        <is>
          <t>IPO launched</t>
        </is>
      </c>
      <c r="H749" s="15" t="inlineStr">
        <is>
          <t>Mainboard</t>
        </is>
      </c>
      <c r="I749" s="16" t="n">
        <v>45252</v>
      </c>
      <c r="J749" s="16" t="n">
        <v>45254</v>
      </c>
      <c r="K749" s="16" t="n">
        <v>45260</v>
      </c>
      <c r="L749" s="17" t="n">
        <v>3042.51</v>
      </c>
      <c r="M749" s="17" t="n">
        <v>3042.51</v>
      </c>
      <c r="N749" s="17" t="n">
        <v>0</v>
      </c>
      <c r="O749" s="15" t="inlineStr">
        <is>
          <t>Final issue (ipoplatform)</t>
        </is>
      </c>
      <c r="P749" s="15" t="n"/>
      <c r="Q749" s="18" t="inlineStr">
        <is>
          <t>https://www.sebi.gov.in/sebi_data/attachdocs/mar-2023/1678708849713_63.pdf</t>
        </is>
      </c>
      <c r="R749" s="18" t="inlineStr">
        <is>
          <t>https://www.sebi.gov.in/filings/public-issues/mar-2023/tata-technologies-limited_68881.html</t>
        </is>
      </c>
      <c r="S749" s="15" t="n"/>
      <c r="T749" s="15" t="inlineStr">
        <is>
          <t>SEBI filing link</t>
        </is>
      </c>
      <c r="U749" s="15" t="inlineStr">
        <is>
          <t>Tata Technologies Limited</t>
        </is>
      </c>
      <c r="V749" s="15" t="n"/>
      <c r="W749" s="15" t="n"/>
      <c r="X749" s="15" t="n"/>
      <c r="Y749" s="15" t="n"/>
      <c r="Z749" s="15" t="n"/>
      <c r="AA749" s="15" t="n"/>
      <c r="AB749" s="15" t="n"/>
    </row>
    <row r="750" ht="15" customHeight="1" s="12">
      <c r="A750" s="14" t="n">
        <v>749</v>
      </c>
      <c r="B750" s="16" t="n">
        <v>44995</v>
      </c>
      <c r="C750" s="15" t="n">
        <v>2023</v>
      </c>
      <c r="D750" s="15" t="inlineStr">
        <is>
          <t>Healthvista India Limited</t>
        </is>
      </c>
      <c r="E750" s="15" t="inlineStr">
        <is>
          <t>Addendum</t>
        </is>
      </c>
      <c r="F750" s="15" t="inlineStr">
        <is>
          <t>Healthvista India Limited- Addendum to DRHP</t>
        </is>
      </c>
      <c r="G750" s="15" t="inlineStr">
        <is>
          <t>No launched IPO found</t>
        </is>
      </c>
      <c r="H750" s="15" t="n"/>
      <c r="I750" s="16" t="n"/>
      <c r="J750" s="16" t="n"/>
      <c r="K750" s="16" t="n"/>
      <c r="L750" s="17" t="n"/>
      <c r="M750" s="17" t="n"/>
      <c r="N750" s="17" t="n"/>
      <c r="O750" s="15" t="n"/>
      <c r="P750" s="15" t="n"/>
      <c r="Q750" s="18" t="inlineStr">
        <is>
          <t>https://www.sebi.gov.in/sebi_data/attachdocs/mar-2023/1678686404640.pdf</t>
        </is>
      </c>
      <c r="R750" s="18" t="inlineStr">
        <is>
          <t>https://www.sebi.gov.in/filings/public-issues/mar-2023/healthvista-india-limited-addendum-to-drhp_68837.html</t>
        </is>
      </c>
      <c r="S750" s="15" t="n"/>
      <c r="T750" s="15" t="n"/>
      <c r="U750" s="15" t="n"/>
      <c r="V750" s="15" t="n"/>
      <c r="W750" s="16" t="n"/>
      <c r="X750" s="16" t="n"/>
      <c r="Y750" s="16" t="n"/>
      <c r="Z750" s="15" t="inlineStr">
        <is>
          <t>No issue found</t>
        </is>
      </c>
      <c r="AA750" s="15" t="inlineStr">
        <is>
          <t>Business Standard lists the company but shows no issue dates; web search limit reached</t>
        </is>
      </c>
      <c r="AB750" s="18" t="inlineStr">
        <is>
          <t>https://www.business-standard.com/markets/ipo/healthvista-india-ltd-ipo-70164</t>
        </is>
      </c>
    </row>
    <row r="751" ht="15" customHeight="1" s="12">
      <c r="A751" s="14" t="n">
        <v>750</v>
      </c>
      <c r="B751" s="16" t="n">
        <v>44991</v>
      </c>
      <c r="C751" s="15" t="n">
        <v>2023</v>
      </c>
      <c r="D751" s="15" t="inlineStr">
        <is>
          <t>Nova Agritech Limited</t>
        </is>
      </c>
      <c r="E751" s="15" t="inlineStr">
        <is>
          <t>DRHP</t>
        </is>
      </c>
      <c r="F751" s="15" t="inlineStr">
        <is>
          <t>Nova Agritech Limited - DRHP</t>
        </is>
      </c>
      <c r="G751" s="15" t="inlineStr">
        <is>
          <t>IPO launched</t>
        </is>
      </c>
      <c r="H751" s="15" t="inlineStr">
        <is>
          <t>Mainboard</t>
        </is>
      </c>
      <c r="I751" s="16" t="n">
        <v>45314</v>
      </c>
      <c r="J751" s="16" t="n">
        <v>45316</v>
      </c>
      <c r="K751" s="16" t="n">
        <v>45322</v>
      </c>
      <c r="L751" s="17" t="n">
        <v>143.81</v>
      </c>
      <c r="M751" s="17" t="n">
        <v>112</v>
      </c>
      <c r="N751" s="17" t="n">
        <v>31.81</v>
      </c>
      <c r="O751" s="15" t="inlineStr">
        <is>
          <t>Final issue (ipoplatform)</t>
        </is>
      </c>
      <c r="P751" s="15" t="n"/>
      <c r="Q751" s="18" t="inlineStr">
        <is>
          <t>https://www.sebi.gov.in/sebi_data/attachdocs/mar-2023/1678099410372.pdf</t>
        </is>
      </c>
      <c r="R751" s="18" t="inlineStr">
        <is>
          <t>https://www.sebi.gov.in/filings/public-issues/mar-2023/nova-agritech-limited-drhp_68706.html</t>
        </is>
      </c>
      <c r="S751" s="15" t="n"/>
      <c r="T751" s="15" t="inlineStr">
        <is>
          <t>Company name + date window</t>
        </is>
      </c>
      <c r="U751" s="15" t="inlineStr">
        <is>
          <t>Nova AgriTech Limited</t>
        </is>
      </c>
      <c r="V751" s="15" t="n"/>
      <c r="W751" s="15" t="n"/>
      <c r="X751" s="15" t="n"/>
      <c r="Y751" s="15" t="n"/>
      <c r="Z751" s="15" t="n"/>
      <c r="AA751" s="15" t="n"/>
      <c r="AB751" s="15" t="n"/>
    </row>
    <row r="752" ht="15" customHeight="1" s="12">
      <c r="A752" s="14" t="n">
        <v>751</v>
      </c>
      <c r="B752" s="16" t="n">
        <v>44973</v>
      </c>
      <c r="C752" s="15" t="n">
        <v>2023</v>
      </c>
      <c r="D752" s="15" t="inlineStr">
        <is>
          <t>Ideaforge Technology Limited</t>
        </is>
      </c>
      <c r="E752" s="15" t="inlineStr">
        <is>
          <t>DRHP</t>
        </is>
      </c>
      <c r="F752" s="15" t="inlineStr">
        <is>
          <t>Ideaforge Technology Limited - DRHP</t>
        </is>
      </c>
      <c r="G752" s="15" t="inlineStr">
        <is>
          <t>IPO launched</t>
        </is>
      </c>
      <c r="H752" s="15" t="inlineStr">
        <is>
          <t>Mainboard</t>
        </is>
      </c>
      <c r="I752" s="16" t="n">
        <v>45103</v>
      </c>
      <c r="J752" s="16" t="n">
        <v>45107</v>
      </c>
      <c r="K752" s="16" t="n">
        <v>45114</v>
      </c>
      <c r="L752" s="17" t="n">
        <v>567.29</v>
      </c>
      <c r="M752" s="17" t="n">
        <v>240</v>
      </c>
      <c r="N752" s="17" t="n">
        <v>327.29</v>
      </c>
      <c r="O752" s="15" t="inlineStr">
        <is>
          <t>Final issue (ipoplatform)</t>
        </is>
      </c>
      <c r="P752" s="15" t="n"/>
      <c r="Q752" s="18" t="inlineStr">
        <is>
          <t>https://www.sebi.gov.in/sebi_data/attachdocs/feb-2023/1676540623342.pdf</t>
        </is>
      </c>
      <c r="R752" s="18" t="inlineStr">
        <is>
          <t>https://www.sebi.gov.in/filings/public-issues/feb-2023/ideaforge-technology-limited-drhp_68081.html</t>
        </is>
      </c>
      <c r="S752" s="15" t="n"/>
      <c r="T752" s="15" t="inlineStr">
        <is>
          <t>SEBI filing link</t>
        </is>
      </c>
      <c r="U752" s="15" t="inlineStr">
        <is>
          <t>ideaForge Technology Limited</t>
        </is>
      </c>
      <c r="V752" s="15" t="n"/>
      <c r="W752" s="15" t="n"/>
      <c r="X752" s="15" t="n"/>
      <c r="Y752" s="15" t="n"/>
      <c r="Z752" s="15" t="n"/>
      <c r="AA752" s="15" t="n"/>
      <c r="AB752" s="15" t="n"/>
    </row>
    <row r="753" ht="15" customHeight="1" s="12">
      <c r="A753" s="14" t="n">
        <v>752</v>
      </c>
      <c r="B753" s="16" t="n">
        <v>44973</v>
      </c>
      <c r="C753" s="15" t="n">
        <v>2023</v>
      </c>
      <c r="D753" s="15" t="inlineStr">
        <is>
          <t>AKME Fintrade (India) Limited</t>
        </is>
      </c>
      <c r="E753" s="15" t="inlineStr">
        <is>
          <t>DRHP</t>
        </is>
      </c>
      <c r="F753" s="15" t="inlineStr">
        <is>
          <t>AKME Fintrade (India) Limited - DRHP</t>
        </is>
      </c>
      <c r="G753" s="15" t="inlineStr">
        <is>
          <t>No launched IPO found</t>
        </is>
      </c>
      <c r="H753" s="15" t="n"/>
      <c r="I753" s="16" t="n"/>
      <c r="J753" s="16" t="n"/>
      <c r="K753" s="16" t="n"/>
      <c r="L753" s="17" t="n"/>
      <c r="M753" s="17" t="n"/>
      <c r="N753" s="17" t="n"/>
      <c r="O753" s="15" t="n"/>
      <c r="P753" s="15" t="n"/>
      <c r="Q753" s="18" t="inlineStr">
        <is>
          <t>https://www.sebi.gov.in/sebi_data/attachdocs/feb-2023/1676529180210.pdf</t>
        </is>
      </c>
      <c r="R753" s="18" t="inlineStr">
        <is>
          <t>https://www.sebi.gov.in/filings/public-issues/feb-2023/akme-fintrade-india-limited-drhp_68071.html</t>
        </is>
      </c>
      <c r="S753" s="15" t="n"/>
      <c r="T753" s="15" t="n"/>
      <c r="U753" s="15" t="n"/>
      <c r="V753" s="15" t="inlineStr">
        <is>
          <t>Same-name IPO opened 25-Feb-2015 — outside 2 years of this filing, so not linked</t>
        </is>
      </c>
      <c r="W753" s="19" t="n">
        <v>45462</v>
      </c>
      <c r="X753" s="19" t="n">
        <v>45464</v>
      </c>
      <c r="Y753" s="19" t="n">
        <v>45469</v>
      </c>
      <c r="Z753" s="20" t="inlineStr">
        <is>
          <t>Issue opened</t>
        </is>
      </c>
      <c r="AA753" s="15" t="inlineStr">
        <is>
          <t>Matched on chittorgarh.com</t>
        </is>
      </c>
      <c r="AB753" s="18" t="inlineStr">
        <is>
          <t>https://www.chittorgarh.com/ipo/aasaan-loans-ipo/1751/</t>
        </is>
      </c>
    </row>
    <row r="754" ht="15" customHeight="1" s="12">
      <c r="A754" s="14" t="n">
        <v>753</v>
      </c>
      <c r="B754" s="16" t="n">
        <v>44967</v>
      </c>
      <c r="C754" s="15" t="n">
        <v>2023</v>
      </c>
      <c r="D754" s="15" t="inlineStr">
        <is>
          <t>Corrtech International Limited</t>
        </is>
      </c>
      <c r="E754" s="15" t="inlineStr">
        <is>
          <t>DRHP</t>
        </is>
      </c>
      <c r="F754" s="15" t="inlineStr">
        <is>
          <t>Corrtech International Limited</t>
        </is>
      </c>
      <c r="G754" s="15" t="inlineStr">
        <is>
          <t>No launched IPO found</t>
        </is>
      </c>
      <c r="H754" s="15" t="n"/>
      <c r="I754" s="16" t="n"/>
      <c r="J754" s="16" t="n"/>
      <c r="K754" s="16" t="n"/>
      <c r="L754" s="17" t="n"/>
      <c r="M754" s="17" t="n"/>
      <c r="N754" s="17" t="n"/>
      <c r="O754" s="15" t="n"/>
      <c r="P754" s="15" t="n"/>
      <c r="Q754" s="18" t="inlineStr">
        <is>
          <t>https://www.sebi.gov.in/sebi_data/attachdocs/feb-2023/1676009092199.pdf</t>
        </is>
      </c>
      <c r="R754" s="18" t="inlineStr">
        <is>
          <t>https://www.sebi.gov.in/filings/public-issues/feb-2023/corrtech-international-limited_67950.html</t>
        </is>
      </c>
      <c r="S754" s="15" t="n"/>
      <c r="T754" s="15" t="n"/>
      <c r="U754" s="15" t="n"/>
      <c r="V754" s="15" t="n"/>
      <c r="W754" s="16" t="n"/>
      <c r="X754" s="16" t="n"/>
      <c r="Y754" s="16" t="n"/>
      <c r="Z754" s="15" t="inlineStr">
        <is>
          <t>No issue found</t>
        </is>
      </c>
      <c r="AA754" s="15" t="inlineStr">
        <is>
          <t>SEBI nod July 2022 but dates never announced; no issue found.</t>
        </is>
      </c>
      <c r="AB754" s="18" t="inlineStr">
        <is>
          <t>https://www.5paisa.com/ipo/corrtech-international-ltd-ipo</t>
        </is>
      </c>
    </row>
    <row r="755" ht="15" customHeight="1" s="12">
      <c r="A755" s="14" t="n">
        <v>754</v>
      </c>
      <c r="B755" s="16" t="n">
        <v>44956</v>
      </c>
      <c r="C755" s="15" t="n">
        <v>2023</v>
      </c>
      <c r="D755" s="15" t="inlineStr">
        <is>
          <t>FirstMeridian Business Services Limited</t>
        </is>
      </c>
      <c r="E755" s="15" t="inlineStr">
        <is>
          <t>DRHP</t>
        </is>
      </c>
      <c r="F755" s="15" t="inlineStr">
        <is>
          <t>FirstMeridian Business Services Limited - DRHP</t>
        </is>
      </c>
      <c r="G755" s="15" t="inlineStr">
        <is>
          <t>No launched IPO found</t>
        </is>
      </c>
      <c r="H755" s="15" t="n"/>
      <c r="I755" s="16" t="n"/>
      <c r="J755" s="16" t="n"/>
      <c r="K755" s="16" t="n"/>
      <c r="L755" s="17" t="n"/>
      <c r="M755" s="17" t="n"/>
      <c r="N755" s="17" t="n"/>
      <c r="O755" s="15" t="n"/>
      <c r="P755" s="15" t="n"/>
      <c r="Q755" s="18" t="inlineStr">
        <is>
          <t>https://www.sebi.gov.in/sebi_data/attachdocs/jan-2023/1675074421849.pdf</t>
        </is>
      </c>
      <c r="R755" s="18" t="inlineStr">
        <is>
          <t>https://www.sebi.gov.in/filings/public-issues/jan-2023/firstmeridian-business-services-limited-drhp_67602.html</t>
        </is>
      </c>
      <c r="S755" s="15" t="n"/>
      <c r="T755" s="15" t="n"/>
      <c r="U755" s="15" t="n"/>
      <c r="V755" s="15" t="n"/>
      <c r="W755" s="16" t="n"/>
      <c r="X755" s="16" t="n"/>
      <c r="Y755" s="16" t="n"/>
      <c r="Z755" s="15" t="inlineStr">
        <is>
          <t>No issue found</t>
        </is>
      </c>
      <c r="AA755" s="15" t="inlineStr">
        <is>
          <t>Dates to be announced; no issue found.</t>
        </is>
      </c>
      <c r="AB755" s="18" t="inlineStr">
        <is>
          <t>https://www.business-standard.com/markets/ipo/firstmeridian-business-services-ltd-ipo-76806</t>
        </is>
      </c>
    </row>
    <row r="756" ht="15" customHeight="1" s="12">
      <c r="A756" s="14" t="n">
        <v>755</v>
      </c>
      <c r="B756" s="16" t="n">
        <v>44953</v>
      </c>
      <c r="C756" s="15" t="n">
        <v>2023</v>
      </c>
      <c r="D756" s="15" t="inlineStr">
        <is>
          <t>Ratnaveer Precision Engineering Limited</t>
        </is>
      </c>
      <c r="E756" s="15" t="inlineStr">
        <is>
          <t>DRHP</t>
        </is>
      </c>
      <c r="F756" s="15" t="inlineStr">
        <is>
          <t>Ratnaveer Precision Engineering Limited</t>
        </is>
      </c>
      <c r="G756" s="15" t="inlineStr">
        <is>
          <t>IPO launched</t>
        </is>
      </c>
      <c r="H756" s="15" t="inlineStr">
        <is>
          <t>Mainboard</t>
        </is>
      </c>
      <c r="I756" s="16" t="n">
        <v>45173</v>
      </c>
      <c r="J756" s="16" t="n">
        <v>45175</v>
      </c>
      <c r="K756" s="16" t="n">
        <v>45180</v>
      </c>
      <c r="L756" s="17" t="n">
        <v>165.03</v>
      </c>
      <c r="M756" s="17" t="n">
        <v>135.24</v>
      </c>
      <c r="N756" s="17" t="n">
        <v>29.79</v>
      </c>
      <c r="O756" s="15" t="inlineStr">
        <is>
          <t>Final issue (ipoplatform)</t>
        </is>
      </c>
      <c r="P756" s="15" t="n"/>
      <c r="Q756" s="18" t="inlineStr">
        <is>
          <t>https://www.sebi.gov.in/sebi_data/attachdocs/jan-2023/1674822071523.pdf</t>
        </is>
      </c>
      <c r="R756" s="18" t="inlineStr">
        <is>
          <t>https://www.sebi.gov.in/filings/public-issues/jan-2023/ratnaveer-precision-engineering-limited_67585.html</t>
        </is>
      </c>
      <c r="S756" s="15" t="n"/>
      <c r="T756" s="15" t="inlineStr">
        <is>
          <t>SEBI filing link</t>
        </is>
      </c>
      <c r="U756" s="15" t="inlineStr">
        <is>
          <t>Ratnaveer Precision Engineering Limited</t>
        </is>
      </c>
      <c r="V756" s="15" t="n"/>
      <c r="W756" s="15" t="n"/>
      <c r="X756" s="15" t="n"/>
      <c r="Y756" s="15" t="n"/>
      <c r="Z756" s="15" t="n"/>
      <c r="AA756" s="15" t="n"/>
      <c r="AB756" s="15" t="n"/>
    </row>
    <row r="757" ht="15" customHeight="1" s="12">
      <c r="A757" s="14" t="n">
        <v>756</v>
      </c>
      <c r="B757" s="16" t="n">
        <v>44946</v>
      </c>
      <c r="C757" s="15" t="n">
        <v>2023</v>
      </c>
      <c r="D757" s="15" t="inlineStr">
        <is>
          <t>Rashi Peripherals Limited</t>
        </is>
      </c>
      <c r="E757" s="15" t="inlineStr">
        <is>
          <t>DRHP</t>
        </is>
      </c>
      <c r="F757" s="15" t="inlineStr">
        <is>
          <t>Rashi Peripherals Limited</t>
        </is>
      </c>
      <c r="G757" s="15" t="inlineStr">
        <is>
          <t>IPO launched</t>
        </is>
      </c>
      <c r="H757" s="15" t="inlineStr">
        <is>
          <t>Mainboard</t>
        </is>
      </c>
      <c r="I757" s="16" t="n">
        <v>45329</v>
      </c>
      <c r="J757" s="16" t="n">
        <v>45331</v>
      </c>
      <c r="K757" s="16" t="n">
        <v>45336</v>
      </c>
      <c r="L757" s="17" t="n">
        <v>600</v>
      </c>
      <c r="M757" s="17" t="n">
        <v>600</v>
      </c>
      <c r="N757" s="17" t="n">
        <v>0</v>
      </c>
      <c r="O757" s="15" t="inlineStr">
        <is>
          <t>Final issue (ipoplatform)</t>
        </is>
      </c>
      <c r="P757" s="15" t="n"/>
      <c r="Q757" s="18" t="inlineStr">
        <is>
          <t>https://www.sebi.gov.in/sebi_data/attachdocs/jan-2023/1674213565033.PDF</t>
        </is>
      </c>
      <c r="R757" s="18" t="inlineStr">
        <is>
          <t>https://www.sebi.gov.in/filings/public-issues/jan-2023/rashi-peripherals-limited_67397.html</t>
        </is>
      </c>
      <c r="S757" s="15" t="n"/>
      <c r="T757" s="15" t="inlineStr">
        <is>
          <t>Company name + date window</t>
        </is>
      </c>
      <c r="U757" s="15" t="inlineStr">
        <is>
          <t>Rashi Peripherals Limited</t>
        </is>
      </c>
      <c r="V757" s="15" t="n"/>
      <c r="W757" s="15" t="n"/>
      <c r="X757" s="15" t="n"/>
      <c r="Y757" s="15" t="n"/>
      <c r="Z757" s="15" t="n"/>
      <c r="AA757" s="15" t="n"/>
      <c r="AB757" s="15" t="n"/>
    </row>
    <row r="758" ht="15" customHeight="1" s="12">
      <c r="A758" s="14" t="n">
        <v>757</v>
      </c>
      <c r="B758" s="16" t="n">
        <v>44936</v>
      </c>
      <c r="C758" s="15" t="n">
        <v>2023</v>
      </c>
      <c r="D758" s="15" t="inlineStr">
        <is>
          <t>Cyient DLM Limited</t>
        </is>
      </c>
      <c r="E758" s="15" t="inlineStr">
        <is>
          <t>DRHP</t>
        </is>
      </c>
      <c r="F758" s="15" t="inlineStr">
        <is>
          <t>Cyient DLM Limited</t>
        </is>
      </c>
      <c r="G758" s="15" t="inlineStr">
        <is>
          <t>IPO launched</t>
        </is>
      </c>
      <c r="H758" s="15" t="inlineStr">
        <is>
          <t>Mainboard</t>
        </is>
      </c>
      <c r="I758" s="16" t="n">
        <v>45104</v>
      </c>
      <c r="J758" s="16" t="n">
        <v>45107</v>
      </c>
      <c r="K758" s="16" t="n">
        <v>45117</v>
      </c>
      <c r="L758" s="17" t="n">
        <v>592</v>
      </c>
      <c r="M758" s="17" t="n">
        <v>592</v>
      </c>
      <c r="N758" s="17" t="n">
        <v>0</v>
      </c>
      <c r="O758" s="15" t="inlineStr">
        <is>
          <t>Final issue (ipoplatform)</t>
        </is>
      </c>
      <c r="P758" s="15" t="n"/>
      <c r="Q758" s="18" t="inlineStr">
        <is>
          <t>https://www.sebi.gov.in/sebi_data/attachdocs/jan-2023/1673352015580_49.pdf</t>
        </is>
      </c>
      <c r="R758" s="18" t="inlineStr">
        <is>
          <t>https://www.sebi.gov.in/filings/public-issues/jan-2023/cyient-dlm-limited_67167.html</t>
        </is>
      </c>
      <c r="S758" s="15" t="n"/>
      <c r="T758" s="15" t="inlineStr">
        <is>
          <t>SEBI filing link</t>
        </is>
      </c>
      <c r="U758" s="15" t="inlineStr">
        <is>
          <t>Cyient DLM Limited</t>
        </is>
      </c>
      <c r="V758" s="15" t="n"/>
      <c r="W758" s="15" t="n"/>
      <c r="X758" s="15" t="n"/>
      <c r="Y758" s="15" t="n"/>
      <c r="Z758" s="15" t="n"/>
      <c r="AA758" s="15" t="n"/>
      <c r="AB758" s="15" t="n"/>
    </row>
    <row r="759" ht="15" customHeight="1" s="12">
      <c r="A759" s="14" t="n">
        <v>758</v>
      </c>
      <c r="B759" s="16" t="n">
        <v>44932</v>
      </c>
      <c r="C759" s="15" t="n">
        <v>2023</v>
      </c>
      <c r="D759" s="15" t="inlineStr">
        <is>
          <t>J.G.Chemicals Limited</t>
        </is>
      </c>
      <c r="E759" s="15" t="inlineStr">
        <is>
          <t>DRHP</t>
        </is>
      </c>
      <c r="F759" s="15" t="inlineStr">
        <is>
          <t>J.G.Chemicals Limited</t>
        </is>
      </c>
      <c r="G759" s="15" t="inlineStr">
        <is>
          <t>IPO launched</t>
        </is>
      </c>
      <c r="H759" s="15" t="inlineStr">
        <is>
          <t>Mainboard</t>
        </is>
      </c>
      <c r="I759" s="16" t="n">
        <v>45356</v>
      </c>
      <c r="J759" s="16" t="n">
        <v>45358</v>
      </c>
      <c r="K759" s="16" t="n">
        <v>45364</v>
      </c>
      <c r="L759" s="17" t="n">
        <v>251.19</v>
      </c>
      <c r="M759" s="17" t="n">
        <v>165</v>
      </c>
      <c r="N759" s="17" t="n">
        <v>86.19</v>
      </c>
      <c r="O759" s="15" t="inlineStr">
        <is>
          <t>Final issue (ipoplatform)</t>
        </is>
      </c>
      <c r="P759" s="15" t="n"/>
      <c r="Q759" s="18" t="inlineStr">
        <is>
          <t>https://www.sebi.gov.in/sebi_data/attachdocs/jan-2023/1672994402870_48.pdf</t>
        </is>
      </c>
      <c r="R759" s="18" t="inlineStr">
        <is>
          <t>https://www.sebi.gov.in/filings/public-issues/jan-2023/j-g-chemicals-limited_67061.html</t>
        </is>
      </c>
      <c r="S759" s="15" t="n"/>
      <c r="T759" s="15" t="inlineStr">
        <is>
          <t>SEBI filing link</t>
        </is>
      </c>
      <c r="U759" s="15" t="inlineStr">
        <is>
          <t>JG Chemicals Limited</t>
        </is>
      </c>
      <c r="V759" s="15" t="n"/>
      <c r="W759" s="15" t="n"/>
      <c r="X759" s="15" t="n"/>
      <c r="Y759" s="15" t="n"/>
      <c r="Z759" s="15" t="n"/>
      <c r="AA759" s="15" t="n"/>
      <c r="AB759" s="15" t="n"/>
    </row>
    <row r="760" ht="15" customHeight="1" s="12">
      <c r="A760" s="14" t="n">
        <v>759</v>
      </c>
      <c r="B760" s="16" t="n">
        <v>44928</v>
      </c>
      <c r="C760" s="15" t="n">
        <v>2023</v>
      </c>
      <c r="D760" s="15" t="inlineStr">
        <is>
          <t>Rishabh Instruments Limited</t>
        </is>
      </c>
      <c r="E760" s="15" t="inlineStr">
        <is>
          <t>DRHP</t>
        </is>
      </c>
      <c r="F760" s="15" t="inlineStr">
        <is>
          <t>Rishabh Instruments Limited - DRHP</t>
        </is>
      </c>
      <c r="G760" s="15" t="inlineStr">
        <is>
          <t>IPO launched</t>
        </is>
      </c>
      <c r="H760" s="15" t="inlineStr">
        <is>
          <t>Mainboard</t>
        </is>
      </c>
      <c r="I760" s="16" t="n">
        <v>45168</v>
      </c>
      <c r="J760" s="16" t="n">
        <v>45170</v>
      </c>
      <c r="K760" s="16" t="n">
        <v>45180</v>
      </c>
      <c r="L760" s="17" t="n">
        <v>490.78</v>
      </c>
      <c r="M760" s="17" t="n">
        <v>75</v>
      </c>
      <c r="N760" s="17" t="n">
        <v>415.78</v>
      </c>
      <c r="O760" s="15" t="inlineStr">
        <is>
          <t>Final issue (ipoplatform)</t>
        </is>
      </c>
      <c r="P760" s="15" t="n"/>
      <c r="Q760" s="18" t="inlineStr">
        <is>
          <t>https://www.sebi.gov.in/sebi_data/attachdocs/jan-2023/1672640689987.pdf</t>
        </is>
      </c>
      <c r="R760" s="18" t="inlineStr">
        <is>
          <t>https://www.sebi.gov.in/filings/public-issues/jan-2023/rishabh-instruments-limited-drhp_66824.html</t>
        </is>
      </c>
      <c r="S760" s="15" t="n"/>
      <c r="T760" s="15" t="inlineStr">
        <is>
          <t>SEBI filing link</t>
        </is>
      </c>
      <c r="U760" s="15" t="inlineStr">
        <is>
          <t>Rishabh Instruments Limited</t>
        </is>
      </c>
      <c r="V760" s="15" t="n"/>
      <c r="W760" s="15" t="n"/>
      <c r="X760" s="15" t="n"/>
      <c r="Y760" s="15" t="n"/>
      <c r="Z760" s="15" t="n"/>
      <c r="AA760" s="15" t="n"/>
      <c r="AB760" s="15" t="n"/>
    </row>
    <row r="761" ht="15" customHeight="1" s="12">
      <c r="A761" s="14" t="n">
        <v>760</v>
      </c>
      <c r="B761" s="16" t="n">
        <v>44925</v>
      </c>
      <c r="C761" s="15" t="n">
        <v>2022</v>
      </c>
      <c r="D761" s="15" t="inlineStr">
        <is>
          <t>Survival Technologies Limited</t>
        </is>
      </c>
      <c r="E761" s="15" t="inlineStr">
        <is>
          <t>DRHP</t>
        </is>
      </c>
      <c r="F761" s="15" t="inlineStr">
        <is>
          <t>Survival Technologies Limited - DRHP</t>
        </is>
      </c>
      <c r="G761" s="15" t="inlineStr">
        <is>
          <t>No launched IPO found</t>
        </is>
      </c>
      <c r="H761" s="15" t="n"/>
      <c r="I761" s="16" t="n"/>
      <c r="J761" s="16" t="n"/>
      <c r="K761" s="16" t="n"/>
      <c r="L761" s="17" t="n"/>
      <c r="M761" s="17" t="n"/>
      <c r="N761" s="17" t="n"/>
      <c r="O761" s="15" t="n"/>
      <c r="P761" s="15" t="n"/>
      <c r="Q761" s="18" t="inlineStr">
        <is>
          <t>https://www.sebi.gov.in/sebi_data/attachdocs/dec-2022/1672393990129.pdf</t>
        </is>
      </c>
      <c r="R761" s="18" t="inlineStr">
        <is>
          <t>https://www.sebi.gov.in/filings/public-issues/dec-2022/survival-technologies-limited-drhp_66782.html</t>
        </is>
      </c>
      <c r="S761" s="15" t="n"/>
      <c r="T761" s="15" t="n"/>
      <c r="U761" s="15" t="n"/>
      <c r="V761" s="15" t="n"/>
      <c r="W761" s="16" t="n"/>
      <c r="X761" s="16" t="n"/>
      <c r="Y761" s="16" t="n"/>
      <c r="Z761" s="15" t="inlineStr">
        <is>
          <t>No issue found</t>
        </is>
      </c>
      <c r="AA761" s="15" t="inlineStr">
        <is>
          <t>Business Standard lists the company but shows no issue dates; web search limit reached</t>
        </is>
      </c>
      <c r="AB761" s="18" t="inlineStr">
        <is>
          <t>https://www.business-standard.com/markets/ipo/survival-technologies-ltd-ipo-69846</t>
        </is>
      </c>
    </row>
    <row r="762" ht="15" customHeight="1" s="12">
      <c r="A762" s="14" t="n">
        <v>761</v>
      </c>
      <c r="B762" s="16" t="n">
        <v>44925</v>
      </c>
      <c r="C762" s="15" t="n">
        <v>2022</v>
      </c>
      <c r="D762" s="15" t="inlineStr">
        <is>
          <t>Honasa Consumer Limited</t>
        </is>
      </c>
      <c r="E762" s="15" t="inlineStr">
        <is>
          <t>DRHP</t>
        </is>
      </c>
      <c r="F762" s="15" t="inlineStr">
        <is>
          <t>Honasa Consumer Limited - DRHP</t>
        </is>
      </c>
      <c r="G762" s="15" t="inlineStr">
        <is>
          <t>IPO launched</t>
        </is>
      </c>
      <c r="H762" s="15" t="inlineStr">
        <is>
          <t>Mainboard</t>
        </is>
      </c>
      <c r="I762" s="16" t="n">
        <v>45230</v>
      </c>
      <c r="J762" s="16" t="n">
        <v>45232</v>
      </c>
      <c r="K762" s="16" t="n">
        <v>45237</v>
      </c>
      <c r="L762" s="17" t="n">
        <v>1701.44</v>
      </c>
      <c r="M762" s="17" t="n">
        <v>365</v>
      </c>
      <c r="N762" s="17" t="n">
        <v>1336.44</v>
      </c>
      <c r="O762" s="15" t="inlineStr">
        <is>
          <t>Final issue (ipoplatform)</t>
        </is>
      </c>
      <c r="P762" s="15" t="n"/>
      <c r="Q762" s="18" t="inlineStr">
        <is>
          <t>https://www.sebi.gov.in/sebi_data/attachdocs/dec-2022/1672380661526.pdf</t>
        </is>
      </c>
      <c r="R762" s="18" t="inlineStr">
        <is>
          <t>https://www.sebi.gov.in/filings/public-issues/dec-2022/honasa-consumer-limited-drhp_66770.html</t>
        </is>
      </c>
      <c r="S762" s="15" t="n"/>
      <c r="T762" s="15" t="inlineStr">
        <is>
          <t>SEBI filing link</t>
        </is>
      </c>
      <c r="U762" s="15" t="inlineStr">
        <is>
          <t>Honasa (Mamaearth) Consumer Limited</t>
        </is>
      </c>
      <c r="V762" s="15" t="n"/>
      <c r="W762" s="15" t="n"/>
      <c r="X762" s="15" t="n"/>
      <c r="Y762" s="15" t="n"/>
      <c r="Z762" s="15" t="n"/>
      <c r="AA762" s="15" t="n"/>
      <c r="AB762" s="15" t="n"/>
    </row>
    <row r="763" ht="15" customHeight="1" s="12">
      <c r="A763" s="14" t="n">
        <v>762</v>
      </c>
      <c r="B763" s="16" t="n">
        <v>44922</v>
      </c>
      <c r="C763" s="15" t="n">
        <v>2022</v>
      </c>
      <c r="D763" s="15" t="inlineStr">
        <is>
          <t>Balaji Solutions Limited</t>
        </is>
      </c>
      <c r="E763" s="15" t="inlineStr">
        <is>
          <t>Corrigendum</t>
        </is>
      </c>
      <c r="F763" s="15" t="inlineStr">
        <is>
          <t>Balaji Solutions Limited - Corrigendum to DRHP</t>
        </is>
      </c>
      <c r="G763" s="15" t="inlineStr">
        <is>
          <t>No launched IPO found</t>
        </is>
      </c>
      <c r="H763" s="15" t="n"/>
      <c r="I763" s="16" t="n"/>
      <c r="J763" s="16" t="n"/>
      <c r="K763" s="16" t="n"/>
      <c r="L763" s="17" t="n"/>
      <c r="M763" s="17" t="n"/>
      <c r="N763" s="17" t="n"/>
      <c r="O763" s="15" t="n"/>
      <c r="P763" s="15" t="n"/>
      <c r="Q763" s="18" t="inlineStr">
        <is>
          <t>https://www.sebi.gov.in/sebi_data/attachdocs/dec-2022/1672139791587.pdf</t>
        </is>
      </c>
      <c r="R763" s="18" t="inlineStr">
        <is>
          <t>https://www.sebi.gov.in/filings/public-issues/dec-2022/balaji-solutions-limited-corrigendum-to-drhp_66617.html</t>
        </is>
      </c>
      <c r="S763" s="15" t="n"/>
      <c r="T763" s="15" t="n"/>
      <c r="U763" s="15" t="n"/>
      <c r="V763" s="15" t="n"/>
      <c r="W763" s="16" t="n"/>
      <c r="X763" s="16" t="n"/>
      <c r="Y763" s="16" t="n"/>
      <c r="Z763" s="15" t="inlineStr">
        <is>
          <t>No issue found</t>
        </is>
      </c>
      <c r="AA763" s="15" t="inlineStr">
        <is>
          <t>Business Standard lists the company but shows no issue dates; web search limit reached</t>
        </is>
      </c>
      <c r="AB763" s="18" t="inlineStr">
        <is>
          <t>https://www.business-standard.com/markets/ipo/balaji-solutions-ltd-ipo-73583</t>
        </is>
      </c>
    </row>
    <row r="764" ht="15" customHeight="1" s="12">
      <c r="A764" s="14" t="n">
        <v>763</v>
      </c>
      <c r="B764" s="16" t="n">
        <v>44918</v>
      </c>
      <c r="C764" s="15" t="n">
        <v>2022</v>
      </c>
      <c r="D764" s="15" t="inlineStr">
        <is>
          <t>Gandhar Oil Refinery (India) Limited</t>
        </is>
      </c>
      <c r="E764" s="15" t="inlineStr">
        <is>
          <t>DRHP</t>
        </is>
      </c>
      <c r="F764" s="15" t="inlineStr">
        <is>
          <t>Gandhar Oil Refinery (India) Limited - DRHP</t>
        </is>
      </c>
      <c r="G764" s="15" t="inlineStr">
        <is>
          <t>IPO launched</t>
        </is>
      </c>
      <c r="H764" s="15" t="inlineStr">
        <is>
          <t>Mainboard</t>
        </is>
      </c>
      <c r="I764" s="16" t="n">
        <v>45252</v>
      </c>
      <c r="J764" s="16" t="n"/>
      <c r="K764" s="16" t="n">
        <v>45260</v>
      </c>
      <c r="L764" s="17" t="n">
        <v>500.69</v>
      </c>
      <c r="M764" s="17" t="n">
        <v>302</v>
      </c>
      <c r="N764" s="17" t="n">
        <v>198.69</v>
      </c>
      <c r="O764" s="15" t="inlineStr">
        <is>
          <t>Final issue (ipoplatform)</t>
        </is>
      </c>
      <c r="P764" s="15" t="n"/>
      <c r="Q764" s="18" t="inlineStr">
        <is>
          <t>https://www.sebi.gov.in/sebi_data/attachdocs/dec-2022/1671796408126.pdf</t>
        </is>
      </c>
      <c r="R764" s="18" t="inlineStr">
        <is>
          <t>https://www.sebi.gov.in/filings/public-issues/dec-2022/gandhar-oil-refinery-india-limited-drhp_66570.html</t>
        </is>
      </c>
      <c r="S764" s="15" t="n"/>
      <c r="T764" s="15" t="inlineStr">
        <is>
          <t>SEBI filing link</t>
        </is>
      </c>
      <c r="U764" s="15" t="inlineStr">
        <is>
          <t>Gandhar Oil Refinery (India) Limited</t>
        </is>
      </c>
      <c r="V764" s="15" t="inlineStr">
        <is>
          <t>CHECK — source close/listing date inconsistent with open date</t>
        </is>
      </c>
      <c r="W764" s="15" t="n"/>
      <c r="X764" s="15" t="n"/>
      <c r="Y764" s="15" t="n"/>
      <c r="Z764" s="15" t="n"/>
      <c r="AA764" s="15" t="n"/>
      <c r="AB764" s="15" t="n"/>
    </row>
    <row r="765" ht="15" customHeight="1" s="12">
      <c r="A765" s="14" t="n">
        <v>764</v>
      </c>
      <c r="B765" s="16" t="n">
        <v>44916</v>
      </c>
      <c r="C765" s="15" t="n">
        <v>2022</v>
      </c>
      <c r="D765" s="15" t="inlineStr">
        <is>
          <t>Zaggle Prepaid Ocean Services Limited</t>
        </is>
      </c>
      <c r="E765" s="15" t="inlineStr">
        <is>
          <t>DRHP</t>
        </is>
      </c>
      <c r="F765" s="15" t="inlineStr">
        <is>
          <t>Zaggle Prepaid Ocean Services Limited - DRHP</t>
        </is>
      </c>
      <c r="G765" s="15" t="inlineStr">
        <is>
          <t>IPO launched</t>
        </is>
      </c>
      <c r="H765" s="15" t="inlineStr">
        <is>
          <t>Mainboard</t>
        </is>
      </c>
      <c r="I765" s="16" t="n">
        <v>45183</v>
      </c>
      <c r="J765" s="16" t="n">
        <v>45187</v>
      </c>
      <c r="K765" s="16" t="n">
        <v>45191</v>
      </c>
      <c r="L765" s="17" t="n">
        <v>563.38</v>
      </c>
      <c r="M765" s="17" t="n">
        <v>392</v>
      </c>
      <c r="N765" s="17" t="n">
        <v>171.38</v>
      </c>
      <c r="O765" s="15" t="inlineStr">
        <is>
          <t>Final issue (ipoplatform)</t>
        </is>
      </c>
      <c r="P765" s="15" t="n"/>
      <c r="Q765" s="18" t="inlineStr">
        <is>
          <t>https://www.sebi.gov.in/sebi_data/attachdocs/dec-2022/1671620784576.pdf</t>
        </is>
      </c>
      <c r="R765" s="18" t="inlineStr">
        <is>
          <t>https://www.sebi.gov.in/filings/public-issues/dec-2022/zaggle-prepaid-ocean-services-limited-drhp_66440.html</t>
        </is>
      </c>
      <c r="S765" s="15" t="n"/>
      <c r="T765" s="15" t="inlineStr">
        <is>
          <t>SEBI filing link</t>
        </is>
      </c>
      <c r="U765" s="15" t="inlineStr">
        <is>
          <t>Zaggle Prepaid Ocean Services Limited</t>
        </is>
      </c>
      <c r="V765" s="15" t="n"/>
      <c r="W765" s="15" t="n"/>
      <c r="X765" s="15" t="n"/>
      <c r="Y765" s="15" t="n"/>
      <c r="Z765" s="15" t="n"/>
      <c r="AA765" s="15" t="n"/>
      <c r="AB765" s="15" t="n"/>
    </row>
    <row r="766" ht="15" customHeight="1" s="12">
      <c r="A766" s="14" t="n">
        <v>765</v>
      </c>
      <c r="B766" s="16" t="n">
        <v>44911</v>
      </c>
      <c r="C766" s="15" t="n">
        <v>2022</v>
      </c>
      <c r="D766" s="15" t="inlineStr">
        <is>
          <t>Indegene Limited</t>
        </is>
      </c>
      <c r="E766" s="15" t="inlineStr">
        <is>
          <t>DRHP</t>
        </is>
      </c>
      <c r="F766" s="15" t="inlineStr">
        <is>
          <t>Indegene Limited - DRHP</t>
        </is>
      </c>
      <c r="G766" s="15" t="inlineStr">
        <is>
          <t>IPO launched</t>
        </is>
      </c>
      <c r="H766" s="15" t="inlineStr">
        <is>
          <t>Mainboard</t>
        </is>
      </c>
      <c r="I766" s="16" t="n">
        <v>45418</v>
      </c>
      <c r="J766" s="16" t="n">
        <v>45420</v>
      </c>
      <c r="K766" s="16" t="n">
        <v>45425</v>
      </c>
      <c r="L766" s="17" t="n">
        <v>1841.76</v>
      </c>
      <c r="M766" s="17" t="n">
        <v>760</v>
      </c>
      <c r="N766" s="17" t="n">
        <v>1081.76</v>
      </c>
      <c r="O766" s="15" t="inlineStr">
        <is>
          <t>Final issue (ipoplatform)</t>
        </is>
      </c>
      <c r="P766" s="15" t="n"/>
      <c r="Q766" s="18" t="inlineStr">
        <is>
          <t>https://www.sebi.gov.in/sebi_data/attachdocs/dec-2022/1671190032394.pdf</t>
        </is>
      </c>
      <c r="R766" s="18" t="inlineStr">
        <is>
          <t>https://www.sebi.gov.in/filings/public-issues/dec-2022/indegene-limited-drhp_66254.html</t>
        </is>
      </c>
      <c r="S766" s="15" t="n"/>
      <c r="T766" s="15" t="inlineStr">
        <is>
          <t>SEBI filing link</t>
        </is>
      </c>
      <c r="U766" s="15" t="inlineStr">
        <is>
          <t>Indegene Limited</t>
        </is>
      </c>
      <c r="V766" s="15" t="n"/>
      <c r="W766" s="15" t="n"/>
      <c r="X766" s="15" t="n"/>
      <c r="Y766" s="15" t="n"/>
      <c r="Z766" s="15" t="n"/>
      <c r="AA766" s="15" t="n"/>
      <c r="AB766" s="15" t="n"/>
    </row>
    <row r="767" ht="15" customHeight="1" s="12">
      <c r="A767" s="14" t="n">
        <v>766</v>
      </c>
      <c r="B767" s="16" t="n">
        <v>44911</v>
      </c>
      <c r="C767" s="15" t="n">
        <v>2022</v>
      </c>
      <c r="D767" s="15" t="inlineStr">
        <is>
          <t>IRM Energy Limited</t>
        </is>
      </c>
      <c r="E767" s="15" t="inlineStr">
        <is>
          <t>DRHP</t>
        </is>
      </c>
      <c r="F767" s="15" t="inlineStr">
        <is>
          <t>IRM Energy Limited - DRHP</t>
        </is>
      </c>
      <c r="G767" s="15" t="inlineStr">
        <is>
          <t>IPO launched</t>
        </is>
      </c>
      <c r="H767" s="15" t="inlineStr">
        <is>
          <t>Mainboard</t>
        </is>
      </c>
      <c r="I767" s="16" t="n">
        <v>45217</v>
      </c>
      <c r="J767" s="16" t="n">
        <v>45219</v>
      </c>
      <c r="K767" s="16" t="n">
        <v>45225</v>
      </c>
      <c r="L767" s="17" t="n">
        <v>545.4</v>
      </c>
      <c r="M767" s="17" t="n">
        <v>545.4</v>
      </c>
      <c r="N767" s="17" t="n">
        <v>0</v>
      </c>
      <c r="O767" s="15" t="inlineStr">
        <is>
          <t>Final issue (ipoplatform)</t>
        </is>
      </c>
      <c r="P767" s="15" t="n"/>
      <c r="Q767" s="18" t="inlineStr">
        <is>
          <t>https://www.sebi.gov.in/sebi_data/attachdocs/dec-2022/1671168829456.pdf</t>
        </is>
      </c>
      <c r="R767" s="18" t="inlineStr">
        <is>
          <t>https://www.sebi.gov.in/filings/public-issues/dec-2022/irm-energy-limited-drhp_66245.html</t>
        </is>
      </c>
      <c r="S767" s="15" t="n"/>
      <c r="T767" s="15" t="inlineStr">
        <is>
          <t>SEBI filing link</t>
        </is>
      </c>
      <c r="U767" s="15" t="inlineStr">
        <is>
          <t>IRM Energy Limited</t>
        </is>
      </c>
      <c r="V767" s="15" t="n"/>
      <c r="W767" s="15" t="n"/>
      <c r="X767" s="15" t="n"/>
      <c r="Y767" s="15" t="n"/>
      <c r="Z767" s="15" t="n"/>
      <c r="AA767" s="15" t="n"/>
      <c r="AB767" s="15" t="n"/>
    </row>
    <row r="768" ht="15" customHeight="1" s="12">
      <c r="A768" s="14" t="n">
        <v>767</v>
      </c>
      <c r="B768" s="16" t="n">
        <v>44893</v>
      </c>
      <c r="C768" s="15" t="n">
        <v>2022</v>
      </c>
      <c r="D768" s="15" t="inlineStr">
        <is>
          <t>TVS Supply Chain Solutions Limited</t>
        </is>
      </c>
      <c r="E768" s="15" t="inlineStr">
        <is>
          <t>Addendum</t>
        </is>
      </c>
      <c r="F768" s="15" t="inlineStr">
        <is>
          <t>TVS Supply Chain Solutions Limited - Addendum to DRHP</t>
        </is>
      </c>
      <c r="G768" s="15" t="inlineStr">
        <is>
          <t>IPO launched</t>
        </is>
      </c>
      <c r="H768" s="15" t="inlineStr">
        <is>
          <t>Mainboard</t>
        </is>
      </c>
      <c r="I768" s="16" t="n">
        <v>45148</v>
      </c>
      <c r="J768" s="16" t="n">
        <v>45152</v>
      </c>
      <c r="K768" s="16" t="n">
        <v>45161</v>
      </c>
      <c r="L768" s="17" t="n">
        <v>880</v>
      </c>
      <c r="M768" s="17" t="n">
        <v>600</v>
      </c>
      <c r="N768" s="17" t="n">
        <v>280</v>
      </c>
      <c r="O768" s="15" t="inlineStr">
        <is>
          <t>Final issue (ipoplatform)</t>
        </is>
      </c>
      <c r="P768" s="15" t="n"/>
      <c r="Q768" s="18" t="inlineStr">
        <is>
          <t>https://www.sebi.gov.in/sebi_data/attachdocs/nov-2022/1669616284896.PDF</t>
        </is>
      </c>
      <c r="R768" s="18" t="inlineStr">
        <is>
          <t>https://www.sebi.gov.in/filings/public-issues/nov-2022/tvs-supply-chain-solutions-limited-addendum-to-drhp_65519.html</t>
        </is>
      </c>
      <c r="S768" s="15" t="n"/>
      <c r="T768" s="15" t="inlineStr">
        <is>
          <t>Company name + date window</t>
        </is>
      </c>
      <c r="U768" s="15" t="inlineStr">
        <is>
          <t>TVS Supply Chain Solutions Limited</t>
        </is>
      </c>
      <c r="V768" s="15" t="n"/>
      <c r="W768" s="15" t="n"/>
      <c r="X768" s="15" t="n"/>
      <c r="Y768" s="15" t="n"/>
      <c r="Z768" s="15" t="n"/>
      <c r="AA768" s="15" t="n"/>
      <c r="AB768" s="15" t="n"/>
    </row>
    <row r="769" ht="15" customHeight="1" s="12">
      <c r="A769" s="14" t="n">
        <v>768</v>
      </c>
      <c r="B769" s="16" t="n">
        <v>44893</v>
      </c>
      <c r="C769" s="15" t="n">
        <v>2022</v>
      </c>
      <c r="D769" s="15" t="inlineStr">
        <is>
          <t>Oravel Stays Limited</t>
        </is>
      </c>
      <c r="E769" s="15" t="inlineStr">
        <is>
          <t>Addendum</t>
        </is>
      </c>
      <c r="F769" s="15" t="inlineStr">
        <is>
          <t>Oravel Stays Limited - Addendum to the DRHP</t>
        </is>
      </c>
      <c r="G769" s="15" t="inlineStr">
        <is>
          <t>No launched IPO found</t>
        </is>
      </c>
      <c r="H769" s="15" t="n"/>
      <c r="I769" s="16" t="n"/>
      <c r="J769" s="16" t="n"/>
      <c r="K769" s="16" t="n"/>
      <c r="L769" s="17" t="n"/>
      <c r="M769" s="17" t="n"/>
      <c r="N769" s="17" t="n"/>
      <c r="O769" s="15" t="n"/>
      <c r="P769" s="15" t="n"/>
      <c r="Q769" s="18" t="inlineStr">
        <is>
          <t>https://www.sebi.gov.in/sebi_data/attachdocs/nov-2022/1669613102669.pdf</t>
        </is>
      </c>
      <c r="R769" s="18" t="inlineStr">
        <is>
          <t>https://www.sebi.gov.in/filings/public-issues/nov-2022/oravel-stays-limited-addendum-to-the-drhp_65503.html</t>
        </is>
      </c>
      <c r="S769" s="15" t="n"/>
      <c r="T769" s="15" t="n"/>
      <c r="U769" s="15" t="n"/>
      <c r="V769" s="15" t="n"/>
      <c r="W769" s="16" t="n"/>
      <c r="X769" s="16" t="n"/>
      <c r="Y769" s="16" t="n"/>
      <c r="Z769" s="15" t="inlineStr">
        <is>
          <t>No issue found</t>
        </is>
      </c>
      <c r="AA769" s="15" t="inlineStr">
        <is>
          <t>SEBI nod 2-Jun-2026 (UDRHP-I filed Jun-2026); dates not announced</t>
        </is>
      </c>
      <c r="AB769" s="18" t="inlineStr">
        <is>
          <t>https://www.chittorgarh.com/ipo/oyo-ipo/2843/</t>
        </is>
      </c>
    </row>
    <row r="770" ht="15" customHeight="1" s="12">
      <c r="A770" s="14" t="n">
        <v>769</v>
      </c>
      <c r="B770" s="16" t="n">
        <v>44888</v>
      </c>
      <c r="C770" s="15" t="n">
        <v>2022</v>
      </c>
      <c r="D770" s="15" t="inlineStr">
        <is>
          <t>Addendum to DRHP of Cogent E-Services Limited</t>
        </is>
      </c>
      <c r="E770" s="15" t="inlineStr">
        <is>
          <t>Addendum</t>
        </is>
      </c>
      <c r="F770" s="15" t="inlineStr">
        <is>
          <t>Addendum to DRHP of Cogent E-Services Limited</t>
        </is>
      </c>
      <c r="G770" s="15" t="inlineStr">
        <is>
          <t>No launched IPO found</t>
        </is>
      </c>
      <c r="H770" s="15" t="n"/>
      <c r="I770" s="16" t="n"/>
      <c r="J770" s="16" t="n"/>
      <c r="K770" s="16" t="n"/>
      <c r="L770" s="17" t="n"/>
      <c r="M770" s="17" t="n"/>
      <c r="N770" s="17" t="n"/>
      <c r="O770" s="15" t="n"/>
      <c r="P770" s="15" t="n"/>
      <c r="Q770" s="18" t="inlineStr">
        <is>
          <t>https://www.sebi.gov.in/sebi_data/attachdocs/nov-2022/1669203009231.pdf</t>
        </is>
      </c>
      <c r="R770" s="18" t="inlineStr">
        <is>
          <t>https://www.sebi.gov.in/filings/public-issues/nov-2022/addendum-to-drhp-of-cogent-e-services-limited_65364.html</t>
        </is>
      </c>
      <c r="S770" s="15" t="n"/>
      <c r="T770" s="15" t="n"/>
      <c r="U770" s="15" t="n"/>
      <c r="V770" s="15" t="n"/>
      <c r="W770" s="16" t="n"/>
      <c r="X770" s="16" t="n"/>
      <c r="Y770" s="16" t="n"/>
      <c r="Z770" s="15" t="inlineStr">
        <is>
          <t>No issue found</t>
        </is>
      </c>
      <c r="AA770" s="15" t="inlineStr">
        <is>
          <t>Open date still 'to be announced'; no issue found.</t>
        </is>
      </c>
      <c r="AB770" s="18" t="inlineStr">
        <is>
          <t>https://www.5paisa.com/ipo/cogent-e-services-ltd-ipo</t>
        </is>
      </c>
    </row>
    <row r="771" ht="15" customHeight="1" s="12">
      <c r="A771" s="14" t="n">
        <v>770</v>
      </c>
      <c r="B771" s="16" t="n">
        <v>44874</v>
      </c>
      <c r="C771" s="15" t="n">
        <v>2022</v>
      </c>
      <c r="D771" s="15" t="inlineStr">
        <is>
          <t>FabIndia Limited</t>
        </is>
      </c>
      <c r="E771" s="15" t="inlineStr">
        <is>
          <t>Corrigendum</t>
        </is>
      </c>
      <c r="F771" s="15" t="inlineStr">
        <is>
          <t>FabIndia Limited - Corrigendum to DRHP</t>
        </is>
      </c>
      <c r="G771" s="15" t="inlineStr">
        <is>
          <t>No launched IPO found</t>
        </is>
      </c>
      <c r="H771" s="15" t="n"/>
      <c r="I771" s="16" t="n"/>
      <c r="J771" s="16" t="n"/>
      <c r="K771" s="16" t="n"/>
      <c r="L771" s="17" t="n"/>
      <c r="M771" s="17" t="n"/>
      <c r="N771" s="17" t="n"/>
      <c r="O771" s="15" t="n"/>
      <c r="P771" s="15" t="n"/>
      <c r="Q771" s="18" t="inlineStr">
        <is>
          <t>https://www.sebi.gov.in/sebi_data/attachdocs/nov-2022/1667978603422.pdf</t>
        </is>
      </c>
      <c r="R771" s="18" t="inlineStr">
        <is>
          <t>https://www.sebi.gov.in/filings/public-issues/nov-2022/fabindia-limited-corrigendum-to-drhp_64776.html</t>
        </is>
      </c>
      <c r="S771" s="15" t="n"/>
      <c r="T771" s="15" t="n"/>
      <c r="U771" s="15" t="n"/>
      <c r="V771" s="15" t="n"/>
      <c r="W771" s="16" t="n"/>
      <c r="X771" s="16" t="n"/>
      <c r="Y771" s="16" t="n"/>
      <c r="Z771" s="15" t="inlineStr">
        <is>
          <t>No issue found</t>
        </is>
      </c>
      <c r="AA771" s="15" t="inlineStr">
        <is>
          <t>Dates still 'to be announced' on IPO sites; no issue found.</t>
        </is>
      </c>
      <c r="AB771" s="18" t="inlineStr">
        <is>
          <t>https://www.5paisa.com/ipo/fabindia-ltd-ipo</t>
        </is>
      </c>
    </row>
    <row r="772" ht="15" customHeight="1" s="12">
      <c r="A772" s="14" t="n">
        <v>771</v>
      </c>
      <c r="B772" s="16" t="n">
        <v>44872</v>
      </c>
      <c r="C772" s="15" t="n">
        <v>2022</v>
      </c>
      <c r="D772" s="15" t="inlineStr">
        <is>
          <t>DRHP of SBFC FINANCE LIMITED</t>
        </is>
      </c>
      <c r="E772" s="15" t="inlineStr">
        <is>
          <t>DRHP</t>
        </is>
      </c>
      <c r="F772" s="15" t="inlineStr">
        <is>
          <t>DRHP of SBFC FINANCE LIMITED</t>
        </is>
      </c>
      <c r="G772" s="15" t="inlineStr">
        <is>
          <t>No launched IPO found</t>
        </is>
      </c>
      <c r="H772" s="15" t="n"/>
      <c r="I772" s="16" t="n"/>
      <c r="J772" s="16" t="n"/>
      <c r="K772" s="16" t="n"/>
      <c r="L772" s="17" t="n"/>
      <c r="M772" s="17" t="n"/>
      <c r="N772" s="17" t="n"/>
      <c r="O772" s="15" t="n"/>
      <c r="P772" s="15" t="n"/>
      <c r="Q772" s="18" t="inlineStr">
        <is>
          <t>https://www.sebi.gov.in/sebi_data/attachdocs/nov-2022/1668054674080.pdf</t>
        </is>
      </c>
      <c r="R772" s="18" t="inlineStr">
        <is>
          <t>https://www.sebi.gov.in/filings/public-issues/nov-2022/drhp-of-sbfc-finance-limited_64817.html</t>
        </is>
      </c>
      <c r="S772" s="15" t="n"/>
      <c r="T772" s="15" t="n"/>
      <c r="U772" s="15" t="n"/>
      <c r="V772" s="15" t="n"/>
      <c r="W772" s="19" t="n">
        <v>45141</v>
      </c>
      <c r="X772" s="19" t="n">
        <v>45145</v>
      </c>
      <c r="Y772" s="19" t="n">
        <v>45154</v>
      </c>
      <c r="Z772" s="20" t="inlineStr">
        <is>
          <t>Issue opened</t>
        </is>
      </c>
      <c r="AA772" s="15" t="inlineStr">
        <is>
          <t>Matched on chittorgarh.com</t>
        </is>
      </c>
      <c r="AB772" s="18" t="inlineStr">
        <is>
          <t>https://www.chittorgarh.com/ipo/sbfc-finance-ipo/1470/</t>
        </is>
      </c>
    </row>
    <row r="773" ht="15" customHeight="1" s="12">
      <c r="A773" s="14" t="n">
        <v>772</v>
      </c>
      <c r="B773" s="16" t="n">
        <v>44872</v>
      </c>
      <c r="C773" s="15" t="n">
        <v>2022</v>
      </c>
      <c r="D773" s="15" t="inlineStr">
        <is>
          <t>Ease of Operational Procedure</t>
        </is>
      </c>
      <c r="E773" s="15" t="inlineStr">
        <is>
          <t>Other</t>
        </is>
      </c>
      <c r="F773" s="15" t="inlineStr">
        <is>
          <t>Ease of Operational Procedure</t>
        </is>
      </c>
      <c r="G773" s="15" t="inlineStr">
        <is>
          <t>Not an offer document</t>
        </is>
      </c>
      <c r="H773" s="15" t="n"/>
      <c r="I773" s="16" t="n"/>
      <c r="J773" s="16" t="n"/>
      <c r="K773" s="16" t="n"/>
      <c r="L773" s="17" t="n"/>
      <c r="M773" s="17" t="n"/>
      <c r="N773" s="17" t="n"/>
      <c r="O773" s="15" t="n"/>
      <c r="P773" s="15" t="n"/>
      <c r="Q773" s="18" t="inlineStr">
        <is>
          <t>https://www.sebi.gov.in/sebi_data/attachdocs/nov-2022/1667821034088.pdf</t>
        </is>
      </c>
      <c r="R773" s="18" t="inlineStr">
        <is>
          <t>https://www.sebi.gov.in/filings/public-issues/nov-2022/ease-of-operational-procedure_64739.html</t>
        </is>
      </c>
      <c r="S773" s="15" t="n"/>
      <c r="T773" s="15" t="n"/>
      <c r="U773" s="15" t="n"/>
      <c r="V773" s="15" t="n"/>
      <c r="W773" s="16" t="n"/>
      <c r="X773" s="16" t="n"/>
      <c r="Y773" s="16" t="n"/>
      <c r="Z773" s="15" t="inlineStr">
        <is>
          <t>Not an offer document</t>
        </is>
      </c>
      <c r="AA773" s="15" t="inlineStr">
        <is>
          <t>SEBI entry is not an issuer draft</t>
        </is>
      </c>
      <c r="AB773" s="15" t="n"/>
    </row>
    <row r="774" ht="15" customHeight="1" s="12">
      <c r="A774" s="14" t="n">
        <v>773</v>
      </c>
      <c r="B774" s="16" t="n">
        <v>44861</v>
      </c>
      <c r="C774" s="15" t="n">
        <v>2022</v>
      </c>
      <c r="D774" s="15" t="inlineStr">
        <is>
          <t>IndiaFirst Life Insurance Company Limited</t>
        </is>
      </c>
      <c r="E774" s="15" t="inlineStr">
        <is>
          <t>DRHP</t>
        </is>
      </c>
      <c r="F774" s="15" t="inlineStr">
        <is>
          <t>IndiaFirst Life Insurance Company Limited - DRHP</t>
        </is>
      </c>
      <c r="G774" s="15" t="inlineStr">
        <is>
          <t>No launched IPO found</t>
        </is>
      </c>
      <c r="H774" s="15" t="n"/>
      <c r="I774" s="16" t="n"/>
      <c r="J774" s="16" t="n"/>
      <c r="K774" s="16" t="n"/>
      <c r="L774" s="17" t="n"/>
      <c r="M774" s="17" t="n"/>
      <c r="N774" s="17" t="n"/>
      <c r="O774" s="15" t="n"/>
      <c r="P774" s="15" t="n"/>
      <c r="Q774" s="18" t="inlineStr">
        <is>
          <t>https://www.sebi.gov.in/sebi_data/attachdocs/oct-2022/1666940625609.pdf</t>
        </is>
      </c>
      <c r="R774" s="18" t="inlineStr">
        <is>
          <t>https://www.sebi.gov.in/filings/public-issues/oct-2022/indiafirst-life-insurance-company-limited-drhp_64424.html</t>
        </is>
      </c>
      <c r="S774" s="15" t="n"/>
      <c r="T774" s="15" t="n"/>
      <c r="U774" s="15" t="n"/>
      <c r="V774" s="15" t="n"/>
      <c r="W774" s="16" t="n"/>
      <c r="X774" s="16" t="n"/>
      <c r="Y774" s="16" t="n"/>
      <c r="Z774" s="15" t="inlineStr">
        <is>
          <t>No issue found</t>
        </is>
      </c>
      <c r="AA774" s="15" t="inlineStr">
        <is>
          <t>Business Standard lists the company but shows no issue dates; web search limit reached</t>
        </is>
      </c>
      <c r="AB774" s="18" t="inlineStr">
        <is>
          <t>https://www.business-standard.com/markets/ipo/indiafirst-life-insurance-company-ltd-ipo-36755</t>
        </is>
      </c>
    </row>
    <row r="775" ht="15" customHeight="1" s="12">
      <c r="A775" s="14" t="n">
        <v>774</v>
      </c>
      <c r="B775" s="16" t="n">
        <v>44840</v>
      </c>
      <c r="C775" s="15" t="n">
        <v>2022</v>
      </c>
      <c r="D775" s="15" t="inlineStr">
        <is>
          <t>Motisons Jewellers Limited</t>
        </is>
      </c>
      <c r="E775" s="15" t="inlineStr">
        <is>
          <t>DRHP</t>
        </is>
      </c>
      <c r="F775" s="15" t="inlineStr">
        <is>
          <t>Motisons Jewellers Limited - DRHP</t>
        </is>
      </c>
      <c r="G775" s="15" t="inlineStr">
        <is>
          <t>IPO launched</t>
        </is>
      </c>
      <c r="H775" s="15" t="inlineStr">
        <is>
          <t>Mainboard</t>
        </is>
      </c>
      <c r="I775" s="16" t="n">
        <v>45278</v>
      </c>
      <c r="J775" s="16" t="n">
        <v>45280</v>
      </c>
      <c r="K775" s="16" t="n">
        <v>45286</v>
      </c>
      <c r="L775" s="17" t="n">
        <v>151.09</v>
      </c>
      <c r="M775" s="17" t="n">
        <v>151.09</v>
      </c>
      <c r="N775" s="17" t="n">
        <v>0</v>
      </c>
      <c r="O775" s="15" t="inlineStr">
        <is>
          <t>Final issue (ipoplatform)</t>
        </is>
      </c>
      <c r="P775" s="15" t="n"/>
      <c r="Q775" s="18" t="inlineStr">
        <is>
          <t>https://www.sebi.gov.in/sebi_data/attachdocs/oct-2022/1665029967837.pdf</t>
        </is>
      </c>
      <c r="R775" s="18" t="inlineStr">
        <is>
          <t>https://www.sebi.gov.in/filings/public-issues/oct-2022/motisons-jewellers-limited-drhp_63720.html</t>
        </is>
      </c>
      <c r="S775" s="15" t="n"/>
      <c r="T775" s="15" t="inlineStr">
        <is>
          <t>Company name + date window</t>
        </is>
      </c>
      <c r="U775" s="15" t="inlineStr">
        <is>
          <t>Motisons Jewellers Limited</t>
        </is>
      </c>
      <c r="V775" s="15" t="n"/>
      <c r="W775" s="15" t="n"/>
      <c r="X775" s="15" t="n"/>
      <c r="Y775" s="15" t="n"/>
      <c r="Z775" s="15" t="n"/>
      <c r="AA775" s="15" t="n"/>
      <c r="AB775" s="15" t="n"/>
    </row>
    <row r="776" ht="15" customHeight="1" s="12">
      <c r="A776" s="14" t="n">
        <v>775</v>
      </c>
      <c r="B776" s="16" t="n">
        <v>44837</v>
      </c>
      <c r="C776" s="15" t="n">
        <v>2022</v>
      </c>
      <c r="D776" s="15" t="inlineStr">
        <is>
          <t>IKIO Lighting Limited</t>
        </is>
      </c>
      <c r="E776" s="15" t="inlineStr">
        <is>
          <t>DRHP</t>
        </is>
      </c>
      <c r="F776" s="15" t="inlineStr">
        <is>
          <t>IKIO Lighting Limited - DRHP</t>
        </is>
      </c>
      <c r="G776" s="15" t="inlineStr">
        <is>
          <t>IPO launched</t>
        </is>
      </c>
      <c r="H776" s="15" t="inlineStr">
        <is>
          <t>Mainboard</t>
        </is>
      </c>
      <c r="I776" s="16" t="n">
        <v>45083</v>
      </c>
      <c r="J776" s="16" t="n">
        <v>45085</v>
      </c>
      <c r="K776" s="16" t="n">
        <v>45093</v>
      </c>
      <c r="L776" s="17" t="n">
        <v>606.5</v>
      </c>
      <c r="M776" s="17" t="n">
        <v>350</v>
      </c>
      <c r="N776" s="17" t="n">
        <v>256.5</v>
      </c>
      <c r="O776" s="15" t="inlineStr">
        <is>
          <t>Final issue (ipoplatform)</t>
        </is>
      </c>
      <c r="P776" s="15" t="n"/>
      <c r="Q776" s="18" t="inlineStr">
        <is>
          <t>https://www.sebi.gov.in/sebi_data/attachdocs/oct-2022/1664860712075.pdf</t>
        </is>
      </c>
      <c r="R776" s="18" t="inlineStr">
        <is>
          <t>https://www.sebi.gov.in/filings/public-issues/oct-2022/ikio-lighting-limited-drhp_63658.html</t>
        </is>
      </c>
      <c r="S776" s="15" t="n"/>
      <c r="T776" s="15" t="inlineStr">
        <is>
          <t>SEBI filing link</t>
        </is>
      </c>
      <c r="U776" s="15" t="inlineStr">
        <is>
          <t>IKIO Lighting Limited</t>
        </is>
      </c>
      <c r="V776" s="15" t="n"/>
      <c r="W776" s="15" t="n"/>
      <c r="X776" s="15" t="n"/>
      <c r="Y776" s="15" t="n"/>
      <c r="Z776" s="15" t="n"/>
      <c r="AA776" s="15" t="n"/>
      <c r="AB776" s="15" t="n"/>
    </row>
    <row r="777" ht="15" customHeight="1" s="12">
      <c r="A777" s="14" t="n">
        <v>776</v>
      </c>
      <c r="B777" s="16" t="n">
        <v>44837</v>
      </c>
      <c r="C777" s="15" t="n">
        <v>2022</v>
      </c>
      <c r="D777" s="15" t="inlineStr">
        <is>
          <t>R &amp; B Infra Limited</t>
        </is>
      </c>
      <c r="E777" s="15" t="inlineStr">
        <is>
          <t>DRHP</t>
        </is>
      </c>
      <c r="F777" s="15" t="inlineStr">
        <is>
          <t>R &amp; B Infra Limited - DRHP</t>
        </is>
      </c>
      <c r="G777" s="15" t="inlineStr">
        <is>
          <t>No launched IPO found</t>
        </is>
      </c>
      <c r="H777" s="15" t="n"/>
      <c r="I777" s="16" t="n"/>
      <c r="J777" s="16" t="n"/>
      <c r="K777" s="16" t="n"/>
      <c r="L777" s="17" t="n"/>
      <c r="M777" s="17" t="n"/>
      <c r="N777" s="17" t="n"/>
      <c r="O777" s="15" t="n"/>
      <c r="P777" s="15" t="n"/>
      <c r="Q777" s="18" t="inlineStr">
        <is>
          <t>https://www.sebi.gov.in/sebi_data/attachdocs/oct-2022/1664789602888.pdf</t>
        </is>
      </c>
      <c r="R777" s="18" t="inlineStr">
        <is>
          <t>https://www.sebi.gov.in/filings/public-issues/oct-2022/r-and-b-infra-limited-drhp_63623.html</t>
        </is>
      </c>
      <c r="S777" s="15" t="n"/>
      <c r="T777" s="15" t="n"/>
      <c r="U777" s="15" t="n"/>
      <c r="V777" s="15" t="n"/>
      <c r="W777" s="16" t="n"/>
      <c r="X777" s="16" t="n"/>
      <c r="Y777" s="16" t="n"/>
      <c r="Z777" s="15" t="inlineStr">
        <is>
          <t>No issue found</t>
        </is>
      </c>
      <c r="AA777" s="15" t="inlineStr">
        <is>
          <t>R &amp; B Infra Project DRHP Sep 2022 (Aryaman); IPO dates still 'to be announced', never opened</t>
        </is>
      </c>
      <c r="AB777" s="18" t="inlineStr">
        <is>
          <t>https://www.angelone.in/ipo/r-b-infra-project-ltd-ipo</t>
        </is>
      </c>
    </row>
    <row r="778" ht="15" customHeight="1" s="12">
      <c r="A778" s="14" t="n">
        <v>777</v>
      </c>
      <c r="B778" s="16" t="n">
        <v>44834</v>
      </c>
      <c r="C778" s="15" t="n">
        <v>2022</v>
      </c>
      <c r="D778" s="15" t="inlineStr">
        <is>
          <t>Airox Technologies Limited</t>
        </is>
      </c>
      <c r="E778" s="15" t="inlineStr">
        <is>
          <t>DRHP</t>
        </is>
      </c>
      <c r="F778" s="15" t="inlineStr">
        <is>
          <t>Airox Technologies Limited - DRHP</t>
        </is>
      </c>
      <c r="G778" s="15" t="inlineStr">
        <is>
          <t>No launched IPO found</t>
        </is>
      </c>
      <c r="H778" s="15" t="n"/>
      <c r="I778" s="16" t="n"/>
      <c r="J778" s="16" t="n"/>
      <c r="K778" s="16" t="n"/>
      <c r="L778" s="17" t="n"/>
      <c r="M778" s="17" t="n"/>
      <c r="N778" s="17" t="n"/>
      <c r="O778" s="15" t="n"/>
      <c r="P778" s="15" t="n"/>
      <c r="Q778" s="18" t="inlineStr">
        <is>
          <t>https://www.sebi.gov.in/sebi_data/attachdocs/oct-2022/1664779518143.pdf</t>
        </is>
      </c>
      <c r="R778" s="18" t="inlineStr">
        <is>
          <t>https://www.sebi.gov.in/filings/public-issues/sep-2022/airox-technologies-limited-drhp_63605.html</t>
        </is>
      </c>
      <c r="S778" s="15" t="n"/>
      <c r="T778" s="15" t="n"/>
      <c r="U778" s="15" t="n"/>
      <c r="V778" s="15" t="n"/>
      <c r="W778" s="16" t="n"/>
      <c r="X778" s="16" t="n"/>
      <c r="Y778" s="16" t="n"/>
      <c r="Z778" s="15" t="inlineStr">
        <is>
          <t>No issue found</t>
        </is>
      </c>
      <c r="AA778" s="15" t="inlineStr">
        <is>
          <t>Business Standard lists the company but shows no issue dates; web search limit reached</t>
        </is>
      </c>
      <c r="AB778" s="18" t="inlineStr">
        <is>
          <t>https://www.business-standard.com/markets/ipo/airox-technologies-ltd-ipo-73340</t>
        </is>
      </c>
    </row>
    <row r="779" ht="15" customHeight="1" s="12">
      <c r="A779" s="14" t="n">
        <v>778</v>
      </c>
      <c r="B779" s="16" t="n">
        <v>44834</v>
      </c>
      <c r="C779" s="15" t="n">
        <v>2022</v>
      </c>
      <c r="D779" s="15" t="inlineStr">
        <is>
          <t>Lohia Corp Limited</t>
        </is>
      </c>
      <c r="E779" s="15" t="inlineStr">
        <is>
          <t>DRHP</t>
        </is>
      </c>
      <c r="F779" s="15" t="inlineStr">
        <is>
          <t>Lohia Corp Limited - DRHP</t>
        </is>
      </c>
      <c r="G779" s="15" t="inlineStr">
        <is>
          <t>No launched IPO found</t>
        </is>
      </c>
      <c r="H779" s="15" t="n"/>
      <c r="I779" s="16" t="n"/>
      <c r="J779" s="16" t="n"/>
      <c r="K779" s="16" t="n"/>
      <c r="L779" s="17" t="n"/>
      <c r="M779" s="17" t="n"/>
      <c r="N779" s="17" t="n"/>
      <c r="O779" s="15" t="n"/>
      <c r="P779" s="15" t="n"/>
      <c r="Q779" s="18" t="inlineStr">
        <is>
          <t>https://www.sebi.gov.in/sebi_data/attachdocs/oct-2022/1664773998401.PDF</t>
        </is>
      </c>
      <c r="R779" s="18" t="inlineStr">
        <is>
          <t>https://www.sebi.gov.in/filings/public-issues/sep-2022/lohia-corp-limited-drhp_63601.html</t>
        </is>
      </c>
      <c r="S779" s="15" t="n"/>
      <c r="T779" s="15" t="n"/>
      <c r="U779" s="15" t="n"/>
      <c r="V779" s="15" t="inlineStr">
        <is>
          <t>Same-name IPO opened 23-Jul-2026 — outside 2 years of this filing, so not linked</t>
        </is>
      </c>
      <c r="W779" s="25" t="n">
        <v>46226</v>
      </c>
      <c r="X779" s="25" t="n">
        <v>46230</v>
      </c>
      <c r="Y779" s="25" t="n">
        <v>46233</v>
      </c>
      <c r="Z779" s="26" t="inlineStr">
        <is>
          <t>Later IPO — not from this draft</t>
        </is>
      </c>
      <c r="AA779" s="15" t="inlineStr">
        <is>
          <t>Opened 3.8 yrs after this filing, under a later draft</t>
        </is>
      </c>
      <c r="AB779" s="18" t="inlineStr">
        <is>
          <t>https://www.business-standard.com/markets/ipo/lohia-corp-ltd-ipo-95865</t>
        </is>
      </c>
    </row>
    <row r="780" ht="15" customHeight="1" s="12">
      <c r="A780" s="14" t="n">
        <v>779</v>
      </c>
      <c r="B780" s="16" t="n">
        <v>44834</v>
      </c>
      <c r="C780" s="15" t="n">
        <v>2022</v>
      </c>
      <c r="D780" s="15" t="inlineStr">
        <is>
          <t>Enviro Infra Engineers Limited</t>
        </is>
      </c>
      <c r="E780" s="15" t="inlineStr">
        <is>
          <t>DRHP</t>
        </is>
      </c>
      <c r="F780" s="15" t="inlineStr">
        <is>
          <t>Enviro Infra Engineers Limited - DRHP</t>
        </is>
      </c>
      <c r="G780" s="15" t="inlineStr">
        <is>
          <t>No launched IPO found</t>
        </is>
      </c>
      <c r="H780" s="15" t="n"/>
      <c r="I780" s="16" t="n"/>
      <c r="J780" s="16" t="n"/>
      <c r="K780" s="16" t="n"/>
      <c r="L780" s="17" t="n"/>
      <c r="M780" s="17" t="n"/>
      <c r="N780" s="17" t="n"/>
      <c r="O780" s="15" t="n"/>
      <c r="P780" s="15" t="n"/>
      <c r="Q780" s="18" t="inlineStr">
        <is>
          <t>https://www.sebi.gov.in/sebi_data/attachdocs/sep-2022/1664517282750.pdf</t>
        </is>
      </c>
      <c r="R780" s="18" t="inlineStr">
        <is>
          <t>https://www.sebi.gov.in/filings/public-issues/sep-2022/enviro-infra-engineers-limited-drhp_63529.html</t>
        </is>
      </c>
      <c r="S780" s="15" t="n"/>
      <c r="T780" s="15" t="n"/>
      <c r="U780" s="15" t="n"/>
      <c r="V780" s="15" t="inlineStr">
        <is>
          <t>Same-name IPO opened 22-Nov-2024 — outside 2 years of this filing, so not linked</t>
        </is>
      </c>
      <c r="W780" s="19" t="n">
        <v>45618</v>
      </c>
      <c r="X780" s="19" t="n">
        <v>45622</v>
      </c>
      <c r="Y780" s="19" t="n">
        <v>45625</v>
      </c>
      <c r="Z780" s="20" t="inlineStr">
        <is>
          <t>Issue opened</t>
        </is>
      </c>
      <c r="AA780" s="15" t="inlineStr">
        <is>
          <t>Matched on chittorgarh.com</t>
        </is>
      </c>
      <c r="AB780" s="18" t="inlineStr">
        <is>
          <t>https://www.chittorgarh.com/ipo/enviro-infra-engineers-ipo/1911/</t>
        </is>
      </c>
    </row>
    <row r="781" ht="15" customHeight="1" s="12">
      <c r="A781" s="14" t="n">
        <v>780</v>
      </c>
      <c r="B781" s="16" t="n">
        <v>44832</v>
      </c>
      <c r="C781" s="15" t="n">
        <v>2022</v>
      </c>
      <c r="D781" s="15" t="inlineStr">
        <is>
          <t>Udayshivakumar Infra Limited</t>
        </is>
      </c>
      <c r="E781" s="15" t="inlineStr">
        <is>
          <t>DRHP</t>
        </is>
      </c>
      <c r="F781" s="15" t="inlineStr">
        <is>
          <t>Udayshivakumar Infra Limited - DRHP</t>
        </is>
      </c>
      <c r="G781" s="15" t="inlineStr">
        <is>
          <t>IPO launched</t>
        </is>
      </c>
      <c r="H781" s="15" t="inlineStr">
        <is>
          <t>Mainboard</t>
        </is>
      </c>
      <c r="I781" s="16" t="n">
        <v>45005</v>
      </c>
      <c r="J781" s="16" t="n">
        <v>45008</v>
      </c>
      <c r="K781" s="16" t="n">
        <v>45019</v>
      </c>
      <c r="L781" s="17" t="n">
        <v>66</v>
      </c>
      <c r="M781" s="17" t="n">
        <v>66</v>
      </c>
      <c r="N781" s="17" t="n">
        <v>0</v>
      </c>
      <c r="O781" s="15" t="inlineStr">
        <is>
          <t>Final issue (ipoplatform)</t>
        </is>
      </c>
      <c r="P781" s="15" t="n"/>
      <c r="Q781" s="18" t="inlineStr">
        <is>
          <t>https://www.sebi.gov.in/sebi_data/attachdocs/sep-2022/1664427888261.pdf</t>
        </is>
      </c>
      <c r="R781" s="18" t="inlineStr">
        <is>
          <t>https://www.sebi.gov.in/filings/public-issues/sep-2022/udayshivakumar-infra-limited-drhp_63457.html</t>
        </is>
      </c>
      <c r="S781" s="15" t="n"/>
      <c r="T781" s="15" t="inlineStr">
        <is>
          <t>SEBI filing link</t>
        </is>
      </c>
      <c r="U781" s="15" t="inlineStr">
        <is>
          <t>Udayshivakumar Infra Limited</t>
        </is>
      </c>
      <c r="V781" s="15" t="n"/>
      <c r="W781" s="15" t="n"/>
      <c r="X781" s="15" t="n"/>
      <c r="Y781" s="15" t="n"/>
      <c r="Z781" s="15" t="n"/>
      <c r="AA781" s="15" t="n"/>
      <c r="AB781" s="15" t="n"/>
    </row>
    <row r="782" ht="15" customHeight="1" s="12">
      <c r="A782" s="14" t="n">
        <v>781</v>
      </c>
      <c r="B782" s="16" t="n">
        <v>44830</v>
      </c>
      <c r="C782" s="15" t="n">
        <v>2022</v>
      </c>
      <c r="D782" s="15" t="inlineStr">
        <is>
          <t>WAPCOS Limited</t>
        </is>
      </c>
      <c r="E782" s="15" t="inlineStr">
        <is>
          <t>DRHP</t>
        </is>
      </c>
      <c r="F782" s="15" t="inlineStr">
        <is>
          <t>WAPCOS Limited</t>
        </is>
      </c>
      <c r="G782" s="15" t="inlineStr">
        <is>
          <t>No launched IPO found</t>
        </is>
      </c>
      <c r="H782" s="15" t="n"/>
      <c r="I782" s="16" t="n"/>
      <c r="J782" s="16" t="n"/>
      <c r="K782" s="16" t="n"/>
      <c r="L782" s="17" t="n"/>
      <c r="M782" s="17" t="n"/>
      <c r="N782" s="17" t="n"/>
      <c r="O782" s="15" t="n"/>
      <c r="P782" s="15" t="n"/>
      <c r="Q782" s="18" t="inlineStr">
        <is>
          <t>https://www.sebi.gov.in/sebi_data/attachdocs/sep-2022/1664270325636.pdf</t>
        </is>
      </c>
      <c r="R782" s="18" t="inlineStr">
        <is>
          <t>https://www.sebi.gov.in/filings/public-issues/sep-2022/wapcos-limited_63398.html</t>
        </is>
      </c>
      <c r="S782" s="15" t="n"/>
      <c r="T782" s="15" t="n"/>
      <c r="U782" s="15" t="n"/>
      <c r="V782" s="15" t="n"/>
      <c r="W782" s="16" t="n"/>
      <c r="X782" s="16" t="n"/>
      <c r="Y782" s="16" t="n"/>
      <c r="Z782" s="15" t="inlineStr">
        <is>
          <t>No issue found</t>
        </is>
      </c>
      <c r="AA782" s="15" t="inlineStr">
        <is>
          <t>Business Standard lists the company but shows no issue dates; web search limit reached</t>
        </is>
      </c>
      <c r="AB782" s="18" t="inlineStr">
        <is>
          <t>https://www.business-standard.com/markets/ipo/wapcos-ltd-ipo-13201</t>
        </is>
      </c>
    </row>
    <row r="783" ht="15" customHeight="1" s="12">
      <c r="A783" s="14" t="n">
        <v>782</v>
      </c>
      <c r="B783" s="16" t="n">
        <v>44828</v>
      </c>
      <c r="C783" s="15" t="n">
        <v>2022</v>
      </c>
      <c r="D783" s="15" t="inlineStr">
        <is>
          <t>Dharmaj Crop Guard Limited</t>
        </is>
      </c>
      <c r="E783" s="15" t="inlineStr">
        <is>
          <t>Addendum</t>
        </is>
      </c>
      <c r="F783" s="15" t="inlineStr">
        <is>
          <t>Dharmaj Crop Guard Limited – Addendum to DRHP</t>
        </is>
      </c>
      <c r="G783" s="15" t="inlineStr">
        <is>
          <t>IPO launched</t>
        </is>
      </c>
      <c r="H783" s="15" t="inlineStr">
        <is>
          <t>Mainboard</t>
        </is>
      </c>
      <c r="I783" s="16" t="n">
        <v>44893</v>
      </c>
      <c r="J783" s="16" t="n">
        <v>44895</v>
      </c>
      <c r="K783" s="16" t="n">
        <v>44903</v>
      </c>
      <c r="L783" s="17" t="n">
        <v>251.15</v>
      </c>
      <c r="M783" s="17" t="n">
        <v>216</v>
      </c>
      <c r="N783" s="17" t="n">
        <v>35.15</v>
      </c>
      <c r="O783" s="15" t="inlineStr">
        <is>
          <t>Final issue (ipoplatform)</t>
        </is>
      </c>
      <c r="P783" s="15" t="n"/>
      <c r="Q783" s="18" t="inlineStr">
        <is>
          <t>https://www.sebi.gov.in/sebi_data/attachdocs/sep-2022/1664430377326.PDF</t>
        </is>
      </c>
      <c r="R783" s="18" t="inlineStr">
        <is>
          <t>https://www.sebi.gov.in/filings/public-issues/sep-2022/dharmaj-crop-guard-limited-addendum-to-drhp_63458.html</t>
        </is>
      </c>
      <c r="S783" s="15" t="n"/>
      <c r="T783" s="15" t="inlineStr">
        <is>
          <t>Company name + date window</t>
        </is>
      </c>
      <c r="U783" s="15" t="inlineStr">
        <is>
          <t>Dharmaj Crop Guard Limited</t>
        </is>
      </c>
      <c r="V783" s="15" t="n"/>
      <c r="W783" s="15" t="n"/>
      <c r="X783" s="15" t="n"/>
      <c r="Y783" s="15" t="n"/>
      <c r="Z783" s="15" t="n"/>
      <c r="AA783" s="15" t="n"/>
      <c r="AB783" s="15" t="n"/>
    </row>
    <row r="784" ht="15" customHeight="1" s="12">
      <c r="A784" s="14" t="n">
        <v>783</v>
      </c>
      <c r="B784" s="16" t="n">
        <v>44827</v>
      </c>
      <c r="C784" s="15" t="n">
        <v>2022</v>
      </c>
      <c r="D784" s="15" t="inlineStr">
        <is>
          <t>Divgi Torqtransfer Systems Limited</t>
        </is>
      </c>
      <c r="E784" s="15" t="inlineStr">
        <is>
          <t>DRHP</t>
        </is>
      </c>
      <c r="F784" s="15" t="inlineStr">
        <is>
          <t>Divgi Torqtransfer Systems Limited - DRHP</t>
        </is>
      </c>
      <c r="G784" s="15" t="inlineStr">
        <is>
          <t>IPO launched</t>
        </is>
      </c>
      <c r="H784" s="15" t="inlineStr">
        <is>
          <t>Mainboard</t>
        </is>
      </c>
      <c r="I784" s="16" t="n">
        <v>44986</v>
      </c>
      <c r="J784" s="16" t="n">
        <v>44988</v>
      </c>
      <c r="K784" s="16" t="n">
        <v>44999</v>
      </c>
      <c r="L784" s="17" t="n">
        <v>412.12</v>
      </c>
      <c r="M784" s="17" t="n">
        <v>412.12</v>
      </c>
      <c r="N784" s="17" t="n">
        <v>0</v>
      </c>
      <c r="O784" s="15" t="inlineStr">
        <is>
          <t>Final issue (ipoplatform)</t>
        </is>
      </c>
      <c r="P784" s="15" t="n"/>
      <c r="Q784" s="18" t="inlineStr">
        <is>
          <t>https://www.sebi.gov.in/sebi_data/attachdocs/sep-2022/1663923007921.PDF</t>
        </is>
      </c>
      <c r="R784" s="18" t="inlineStr">
        <is>
          <t>https://www.sebi.gov.in/filings/public-issues/sep-2022/divgi-torqtransfer-systems-limited-drhp_63303.html</t>
        </is>
      </c>
      <c r="S784" s="15" t="n"/>
      <c r="T784" s="15" t="inlineStr">
        <is>
          <t>SEBI filing link</t>
        </is>
      </c>
      <c r="U784" s="15" t="inlineStr">
        <is>
          <t>Divgi TorqTransfer Systems Limited</t>
        </is>
      </c>
      <c r="V784" s="15" t="n"/>
      <c r="W784" s="15" t="n"/>
      <c r="X784" s="15" t="n"/>
      <c r="Y784" s="15" t="n"/>
      <c r="Z784" s="15" t="n"/>
      <c r="AA784" s="15" t="n"/>
      <c r="AB784" s="15" t="n"/>
    </row>
    <row r="785" ht="15" customHeight="1" s="12">
      <c r="A785" s="14" t="n">
        <v>784</v>
      </c>
      <c r="B785" s="16" t="n">
        <v>44827</v>
      </c>
      <c r="C785" s="15" t="n">
        <v>2022</v>
      </c>
      <c r="D785" s="15" t="inlineStr">
        <is>
          <t>Puranik Builders Limited</t>
        </is>
      </c>
      <c r="E785" s="15" t="inlineStr">
        <is>
          <t>Addendum</t>
        </is>
      </c>
      <c r="F785" s="15" t="inlineStr">
        <is>
          <t>Puranik Builders Limited - Addendum to DRHP</t>
        </is>
      </c>
      <c r="G785" s="15" t="inlineStr">
        <is>
          <t>No launched IPO found</t>
        </is>
      </c>
      <c r="H785" s="15" t="n"/>
      <c r="I785" s="16" t="n"/>
      <c r="J785" s="16" t="n"/>
      <c r="K785" s="16" t="n"/>
      <c r="L785" s="17" t="n"/>
      <c r="M785" s="17" t="n"/>
      <c r="N785" s="17" t="n"/>
      <c r="O785" s="15" t="n"/>
      <c r="P785" s="15" t="n"/>
      <c r="Q785" s="18" t="inlineStr">
        <is>
          <t>https://www.sebi.gov.in/sebi_data/attachdocs/sep-2022/1663916527724.pdf</t>
        </is>
      </c>
      <c r="R785" s="18" t="inlineStr">
        <is>
          <t>https://www.sebi.gov.in/filings/public-issues/sep-2022/puranik-builders-limited-addendum-to-drhp_63297.html</t>
        </is>
      </c>
      <c r="S785" s="15" t="n"/>
      <c r="T785" s="15" t="n"/>
      <c r="U785" s="15" t="n"/>
      <c r="V785" s="15" t="n"/>
      <c r="W785" s="16" t="n"/>
      <c r="X785" s="16" t="n"/>
      <c r="Y785" s="16" t="n"/>
      <c r="Z785" s="15" t="inlineStr">
        <is>
          <t>No issue found</t>
        </is>
      </c>
      <c r="AA785" s="15" t="inlineStr">
        <is>
          <t>Business Standard lists the company but shows no issue dates; web search limit reached</t>
        </is>
      </c>
      <c r="AB785" s="18" t="inlineStr">
        <is>
          <t>https://www.business-standard.com/markets/ipo/puranik-builders-ltd-ipo-66783</t>
        </is>
      </c>
    </row>
    <row r="786" ht="15" customHeight="1" s="12">
      <c r="A786" s="14" t="n">
        <v>785</v>
      </c>
      <c r="B786" s="16" t="n">
        <v>44824</v>
      </c>
      <c r="C786" s="15" t="n">
        <v>2022</v>
      </c>
      <c r="D786" s="15" t="inlineStr">
        <is>
          <t>Addendum to DRHP of Plaza Wires Limited</t>
        </is>
      </c>
      <c r="E786" s="15" t="inlineStr">
        <is>
          <t>Addendum</t>
        </is>
      </c>
      <c r="F786" s="15" t="inlineStr">
        <is>
          <t>Addendum to DRHP of Plaza Wires Limited</t>
        </is>
      </c>
      <c r="G786" s="15" t="inlineStr">
        <is>
          <t>No launched IPO found</t>
        </is>
      </c>
      <c r="H786" s="15" t="n"/>
      <c r="I786" s="16" t="n"/>
      <c r="J786" s="16" t="n"/>
      <c r="K786" s="16" t="n"/>
      <c r="L786" s="17" t="n"/>
      <c r="M786" s="17" t="n"/>
      <c r="N786" s="17" t="n"/>
      <c r="O786" s="15" t="n"/>
      <c r="P786" s="15" t="n"/>
      <c r="Q786" s="18" t="inlineStr">
        <is>
          <t>https://www.sebi.gov.in/sebi_data/attachdocs/sep-2022/1663658220973.pdf</t>
        </is>
      </c>
      <c r="R786" s="18" t="inlineStr">
        <is>
          <t>https://www.sebi.gov.in/filings/public-issues/sep-2022/addendum-to-drhp-of-plaza-wires-limited_63061.html</t>
        </is>
      </c>
      <c r="S786" s="15" t="n"/>
      <c r="T786" s="15" t="n"/>
      <c r="U786" s="15" t="n"/>
      <c r="V786" s="15" t="n"/>
      <c r="W786" s="19" t="n">
        <v>45198</v>
      </c>
      <c r="X786" s="19" t="n">
        <v>45204</v>
      </c>
      <c r="Y786" s="19" t="n">
        <v>45211</v>
      </c>
      <c r="Z786" s="20" t="inlineStr">
        <is>
          <t>Issue opened</t>
        </is>
      </c>
      <c r="AA786" s="15" t="inlineStr">
        <is>
          <t>Matched on chittorgarh.com</t>
        </is>
      </c>
      <c r="AB786" s="18" t="inlineStr">
        <is>
          <t>https://www.chittorgarh.com/ipo/plaza-wires-ipo/1539/</t>
        </is>
      </c>
    </row>
    <row r="787" ht="15" customHeight="1" s="12">
      <c r="A787" s="14" t="n">
        <v>786</v>
      </c>
      <c r="B787" s="16" t="n">
        <v>44823</v>
      </c>
      <c r="C787" s="15" t="n">
        <v>2022</v>
      </c>
      <c r="D787" s="15" t="inlineStr">
        <is>
          <t>Oravel Stays Limited</t>
        </is>
      </c>
      <c r="E787" s="15" t="inlineStr">
        <is>
          <t>Addendum</t>
        </is>
      </c>
      <c r="F787" s="15" t="inlineStr">
        <is>
          <t>Oravel Stays Limited – Addendum to the DRHP</t>
        </is>
      </c>
      <c r="G787" s="15" t="inlineStr">
        <is>
          <t>No launched IPO found</t>
        </is>
      </c>
      <c r="H787" s="15" t="n"/>
      <c r="I787" s="16" t="n"/>
      <c r="J787" s="16" t="n"/>
      <c r="K787" s="16" t="n"/>
      <c r="L787" s="17" t="n"/>
      <c r="M787" s="17" t="n"/>
      <c r="N787" s="17" t="n"/>
      <c r="O787" s="15" t="n"/>
      <c r="P787" s="15" t="n"/>
      <c r="Q787" s="18" t="inlineStr">
        <is>
          <t>https://www.sebi.gov.in/sebi_data/attachdocs/sep-2022/1663559912097.pdf</t>
        </is>
      </c>
      <c r="R787" s="18" t="inlineStr">
        <is>
          <t>https://www.sebi.gov.in/filings/public-issues/sep-2022/oravel-stays-limited-addendum-to-the-drhp_63023.html</t>
        </is>
      </c>
      <c r="S787" s="15" t="n"/>
      <c r="T787" s="15" t="n"/>
      <c r="U787" s="15" t="n"/>
      <c r="V787" s="15" t="n"/>
      <c r="W787" s="16" t="n"/>
      <c r="X787" s="16" t="n"/>
      <c r="Y787" s="16" t="n"/>
      <c r="Z787" s="15" t="inlineStr">
        <is>
          <t>No issue found</t>
        </is>
      </c>
      <c r="AA787" s="15" t="inlineStr">
        <is>
          <t>SEBI nod 2-Jun-2026 (UDRHP-I filed Jun-2026); dates not announced</t>
        </is>
      </c>
      <c r="AB787" s="18" t="inlineStr">
        <is>
          <t>https://www.chittorgarh.com/ipo/oyo-ipo/2843/</t>
        </is>
      </c>
    </row>
    <row r="788" ht="15" customHeight="1" s="12">
      <c r="A788" s="14" t="n">
        <v>787</v>
      </c>
      <c r="B788" s="16" t="n">
        <v>44820</v>
      </c>
      <c r="C788" s="15" t="n">
        <v>2022</v>
      </c>
      <c r="D788" s="15" t="inlineStr">
        <is>
          <t>Mankind Pharma Ltd</t>
        </is>
      </c>
      <c r="E788" s="15" t="inlineStr">
        <is>
          <t>DRHP</t>
        </is>
      </c>
      <c r="F788" s="15" t="inlineStr">
        <is>
          <t>Mankind Pharma Ltd - DRHP</t>
        </is>
      </c>
      <c r="G788" s="15" t="inlineStr">
        <is>
          <t>IPO launched</t>
        </is>
      </c>
      <c r="H788" s="15" t="inlineStr">
        <is>
          <t>Mainboard</t>
        </is>
      </c>
      <c r="I788" s="16" t="n">
        <v>45041</v>
      </c>
      <c r="J788" s="16" t="n">
        <v>45043</v>
      </c>
      <c r="K788" s="16" t="n">
        <v>45055</v>
      </c>
      <c r="L788" s="17" t="n">
        <v>4326.36</v>
      </c>
      <c r="M788" s="17" t="n">
        <v>4326.36</v>
      </c>
      <c r="N788" s="17" t="n">
        <v>0</v>
      </c>
      <c r="O788" s="15" t="inlineStr">
        <is>
          <t>Final issue (ipoplatform)</t>
        </is>
      </c>
      <c r="P788" s="15" t="n"/>
      <c r="Q788" s="18" t="inlineStr">
        <is>
          <t>https://www.sebi.gov.in/sebi_data/attachdocs/sep-2022/1663321983909.pdf</t>
        </is>
      </c>
      <c r="R788" s="18" t="inlineStr">
        <is>
          <t>https://www.sebi.gov.in/filings/public-issues/sep-2022/mankind-pharma-ltd-drhp_63010.html</t>
        </is>
      </c>
      <c r="S788" s="15" t="n"/>
      <c r="T788" s="15" t="inlineStr">
        <is>
          <t>SEBI filing link</t>
        </is>
      </c>
      <c r="U788" s="15" t="inlineStr">
        <is>
          <t>Mankind Pharma Limited</t>
        </is>
      </c>
      <c r="V788" s="15" t="n"/>
      <c r="W788" s="15" t="n"/>
      <c r="X788" s="15" t="n"/>
      <c r="Y788" s="15" t="n"/>
      <c r="Z788" s="15" t="n"/>
      <c r="AA788" s="15" t="n"/>
      <c r="AB788" s="15" t="n"/>
    </row>
    <row r="789" ht="15" customHeight="1" s="12">
      <c r="A789" s="14" t="n">
        <v>788</v>
      </c>
      <c r="B789" s="16" t="n">
        <v>44818</v>
      </c>
      <c r="C789" s="15" t="n">
        <v>2022</v>
      </c>
      <c r="D789" s="15" t="inlineStr">
        <is>
          <t>Capital Small Finance Bank Limited</t>
        </is>
      </c>
      <c r="E789" s="15" t="inlineStr">
        <is>
          <t>Addendum</t>
        </is>
      </c>
      <c r="F789" s="15" t="inlineStr">
        <is>
          <t>Capital Small Finance Bank Limited - Addendum to the DRHP</t>
        </is>
      </c>
      <c r="G789" s="15" t="inlineStr">
        <is>
          <t>IPO launched</t>
        </is>
      </c>
      <c r="H789" s="15" t="inlineStr">
        <is>
          <t>Mainboard</t>
        </is>
      </c>
      <c r="I789" s="16" t="n">
        <v>45329</v>
      </c>
      <c r="J789" s="16" t="n">
        <v>45331</v>
      </c>
      <c r="K789" s="16" t="n">
        <v>45336</v>
      </c>
      <c r="L789" s="17" t="n">
        <v>523.0700000000001</v>
      </c>
      <c r="M789" s="17" t="n">
        <v>73.06999999999999</v>
      </c>
      <c r="N789" s="17" t="n">
        <v>450</v>
      </c>
      <c r="O789" s="15" t="inlineStr">
        <is>
          <t>Final issue (ipoplatform)</t>
        </is>
      </c>
      <c r="P789" s="15" t="n"/>
      <c r="Q789" s="18" t="inlineStr">
        <is>
          <t>https://www.sebi.gov.in/sebi_data/attachdocs/sep-2022/1663152481684.PDF</t>
        </is>
      </c>
      <c r="R789" s="18" t="inlineStr">
        <is>
          <t>https://www.sebi.gov.in/filings/public-issues/sep-2022/capital-small-finance-bank-limited-addendum-to-the-drhp_62952.html</t>
        </is>
      </c>
      <c r="S789" s="15" t="n"/>
      <c r="T789" s="15" t="inlineStr">
        <is>
          <t>Company name + date window</t>
        </is>
      </c>
      <c r="U789" s="15" t="inlineStr">
        <is>
          <t>Capital Small Finance Bank Limited</t>
        </is>
      </c>
      <c r="V789" s="15" t="n"/>
      <c r="W789" s="15" t="n"/>
      <c r="X789" s="15" t="n"/>
      <c r="Y789" s="15" t="n"/>
      <c r="Z789" s="15" t="n"/>
      <c r="AA789" s="15" t="n"/>
      <c r="AB789" s="15" t="n"/>
    </row>
    <row r="790" ht="15" customHeight="1" s="12">
      <c r="A790" s="14" t="n">
        <v>789</v>
      </c>
      <c r="B790" s="16" t="n">
        <v>44816</v>
      </c>
      <c r="C790" s="15" t="n">
        <v>2022</v>
      </c>
      <c r="D790" s="15" t="inlineStr">
        <is>
          <t>Le Travenues Technology Limited</t>
        </is>
      </c>
      <c r="E790" s="15" t="inlineStr">
        <is>
          <t>Addendum</t>
        </is>
      </c>
      <c r="F790" s="15" t="inlineStr">
        <is>
          <t>Le Travenues Technology Limited - Addendum to DRHP</t>
        </is>
      </c>
      <c r="G790" s="15" t="inlineStr">
        <is>
          <t>IPO launched</t>
        </is>
      </c>
      <c r="H790" s="15" t="inlineStr">
        <is>
          <t>Mainboard</t>
        </is>
      </c>
      <c r="I790" s="16" t="n">
        <v>45453</v>
      </c>
      <c r="J790" s="16" t="n">
        <v>45455</v>
      </c>
      <c r="K790" s="16" t="n">
        <v>45461</v>
      </c>
      <c r="L790" s="17" t="n">
        <v>740.1</v>
      </c>
      <c r="M790" s="17" t="n">
        <v>120</v>
      </c>
      <c r="N790" s="17" t="n">
        <v>620.1</v>
      </c>
      <c r="O790" s="15" t="inlineStr">
        <is>
          <t>Final issue (ipoplatform)</t>
        </is>
      </c>
      <c r="P790" s="15" t="n"/>
      <c r="Q790" s="18" t="inlineStr">
        <is>
          <t>https://www.sebi.gov.in/sebi_data/attachdocs/sep-2022/1662972579788.pdf</t>
        </is>
      </c>
      <c r="R790" s="18" t="inlineStr">
        <is>
          <t>https://www.sebi.gov.in/filings/public-issues/sep-2022/le-travenues-technology-limited-addendum-to-drhp_62873.html</t>
        </is>
      </c>
      <c r="S790" s="15" t="n"/>
      <c r="T790" s="15" t="inlineStr">
        <is>
          <t>Company name + date window</t>
        </is>
      </c>
      <c r="U790" s="15" t="inlineStr">
        <is>
          <t>Le Travenues Technology Limited</t>
        </is>
      </c>
      <c r="V790" s="15" t="n"/>
      <c r="W790" s="15" t="n"/>
      <c r="X790" s="15" t="n"/>
      <c r="Y790" s="15" t="n"/>
      <c r="Z790" s="15" t="n"/>
      <c r="AA790" s="15" t="n"/>
      <c r="AB790" s="15" t="n"/>
    </row>
    <row r="791" ht="15" customHeight="1" s="12">
      <c r="A791" s="14" t="n">
        <v>790</v>
      </c>
      <c r="B791" s="16" t="n">
        <v>44812</v>
      </c>
      <c r="C791" s="15" t="n">
        <v>2022</v>
      </c>
      <c r="D791" s="15" t="inlineStr">
        <is>
          <t>Aprameya Engineering Limited</t>
        </is>
      </c>
      <c r="E791" s="15" t="inlineStr">
        <is>
          <t>DRHP</t>
        </is>
      </c>
      <c r="F791" s="15" t="inlineStr">
        <is>
          <t>Aprameya Engineering Limited - DRHP</t>
        </is>
      </c>
      <c r="G791" s="15" t="inlineStr">
        <is>
          <t>IPO launched</t>
        </is>
      </c>
      <c r="H791" s="15" t="inlineStr">
        <is>
          <t>SME</t>
        </is>
      </c>
      <c r="I791" s="16" t="n">
        <v>45498</v>
      </c>
      <c r="J791" s="16" t="n">
        <v>45502</v>
      </c>
      <c r="K791" s="16" t="n">
        <v>45505</v>
      </c>
      <c r="L791" s="17" t="n">
        <v>29.23</v>
      </c>
      <c r="M791" s="17" t="n">
        <v>29.23</v>
      </c>
      <c r="N791" s="17" t="n">
        <v>0</v>
      </c>
      <c r="O791" s="15" t="inlineStr">
        <is>
          <t>Final issue (ipoplatform)</t>
        </is>
      </c>
      <c r="P791" s="15" t="n"/>
      <c r="Q791" s="18" t="inlineStr">
        <is>
          <t>https://www.sebi.gov.in/sebi_data/attachdocs/sep-2022/1662637007311.pdf</t>
        </is>
      </c>
      <c r="R791" s="18" t="inlineStr">
        <is>
          <t>https://www.sebi.gov.in/filings/public-issues/sep-2022/aprameya-engineering-limited-drhp_62841.html</t>
        </is>
      </c>
      <c r="S791" s="15" t="n"/>
      <c r="T791" s="15" t="inlineStr">
        <is>
          <t>Company name + date window</t>
        </is>
      </c>
      <c r="U791" s="15" t="inlineStr">
        <is>
          <t>Aprameya Engineering Limited</t>
        </is>
      </c>
      <c r="V791" s="15" t="n"/>
      <c r="W791" s="15" t="n"/>
      <c r="X791" s="15" t="n"/>
      <c r="Y791" s="15" t="n"/>
      <c r="Z791" s="15" t="n"/>
      <c r="AA791" s="15" t="n"/>
      <c r="AB791" s="15" t="n"/>
    </row>
    <row r="792" ht="15" customHeight="1" s="12">
      <c r="A792" s="14" t="n">
        <v>791</v>
      </c>
      <c r="B792" s="16" t="n">
        <v>44811</v>
      </c>
      <c r="C792" s="15" t="n">
        <v>2022</v>
      </c>
      <c r="D792" s="15" t="inlineStr">
        <is>
          <t>Manoj Vaibhav Gems N Jewellers Limited</t>
        </is>
      </c>
      <c r="E792" s="15" t="inlineStr">
        <is>
          <t>DRHP</t>
        </is>
      </c>
      <c r="F792" s="15" t="inlineStr">
        <is>
          <t>Manoj Vaibhav Gems N Jewellers Limited - DRHP</t>
        </is>
      </c>
      <c r="G792" s="15" t="inlineStr">
        <is>
          <t>IPO launched</t>
        </is>
      </c>
      <c r="H792" s="15" t="inlineStr">
        <is>
          <t>Mainboard</t>
        </is>
      </c>
      <c r="I792" s="16" t="n">
        <v>45191</v>
      </c>
      <c r="J792" s="16" t="n">
        <v>45195</v>
      </c>
      <c r="K792" s="16" t="n">
        <v>45202</v>
      </c>
      <c r="L792" s="17" t="n">
        <v>270.2</v>
      </c>
      <c r="M792" s="17" t="n">
        <v>210</v>
      </c>
      <c r="N792" s="17" t="n">
        <v>60.2</v>
      </c>
      <c r="O792" s="15" t="inlineStr">
        <is>
          <t>Final issue (ipoplatform)</t>
        </is>
      </c>
      <c r="P792" s="15" t="n"/>
      <c r="Q792" s="18" t="inlineStr">
        <is>
          <t>https://www.sebi.gov.in/sebi_data/attachdocs/sep-2022/1662540902220.pdf</t>
        </is>
      </c>
      <c r="R792" s="18" t="inlineStr">
        <is>
          <t>https://www.sebi.gov.in/filings/public-issues/sep-2022/manoj-vaibhav-gems-n-jewellers-limited-drhp_62727.html</t>
        </is>
      </c>
      <c r="S792" s="15" t="n"/>
      <c r="T792" s="15" t="inlineStr">
        <is>
          <t>SEBI filing link</t>
        </is>
      </c>
      <c r="U792" s="15" t="inlineStr">
        <is>
          <t>Manoj Vaibhav Gems 'N' Jewellers Limited</t>
        </is>
      </c>
      <c r="V792" s="15" t="n"/>
      <c r="W792" s="15" t="n"/>
      <c r="X792" s="15" t="n"/>
      <c r="Y792" s="15" t="n"/>
      <c r="Z792" s="15" t="n"/>
      <c r="AA792" s="15" t="n"/>
      <c r="AB792" s="15" t="n"/>
    </row>
    <row r="793" ht="15" customHeight="1" s="12">
      <c r="A793" s="14" t="n">
        <v>792</v>
      </c>
      <c r="B793" s="16" t="n">
        <v>44810</v>
      </c>
      <c r="C793" s="15" t="n">
        <v>2022</v>
      </c>
      <c r="D793" s="15" t="inlineStr">
        <is>
          <t>Sah Polymers Limited</t>
        </is>
      </c>
      <c r="E793" s="15" t="inlineStr">
        <is>
          <t>Addendum</t>
        </is>
      </c>
      <c r="F793" s="15" t="inlineStr">
        <is>
          <t>Sah Polymers Limited - Addendum to DRHP</t>
        </is>
      </c>
      <c r="G793" s="15" t="inlineStr">
        <is>
          <t>IPO launched</t>
        </is>
      </c>
      <c r="H793" s="15" t="inlineStr">
        <is>
          <t>Mainboard</t>
        </is>
      </c>
      <c r="I793" s="16" t="n">
        <v>44925</v>
      </c>
      <c r="J793" s="16" t="n">
        <v>44930</v>
      </c>
      <c r="K793" s="16" t="n">
        <v>44938</v>
      </c>
      <c r="L793" s="17" t="n">
        <v>66.3</v>
      </c>
      <c r="M793" s="17" t="n">
        <v>66.3</v>
      </c>
      <c r="N793" s="17" t="n">
        <v>0</v>
      </c>
      <c r="O793" s="15" t="inlineStr">
        <is>
          <t>Final issue (ipoplatform)</t>
        </is>
      </c>
      <c r="P793" s="15" t="n"/>
      <c r="Q793" s="18" t="inlineStr">
        <is>
          <t>https://www.sebi.gov.in/sebi_data/attachdocs/sep-2022/1662522066376.PDF</t>
        </is>
      </c>
      <c r="R793" s="18" t="inlineStr">
        <is>
          <t>https://www.sebi.gov.in/filings/public-issues/sep-2022/sah-polymers-limited-addendum-to-drhp_62723.html</t>
        </is>
      </c>
      <c r="S793" s="15" t="n"/>
      <c r="T793" s="15" t="inlineStr">
        <is>
          <t>Company name + date window</t>
        </is>
      </c>
      <c r="U793" s="15" t="inlineStr">
        <is>
          <t>Sah Polymers Limited</t>
        </is>
      </c>
      <c r="V793" s="15" t="n"/>
      <c r="W793" s="15" t="n"/>
      <c r="X793" s="15" t="n"/>
      <c r="Y793" s="15" t="n"/>
      <c r="Z793" s="15" t="n"/>
      <c r="AA793" s="15" t="n"/>
      <c r="AB793" s="15" t="n"/>
    </row>
    <row r="794" ht="15" customHeight="1" s="12">
      <c r="A794" s="14" t="n">
        <v>793</v>
      </c>
      <c r="B794" s="16" t="n">
        <v>44809</v>
      </c>
      <c r="C794" s="15" t="n">
        <v>2022</v>
      </c>
      <c r="D794" s="15" t="inlineStr">
        <is>
          <t>Blue Jet Healthcare Limited</t>
        </is>
      </c>
      <c r="E794" s="15" t="inlineStr">
        <is>
          <t>DRHP</t>
        </is>
      </c>
      <c r="F794" s="15" t="inlineStr">
        <is>
          <t>Blue Jet Healthcare Limited</t>
        </is>
      </c>
      <c r="G794" s="15" t="inlineStr">
        <is>
          <t>IPO launched</t>
        </is>
      </c>
      <c r="H794" s="15" t="inlineStr">
        <is>
          <t>Mainboard</t>
        </is>
      </c>
      <c r="I794" s="16" t="n">
        <v>45224</v>
      </c>
      <c r="J794" s="16" t="n">
        <v>45226</v>
      </c>
      <c r="K794" s="16" t="n">
        <v>45231</v>
      </c>
      <c r="L794" s="17" t="n">
        <v>840.27</v>
      </c>
      <c r="M794" s="17" t="n">
        <v>840.27</v>
      </c>
      <c r="N794" s="17" t="n">
        <v>0</v>
      </c>
      <c r="O794" s="15" t="inlineStr">
        <is>
          <t>Final issue (ipoplatform)</t>
        </is>
      </c>
      <c r="P794" s="15" t="n"/>
      <c r="Q794" s="18" t="inlineStr">
        <is>
          <t>https://www.sebi.gov.in/sebi_data/attachdocs/sep-2022/1662371991171.pdf</t>
        </is>
      </c>
      <c r="R794" s="18" t="inlineStr">
        <is>
          <t>https://www.sebi.gov.in/filings/public-issues/sep-2022/blue-jet-healthcare-limited_62646.html</t>
        </is>
      </c>
      <c r="S794" s="15" t="n"/>
      <c r="T794" s="15" t="inlineStr">
        <is>
          <t>SEBI filing link</t>
        </is>
      </c>
      <c r="U794" s="15" t="inlineStr">
        <is>
          <t>Blue Jet Healthcare Limited</t>
        </is>
      </c>
      <c r="V794" s="15" t="n"/>
      <c r="W794" s="15" t="n"/>
      <c r="X794" s="15" t="n"/>
      <c r="Y794" s="15" t="n"/>
      <c r="Z794" s="15" t="n"/>
      <c r="AA794" s="15" t="n"/>
      <c r="AB794" s="15" t="n"/>
    </row>
    <row r="795" ht="15" customHeight="1" s="12">
      <c r="A795" s="14" t="n">
        <v>794</v>
      </c>
      <c r="B795" s="16" t="n">
        <v>44803</v>
      </c>
      <c r="C795" s="15" t="n">
        <v>2022</v>
      </c>
      <c r="D795" s="15" t="inlineStr">
        <is>
          <t>Addendum to DRHP of Navi Technologies Limited</t>
        </is>
      </c>
      <c r="E795" s="15" t="inlineStr">
        <is>
          <t>Addendum</t>
        </is>
      </c>
      <c r="F795" s="15" t="inlineStr">
        <is>
          <t>Addendum to DRHP of Navi Technologies Limited</t>
        </is>
      </c>
      <c r="G795" s="15" t="inlineStr">
        <is>
          <t>No launched IPO found</t>
        </is>
      </c>
      <c r="H795" s="15" t="n"/>
      <c r="I795" s="16" t="n"/>
      <c r="J795" s="16" t="n"/>
      <c r="K795" s="16" t="n"/>
      <c r="L795" s="17" t="n"/>
      <c r="M795" s="17" t="n"/>
      <c r="N795" s="17" t="n"/>
      <c r="O795" s="15" t="n"/>
      <c r="P795" s="15" t="n"/>
      <c r="Q795" s="18" t="inlineStr">
        <is>
          <t>https://www.sebi.gov.in/sebi_data/attachdocs/aug-2022/1661849591625.pdf</t>
        </is>
      </c>
      <c r="R795" s="18" t="inlineStr">
        <is>
          <t>https://www.sebi.gov.in/filings/public-issues/aug-2022/addendum-to-drhp-of-navi-technologies-limited_62459.html</t>
        </is>
      </c>
      <c r="S795" s="15" t="n"/>
      <c r="T795" s="15" t="n"/>
      <c r="U795" s="15" t="n"/>
      <c r="V795" s="15" t="n"/>
      <c r="W795" s="16" t="n"/>
      <c r="X795" s="16" t="n"/>
      <c r="Y795" s="16" t="n"/>
      <c r="Z795" s="15" t="inlineStr">
        <is>
          <t>No issue found</t>
        </is>
      </c>
      <c r="AA795" s="15" t="inlineStr">
        <is>
          <t>Only tentative 2025 dates and restart plans seen; no actual issue found.</t>
        </is>
      </c>
      <c r="AB795" s="18" t="inlineStr">
        <is>
          <t>https://inc42.com/buzz/navi-restarts-ipo-preparations-eyes-launch-in-second-half-of-fy26/</t>
        </is>
      </c>
    </row>
    <row r="796" ht="15" customHeight="1" s="12">
      <c r="A796" s="14" t="n">
        <v>795</v>
      </c>
      <c r="B796" s="16" t="n">
        <v>44790</v>
      </c>
      <c r="C796" s="15" t="n">
        <v>2022</v>
      </c>
      <c r="D796" s="15" t="inlineStr">
        <is>
          <t>Balaji Solutions Limited</t>
        </is>
      </c>
      <c r="E796" s="15" t="inlineStr">
        <is>
          <t>DRHP</t>
        </is>
      </c>
      <c r="F796" s="15" t="inlineStr">
        <is>
          <t>Balaji Solutions Limited</t>
        </is>
      </c>
      <c r="G796" s="15" t="inlineStr">
        <is>
          <t>No launched IPO found</t>
        </is>
      </c>
      <c r="H796" s="15" t="n"/>
      <c r="I796" s="16" t="n"/>
      <c r="J796" s="16" t="n"/>
      <c r="K796" s="16" t="n"/>
      <c r="L796" s="17" t="n"/>
      <c r="M796" s="17" t="n"/>
      <c r="N796" s="17" t="n"/>
      <c r="O796" s="15" t="n"/>
      <c r="P796" s="15" t="n"/>
      <c r="Q796" s="18" t="inlineStr">
        <is>
          <t>https://www.sebi.gov.in/sebi_data/attachdocs/aug-2022/1660732945575.pdf</t>
        </is>
      </c>
      <c r="R796" s="18" t="inlineStr">
        <is>
          <t>https://www.sebi.gov.in/filings/public-issues/aug-2022/balaji-solutions-limited_61974.html</t>
        </is>
      </c>
      <c r="S796" s="15" t="n"/>
      <c r="T796" s="15" t="n"/>
      <c r="U796" s="15" t="n"/>
      <c r="V796" s="15" t="n"/>
      <c r="W796" s="16" t="n"/>
      <c r="X796" s="16" t="n"/>
      <c r="Y796" s="16" t="n"/>
      <c r="Z796" s="15" t="inlineStr">
        <is>
          <t>No issue found</t>
        </is>
      </c>
      <c r="AA796" s="15" t="inlineStr">
        <is>
          <t>Business Standard lists the company but shows no issue dates; web search limit reached</t>
        </is>
      </c>
      <c r="AB796" s="18" t="inlineStr">
        <is>
          <t>https://www.business-standard.com/markets/ipo/balaji-solutions-ltd-ipo-73583</t>
        </is>
      </c>
    </row>
    <row r="797" ht="15" customHeight="1" s="12">
      <c r="A797" s="14" t="n">
        <v>796</v>
      </c>
      <c r="B797" s="16" t="n">
        <v>44790</v>
      </c>
      <c r="C797" s="15" t="n">
        <v>2022</v>
      </c>
      <c r="D797" s="15" t="inlineStr">
        <is>
          <t>GO Digit General Insurance Limited</t>
        </is>
      </c>
      <c r="E797" s="15" t="inlineStr">
        <is>
          <t>DRHP</t>
        </is>
      </c>
      <c r="F797" s="15" t="inlineStr">
        <is>
          <t>GO Digit General Insurance Limited</t>
        </is>
      </c>
      <c r="G797" s="15" t="inlineStr">
        <is>
          <t>IPO launched</t>
        </is>
      </c>
      <c r="H797" s="15" t="inlineStr">
        <is>
          <t>Mainboard</t>
        </is>
      </c>
      <c r="I797" s="16" t="n">
        <v>45427</v>
      </c>
      <c r="J797" s="16" t="n">
        <v>45429</v>
      </c>
      <c r="K797" s="16" t="n">
        <v>45435</v>
      </c>
      <c r="L797" s="17" t="n">
        <v>2614.65</v>
      </c>
      <c r="M797" s="17" t="n">
        <v>1125</v>
      </c>
      <c r="N797" s="17" t="n">
        <v>1489.65</v>
      </c>
      <c r="O797" s="15" t="inlineStr">
        <is>
          <t>Final issue (ipoplatform)</t>
        </is>
      </c>
      <c r="P797" s="15" t="n"/>
      <c r="Q797" s="18" t="inlineStr">
        <is>
          <t>https://www.sebi.gov.in/sebi_data/attachdocs/aug-2022/1660725516098.PDF</t>
        </is>
      </c>
      <c r="R797" s="18" t="inlineStr">
        <is>
          <t>https://www.sebi.gov.in/filings/public-issues/aug-2022/go-digit-general-insurance-limited_61970.html</t>
        </is>
      </c>
      <c r="S797" s="15" t="n"/>
      <c r="T797" s="15" t="inlineStr">
        <is>
          <t>Company name + date window</t>
        </is>
      </c>
      <c r="U797" s="15" t="inlineStr">
        <is>
          <t>Go Digit General Insurance Limited</t>
        </is>
      </c>
      <c r="V797" s="15" t="n"/>
      <c r="W797" s="15" t="n"/>
      <c r="X797" s="15" t="n"/>
      <c r="Y797" s="15" t="n"/>
      <c r="Z797" s="15" t="n"/>
      <c r="AA797" s="15" t="n"/>
      <c r="AB797" s="15" t="n"/>
    </row>
    <row r="798" ht="15" customHeight="1" s="12">
      <c r="A798" s="14" t="n">
        <v>797</v>
      </c>
      <c r="B798" s="16" t="n">
        <v>44790</v>
      </c>
      <c r="C798" s="15" t="n">
        <v>2022</v>
      </c>
      <c r="D798" s="15" t="inlineStr">
        <is>
          <t>Concord Biotech Limited</t>
        </is>
      </c>
      <c r="E798" s="15" t="inlineStr">
        <is>
          <t>DRHP</t>
        </is>
      </c>
      <c r="F798" s="15" t="inlineStr">
        <is>
          <t>Concord Biotech Limited</t>
        </is>
      </c>
      <c r="G798" s="15" t="inlineStr">
        <is>
          <t>IPO launched</t>
        </is>
      </c>
      <c r="H798" s="15" t="inlineStr">
        <is>
          <t>Mainboard</t>
        </is>
      </c>
      <c r="I798" s="16" t="n">
        <v>45142</v>
      </c>
      <c r="J798" s="16" t="n">
        <v>45146</v>
      </c>
      <c r="K798" s="16" t="n">
        <v>45156</v>
      </c>
      <c r="L798" s="17" t="n">
        <v>1551</v>
      </c>
      <c r="M798" s="17" t="n">
        <v>1551</v>
      </c>
      <c r="N798" s="17" t="n">
        <v>0</v>
      </c>
      <c r="O798" s="15" t="inlineStr">
        <is>
          <t>Final issue (ipoplatform)</t>
        </is>
      </c>
      <c r="P798" s="15" t="n"/>
      <c r="Q798" s="18" t="inlineStr">
        <is>
          <t>https://www.sebi.gov.in/sebi_data/attachdocs/aug-2022/1660714052191.pdf</t>
        </is>
      </c>
      <c r="R798" s="18" t="inlineStr">
        <is>
          <t>https://www.sebi.gov.in/filings/public-issues/aug-2022/concord-biotech-limited_61961.html</t>
        </is>
      </c>
      <c r="S798" s="15" t="n"/>
      <c r="T798" s="15" t="inlineStr">
        <is>
          <t>SEBI filing link</t>
        </is>
      </c>
      <c r="U798" s="15" t="inlineStr">
        <is>
          <t>Concord Biotech Limited</t>
        </is>
      </c>
      <c r="V798" s="15" t="n"/>
      <c r="W798" s="15" t="n"/>
      <c r="X798" s="15" t="n"/>
      <c r="Y798" s="15" t="n"/>
      <c r="Z798" s="15" t="n"/>
      <c r="AA798" s="15" t="n"/>
      <c r="AB798" s="15" t="n"/>
    </row>
    <row r="799" ht="15" customHeight="1" s="12">
      <c r="A799" s="14" t="n">
        <v>798</v>
      </c>
      <c r="B799" s="16" t="n">
        <v>44785</v>
      </c>
      <c r="C799" s="15" t="n">
        <v>2022</v>
      </c>
      <c r="D799" s="15" t="inlineStr">
        <is>
          <t>Balaji Speciality Chemicals Limited</t>
        </is>
      </c>
      <c r="E799" s="15" t="inlineStr">
        <is>
          <t>DRHP</t>
        </is>
      </c>
      <c r="F799" s="15" t="inlineStr">
        <is>
          <t>Balaji Speciality Chemicals Limited - DRHP</t>
        </is>
      </c>
      <c r="G799" s="15" t="inlineStr">
        <is>
          <t>No launched IPO found</t>
        </is>
      </c>
      <c r="H799" s="15" t="n"/>
      <c r="I799" s="16" t="n"/>
      <c r="J799" s="16" t="n"/>
      <c r="K799" s="16" t="n"/>
      <c r="L799" s="17" t="n"/>
      <c r="M799" s="17" t="n"/>
      <c r="N799" s="17" t="n"/>
      <c r="O799" s="15" t="n"/>
      <c r="P799" s="15" t="n"/>
      <c r="Q799" s="18" t="inlineStr">
        <is>
          <t>https://www.sebi.gov.in/sebi_data/attachdocs/aug-2022/1660298640346.pdf</t>
        </is>
      </c>
      <c r="R799" s="18" t="inlineStr">
        <is>
          <t>https://www.sebi.gov.in/filings/public-issues/aug-2022/balaji-speciality-chemicals-limited-drhp_61929.html</t>
        </is>
      </c>
      <c r="S799" s="15" t="n"/>
      <c r="T799" s="15" t="n"/>
      <c r="U799" s="15" t="n"/>
      <c r="V799" s="15" t="n"/>
      <c r="W799" s="16" t="n"/>
      <c r="X799" s="16" t="n"/>
      <c r="Y799" s="16" t="n"/>
      <c r="Z799" s="15" t="inlineStr">
        <is>
          <t>No issue found</t>
        </is>
      </c>
      <c r="AA799" s="15" t="inlineStr">
        <is>
          <t>Business Standard lists the company but shows no issue dates; web search limit reached</t>
        </is>
      </c>
      <c r="AB799" s="18" t="inlineStr">
        <is>
          <t>https://www.business-standard.com/markets/ipo/balaji-speciality-chemicals-ltd-ipo-74896</t>
        </is>
      </c>
    </row>
    <row r="800" ht="15" customHeight="1" s="12">
      <c r="A800" s="14" t="n">
        <v>799</v>
      </c>
      <c r="B800" s="16" t="n">
        <v>44784</v>
      </c>
      <c r="C800" s="15" t="n">
        <v>2022</v>
      </c>
      <c r="D800" s="15" t="inlineStr">
        <is>
          <t>Avalon Technologies Limited</t>
        </is>
      </c>
      <c r="E800" s="15" t="inlineStr">
        <is>
          <t>DRHP</t>
        </is>
      </c>
      <c r="F800" s="15" t="inlineStr">
        <is>
          <t>Avalon Technologies Limited</t>
        </is>
      </c>
      <c r="G800" s="15" t="inlineStr">
        <is>
          <t>IPO launched</t>
        </is>
      </c>
      <c r="H800" s="15" t="inlineStr">
        <is>
          <t>Mainboard</t>
        </is>
      </c>
      <c r="I800" s="16" t="n">
        <v>45019</v>
      </c>
      <c r="J800" s="16" t="n">
        <v>45022</v>
      </c>
      <c r="K800" s="16" t="n">
        <v>45034</v>
      </c>
      <c r="L800" s="17" t="n">
        <v>865</v>
      </c>
      <c r="M800" s="17" t="n">
        <v>320</v>
      </c>
      <c r="N800" s="17" t="n">
        <v>545</v>
      </c>
      <c r="O800" s="15" t="inlineStr">
        <is>
          <t>Final issue (ipoplatform)</t>
        </is>
      </c>
      <c r="P800" s="15" t="n"/>
      <c r="Q800" s="18" t="inlineStr">
        <is>
          <t>https://www.sebi.gov.in/sebi_data/attachdocs/aug-2022/1660200896282.PDF</t>
        </is>
      </c>
      <c r="R800" s="18" t="inlineStr">
        <is>
          <t>https://www.sebi.gov.in/filings/public-issues/aug-2022/avalon-technologies-limited_61872.html</t>
        </is>
      </c>
      <c r="S800" s="15" t="n"/>
      <c r="T800" s="15" t="inlineStr">
        <is>
          <t>SEBI filing link</t>
        </is>
      </c>
      <c r="U800" s="15" t="inlineStr">
        <is>
          <t>Avalon Technologies Limited</t>
        </is>
      </c>
      <c r="V800" s="15" t="n"/>
      <c r="W800" s="15" t="n"/>
      <c r="X800" s="15" t="n"/>
      <c r="Y800" s="15" t="n"/>
      <c r="Z800" s="15" t="n"/>
      <c r="AA800" s="15" t="n"/>
      <c r="AB800" s="15" t="n"/>
    </row>
    <row r="801" ht="15" customHeight="1" s="12">
      <c r="A801" s="14" t="n">
        <v>800</v>
      </c>
      <c r="B801" s="16" t="n">
        <v>44781</v>
      </c>
      <c r="C801" s="15" t="n">
        <v>2022</v>
      </c>
      <c r="D801" s="15" t="inlineStr">
        <is>
          <t>Fincare Small Finance Bank Limited</t>
        </is>
      </c>
      <c r="E801" s="15" t="inlineStr">
        <is>
          <t>DRHP</t>
        </is>
      </c>
      <c r="F801" s="15" t="inlineStr">
        <is>
          <t>Fincare Small Finance Bank Limited</t>
        </is>
      </c>
      <c r="G801" s="15" t="inlineStr">
        <is>
          <t>No launched IPO found</t>
        </is>
      </c>
      <c r="H801" s="15" t="n"/>
      <c r="I801" s="16" t="n"/>
      <c r="J801" s="16" t="n"/>
      <c r="K801" s="16" t="n"/>
      <c r="L801" s="17" t="n"/>
      <c r="M801" s="17" t="n"/>
      <c r="N801" s="17" t="n"/>
      <c r="O801" s="15" t="n"/>
      <c r="P801" s="15" t="n"/>
      <c r="Q801" s="18" t="inlineStr">
        <is>
          <t>https://www.sebi.gov.in/sebi_data/attachdocs/aug-2022/1659942966902.pdf</t>
        </is>
      </c>
      <c r="R801" s="18" t="inlineStr">
        <is>
          <t>https://www.sebi.gov.in/filings/public-issues/aug-2022/fincare-small-finance-bank-limited_61794.html</t>
        </is>
      </c>
      <c r="S801" s="15" t="n"/>
      <c r="T801" s="15" t="n"/>
      <c r="U801" s="15" t="n"/>
      <c r="V801" s="15" t="n"/>
      <c r="W801" s="16" t="n"/>
      <c r="X801" s="16" t="n"/>
      <c r="Y801" s="16" t="n"/>
      <c r="Z801" s="15" t="inlineStr">
        <is>
          <t>No issue found</t>
        </is>
      </c>
      <c r="AA801" s="15" t="inlineStr">
        <is>
          <t>SEBI approval after refiling; open date never announced.</t>
        </is>
      </c>
      <c r="AB801" s="18" t="inlineStr">
        <is>
          <t>https://finance.yahoo.com/news/fincare-small-finance-bank-gets-044405454.html</t>
        </is>
      </c>
    </row>
    <row r="802" ht="15" customHeight="1" s="12">
      <c r="A802" s="14" t="n">
        <v>801</v>
      </c>
      <c r="B802" s="16" t="n">
        <v>44775</v>
      </c>
      <c r="C802" s="15" t="n">
        <v>2022</v>
      </c>
      <c r="D802" s="15" t="inlineStr">
        <is>
          <t>Utkarsh Small Finance Bank Ltd</t>
        </is>
      </c>
      <c r="E802" s="15" t="inlineStr">
        <is>
          <t>DRHP</t>
        </is>
      </c>
      <c r="F802" s="15" t="inlineStr">
        <is>
          <t>Utkarsh Small Finance Bank Ltd</t>
        </is>
      </c>
      <c r="G802" s="15" t="inlineStr">
        <is>
          <t>IPO launched</t>
        </is>
      </c>
      <c r="H802" s="15" t="inlineStr">
        <is>
          <t>Mainboard</t>
        </is>
      </c>
      <c r="I802" s="16" t="n">
        <v>45119</v>
      </c>
      <c r="J802" s="16" t="n">
        <v>45121</v>
      </c>
      <c r="K802" s="16" t="n">
        <v>45128</v>
      </c>
      <c r="L802" s="17" t="n">
        <v>500</v>
      </c>
      <c r="M802" s="17" t="n">
        <v>500</v>
      </c>
      <c r="N802" s="17" t="n">
        <v>0</v>
      </c>
      <c r="O802" s="15" t="inlineStr">
        <is>
          <t>Final issue (ipoplatform)</t>
        </is>
      </c>
      <c r="P802" s="15" t="n"/>
      <c r="Q802" s="18" t="inlineStr">
        <is>
          <t>https://www.sebi.gov.in/sebi_data/attachdocs/aug-2022/1659433623186.pdf</t>
        </is>
      </c>
      <c r="R802" s="18" t="inlineStr">
        <is>
          <t>https://www.sebi.gov.in/filings/public-issues/aug-2022/utkarsh-small-finance-bank-ltd_61497.html</t>
        </is>
      </c>
      <c r="S802" s="15" t="n"/>
      <c r="T802" s="15" t="inlineStr">
        <is>
          <t>Company name + date window</t>
        </is>
      </c>
      <c r="U802" s="15" t="inlineStr">
        <is>
          <t>Utkarsh Small Finance Bank Limited</t>
        </is>
      </c>
      <c r="V802" s="15" t="n"/>
      <c r="W802" s="15" t="n"/>
      <c r="X802" s="15" t="n"/>
      <c r="Y802" s="15" t="n"/>
      <c r="Z802" s="15" t="n"/>
      <c r="AA802" s="15" t="n"/>
      <c r="AB802" s="15" t="n"/>
    </row>
    <row r="803" ht="15" customHeight="1" s="12">
      <c r="A803" s="14" t="n">
        <v>802</v>
      </c>
      <c r="B803" s="16" t="n">
        <v>44775</v>
      </c>
      <c r="C803" s="15" t="n">
        <v>2022</v>
      </c>
      <c r="D803" s="15" t="inlineStr">
        <is>
          <t>SSBA Innovations Limited</t>
        </is>
      </c>
      <c r="E803" s="15" t="inlineStr">
        <is>
          <t>DRHP</t>
        </is>
      </c>
      <c r="F803" s="15" t="inlineStr">
        <is>
          <t>SSBA Innovations Limited</t>
        </is>
      </c>
      <c r="G803" s="15" t="inlineStr">
        <is>
          <t>No launched IPO found</t>
        </is>
      </c>
      <c r="H803" s="15" t="n"/>
      <c r="I803" s="16" t="n"/>
      <c r="J803" s="16" t="n"/>
      <c r="K803" s="16" t="n"/>
      <c r="L803" s="17" t="n"/>
      <c r="M803" s="17" t="n"/>
      <c r="N803" s="17" t="n"/>
      <c r="O803" s="15" t="n"/>
      <c r="P803" s="15" t="n"/>
      <c r="Q803" s="18" t="inlineStr">
        <is>
          <t>https://www.sebi.gov.in/sebi_data/attachdocs/aug-2022/1659418620527.pdf</t>
        </is>
      </c>
      <c r="R803" s="18" t="inlineStr">
        <is>
          <t>https://www.sebi.gov.in/filings/public-issues/aug-2022/ssba-innovations-limited_61474.html</t>
        </is>
      </c>
      <c r="S803" s="15" t="n"/>
      <c r="T803" s="15" t="n"/>
      <c r="U803" s="15" t="n"/>
      <c r="V803" s="15" t="n"/>
      <c r="W803" s="16" t="n"/>
      <c r="X803" s="16" t="n"/>
      <c r="Y803" s="16" t="n"/>
      <c r="Z803" s="15" t="inlineStr">
        <is>
          <t>No issue found</t>
        </is>
      </c>
      <c r="AA803" s="15" t="inlineStr">
        <is>
          <t>Business Standard lists the company but shows no issue dates; web search limit reached</t>
        </is>
      </c>
      <c r="AB803" s="18" t="inlineStr">
        <is>
          <t>https://www.business-standard.com/markets/ipo/ssba-innovations-ltd-ipo-77343</t>
        </is>
      </c>
    </row>
    <row r="804" ht="15" customHeight="1" s="12">
      <c r="A804" s="14" t="n">
        <v>803</v>
      </c>
      <c r="B804" s="16" t="n">
        <v>44770</v>
      </c>
      <c r="C804" s="15" t="n">
        <v>2022</v>
      </c>
      <c r="D804" s="15" t="inlineStr">
        <is>
          <t>Biba Fashions Limited</t>
        </is>
      </c>
      <c r="E804" s="15" t="inlineStr">
        <is>
          <t>Addendum</t>
        </is>
      </c>
      <c r="F804" s="15" t="inlineStr">
        <is>
          <t>Biba Fashions Limited – Addendum to the DRHP</t>
        </is>
      </c>
      <c r="G804" s="15" t="inlineStr">
        <is>
          <t>No launched IPO found</t>
        </is>
      </c>
      <c r="H804" s="15" t="n"/>
      <c r="I804" s="16" t="n"/>
      <c r="J804" s="16" t="n"/>
      <c r="K804" s="16" t="n"/>
      <c r="L804" s="17" t="n"/>
      <c r="M804" s="17" t="n"/>
      <c r="N804" s="17" t="n"/>
      <c r="O804" s="15" t="n"/>
      <c r="P804" s="15" t="n"/>
      <c r="Q804" s="18" t="inlineStr">
        <is>
          <t>https://www.sebi.gov.in/sebi_data/attachdocs/jul-2022/1659005306568.pdf</t>
        </is>
      </c>
      <c r="R804" s="18" t="inlineStr">
        <is>
          <t>https://www.sebi.gov.in/filings/public-issues/jul-2022/biba-fashions-limited-addendum-to-the-drhp_61285.html</t>
        </is>
      </c>
      <c r="S804" s="15" t="n"/>
      <c r="T804" s="15" t="n"/>
      <c r="U804" s="15" t="n"/>
      <c r="V804" s="15" t="n"/>
      <c r="W804" s="16" t="n"/>
      <c r="X804" s="16" t="n"/>
      <c r="Y804" s="16" t="n"/>
      <c r="Z804" s="15" t="inlineStr">
        <is>
          <t>No issue found</t>
        </is>
      </c>
      <c r="AA804" s="15" t="inlineStr">
        <is>
          <t>Business Standard lists the company but shows no issue dates; web search limit reached</t>
        </is>
      </c>
      <c r="AB804" s="18" t="inlineStr">
        <is>
          <t>https://www.business-standard.com/markets/ipo/biba-fashion-ltd-ipo-72600</t>
        </is>
      </c>
    </row>
    <row r="805" ht="15" customHeight="1" s="12">
      <c r="A805" s="14" t="n">
        <v>804</v>
      </c>
      <c r="B805" s="16" t="n">
        <v>44769</v>
      </c>
      <c r="C805" s="15" t="n">
        <v>2022</v>
      </c>
      <c r="D805" s="15" t="inlineStr">
        <is>
          <t>Uniparts India Limited</t>
        </is>
      </c>
      <c r="E805" s="15" t="inlineStr">
        <is>
          <t>Addendum</t>
        </is>
      </c>
      <c r="F805" s="15" t="inlineStr">
        <is>
          <t>Uniparts India Limited - Addendum to the DRHP</t>
        </is>
      </c>
      <c r="G805" s="15" t="inlineStr">
        <is>
          <t>IPO launched</t>
        </is>
      </c>
      <c r="H805" s="15" t="inlineStr">
        <is>
          <t>Mainboard</t>
        </is>
      </c>
      <c r="I805" s="16" t="n">
        <v>44895</v>
      </c>
      <c r="J805" s="16" t="n">
        <v>44897</v>
      </c>
      <c r="K805" s="16" t="n">
        <v>44907</v>
      </c>
      <c r="L805" s="17" t="n">
        <v>835.61</v>
      </c>
      <c r="M805" s="17" t="n">
        <v>835.61</v>
      </c>
      <c r="N805" s="17" t="n">
        <v>0</v>
      </c>
      <c r="O805" s="15" t="inlineStr">
        <is>
          <t>Final issue (ipoplatform)</t>
        </is>
      </c>
      <c r="P805" s="15" t="n"/>
      <c r="Q805" s="18" t="inlineStr">
        <is>
          <t>https://www.sebi.gov.in/sebi_data/attachdocs/jul-2022/1658900123833.pdf</t>
        </is>
      </c>
      <c r="R805" s="18" t="inlineStr">
        <is>
          <t>https://www.sebi.gov.in/filings/public-issues/jul-2022/uniparts-india-limited-addendum-to-the-drhp_61214.html</t>
        </is>
      </c>
      <c r="S805" s="15" t="n"/>
      <c r="T805" s="15" t="inlineStr">
        <is>
          <t>Company name + date window</t>
        </is>
      </c>
      <c r="U805" s="15" t="inlineStr">
        <is>
          <t>Uniparts India Limited</t>
        </is>
      </c>
      <c r="V805" s="15" t="n"/>
      <c r="W805" s="15" t="n"/>
      <c r="X805" s="15" t="n"/>
      <c r="Y805" s="15" t="n"/>
      <c r="Z805" s="15" t="n"/>
      <c r="AA805" s="15" t="n"/>
      <c r="AB805" s="15" t="n"/>
    </row>
    <row r="806" ht="15" customHeight="1" s="12">
      <c r="A806" s="14" t="n">
        <v>805</v>
      </c>
      <c r="B806" s="16" t="n">
        <v>44768</v>
      </c>
      <c r="C806" s="15" t="n">
        <v>2022</v>
      </c>
      <c r="D806" s="15" t="inlineStr">
        <is>
          <t>Sai Silk Kalamandir Limited</t>
        </is>
      </c>
      <c r="E806" s="15" t="inlineStr">
        <is>
          <t>DRHP</t>
        </is>
      </c>
      <c r="F806" s="15" t="inlineStr">
        <is>
          <t>Sai Silk Kalamandir Limited - DRHP</t>
        </is>
      </c>
      <c r="G806" s="15" t="inlineStr">
        <is>
          <t>No launched IPO found</t>
        </is>
      </c>
      <c r="H806" s="15" t="n"/>
      <c r="I806" s="16" t="n"/>
      <c r="J806" s="16" t="n"/>
      <c r="K806" s="16" t="n"/>
      <c r="L806" s="17" t="n"/>
      <c r="M806" s="17" t="n"/>
      <c r="N806" s="17" t="n"/>
      <c r="O806" s="15" t="n"/>
      <c r="P806" s="15" t="n"/>
      <c r="Q806" s="18" t="inlineStr">
        <is>
          <t>https://www.sebi.gov.in/sebi_data/attachdocs/jul-2022/1658818653116.pdf</t>
        </is>
      </c>
      <c r="R806" s="18" t="inlineStr">
        <is>
          <t>https://www.sebi.gov.in/filings/public-issues/jul-2022/sai-silk-kalamandir-limited-drhp_61175.html</t>
        </is>
      </c>
      <c r="S806" s="15" t="n"/>
      <c r="T806" s="15" t="n"/>
      <c r="U806" s="15" t="n"/>
      <c r="V806" s="15" t="n"/>
      <c r="W806" s="19" t="n">
        <v>45189</v>
      </c>
      <c r="X806" s="19" t="n">
        <v>45191</v>
      </c>
      <c r="Y806" s="19" t="n">
        <v>45196</v>
      </c>
      <c r="Z806" s="20" t="inlineStr">
        <is>
          <t>Issue opened</t>
        </is>
      </c>
      <c r="AA806" s="15" t="inlineStr">
        <is>
          <t>Business Standard IPO page (close name match)</t>
        </is>
      </c>
      <c r="AB806" s="18" t="inlineStr">
        <is>
          <t>https://www.business-standard.com/markets/ipo/sai-silks-kalamandir-ltd-ipo-34768</t>
        </is>
      </c>
    </row>
    <row r="807" ht="15" customHeight="1" s="12">
      <c r="A807" s="14" t="n">
        <v>806</v>
      </c>
      <c r="B807" s="16" t="n">
        <v>44760</v>
      </c>
      <c r="C807" s="15" t="n">
        <v>2022</v>
      </c>
      <c r="D807" s="15" t="inlineStr">
        <is>
          <t>Sula Vineyards Limited</t>
        </is>
      </c>
      <c r="E807" s="15" t="inlineStr">
        <is>
          <t>DRHP</t>
        </is>
      </c>
      <c r="F807" s="15" t="inlineStr">
        <is>
          <t>Sula Vineyards Limited</t>
        </is>
      </c>
      <c r="G807" s="15" t="inlineStr">
        <is>
          <t>IPO launched</t>
        </is>
      </c>
      <c r="H807" s="15" t="inlineStr">
        <is>
          <t>Mainboard</t>
        </is>
      </c>
      <c r="I807" s="16" t="n">
        <v>44907</v>
      </c>
      <c r="J807" s="16" t="n">
        <v>44909</v>
      </c>
      <c r="K807" s="16" t="n">
        <v>44917</v>
      </c>
      <c r="L807" s="17" t="n">
        <v>960.35</v>
      </c>
      <c r="M807" s="17" t="n">
        <v>960.35</v>
      </c>
      <c r="N807" s="17" t="n">
        <v>0</v>
      </c>
      <c r="O807" s="15" t="inlineStr">
        <is>
          <t>Final issue (ipoplatform)</t>
        </is>
      </c>
      <c r="P807" s="15" t="n"/>
      <c r="Q807" s="18" t="inlineStr">
        <is>
          <t>https://www.sebi.gov.in/sebi_data/attachdocs/jul-2022/1658137325541.PDF</t>
        </is>
      </c>
      <c r="R807" s="18" t="inlineStr">
        <is>
          <t>https://www.sebi.gov.in/filings/public-issues/jul-2022/sula-vineyards-limited_60878.html</t>
        </is>
      </c>
      <c r="S807" s="15" t="n"/>
      <c r="T807" s="15" t="inlineStr">
        <is>
          <t>Company name + date window</t>
        </is>
      </c>
      <c r="U807" s="15" t="inlineStr">
        <is>
          <t>Sula Vineyards Limited</t>
        </is>
      </c>
      <c r="V807" s="15" t="n"/>
      <c r="W807" s="15" t="n"/>
      <c r="X807" s="15" t="n"/>
      <c r="Y807" s="15" t="n"/>
      <c r="Z807" s="15" t="n"/>
      <c r="AA807" s="15" t="n"/>
      <c r="AB807" s="15" t="n"/>
    </row>
    <row r="808" ht="15" customHeight="1" s="12">
      <c r="A808" s="14" t="n">
        <v>807</v>
      </c>
      <c r="B808" s="16" t="n">
        <v>44757</v>
      </c>
      <c r="C808" s="15" t="n">
        <v>2022</v>
      </c>
      <c r="D808" s="15" t="inlineStr">
        <is>
          <t>Signature Global (India) Limited</t>
        </is>
      </c>
      <c r="E808" s="15" t="inlineStr">
        <is>
          <t>DRHP</t>
        </is>
      </c>
      <c r="F808" s="15" t="inlineStr">
        <is>
          <t>Signature Global (India) Limited : DRHP</t>
        </is>
      </c>
      <c r="G808" s="15" t="inlineStr">
        <is>
          <t>IPO launched</t>
        </is>
      </c>
      <c r="H808" s="15" t="inlineStr">
        <is>
          <t>Mainboard</t>
        </is>
      </c>
      <c r="I808" s="16" t="n">
        <v>45189</v>
      </c>
      <c r="J808" s="16" t="n">
        <v>45191</v>
      </c>
      <c r="K808" s="16" t="n">
        <v>45196</v>
      </c>
      <c r="L808" s="17" t="n">
        <v>730</v>
      </c>
      <c r="M808" s="17" t="n">
        <v>603</v>
      </c>
      <c r="N808" s="17" t="n">
        <v>127</v>
      </c>
      <c r="O808" s="15" t="inlineStr">
        <is>
          <t>Final issue (ipoplatform)</t>
        </is>
      </c>
      <c r="P808" s="15" t="n"/>
      <c r="Q808" s="18" t="inlineStr">
        <is>
          <t>https://www.sebi.gov.in/sebi_data/attachdocs/jul-2022/1657860250451.pdf</t>
        </is>
      </c>
      <c r="R808" s="18" t="inlineStr">
        <is>
          <t>https://www.sebi.gov.in/filings/public-issues/jul-2022/signature-global-india-limited-drhp_60808.html</t>
        </is>
      </c>
      <c r="S808" s="15" t="n"/>
      <c r="T808" s="15" t="inlineStr">
        <is>
          <t>Company name + date window</t>
        </is>
      </c>
      <c r="U808" s="15" t="inlineStr">
        <is>
          <t>Signatureglobal India Limited</t>
        </is>
      </c>
      <c r="V808" s="15" t="n"/>
      <c r="W808" s="15" t="n"/>
      <c r="X808" s="15" t="n"/>
      <c r="Y808" s="15" t="n"/>
      <c r="Z808" s="15" t="n"/>
      <c r="AA808" s="15" t="n"/>
      <c r="AB808" s="15" t="n"/>
    </row>
    <row r="809" ht="15" customHeight="1" s="12">
      <c r="A809" s="14" t="n">
        <v>808</v>
      </c>
      <c r="B809" s="16" t="n">
        <v>44755</v>
      </c>
      <c r="C809" s="15" t="n">
        <v>2022</v>
      </c>
      <c r="D809" s="15" t="inlineStr">
        <is>
          <t>Sah Polymers Limited</t>
        </is>
      </c>
      <c r="E809" s="15" t="inlineStr">
        <is>
          <t>Corrigendum</t>
        </is>
      </c>
      <c r="F809" s="15" t="inlineStr">
        <is>
          <t>Sah Polymers Limited - Corrigendum to Draft Red Herring Prospectus</t>
        </is>
      </c>
      <c r="G809" s="15" t="inlineStr">
        <is>
          <t>IPO launched</t>
        </is>
      </c>
      <c r="H809" s="15" t="inlineStr">
        <is>
          <t>Mainboard</t>
        </is>
      </c>
      <c r="I809" s="16" t="n">
        <v>44925</v>
      </c>
      <c r="J809" s="16" t="n">
        <v>44930</v>
      </c>
      <c r="K809" s="16" t="n">
        <v>44938</v>
      </c>
      <c r="L809" s="17" t="n">
        <v>66.3</v>
      </c>
      <c r="M809" s="17" t="n">
        <v>66.3</v>
      </c>
      <c r="N809" s="17" t="n">
        <v>0</v>
      </c>
      <c r="O809" s="15" t="inlineStr">
        <is>
          <t>Final issue (ipoplatform)</t>
        </is>
      </c>
      <c r="P809" s="15" t="n"/>
      <c r="Q809" s="18" t="inlineStr">
        <is>
          <t>https://www.sebi.gov.in/sebi_data/attachdocs/jul-2022/1657692732674.pdf</t>
        </is>
      </c>
      <c r="R809" s="18" t="inlineStr">
        <is>
          <t>https://www.sebi.gov.in/filings/public-issues/jul-2022/sah-polymers-limited-corrigendum-to-draft-red-herring-prospectus_60756.html</t>
        </is>
      </c>
      <c r="S809" s="15" t="n"/>
      <c r="T809" s="15" t="inlineStr">
        <is>
          <t>Company name + date window</t>
        </is>
      </c>
      <c r="U809" s="15" t="inlineStr">
        <is>
          <t>Sah Polymers Limited</t>
        </is>
      </c>
      <c r="V809" s="15" t="n"/>
      <c r="W809" s="15" t="n"/>
      <c r="X809" s="15" t="n"/>
      <c r="Y809" s="15" t="n"/>
      <c r="Z809" s="15" t="n"/>
      <c r="AA809" s="15" t="n"/>
      <c r="AB809" s="15" t="n"/>
    </row>
    <row r="810" ht="15" customHeight="1" s="12">
      <c r="A810" s="14" t="n">
        <v>809</v>
      </c>
      <c r="B810" s="16" t="n">
        <v>44749</v>
      </c>
      <c r="C810" s="15" t="n">
        <v>2022</v>
      </c>
      <c r="D810" s="15" t="inlineStr">
        <is>
          <t>Mitsu Chem Plast Limited</t>
        </is>
      </c>
      <c r="E810" s="15" t="inlineStr">
        <is>
          <t>DRHP</t>
        </is>
      </c>
      <c r="F810" s="15" t="inlineStr">
        <is>
          <t>Mitsu Chem Plast Limited</t>
        </is>
      </c>
      <c r="G810" s="15" t="inlineStr">
        <is>
          <t>No launched IPO found</t>
        </is>
      </c>
      <c r="H810" s="15" t="n"/>
      <c r="I810" s="16" t="n"/>
      <c r="J810" s="16" t="n"/>
      <c r="K810" s="16" t="n"/>
      <c r="L810" s="17" t="n"/>
      <c r="M810" s="17" t="n"/>
      <c r="N810" s="17" t="n"/>
      <c r="O810" s="15" t="n"/>
      <c r="P810" s="15" t="n"/>
      <c r="Q810" s="18" t="inlineStr">
        <is>
          <t>https://www.sebi.gov.in/sebi_data/attachdocs/jul-2022/1657187215936.pdf</t>
        </is>
      </c>
      <c r="R810" s="18" t="inlineStr">
        <is>
          <t>https://www.sebi.gov.in/filings/public-issues/jul-2022/mitsu-chem-plast-limited_60645.html</t>
        </is>
      </c>
      <c r="S810" s="15" t="n"/>
      <c r="T810" s="15" t="n"/>
      <c r="U810" s="15" t="n"/>
      <c r="V810" s="15" t="inlineStr">
        <is>
          <t>Same-name IPO opened 26-Aug-2016 — outside 2 years of this filing, so not linked</t>
        </is>
      </c>
      <c r="W810" s="16" t="n"/>
      <c r="X810" s="16" t="n"/>
      <c r="Y810" s="16" t="n"/>
      <c r="Z810" s="15" t="inlineStr">
        <is>
          <t>No issue found</t>
        </is>
      </c>
      <c r="AA810" s="15" t="inlineStr">
        <is>
          <t>Business Standard lists the company but shows no issue dates; web search limit reached</t>
        </is>
      </c>
      <c r="AB810" s="18" t="inlineStr">
        <is>
          <t>https://www.business-standard.com/markets/ipo/mitsu-chem-plast-ltd-ipo-68583</t>
        </is>
      </c>
    </row>
    <row r="811" ht="15" customHeight="1" s="12">
      <c r="A811" s="14" t="n">
        <v>810</v>
      </c>
      <c r="B811" s="16" t="n">
        <v>44743</v>
      </c>
      <c r="C811" s="15" t="n">
        <v>2022</v>
      </c>
      <c r="D811" s="15" t="inlineStr">
        <is>
          <t>Healthvista India Limited</t>
        </is>
      </c>
      <c r="E811" s="15" t="inlineStr">
        <is>
          <t>DRHP</t>
        </is>
      </c>
      <c r="F811" s="15" t="inlineStr">
        <is>
          <t>Healthvista India Limited - DRHP</t>
        </is>
      </c>
      <c r="G811" s="15" t="inlineStr">
        <is>
          <t>No launched IPO found</t>
        </is>
      </c>
      <c r="H811" s="15" t="n"/>
      <c r="I811" s="16" t="n"/>
      <c r="J811" s="16" t="n"/>
      <c r="K811" s="16" t="n"/>
      <c r="L811" s="17" t="n"/>
      <c r="M811" s="17" t="n"/>
      <c r="N811" s="17" t="n"/>
      <c r="O811" s="15" t="n"/>
      <c r="P811" s="15" t="n"/>
      <c r="Q811" s="18" t="inlineStr">
        <is>
          <t>https://www.sebi.gov.in/sebi_data/attachdocs/jul-2022/1656669957126.PDF</t>
        </is>
      </c>
      <c r="R811" s="18" t="inlineStr">
        <is>
          <t>https://www.sebi.gov.in/filings/public-issues/jul-2022/healthvista-india-limited-drhp_60506.html</t>
        </is>
      </c>
      <c r="S811" s="15" t="n"/>
      <c r="T811" s="15" t="n"/>
      <c r="U811" s="15" t="n"/>
      <c r="V811" s="15" t="n"/>
      <c r="W811" s="16" t="n"/>
      <c r="X811" s="16" t="n"/>
      <c r="Y811" s="16" t="n"/>
      <c r="Z811" s="15" t="inlineStr">
        <is>
          <t>No issue found</t>
        </is>
      </c>
      <c r="AA811" s="15" t="inlineStr">
        <is>
          <t>Business Standard lists the company but shows no issue dates; web search limit reached</t>
        </is>
      </c>
      <c r="AB811" s="18" t="inlineStr">
        <is>
          <t>https://www.business-standard.com/markets/ipo/healthvista-india-ltd-ipo-70164</t>
        </is>
      </c>
    </row>
    <row r="812" ht="15" customHeight="1" s="12">
      <c r="A812" s="14" t="n">
        <v>811</v>
      </c>
      <c r="B812" s="16" t="n">
        <v>44743</v>
      </c>
      <c r="C812" s="15" t="n">
        <v>2022</v>
      </c>
      <c r="D812" s="15" t="inlineStr">
        <is>
          <t>Concord Enviro Systems Limited</t>
        </is>
      </c>
      <c r="E812" s="15" t="inlineStr">
        <is>
          <t>DRHP</t>
        </is>
      </c>
      <c r="F812" s="15" t="inlineStr">
        <is>
          <t>Concord Enviro Systems Limited</t>
        </is>
      </c>
      <c r="G812" s="15" t="inlineStr">
        <is>
          <t>No launched IPO found</t>
        </is>
      </c>
      <c r="H812" s="15" t="n"/>
      <c r="I812" s="16" t="n"/>
      <c r="J812" s="16" t="n"/>
      <c r="K812" s="16" t="n"/>
      <c r="L812" s="17" t="n"/>
      <c r="M812" s="17" t="n"/>
      <c r="N812" s="17" t="n"/>
      <c r="O812" s="15" t="n"/>
      <c r="P812" s="15" t="n"/>
      <c r="Q812" s="18" t="inlineStr">
        <is>
          <t>https://www.sebi.gov.in/sebi_data/attachdocs/jul-2022/1656653167014.pdf</t>
        </is>
      </c>
      <c r="R812" s="18" t="inlineStr">
        <is>
          <t>https://www.sebi.gov.in/filings/public-issues/jul-2022/concord-enviro-systems-limited_60500.html</t>
        </is>
      </c>
      <c r="S812" s="15" t="n"/>
      <c r="T812" s="15" t="n"/>
      <c r="U812" s="15" t="n"/>
      <c r="V812" s="15" t="inlineStr">
        <is>
          <t>Same-name IPO opened 19-Dec-2024 — outside 2 years of this filing, so not linked</t>
        </is>
      </c>
      <c r="W812" s="19" t="n">
        <v>45645</v>
      </c>
      <c r="X812" s="19" t="n">
        <v>45649</v>
      </c>
      <c r="Y812" s="19" t="n">
        <v>45653</v>
      </c>
      <c r="Z812" s="20" t="inlineStr">
        <is>
          <t>Issue opened</t>
        </is>
      </c>
      <c r="AA812" s="15" t="inlineStr">
        <is>
          <t>Matched on chittorgarh.com</t>
        </is>
      </c>
      <c r="AB812" s="18" t="inlineStr">
        <is>
          <t>https://www.chittorgarh.com/ipo/concord-enviro-ipo/1941/</t>
        </is>
      </c>
    </row>
    <row r="813" ht="15" customHeight="1" s="12">
      <c r="A813" s="14" t="n">
        <v>812</v>
      </c>
      <c r="B813" s="16" t="n">
        <v>44742</v>
      </c>
      <c r="C813" s="15" t="n">
        <v>2022</v>
      </c>
      <c r="D813" s="15" t="inlineStr">
        <is>
          <t>Innova Captab Limited</t>
        </is>
      </c>
      <c r="E813" s="15" t="inlineStr">
        <is>
          <t>DRHP</t>
        </is>
      </c>
      <c r="F813" s="15" t="inlineStr">
        <is>
          <t>Innova Captab Limited - DRHP</t>
        </is>
      </c>
      <c r="G813" s="15" t="inlineStr">
        <is>
          <t>IPO launched</t>
        </is>
      </c>
      <c r="H813" s="15" t="inlineStr">
        <is>
          <t>Mainboard</t>
        </is>
      </c>
      <c r="I813" s="16" t="n">
        <v>45281</v>
      </c>
      <c r="J813" s="16" t="n">
        <v>45286</v>
      </c>
      <c r="K813" s="16" t="n">
        <v>45289</v>
      </c>
      <c r="L813" s="17" t="n">
        <v>570</v>
      </c>
      <c r="M813" s="17" t="n">
        <v>570</v>
      </c>
      <c r="N813" s="17" t="n">
        <v>0</v>
      </c>
      <c r="O813" s="15" t="inlineStr">
        <is>
          <t>Final issue (ipoplatform)</t>
        </is>
      </c>
      <c r="P813" s="15" t="n"/>
      <c r="Q813" s="18" t="inlineStr">
        <is>
          <t>https://www.sebi.gov.in/sebi_data/attachdocs/jun-2022/1656578776098.pdf</t>
        </is>
      </c>
      <c r="R813" s="18" t="inlineStr">
        <is>
          <t>https://www.sebi.gov.in/filings/public-issues/jun-2022/innova-captab-limited-drhp_60404.html</t>
        </is>
      </c>
      <c r="S813" s="15" t="n"/>
      <c r="T813" s="15" t="inlineStr">
        <is>
          <t>SEBI filing link</t>
        </is>
      </c>
      <c r="U813" s="15" t="inlineStr">
        <is>
          <t>Innova Captab Limited</t>
        </is>
      </c>
      <c r="V813" s="15" t="n"/>
      <c r="W813" s="15" t="n"/>
      <c r="X813" s="15" t="n"/>
      <c r="Y813" s="15" t="n"/>
      <c r="Z813" s="15" t="n"/>
      <c r="AA813" s="15" t="n"/>
      <c r="AB813" s="15" t="n"/>
    </row>
    <row r="814" ht="15" customHeight="1" s="12">
      <c r="A814" s="14" t="n">
        <v>813</v>
      </c>
      <c r="B814" s="16" t="n">
        <v>44740</v>
      </c>
      <c r="C814" s="15" t="n">
        <v>2022</v>
      </c>
      <c r="D814" s="15" t="inlineStr">
        <is>
          <t>Allied Blenders and Distillers Limited</t>
        </is>
      </c>
      <c r="E814" s="15" t="inlineStr">
        <is>
          <t>DRHP</t>
        </is>
      </c>
      <c r="F814" s="15" t="inlineStr">
        <is>
          <t>Allied Blenders and Distillers Limited - DRHP</t>
        </is>
      </c>
      <c r="G814" s="15" t="inlineStr">
        <is>
          <t>IPO launched</t>
        </is>
      </c>
      <c r="H814" s="15" t="inlineStr">
        <is>
          <t>Mainboard</t>
        </is>
      </c>
      <c r="I814" s="16" t="n">
        <v>45468</v>
      </c>
      <c r="J814" s="16" t="n">
        <v>45470</v>
      </c>
      <c r="K814" s="16" t="n">
        <v>45475</v>
      </c>
      <c r="L814" s="17" t="n">
        <v>1500</v>
      </c>
      <c r="M814" s="17" t="n">
        <v>1000</v>
      </c>
      <c r="N814" s="17" t="n">
        <v>500</v>
      </c>
      <c r="O814" s="15" t="inlineStr">
        <is>
          <t>Final issue (ipoplatform)</t>
        </is>
      </c>
      <c r="P814" s="15" t="n"/>
      <c r="Q814" s="18" t="inlineStr">
        <is>
          <t>https://www.sebi.gov.in/sebi_data/attachdocs/jun-2022/1656405876894.pdf</t>
        </is>
      </c>
      <c r="R814" s="18" t="inlineStr">
        <is>
          <t>https://www.sebi.gov.in/filings/public-issues/jun-2022/allied-blenders-and-distillers-limited-drhp_60292.html</t>
        </is>
      </c>
      <c r="S814" s="15" t="n"/>
      <c r="T814" s="15" t="inlineStr">
        <is>
          <t>Company name + date window</t>
        </is>
      </c>
      <c r="U814" s="15" t="inlineStr">
        <is>
          <t>Allied Blenders and Distillers Limited</t>
        </is>
      </c>
      <c r="V814" s="15" t="n"/>
      <c r="W814" s="15" t="n"/>
      <c r="X814" s="15" t="n"/>
      <c r="Y814" s="15" t="n"/>
      <c r="Z814" s="15" t="n"/>
      <c r="AA814" s="15" t="n"/>
      <c r="AB814" s="15" t="n"/>
    </row>
    <row r="815" ht="15" customHeight="1" s="12">
      <c r="A815" s="14" t="n">
        <v>814</v>
      </c>
      <c r="B815" s="16" t="n">
        <v>44740</v>
      </c>
      <c r="C815" s="15" t="n">
        <v>2022</v>
      </c>
      <c r="D815" s="15" t="inlineStr">
        <is>
          <t>Global Surfaces Limited</t>
        </is>
      </c>
      <c r="E815" s="15" t="inlineStr">
        <is>
          <t>DRHP</t>
        </is>
      </c>
      <c r="F815" s="15" t="inlineStr">
        <is>
          <t>Global Surfaces Limited</t>
        </is>
      </c>
      <c r="G815" s="15" t="inlineStr">
        <is>
          <t>IPO launched</t>
        </is>
      </c>
      <c r="H815" s="15" t="inlineStr">
        <is>
          <t>Mainboard</t>
        </is>
      </c>
      <c r="I815" s="16" t="n">
        <v>44998</v>
      </c>
      <c r="J815" s="16" t="n">
        <v>45000</v>
      </c>
      <c r="K815" s="16" t="n">
        <v>45008</v>
      </c>
      <c r="L815" s="17" t="n">
        <v>154.98</v>
      </c>
      <c r="M815" s="17" t="n">
        <v>119.28</v>
      </c>
      <c r="N815" s="17" t="n">
        <v>35.7</v>
      </c>
      <c r="O815" s="15" t="inlineStr">
        <is>
          <t>Final issue (ipoplatform)</t>
        </is>
      </c>
      <c r="P815" s="15" t="n"/>
      <c r="Q815" s="18" t="inlineStr">
        <is>
          <t>https://www.sebi.gov.in/sebi_data/attachdocs/jun-2022/1656400680973.pdf</t>
        </is>
      </c>
      <c r="R815" s="18" t="inlineStr">
        <is>
          <t>https://www.sebi.gov.in/filings/public-issues/jun-2022/global-surfaces-limited_60289.html</t>
        </is>
      </c>
      <c r="S815" s="15" t="n"/>
      <c r="T815" s="15" t="inlineStr">
        <is>
          <t>SEBI filing link</t>
        </is>
      </c>
      <c r="U815" s="15" t="inlineStr">
        <is>
          <t>Global Surfaces Limited</t>
        </is>
      </c>
      <c r="V815" s="15" t="n"/>
      <c r="W815" s="15" t="n"/>
      <c r="X815" s="15" t="n"/>
      <c r="Y815" s="15" t="n"/>
      <c r="Z815" s="15" t="n"/>
      <c r="AA815" s="15" t="n"/>
      <c r="AB815" s="15" t="n"/>
    </row>
    <row r="816" ht="15" customHeight="1" s="12">
      <c r="A816" s="14" t="n">
        <v>815</v>
      </c>
      <c r="B816" s="16" t="n">
        <v>44739</v>
      </c>
      <c r="C816" s="15" t="n">
        <v>2022</v>
      </c>
      <c r="D816" s="15" t="inlineStr">
        <is>
          <t>Corrigendum to DRHP of Plaza Wires Limited</t>
        </is>
      </c>
      <c r="E816" s="15" t="inlineStr">
        <is>
          <t>Corrigendum</t>
        </is>
      </c>
      <c r="F816" s="15" t="inlineStr">
        <is>
          <t>Corrigendum to DRHP of Plaza Wires Limited</t>
        </is>
      </c>
      <c r="G816" s="15" t="inlineStr">
        <is>
          <t>No launched IPO found</t>
        </is>
      </c>
      <c r="H816" s="15" t="n"/>
      <c r="I816" s="16" t="n"/>
      <c r="J816" s="16" t="n"/>
      <c r="K816" s="16" t="n"/>
      <c r="L816" s="17" t="n"/>
      <c r="M816" s="17" t="n"/>
      <c r="N816" s="17" t="n"/>
      <c r="O816" s="15" t="n"/>
      <c r="P816" s="15" t="n"/>
      <c r="Q816" s="18" t="inlineStr">
        <is>
          <t>https://www.sebi.gov.in/sebi_data/attachdocs/jun-2022/1656319694106.pdf</t>
        </is>
      </c>
      <c r="R816" s="18" t="inlineStr">
        <is>
          <t>https://www.sebi.gov.in/filings/public-issues/jun-2022/corrigendum-to-drhp-of-plaza-wires-limited_60197.html</t>
        </is>
      </c>
      <c r="S816" s="15" t="n"/>
      <c r="T816" s="15" t="n"/>
      <c r="U816" s="15" t="n"/>
      <c r="V816" s="15" t="n"/>
      <c r="W816" s="19" t="n">
        <v>45198</v>
      </c>
      <c r="X816" s="19" t="n">
        <v>45204</v>
      </c>
      <c r="Y816" s="19" t="n">
        <v>45211</v>
      </c>
      <c r="Z816" s="20" t="inlineStr">
        <is>
          <t>Issue opened</t>
        </is>
      </c>
      <c r="AA816" s="15" t="inlineStr">
        <is>
          <t>Matched on chittorgarh.com</t>
        </is>
      </c>
      <c r="AB816" s="18" t="inlineStr">
        <is>
          <t>https://www.chittorgarh.com/ipo/plaza-wires-ipo/1539/</t>
        </is>
      </c>
    </row>
    <row r="817" ht="15" customHeight="1" s="12">
      <c r="A817" s="14" t="n">
        <v>816</v>
      </c>
      <c r="B817" s="16" t="n">
        <v>44739</v>
      </c>
      <c r="C817" s="15" t="n">
        <v>2022</v>
      </c>
      <c r="D817" s="15" t="inlineStr">
        <is>
          <t>Sah Polymers Limited</t>
        </is>
      </c>
      <c r="E817" s="15" t="inlineStr">
        <is>
          <t>Addendum</t>
        </is>
      </c>
      <c r="F817" s="15" t="inlineStr">
        <is>
          <t>Sah Polymers Limited - Addendum to DRHP</t>
        </is>
      </c>
      <c r="G817" s="15" t="inlineStr">
        <is>
          <t>IPO launched</t>
        </is>
      </c>
      <c r="H817" s="15" t="inlineStr">
        <is>
          <t>Mainboard</t>
        </is>
      </c>
      <c r="I817" s="16" t="n">
        <v>44925</v>
      </c>
      <c r="J817" s="16" t="n">
        <v>44930</v>
      </c>
      <c r="K817" s="16" t="n">
        <v>44938</v>
      </c>
      <c r="L817" s="17" t="n">
        <v>66.3</v>
      </c>
      <c r="M817" s="17" t="n">
        <v>66.3</v>
      </c>
      <c r="N817" s="17" t="n">
        <v>0</v>
      </c>
      <c r="O817" s="15" t="inlineStr">
        <is>
          <t>Final issue (ipoplatform)</t>
        </is>
      </c>
      <c r="P817" s="15" t="n"/>
      <c r="Q817" s="18" t="inlineStr">
        <is>
          <t>https://www.sebi.gov.in/sebi_data/attachdocs/jun-2022/1656308835091.PDF</t>
        </is>
      </c>
      <c r="R817" s="18" t="inlineStr">
        <is>
          <t>https://www.sebi.gov.in/filings/public-issues/jun-2022/sah-polymers-limited-addendum-to-drhp_60146.html</t>
        </is>
      </c>
      <c r="S817" s="15" t="n"/>
      <c r="T817" s="15" t="inlineStr">
        <is>
          <t>Company name + date window</t>
        </is>
      </c>
      <c r="U817" s="15" t="inlineStr">
        <is>
          <t>Sah Polymers Limited</t>
        </is>
      </c>
      <c r="V817" s="15" t="n"/>
      <c r="W817" s="15" t="n"/>
      <c r="X817" s="15" t="n"/>
      <c r="Y817" s="15" t="n"/>
      <c r="Z817" s="15" t="n"/>
      <c r="AA817" s="15" t="n"/>
      <c r="AB817" s="15" t="n"/>
    </row>
    <row r="818" ht="15" customHeight="1" s="12">
      <c r="A818" s="14" t="n">
        <v>817</v>
      </c>
      <c r="B818" s="16" t="n">
        <v>44735</v>
      </c>
      <c r="C818" s="15" t="n">
        <v>2022</v>
      </c>
      <c r="D818" s="15" t="inlineStr">
        <is>
          <t>Global Health Limited</t>
        </is>
      </c>
      <c r="E818" s="15" t="inlineStr">
        <is>
          <t>Addendum</t>
        </is>
      </c>
      <c r="F818" s="15" t="inlineStr">
        <is>
          <t>Global Health Limited – Addendum to the DRHP.</t>
        </is>
      </c>
      <c r="G818" s="15" t="inlineStr">
        <is>
          <t>IPO launched</t>
        </is>
      </c>
      <c r="H818" s="15" t="inlineStr">
        <is>
          <t>Mainboard</t>
        </is>
      </c>
      <c r="I818" s="16" t="n">
        <v>44868</v>
      </c>
      <c r="J818" s="16" t="n">
        <v>44872</v>
      </c>
      <c r="K818" s="16" t="n">
        <v>44881</v>
      </c>
      <c r="L818" s="17" t="n">
        <v>2205.57</v>
      </c>
      <c r="M818" s="17" t="n">
        <v>2205.57</v>
      </c>
      <c r="N818" s="17" t="n">
        <v>0</v>
      </c>
      <c r="O818" s="15" t="inlineStr">
        <is>
          <t>Final issue (ipoplatform)</t>
        </is>
      </c>
      <c r="P818" s="15" t="n"/>
      <c r="Q818" s="18" t="inlineStr">
        <is>
          <t>https://www.sebi.gov.in/sebi_data/attachdocs/jun-2022/1655982257046.pdf</t>
        </is>
      </c>
      <c r="R818" s="18" t="inlineStr">
        <is>
          <t>https://www.sebi.gov.in/filings/public-issues/jun-2022/global-health-limited-addendum-to-the-drhp-_59963.html</t>
        </is>
      </c>
      <c r="S818" s="15" t="n"/>
      <c r="T818" s="15" t="inlineStr">
        <is>
          <t>Company name + date window</t>
        </is>
      </c>
      <c r="U818" s="15" t="inlineStr">
        <is>
          <t>Global Health Limited</t>
        </is>
      </c>
      <c r="V818" s="15" t="n"/>
      <c r="W818" s="15" t="n"/>
      <c r="X818" s="15" t="n"/>
      <c r="Y818" s="15" t="n"/>
      <c r="Z818" s="15" t="n"/>
      <c r="AA818" s="15" t="n"/>
      <c r="AB818" s="15" t="n"/>
    </row>
    <row r="819" ht="15" customHeight="1" s="12">
      <c r="A819" s="14" t="n">
        <v>818</v>
      </c>
      <c r="B819" s="16" t="n">
        <v>44734</v>
      </c>
      <c r="C819" s="15" t="n">
        <v>2022</v>
      </c>
      <c r="D819" s="15" t="inlineStr">
        <is>
          <t>Bharat FIH Limited</t>
        </is>
      </c>
      <c r="E819" s="15" t="inlineStr">
        <is>
          <t>Addendum</t>
        </is>
      </c>
      <c r="F819" s="15" t="inlineStr">
        <is>
          <t>Bharat FIH Limited - Addendum to the DRHP</t>
        </is>
      </c>
      <c r="G819" s="15" t="inlineStr">
        <is>
          <t>No launched IPO found</t>
        </is>
      </c>
      <c r="H819" s="15" t="n"/>
      <c r="I819" s="16" t="n"/>
      <c r="J819" s="16" t="n"/>
      <c r="K819" s="16" t="n"/>
      <c r="L819" s="17" t="n"/>
      <c r="M819" s="17" t="n"/>
      <c r="N819" s="17" t="n"/>
      <c r="O819" s="15" t="n"/>
      <c r="P819" s="15" t="n"/>
      <c r="Q819" s="18" t="inlineStr">
        <is>
          <t>https://www.sebi.gov.in/sebi_data/attachdocs/jun-2022/1655876827634.pdf</t>
        </is>
      </c>
      <c r="R819" s="18" t="inlineStr">
        <is>
          <t>https://www.sebi.gov.in/filings/public-issues/jun-2022/bharat-fih-limited-addendum-to-the-drhp_59903.html</t>
        </is>
      </c>
      <c r="S819" s="15" t="n"/>
      <c r="T819" s="15" t="n"/>
      <c r="U819" s="15" t="n"/>
      <c r="V819" s="15" t="n"/>
      <c r="W819" s="16" t="n"/>
      <c r="X819" s="16" t="n"/>
      <c r="Y819" s="16" t="n"/>
      <c r="Z819" s="15" t="inlineStr">
        <is>
          <t>No issue found</t>
        </is>
      </c>
      <c r="AA819" s="15" t="inlineStr">
        <is>
          <t>Business Standard lists the company but shows no issue dates; web search limit reached</t>
        </is>
      </c>
      <c r="AB819" s="18" t="inlineStr">
        <is>
          <t>https://www.business-standard.com/markets/ipo/bharat-fih-ltd-ipo-75553</t>
        </is>
      </c>
    </row>
    <row r="820" ht="15" customHeight="1" s="12">
      <c r="A820" s="14" t="n">
        <v>819</v>
      </c>
      <c r="B820" s="16" t="n">
        <v>44732</v>
      </c>
      <c r="C820" s="15" t="n">
        <v>2022</v>
      </c>
      <c r="D820" s="15" t="inlineStr">
        <is>
          <t>STITCHED TEXTILES LIMITED</t>
        </is>
      </c>
      <c r="E820" s="15" t="inlineStr">
        <is>
          <t>DRHP</t>
        </is>
      </c>
      <c r="F820" s="15" t="inlineStr">
        <is>
          <t>STITCHED TEXTILES LIMITED</t>
        </is>
      </c>
      <c r="G820" s="15" t="inlineStr">
        <is>
          <t>No launched IPO found</t>
        </is>
      </c>
      <c r="H820" s="15" t="n"/>
      <c r="I820" s="16" t="n"/>
      <c r="J820" s="16" t="n"/>
      <c r="K820" s="16" t="n"/>
      <c r="L820" s="17" t="n"/>
      <c r="M820" s="17" t="n"/>
      <c r="N820" s="17" t="n"/>
      <c r="O820" s="15" t="n"/>
      <c r="P820" s="15" t="n"/>
      <c r="Q820" s="18" t="inlineStr">
        <is>
          <t>https://www.sebi.gov.in/sebi_data/attachdocs/jun-2022/1655725396233.pdf</t>
        </is>
      </c>
      <c r="R820" s="18" t="inlineStr">
        <is>
          <t>https://www.sebi.gov.in/filings/public-issues/jun-2022/stitched-textiles-limited_59831.html</t>
        </is>
      </c>
      <c r="S820" s="15" t="n"/>
      <c r="T820" s="15" t="n"/>
      <c r="U820" s="15" t="n"/>
      <c r="V820" s="15" t="n"/>
      <c r="W820" s="16" t="n"/>
      <c r="X820" s="16" t="n"/>
      <c r="Y820" s="16" t="n"/>
      <c r="Z820" s="15" t="inlineStr">
        <is>
          <t>No issue found</t>
        </is>
      </c>
      <c r="AA820" s="15" t="inlineStr">
        <is>
          <t>Open date TBA; company reported unlisted; no issue found.</t>
        </is>
      </c>
      <c r="AB820" s="18" t="inlineStr">
        <is>
          <t>https://www.5paisa.com/ipo/stitched-textiles-ltd-ipo</t>
        </is>
      </c>
    </row>
    <row r="821" ht="15" customHeight="1" s="12">
      <c r="A821" s="14" t="n">
        <v>820</v>
      </c>
      <c r="B821" s="16" t="n">
        <v>44732</v>
      </c>
      <c r="C821" s="15" t="n">
        <v>2022</v>
      </c>
      <c r="D821" s="15" t="inlineStr">
        <is>
          <t>Inox Green Energy Services Limited</t>
        </is>
      </c>
      <c r="E821" s="15" t="inlineStr">
        <is>
          <t>DRHP</t>
        </is>
      </c>
      <c r="F821" s="15" t="inlineStr">
        <is>
          <t>Inox Green Energy Services Limited</t>
        </is>
      </c>
      <c r="G821" s="15" t="inlineStr">
        <is>
          <t>IPO launched</t>
        </is>
      </c>
      <c r="H821" s="15" t="inlineStr">
        <is>
          <t>Mainboard</t>
        </is>
      </c>
      <c r="I821" s="16" t="n">
        <v>44876</v>
      </c>
      <c r="J821" s="16" t="n">
        <v>44880</v>
      </c>
      <c r="K821" s="16" t="n">
        <v>44888</v>
      </c>
      <c r="L821" s="17" t="n">
        <v>740</v>
      </c>
      <c r="M821" s="17" t="n">
        <v>370</v>
      </c>
      <c r="N821" s="17" t="n">
        <v>370</v>
      </c>
      <c r="O821" s="15" t="inlineStr">
        <is>
          <t>Final issue (ipoplatform)</t>
        </is>
      </c>
      <c r="P821" s="15" t="n"/>
      <c r="Q821" s="18" t="inlineStr">
        <is>
          <t>https://www.sebi.gov.in/sebi_data/attachdocs/jun-2022/1655725142192.pdf</t>
        </is>
      </c>
      <c r="R821" s="18" t="inlineStr">
        <is>
          <t>https://www.sebi.gov.in/filings/public-issues/jun-2022/inox-green-energy-services-limited_59829.html</t>
        </is>
      </c>
      <c r="S821" s="15" t="n"/>
      <c r="T821" s="15" t="inlineStr">
        <is>
          <t>SEBI filing link</t>
        </is>
      </c>
      <c r="U821" s="15" t="inlineStr">
        <is>
          <t>Inox Green Energy Services Limited</t>
        </is>
      </c>
      <c r="V821" s="15" t="n"/>
      <c r="W821" s="15" t="n"/>
      <c r="X821" s="15" t="n"/>
      <c r="Y821" s="15" t="n"/>
      <c r="Z821" s="15" t="n"/>
      <c r="AA821" s="15" t="n"/>
      <c r="AB821" s="15" t="n"/>
    </row>
    <row r="822" ht="15" customHeight="1" s="12">
      <c r="A822" s="14" t="n">
        <v>821</v>
      </c>
      <c r="B822" s="16" t="n">
        <v>44729</v>
      </c>
      <c r="C822" s="15" t="n">
        <v>2022</v>
      </c>
      <c r="D822" s="15" t="inlineStr">
        <is>
          <t>Deltatech Gaming Limited</t>
        </is>
      </c>
      <c r="E822" s="15" t="inlineStr">
        <is>
          <t>DRHP</t>
        </is>
      </c>
      <c r="F822" s="15" t="inlineStr">
        <is>
          <t>Deltatech Gaming Limited - DRHP</t>
        </is>
      </c>
      <c r="G822" s="15" t="inlineStr">
        <is>
          <t>No launched IPO found</t>
        </is>
      </c>
      <c r="H822" s="15" t="n"/>
      <c r="I822" s="16" t="n"/>
      <c r="J822" s="16" t="n"/>
      <c r="K822" s="16" t="n"/>
      <c r="L822" s="17" t="n"/>
      <c r="M822" s="17" t="n"/>
      <c r="N822" s="17" t="n"/>
      <c r="O822" s="15" t="n"/>
      <c r="P822" s="15" t="n"/>
      <c r="Q822" s="18" t="inlineStr">
        <is>
          <t>https://www.sebi.gov.in/sebi_data/attachdocs/jun-2022/1655459382467.pdf</t>
        </is>
      </c>
      <c r="R822" s="18" t="inlineStr">
        <is>
          <t>https://www.sebi.gov.in/filings/public-issues/jun-2022/deltatech-gaming-limited-drhp_59791.html</t>
        </is>
      </c>
      <c r="S822" s="15" t="n"/>
      <c r="T822" s="15" t="n"/>
      <c r="U822" s="15" t="n"/>
      <c r="V822" s="15" t="n"/>
      <c r="W822" s="16" t="n"/>
      <c r="X822" s="16" t="n"/>
      <c r="Y822" s="16" t="n"/>
      <c r="Z822" s="15" t="inlineStr">
        <is>
          <t>No issue found</t>
        </is>
      </c>
      <c r="AA822" s="15" t="inlineStr">
        <is>
          <t>Open date TBA; no issue found.</t>
        </is>
      </c>
      <c r="AB822" s="18" t="inlineStr">
        <is>
          <t>https://www.5paisa.com/ipo/deltatech-gaming-ltd-ipo</t>
        </is>
      </c>
    </row>
    <row r="823" ht="15" customHeight="1" s="12">
      <c r="A823" s="14" t="n">
        <v>822</v>
      </c>
      <c r="B823" s="16" t="n">
        <v>44725</v>
      </c>
      <c r="C823" s="15" t="n">
        <v>2022</v>
      </c>
      <c r="D823" s="15" t="inlineStr">
        <is>
          <t>Keystone Realtors Limited</t>
        </is>
      </c>
      <c r="E823" s="15" t="inlineStr">
        <is>
          <t>DRHP</t>
        </is>
      </c>
      <c r="F823" s="15" t="inlineStr">
        <is>
          <t>Keystone Realtors Limited - DRHP</t>
        </is>
      </c>
      <c r="G823" s="15" t="inlineStr">
        <is>
          <t>IPO launched</t>
        </is>
      </c>
      <c r="H823" s="15" t="inlineStr">
        <is>
          <t>Mainboard</t>
        </is>
      </c>
      <c r="I823" s="16" t="n">
        <v>44879</v>
      </c>
      <c r="J823" s="16" t="n">
        <v>44881</v>
      </c>
      <c r="K823" s="16" t="n">
        <v>44889</v>
      </c>
      <c r="L823" s="17" t="n">
        <v>635</v>
      </c>
      <c r="M823" s="17" t="n">
        <v>560</v>
      </c>
      <c r="N823" s="17" t="n">
        <v>75</v>
      </c>
      <c r="O823" s="15" t="inlineStr">
        <is>
          <t>Final issue (ipoplatform)</t>
        </is>
      </c>
      <c r="P823" s="15" t="n"/>
      <c r="Q823" s="18" t="inlineStr">
        <is>
          <t>https://www.sebi.gov.in/sebi_data/attachdocs/jun-2022/1655095999372.pdf</t>
        </is>
      </c>
      <c r="R823" s="18" t="inlineStr">
        <is>
          <t>https://www.sebi.gov.in/filings/public-issues/jun-2022/keystone-realtors-limited-drhp_59686.html</t>
        </is>
      </c>
      <c r="S823" s="15" t="n"/>
      <c r="T823" s="15" t="inlineStr">
        <is>
          <t>SEBI filing link</t>
        </is>
      </c>
      <c r="U823" s="15" t="inlineStr">
        <is>
          <t>Keystone Realtors Limited</t>
        </is>
      </c>
      <c r="V823" s="15" t="n"/>
      <c r="W823" s="15" t="n"/>
      <c r="X823" s="15" t="n"/>
      <c r="Y823" s="15" t="n"/>
      <c r="Z823" s="15" t="n"/>
      <c r="AA823" s="15" t="n"/>
      <c r="AB823" s="15" t="n"/>
    </row>
    <row r="824" ht="15" customHeight="1" s="12">
      <c r="A824" s="14" t="n">
        <v>823</v>
      </c>
      <c r="B824" s="16" t="n">
        <v>44721</v>
      </c>
      <c r="C824" s="15" t="n">
        <v>2022</v>
      </c>
      <c r="D824" s="15" t="inlineStr">
        <is>
          <t>Five - Star Business Finance Limited</t>
        </is>
      </c>
      <c r="E824" s="15" t="inlineStr">
        <is>
          <t>Addendum</t>
        </is>
      </c>
      <c r="F824" s="15" t="inlineStr">
        <is>
          <t>Five - Star Business Finance Limited - Addendum to the DRHP</t>
        </is>
      </c>
      <c r="G824" s="15" t="inlineStr">
        <is>
          <t>IPO launched</t>
        </is>
      </c>
      <c r="H824" s="15" t="inlineStr">
        <is>
          <t>Mainboard</t>
        </is>
      </c>
      <c r="I824" s="16" t="n">
        <v>44874</v>
      </c>
      <c r="J824" s="16" t="n">
        <v>44876</v>
      </c>
      <c r="K824" s="16" t="n">
        <v>44886</v>
      </c>
      <c r="L824" s="17" t="n">
        <v>1593.45</v>
      </c>
      <c r="M824" s="17" t="n">
        <v>1593.45</v>
      </c>
      <c r="N824" s="17" t="n">
        <v>0</v>
      </c>
      <c r="O824" s="15" t="inlineStr">
        <is>
          <t>Final issue (ipoplatform)</t>
        </is>
      </c>
      <c r="P824" s="15" t="n"/>
      <c r="Q824" s="18" t="inlineStr">
        <is>
          <t>https://www.sebi.gov.in/sebi_data/attachdocs/jun-2022/1654756574549.pdf</t>
        </is>
      </c>
      <c r="R824" s="18" t="inlineStr">
        <is>
          <t>https://www.sebi.gov.in/filings/public-issues/jun-2022/five-star-business-finance-limited-addendum-to-the-drhp_59600.html</t>
        </is>
      </c>
      <c r="S824" s="15" t="n"/>
      <c r="T824" s="15" t="inlineStr">
        <is>
          <t>Company name + date window</t>
        </is>
      </c>
      <c r="U824" s="15" t="inlineStr">
        <is>
          <t>Five Star Business Finance Limited</t>
        </is>
      </c>
      <c r="V824" s="15" t="n"/>
      <c r="W824" s="15" t="n"/>
      <c r="X824" s="15" t="n"/>
      <c r="Y824" s="15" t="n"/>
      <c r="Z824" s="15" t="n"/>
      <c r="AA824" s="15" t="n"/>
      <c r="AB824" s="15" t="n"/>
    </row>
    <row r="825" ht="15" customHeight="1" s="12">
      <c r="A825" s="14" t="n">
        <v>824</v>
      </c>
      <c r="B825" s="16" t="n">
        <v>44713</v>
      </c>
      <c r="C825" s="15" t="n">
        <v>2022</v>
      </c>
      <c r="D825" s="15" t="inlineStr">
        <is>
          <t>Gemini Edibles &amp; Fats India Limited</t>
        </is>
      </c>
      <c r="E825" s="15" t="inlineStr">
        <is>
          <t>Addendum</t>
        </is>
      </c>
      <c r="F825" s="15" t="inlineStr">
        <is>
          <t>Gemini Edibles &amp; Fats India Limited – Addendum to the DRHP.</t>
        </is>
      </c>
      <c r="G825" s="15" t="inlineStr">
        <is>
          <t>No launched IPO found</t>
        </is>
      </c>
      <c r="H825" s="15" t="n"/>
      <c r="I825" s="16" t="n"/>
      <c r="J825" s="16" t="n"/>
      <c r="K825" s="16" t="n"/>
      <c r="L825" s="17" t="n"/>
      <c r="M825" s="17" t="n"/>
      <c r="N825" s="17" t="n"/>
      <c r="O825" s="15" t="n"/>
      <c r="P825" s="15" t="n"/>
      <c r="Q825" s="18" t="inlineStr">
        <is>
          <t>https://www.sebi.gov.in/sebi_data/attachdocs/jun-2022/1654085904201.pdf</t>
        </is>
      </c>
      <c r="R825" s="18" t="inlineStr">
        <is>
          <t>https://www.sebi.gov.in/filings/public-issues/jun-2022/gemini-edibles-and-fats-india-limited-addendum-to-the-drhp-_59457.html</t>
        </is>
      </c>
      <c r="S825" s="15" t="n"/>
      <c r="T825" s="15" t="n"/>
      <c r="U825" s="15" t="n"/>
      <c r="V825" s="15" t="n"/>
      <c r="W825" s="16" t="n"/>
      <c r="X825" s="16" t="n"/>
      <c r="Y825" s="16" t="n"/>
      <c r="Z825" s="15" t="inlineStr">
        <is>
          <t>No issue found</t>
        </is>
      </c>
      <c r="AA825" s="15" t="inlineStr">
        <is>
          <t>2021 DRHP was put in abeyance; refiled Aug-2026; dates not announced</t>
        </is>
      </c>
      <c r="AB825" s="18" t="inlineStr">
        <is>
          <t>https://www.chittorgarh.com/ipo/gemini-edibles-fats-india-ipo/3238/</t>
        </is>
      </c>
    </row>
    <row r="826" ht="15" customHeight="1" s="12">
      <c r="A826" s="14" t="n">
        <v>825</v>
      </c>
      <c r="B826" s="16" t="n">
        <v>44711</v>
      </c>
      <c r="C826" s="15" t="n">
        <v>2022</v>
      </c>
      <c r="D826" s="15" t="inlineStr">
        <is>
          <t>PayMate India Limited</t>
        </is>
      </c>
      <c r="E826" s="15" t="inlineStr">
        <is>
          <t>DRHP</t>
        </is>
      </c>
      <c r="F826" s="15" t="inlineStr">
        <is>
          <t>PayMate India Limited - DRHP</t>
        </is>
      </c>
      <c r="G826" s="15" t="inlineStr">
        <is>
          <t>No launched IPO found</t>
        </is>
      </c>
      <c r="H826" s="15" t="n"/>
      <c r="I826" s="16" t="n"/>
      <c r="J826" s="16" t="n"/>
      <c r="K826" s="16" t="n"/>
      <c r="L826" s="17" t="n"/>
      <c r="M826" s="17" t="n"/>
      <c r="N826" s="17" t="n"/>
      <c r="O826" s="15" t="n"/>
      <c r="P826" s="15" t="n"/>
      <c r="Q826" s="18" t="inlineStr">
        <is>
          <t>https://www.sebi.gov.in/sebi_data/attachdocs/may-2022/1653895122418.pdf</t>
        </is>
      </c>
      <c r="R826" s="18" t="inlineStr">
        <is>
          <t>https://www.sebi.gov.in/filings/public-issues/may-2022/paymate-india-limited-drhp_59313.html</t>
        </is>
      </c>
      <c r="S826" s="15" t="n"/>
      <c r="T826" s="15" t="n"/>
      <c r="U826" s="15" t="n"/>
      <c r="V826" s="15" t="n"/>
      <c r="W826" s="16" t="n"/>
      <c r="X826" s="16" t="n"/>
      <c r="Y826" s="16" t="n"/>
      <c r="Z826" s="15" t="inlineStr">
        <is>
          <t>No issue found</t>
        </is>
      </c>
      <c r="AA826" s="15" t="inlineStr">
        <is>
          <t>Open date TBA; no issue found.</t>
        </is>
      </c>
      <c r="AB826" s="18" t="inlineStr">
        <is>
          <t>https://www.5paisa.com/ipo/paymate-india-ltd-ipo</t>
        </is>
      </c>
    </row>
    <row r="827" ht="15" customHeight="1" s="12">
      <c r="A827" s="14" t="n">
        <v>826</v>
      </c>
      <c r="B827" s="16" t="n">
        <v>44705</v>
      </c>
      <c r="C827" s="15" t="n">
        <v>2022</v>
      </c>
      <c r="D827" s="15" t="inlineStr">
        <is>
          <t>Addendum to DRHP of Fusion Micro Finance Limited</t>
        </is>
      </c>
      <c r="E827" s="15" t="inlineStr">
        <is>
          <t>Addendum</t>
        </is>
      </c>
      <c r="F827" s="15" t="inlineStr">
        <is>
          <t>Addendum to DRHP of Fusion Micro Finance Limited</t>
        </is>
      </c>
      <c r="G827" s="15" t="inlineStr">
        <is>
          <t>No launched IPO found</t>
        </is>
      </c>
      <c r="H827" s="15" t="n"/>
      <c r="I827" s="16" t="n"/>
      <c r="J827" s="16" t="n"/>
      <c r="K827" s="16" t="n"/>
      <c r="L827" s="17" t="n"/>
      <c r="M827" s="17" t="n"/>
      <c r="N827" s="17" t="n"/>
      <c r="O827" s="15" t="n"/>
      <c r="P827" s="15" t="n"/>
      <c r="Q827" s="18" t="inlineStr">
        <is>
          <t>https://www.sebi.gov.in/sebi_data/attachdocs/may-2022/1653371532879.PDF</t>
        </is>
      </c>
      <c r="R827" s="18" t="inlineStr">
        <is>
          <t>https://www.sebi.gov.in/filings/public-issues/may-2022/addendum-to-drhp-of-fusion-micro-finance-limited_59119.html</t>
        </is>
      </c>
      <c r="S827" s="15" t="n"/>
      <c r="T827" s="15" t="n"/>
      <c r="U827" s="15" t="n"/>
      <c r="V827" s="15" t="n"/>
      <c r="W827" s="19" t="n">
        <v>44867</v>
      </c>
      <c r="X827" s="19" t="n">
        <v>44869</v>
      </c>
      <c r="Y827" s="19" t="n">
        <v>44880</v>
      </c>
      <c r="Z827" s="20" t="inlineStr">
        <is>
          <t>Issue opened</t>
        </is>
      </c>
      <c r="AA827" s="15" t="inlineStr">
        <is>
          <t>Matched on chittorgarh.com</t>
        </is>
      </c>
      <c r="AB827" s="18" t="inlineStr">
        <is>
          <t>https://www.chittorgarh.com/ipo/fusion-micro-finance-ipo/1331/</t>
        </is>
      </c>
    </row>
    <row r="828" ht="15" customHeight="1" s="12">
      <c r="A828" s="14" t="n">
        <v>827</v>
      </c>
      <c r="B828" s="16" t="n">
        <v>44693</v>
      </c>
      <c r="C828" s="15" t="n">
        <v>2022</v>
      </c>
      <c r="D828" s="15" t="inlineStr">
        <is>
          <t>Pristine Logistics and Infraprojects Limited</t>
        </is>
      </c>
      <c r="E828" s="15" t="inlineStr">
        <is>
          <t>DRHP</t>
        </is>
      </c>
      <c r="F828" s="15" t="inlineStr">
        <is>
          <t>Pristine Logistics and Infraprojects Limited - DRHP</t>
        </is>
      </c>
      <c r="G828" s="15" t="inlineStr">
        <is>
          <t>No launched IPO found</t>
        </is>
      </c>
      <c r="H828" s="15" t="n"/>
      <c r="I828" s="16" t="n"/>
      <c r="J828" s="16" t="n"/>
      <c r="K828" s="16" t="n"/>
      <c r="L828" s="17" t="n"/>
      <c r="M828" s="17" t="n"/>
      <c r="N828" s="17" t="n"/>
      <c r="O828" s="15" t="n"/>
      <c r="P828" s="15" t="n"/>
      <c r="Q828" s="18" t="inlineStr">
        <is>
          <t>https://www.sebi.gov.in/sebi_data/attachdocs/may-2022/1652423343024.pdf</t>
        </is>
      </c>
      <c r="R828" s="18" t="inlineStr">
        <is>
          <t>https://www.sebi.gov.in/filings/public-issues/may-2022/pristine-logistics-and-infraprojects-limited-drhp_58907.html</t>
        </is>
      </c>
      <c r="S828" s="15" t="n"/>
      <c r="T828" s="15" t="n"/>
      <c r="U828" s="15" t="n"/>
      <c r="V828" s="15" t="n"/>
      <c r="W828" s="16" t="n"/>
      <c r="X828" s="16" t="n"/>
      <c r="Y828" s="16" t="n"/>
      <c r="Z828" s="15" t="inlineStr">
        <is>
          <t>No issue found</t>
        </is>
      </c>
      <c r="AA828" s="15" t="inlineStr">
        <is>
          <t>Dates not announced; a later confidential DRHP (June 2026) exists, no issue.</t>
        </is>
      </c>
      <c r="AB828" s="18" t="inlineStr">
        <is>
          <t>https://www.chittorgarh.com/ipo/pristine-logistics-infraprojects-ipo/3160/</t>
        </is>
      </c>
    </row>
    <row r="829" ht="15" customHeight="1" s="12">
      <c r="A829" s="14" t="n">
        <v>828</v>
      </c>
      <c r="B829" s="16" t="n">
        <v>44693</v>
      </c>
      <c r="C829" s="15" t="n">
        <v>2022</v>
      </c>
      <c r="D829" s="15" t="inlineStr">
        <is>
          <t>FirstMeridian Business Services Limited</t>
        </is>
      </c>
      <c r="E829" s="15" t="inlineStr">
        <is>
          <t>DRHP</t>
        </is>
      </c>
      <c r="F829" s="15" t="inlineStr">
        <is>
          <t>FirstMeridian Business Services Limited - DRHP</t>
        </is>
      </c>
      <c r="G829" s="15" t="inlineStr">
        <is>
          <t>No launched IPO found</t>
        </is>
      </c>
      <c r="H829" s="15" t="n"/>
      <c r="I829" s="16" t="n"/>
      <c r="J829" s="16" t="n"/>
      <c r="K829" s="16" t="n"/>
      <c r="L829" s="17" t="n"/>
      <c r="M829" s="17" t="n"/>
      <c r="N829" s="17" t="n"/>
      <c r="O829" s="15" t="n"/>
      <c r="P829" s="15" t="n"/>
      <c r="Q829" s="18" t="inlineStr">
        <is>
          <t>https://www.sebi.gov.in/sebi_data/attachdocs/may-2022/1652349605720.pdf</t>
        </is>
      </c>
      <c r="R829" s="18" t="inlineStr">
        <is>
          <t>https://www.sebi.gov.in/filings/public-issues/may-2022/firstmeridian-business-services-limited-drhp_58894.html</t>
        </is>
      </c>
      <c r="S829" s="15" t="n"/>
      <c r="T829" s="15" t="n"/>
      <c r="U829" s="15" t="n"/>
      <c r="V829" s="15" t="n"/>
      <c r="W829" s="16" t="n"/>
      <c r="X829" s="16" t="n"/>
      <c r="Y829" s="16" t="n"/>
      <c r="Z829" s="15" t="inlineStr">
        <is>
          <t>No issue found</t>
        </is>
      </c>
      <c r="AA829" s="15" t="inlineStr">
        <is>
          <t>Dates to be announced; no issue found.</t>
        </is>
      </c>
      <c r="AB829" s="18" t="inlineStr">
        <is>
          <t>https://www.business-standard.com/markets/ipo/firstmeridian-business-services-ltd-ipo-76806</t>
        </is>
      </c>
    </row>
    <row r="830" ht="15" customHeight="1" s="12">
      <c r="A830" s="14" t="n">
        <v>829</v>
      </c>
      <c r="B830" s="16" t="n">
        <v>44691</v>
      </c>
      <c r="C830" s="15" t="n">
        <v>2022</v>
      </c>
      <c r="D830" s="15" t="inlineStr">
        <is>
          <t>Plaza Wires Limited</t>
        </is>
      </c>
      <c r="E830" s="15" t="inlineStr">
        <is>
          <t>DRHP</t>
        </is>
      </c>
      <c r="F830" s="15" t="inlineStr">
        <is>
          <t>Plaza Wires Limited</t>
        </is>
      </c>
      <c r="G830" s="15" t="inlineStr">
        <is>
          <t>IPO launched</t>
        </is>
      </c>
      <c r="H830" s="15" t="inlineStr">
        <is>
          <t>Mainboard</t>
        </is>
      </c>
      <c r="I830" s="16" t="n">
        <v>45198</v>
      </c>
      <c r="J830" s="16" t="n">
        <v>45204</v>
      </c>
      <c r="K830" s="16" t="n">
        <v>45211</v>
      </c>
      <c r="L830" s="17" t="n">
        <v>71.28</v>
      </c>
      <c r="M830" s="17" t="n">
        <v>71.28</v>
      </c>
      <c r="N830" s="17" t="n">
        <v>0</v>
      </c>
      <c r="O830" s="15" t="inlineStr">
        <is>
          <t>Final issue (ipoplatform)</t>
        </is>
      </c>
      <c r="P830" s="15" t="n"/>
      <c r="Q830" s="18" t="inlineStr">
        <is>
          <t>https://www.sebi.gov.in/sebi_data/attachdocs/may-2022/1652161383291.pdf</t>
        </is>
      </c>
      <c r="R830" s="18" t="inlineStr">
        <is>
          <t>https://www.sebi.gov.in/filings/public-issues/may-2022/plaza-wires-limited_58799.html</t>
        </is>
      </c>
      <c r="S830" s="15" t="n"/>
      <c r="T830" s="15" t="inlineStr">
        <is>
          <t>Company name + date window</t>
        </is>
      </c>
      <c r="U830" s="15" t="inlineStr">
        <is>
          <t>Plaza Wires Limited</t>
        </is>
      </c>
      <c r="V830" s="15" t="n"/>
      <c r="W830" s="15" t="n"/>
      <c r="X830" s="15" t="n"/>
      <c r="Y830" s="15" t="n"/>
      <c r="Z830" s="15" t="n"/>
      <c r="AA830" s="15" t="n"/>
      <c r="AB830" s="15" t="n"/>
    </row>
    <row r="831" ht="15" customHeight="1" s="12">
      <c r="A831" s="14" t="n">
        <v>830</v>
      </c>
      <c r="B831" s="16" t="n">
        <v>44680</v>
      </c>
      <c r="C831" s="15" t="n">
        <v>2022</v>
      </c>
      <c r="D831" s="15" t="inlineStr">
        <is>
          <t>Uniparts India Ltd</t>
        </is>
      </c>
      <c r="E831" s="15" t="inlineStr">
        <is>
          <t>DRHP</t>
        </is>
      </c>
      <c r="F831" s="15" t="inlineStr">
        <is>
          <t>Uniparts India Ltd - DRHP</t>
        </is>
      </c>
      <c r="G831" s="15" t="inlineStr">
        <is>
          <t>IPO launched</t>
        </is>
      </c>
      <c r="H831" s="15" t="inlineStr">
        <is>
          <t>Mainboard</t>
        </is>
      </c>
      <c r="I831" s="16" t="n">
        <v>44895</v>
      </c>
      <c r="J831" s="16" t="n">
        <v>44897</v>
      </c>
      <c r="K831" s="16" t="n">
        <v>44907</v>
      </c>
      <c r="L831" s="17" t="n">
        <v>835.61</v>
      </c>
      <c r="M831" s="17" t="n">
        <v>835.61</v>
      </c>
      <c r="N831" s="17" t="n">
        <v>0</v>
      </c>
      <c r="O831" s="15" t="inlineStr">
        <is>
          <t>Final issue (ipoplatform)</t>
        </is>
      </c>
      <c r="P831" s="15" t="n"/>
      <c r="Q831" s="18" t="inlineStr">
        <is>
          <t>https://www.sebi.gov.in/sebi_data/attachdocs/may-2022/1651746906727.pdf</t>
        </is>
      </c>
      <c r="R831" s="18" t="inlineStr">
        <is>
          <t>https://www.sebi.gov.in/filings/public-issues/apr-2022/uniparts-india-ltd-drhp_58720.html</t>
        </is>
      </c>
      <c r="S831" s="15" t="n"/>
      <c r="T831" s="15" t="inlineStr">
        <is>
          <t>Company name + date window</t>
        </is>
      </c>
      <c r="U831" s="15" t="inlineStr">
        <is>
          <t>Uniparts India Limited</t>
        </is>
      </c>
      <c r="V831" s="15" t="n"/>
      <c r="W831" s="15" t="n"/>
      <c r="X831" s="15" t="n"/>
      <c r="Y831" s="15" t="n"/>
      <c r="Z831" s="15" t="n"/>
      <c r="AA831" s="15" t="n"/>
      <c r="AB831" s="15" t="n"/>
    </row>
    <row r="832" ht="15" customHeight="1" s="12">
      <c r="A832" s="14" t="n">
        <v>831</v>
      </c>
      <c r="B832" s="16" t="n">
        <v>44679</v>
      </c>
      <c r="C832" s="15" t="n">
        <v>2022</v>
      </c>
      <c r="D832" s="15" t="inlineStr">
        <is>
          <t>Protean eGov Technologies Limited</t>
        </is>
      </c>
      <c r="E832" s="15" t="inlineStr">
        <is>
          <t>Addendum</t>
        </is>
      </c>
      <c r="F832" s="15" t="inlineStr">
        <is>
          <t>Protean eGov Technologies Limited - Addendum to the DRHP</t>
        </is>
      </c>
      <c r="G832" s="15" t="inlineStr">
        <is>
          <t>IPO launched</t>
        </is>
      </c>
      <c r="H832" s="15" t="inlineStr">
        <is>
          <t>Mainboard</t>
        </is>
      </c>
      <c r="I832" s="16" t="n">
        <v>45236</v>
      </c>
      <c r="J832" s="16" t="n">
        <v>45238</v>
      </c>
      <c r="K832" s="16" t="n">
        <v>45243</v>
      </c>
      <c r="L832" s="17" t="n">
        <v>490.33</v>
      </c>
      <c r="M832" s="17" t="n">
        <v>490.33</v>
      </c>
      <c r="N832" s="17" t="n">
        <v>0</v>
      </c>
      <c r="O832" s="15" t="inlineStr">
        <is>
          <t>Final issue (ipoplatform)</t>
        </is>
      </c>
      <c r="P832" s="15" t="n"/>
      <c r="Q832" s="18" t="inlineStr">
        <is>
          <t>https://www.sebi.gov.in/sebi_data/attachdocs/apr-2022/1651122905344.PDF</t>
        </is>
      </c>
      <c r="R832" s="18" t="inlineStr">
        <is>
          <t>https://www.sebi.gov.in/filings/public-issues/apr-2022/protean-egov-technologies-limited-addendum-to-the-drhp_58494.html</t>
        </is>
      </c>
      <c r="S832" s="15" t="n"/>
      <c r="T832" s="15" t="inlineStr">
        <is>
          <t>Company name + date window</t>
        </is>
      </c>
      <c r="U832" s="15" t="inlineStr">
        <is>
          <t>Protean eGov Technologies Limited</t>
        </is>
      </c>
      <c r="V832" s="15" t="n"/>
      <c r="W832" s="15" t="n"/>
      <c r="X832" s="15" t="n"/>
      <c r="Y832" s="15" t="n"/>
      <c r="Z832" s="15" t="n"/>
      <c r="AA832" s="15" t="n"/>
      <c r="AB832" s="15" t="n"/>
    </row>
    <row r="833" ht="15" customHeight="1" s="12">
      <c r="A833" s="14" t="n">
        <v>832</v>
      </c>
      <c r="B833" s="16" t="n">
        <v>44676</v>
      </c>
      <c r="C833" s="15" t="n">
        <v>2022</v>
      </c>
      <c r="D833" s="15" t="inlineStr">
        <is>
          <t>Sah Polymers Limited</t>
        </is>
      </c>
      <c r="E833" s="15" t="inlineStr">
        <is>
          <t>DRHP</t>
        </is>
      </c>
      <c r="F833" s="15" t="inlineStr">
        <is>
          <t>Sah Polymers Limited - DRHP</t>
        </is>
      </c>
      <c r="G833" s="15" t="inlineStr">
        <is>
          <t>IPO launched</t>
        </is>
      </c>
      <c r="H833" s="15" t="inlineStr">
        <is>
          <t>Mainboard</t>
        </is>
      </c>
      <c r="I833" s="16" t="n">
        <v>44925</v>
      </c>
      <c r="J833" s="16" t="n">
        <v>44930</v>
      </c>
      <c r="K833" s="16" t="n">
        <v>44938</v>
      </c>
      <c r="L833" s="17" t="n">
        <v>66.3</v>
      </c>
      <c r="M833" s="17" t="n">
        <v>66.3</v>
      </c>
      <c r="N833" s="17" t="n">
        <v>0</v>
      </c>
      <c r="O833" s="15" t="inlineStr">
        <is>
          <t>Final issue (ipoplatform)</t>
        </is>
      </c>
      <c r="P833" s="15" t="n"/>
      <c r="Q833" s="18" t="inlineStr">
        <is>
          <t>https://www.sebi.gov.in/sebi_data/attachdocs/apr-2022/1650949750064.pdf</t>
        </is>
      </c>
      <c r="R833" s="18" t="inlineStr">
        <is>
          <t>https://www.sebi.gov.in/filings/public-issues/apr-2022/sah-polymers-limited-drhp_58383.html</t>
        </is>
      </c>
      <c r="S833" s="15" t="n"/>
      <c r="T833" s="15" t="inlineStr">
        <is>
          <t>SEBI filing link</t>
        </is>
      </c>
      <c r="U833" s="15" t="inlineStr">
        <is>
          <t>Sah Polymers Limited</t>
        </is>
      </c>
      <c r="V833" s="15" t="n"/>
      <c r="W833" s="15" t="n"/>
      <c r="X833" s="15" t="n"/>
      <c r="Y833" s="15" t="n"/>
      <c r="Z833" s="15" t="n"/>
      <c r="AA833" s="15" t="n"/>
      <c r="AB833" s="15" t="n"/>
    </row>
    <row r="834" ht="15" customHeight="1" s="12">
      <c r="A834" s="14" t="n">
        <v>833</v>
      </c>
      <c r="B834" s="16" t="n">
        <v>44670</v>
      </c>
      <c r="C834" s="15" t="n">
        <v>2022</v>
      </c>
      <c r="D834" s="15" t="inlineStr">
        <is>
          <t>Prasol Chemicals Limited</t>
        </is>
      </c>
      <c r="E834" s="15" t="inlineStr">
        <is>
          <t>DRHP</t>
        </is>
      </c>
      <c r="F834" s="15" t="inlineStr">
        <is>
          <t>Prasol Chemicals Limited DRHP</t>
        </is>
      </c>
      <c r="G834" s="15" t="inlineStr">
        <is>
          <t>No launched IPO found</t>
        </is>
      </c>
      <c r="H834" s="15" t="n"/>
      <c r="I834" s="16" t="n"/>
      <c r="J834" s="16" t="n"/>
      <c r="K834" s="16" t="n"/>
      <c r="L834" s="17" t="n"/>
      <c r="M834" s="17" t="n"/>
      <c r="N834" s="17" t="n"/>
      <c r="O834" s="15" t="n"/>
      <c r="P834" s="15" t="n"/>
      <c r="Q834" s="18" t="inlineStr">
        <is>
          <t>https://www.sebi.gov.in/sebi_data/attachdocs/apr-2022/1650361305479.PDF</t>
        </is>
      </c>
      <c r="R834" s="18" t="inlineStr">
        <is>
          <t>https://www.sebi.gov.in/filings/public-issues/apr-2022/prasol-chemicals-limited-drhp_58196.html</t>
        </is>
      </c>
      <c r="S834" s="15" t="n"/>
      <c r="T834" s="15" t="n"/>
      <c r="U834" s="15" t="n"/>
      <c r="V834" s="15" t="inlineStr">
        <is>
          <t>Same-name IPO opened 08-Sep-2026 — outside 2 years of this filing, so not linked</t>
        </is>
      </c>
      <c r="W834" s="25" t="n">
        <v>46273</v>
      </c>
      <c r="X834" s="25" t="n">
        <v>46275</v>
      </c>
      <c r="Y834" s="25" t="n">
        <v>46281</v>
      </c>
      <c r="Z834" s="26" t="inlineStr">
        <is>
          <t>Later IPO — not from this draft</t>
        </is>
      </c>
      <c r="AA834" s="15" t="inlineStr">
        <is>
          <t>Opened more than 3 years after last_filed (2022-04-19).</t>
        </is>
      </c>
      <c r="AB834" s="18" t="inlineStr">
        <is>
          <t>https://www.chittorgarh.com/ipo/prasol-chemicals-ipo/2775/</t>
        </is>
      </c>
    </row>
    <row r="835" ht="15" customHeight="1" s="12">
      <c r="A835" s="14" t="n">
        <v>834</v>
      </c>
      <c r="B835" s="16" t="n">
        <v>44669</v>
      </c>
      <c r="C835" s="15" t="n">
        <v>2022</v>
      </c>
      <c r="D835" s="15" t="inlineStr">
        <is>
          <t>Kaynes Technology India Limited</t>
        </is>
      </c>
      <c r="E835" s="15" t="inlineStr">
        <is>
          <t>DRHP</t>
        </is>
      </c>
      <c r="F835" s="15" t="inlineStr">
        <is>
          <t>Kaynes Technology India Limited DRHP</t>
        </is>
      </c>
      <c r="G835" s="15" t="inlineStr">
        <is>
          <t>IPO launched</t>
        </is>
      </c>
      <c r="H835" s="15" t="inlineStr">
        <is>
          <t>Mainboard</t>
        </is>
      </c>
      <c r="I835" s="16" t="n">
        <v>44875</v>
      </c>
      <c r="J835" s="16" t="n">
        <v>44879</v>
      </c>
      <c r="K835" s="16" t="n">
        <v>44887</v>
      </c>
      <c r="L835" s="17" t="n">
        <v>857.8200000000001</v>
      </c>
      <c r="M835" s="17" t="n">
        <v>857.8200000000001</v>
      </c>
      <c r="N835" s="17" t="n">
        <v>0</v>
      </c>
      <c r="O835" s="15" t="inlineStr">
        <is>
          <t>Final issue (ipoplatform)</t>
        </is>
      </c>
      <c r="P835" s="15" t="n"/>
      <c r="Q835" s="18" t="inlineStr">
        <is>
          <t>https://www.sebi.gov.in/sebi_data/attachdocs/apr-2022/1650279468468.PDF</t>
        </is>
      </c>
      <c r="R835" s="18" t="inlineStr">
        <is>
          <t>https://www.sebi.gov.in/filings/public-issues/apr-2022/kaynes-technology-india-limited-drhp_58131.html</t>
        </is>
      </c>
      <c r="S835" s="15" t="n"/>
      <c r="T835" s="15" t="inlineStr">
        <is>
          <t>SEBI filing link</t>
        </is>
      </c>
      <c r="U835" s="15" t="inlineStr">
        <is>
          <t>Kaynes Technology India Ltd</t>
        </is>
      </c>
      <c r="V835" s="15" t="n"/>
      <c r="W835" s="15" t="n"/>
      <c r="X835" s="15" t="n"/>
      <c r="Y835" s="15" t="n"/>
      <c r="Z835" s="15" t="n"/>
      <c r="AA835" s="15" t="n"/>
      <c r="AB835" s="15" t="n"/>
    </row>
    <row r="836" ht="15" customHeight="1" s="12">
      <c r="A836" s="14" t="n">
        <v>835</v>
      </c>
      <c r="B836" s="16" t="n">
        <v>44669</v>
      </c>
      <c r="C836" s="15" t="n">
        <v>2022</v>
      </c>
      <c r="D836" s="15" t="inlineStr">
        <is>
          <t>Senco Gold Limited</t>
        </is>
      </c>
      <c r="E836" s="15" t="inlineStr">
        <is>
          <t>DRHP</t>
        </is>
      </c>
      <c r="F836" s="15" t="inlineStr">
        <is>
          <t>Senco Gold Limited DRHP</t>
        </is>
      </c>
      <c r="G836" s="15" t="inlineStr">
        <is>
          <t>IPO launched</t>
        </is>
      </c>
      <c r="H836" s="15" t="inlineStr">
        <is>
          <t>Mainboard</t>
        </is>
      </c>
      <c r="I836" s="16" t="n">
        <v>45111</v>
      </c>
      <c r="J836" s="16" t="n">
        <v>45113</v>
      </c>
      <c r="K836" s="16" t="n">
        <v>45121</v>
      </c>
      <c r="L836" s="17" t="n">
        <v>405</v>
      </c>
      <c r="M836" s="17" t="n">
        <v>270</v>
      </c>
      <c r="N836" s="17" t="n">
        <v>135</v>
      </c>
      <c r="O836" s="15" t="inlineStr">
        <is>
          <t>Final issue (ipoplatform)</t>
        </is>
      </c>
      <c r="P836" s="15" t="n"/>
      <c r="Q836" s="18" t="inlineStr">
        <is>
          <t>https://www.sebi.gov.in/sebi_data/attachdocs/apr-2022/1650272025516.pdf</t>
        </is>
      </c>
      <c r="R836" s="18" t="inlineStr">
        <is>
          <t>https://www.sebi.gov.in/filings/public-issues/apr-2022/senco-gold-limited-drhp_58130.html</t>
        </is>
      </c>
      <c r="S836" s="15" t="n"/>
      <c r="T836" s="15" t="inlineStr">
        <is>
          <t>SEBI filing link</t>
        </is>
      </c>
      <c r="U836" s="15" t="inlineStr">
        <is>
          <t>Senco Gold Limited</t>
        </is>
      </c>
      <c r="V836" s="15" t="n"/>
      <c r="W836" s="15" t="n"/>
      <c r="X836" s="15" t="n"/>
      <c r="Y836" s="15" t="n"/>
      <c r="Z836" s="15" t="n"/>
      <c r="AA836" s="15" t="n"/>
      <c r="AB836" s="15" t="n"/>
    </row>
    <row r="837" ht="15" customHeight="1" s="12">
      <c r="A837" s="14" t="n">
        <v>836</v>
      </c>
      <c r="B837" s="16" t="n">
        <v>44663</v>
      </c>
      <c r="C837" s="15" t="n">
        <v>2022</v>
      </c>
      <c r="D837" s="15" t="inlineStr">
        <is>
          <t>BIBA Fashion Limited</t>
        </is>
      </c>
      <c r="E837" s="15" t="inlineStr">
        <is>
          <t>DRHP</t>
        </is>
      </c>
      <c r="F837" s="15" t="inlineStr">
        <is>
          <t>BIBA Fashion Limited - DRHP</t>
        </is>
      </c>
      <c r="G837" s="15" t="inlineStr">
        <is>
          <t>No launched IPO found</t>
        </is>
      </c>
      <c r="H837" s="15" t="n"/>
      <c r="I837" s="16" t="n"/>
      <c r="J837" s="16" t="n"/>
      <c r="K837" s="16" t="n"/>
      <c r="L837" s="17" t="n"/>
      <c r="M837" s="17" t="n"/>
      <c r="N837" s="17" t="n"/>
      <c r="O837" s="15" t="n"/>
      <c r="P837" s="15" t="n"/>
      <c r="Q837" s="18" t="inlineStr">
        <is>
          <t>https://www.sebi.gov.in/sebi_data/attachdocs/apr-2022/1649740255603.pdf</t>
        </is>
      </c>
      <c r="R837" s="18" t="inlineStr">
        <is>
          <t>https://www.sebi.gov.in/filings/public-issues/apr-2022/biba-fashion-limited-drhp_57967.html</t>
        </is>
      </c>
      <c r="S837" s="15" t="n"/>
      <c r="T837" s="15" t="n"/>
      <c r="U837" s="15" t="n"/>
      <c r="V837" s="15" t="n"/>
      <c r="W837" s="16" t="n"/>
      <c r="X837" s="16" t="n"/>
      <c r="Y837" s="16" t="n"/>
      <c r="Z837" s="15" t="inlineStr">
        <is>
          <t>No issue found</t>
        </is>
      </c>
      <c r="AA837" s="15" t="inlineStr">
        <is>
          <t>Search summary claimed May 2022 IPO, unverified and implausible; no confirmed issue.</t>
        </is>
      </c>
      <c r="AB837" s="15" t="n"/>
    </row>
    <row r="838" ht="15" customHeight="1" s="12">
      <c r="A838" s="14" t="n">
        <v>837</v>
      </c>
      <c r="B838" s="16" t="n">
        <v>44662</v>
      </c>
      <c r="C838" s="15" t="n">
        <v>2022</v>
      </c>
      <c r="D838" s="15" t="inlineStr">
        <is>
          <t>Gold Plus Glass Industry Limited</t>
        </is>
      </c>
      <c r="E838" s="15" t="inlineStr">
        <is>
          <t>DRHP</t>
        </is>
      </c>
      <c r="F838" s="15" t="inlineStr">
        <is>
          <t>Gold Plus Glass Industry Limited DRHP</t>
        </is>
      </c>
      <c r="G838" s="15" t="inlineStr">
        <is>
          <t>No launched IPO found</t>
        </is>
      </c>
      <c r="H838" s="15" t="n"/>
      <c r="I838" s="16" t="n"/>
      <c r="J838" s="16" t="n"/>
      <c r="K838" s="16" t="n"/>
      <c r="L838" s="17" t="n"/>
      <c r="M838" s="17" t="n"/>
      <c r="N838" s="17" t="n"/>
      <c r="O838" s="15" t="n"/>
      <c r="P838" s="15" t="n"/>
      <c r="Q838" s="18" t="inlineStr">
        <is>
          <t>https://www.sebi.gov.in/sebi_data/attachdocs/apr-2022/1649669575753.pdf</t>
        </is>
      </c>
      <c r="R838" s="18" t="inlineStr">
        <is>
          <t>https://www.sebi.gov.in/filings/public-issues/apr-2022/gold-plus-glass-industry-limited-drhp_57911.html</t>
        </is>
      </c>
      <c r="S838" s="15" t="n"/>
      <c r="T838" s="15" t="n"/>
      <c r="U838" s="15" t="n"/>
      <c r="V838" s="15" t="n"/>
      <c r="W838" s="16" t="n"/>
      <c r="X838" s="16" t="n"/>
      <c r="Y838" s="16" t="n"/>
      <c r="Z838" s="15" t="inlineStr">
        <is>
          <t>Withdrawn / approval lapsed</t>
        </is>
      </c>
      <c r="AA838" s="15" t="inlineStr">
        <is>
          <t>SEBI approval expired 2025-07-01 without an issue.</t>
        </is>
      </c>
      <c r="AB838" s="18" t="inlineStr">
        <is>
          <t>https://www.chittorgarh.com/ipo/gold-plus-glass-industry-ipo/2458/</t>
        </is>
      </c>
    </row>
    <row r="839" ht="15" customHeight="1" s="12">
      <c r="A839" s="14" t="n">
        <v>838</v>
      </c>
      <c r="B839" s="16" t="n">
        <v>44657</v>
      </c>
      <c r="C839" s="15" t="n">
        <v>2022</v>
      </c>
      <c r="D839" s="15" t="inlineStr">
        <is>
          <t>Aadhar Housing Finance Limited</t>
        </is>
      </c>
      <c r="E839" s="15" t="inlineStr">
        <is>
          <t>Addendum</t>
        </is>
      </c>
      <c r="F839" s="15" t="inlineStr">
        <is>
          <t>Aadhar Housing Finance Limited - Addendum</t>
        </is>
      </c>
      <c r="G839" s="15" t="inlineStr">
        <is>
          <t>No launched IPO found</t>
        </is>
      </c>
      <c r="H839" s="15" t="n"/>
      <c r="I839" s="16" t="n"/>
      <c r="J839" s="16" t="n"/>
      <c r="K839" s="16" t="n"/>
      <c r="L839" s="17" t="n"/>
      <c r="M839" s="17" t="n"/>
      <c r="N839" s="17" t="n"/>
      <c r="O839" s="15" t="n"/>
      <c r="P839" s="15" t="n"/>
      <c r="Q839" s="18" t="inlineStr">
        <is>
          <t>https://www.sebi.gov.in/sebi_data/attachdocs/apr-2022/1649222063715.pdf</t>
        </is>
      </c>
      <c r="R839" s="18" t="inlineStr">
        <is>
          <t>https://www.sebi.gov.in/filings/public-issues/apr-2022/aadhar-housing-finance-limited-addendum_57639.html</t>
        </is>
      </c>
      <c r="S839" s="15" t="n"/>
      <c r="T839" s="15" t="n"/>
      <c r="U839" s="15" t="n"/>
      <c r="V839" s="15" t="inlineStr">
        <is>
          <t>Same-name IPO opened 08-May-2024 — outside 2 years of this filing, so not linked</t>
        </is>
      </c>
      <c r="W839" s="19" t="n">
        <v>45420</v>
      </c>
      <c r="X839" s="19" t="n">
        <v>45422</v>
      </c>
      <c r="Y839" s="19" t="n">
        <v>45427</v>
      </c>
      <c r="Z839" s="20" t="inlineStr">
        <is>
          <t>Issue opened</t>
        </is>
      </c>
      <c r="AA839" s="15" t="inlineStr">
        <is>
          <t>Matched on chittorgarh.com</t>
        </is>
      </c>
      <c r="AB839" s="18" t="inlineStr">
        <is>
          <t>https://www.chittorgarh.com/ipo/aadhar-housing-finance-ipo/1717/</t>
        </is>
      </c>
    </row>
    <row r="840" ht="15" customHeight="1" s="12">
      <c r="A840" s="14" t="n">
        <v>839</v>
      </c>
      <c r="B840" s="16" t="n">
        <v>44656</v>
      </c>
      <c r="C840" s="15" t="n">
        <v>2022</v>
      </c>
      <c r="D840" s="15" t="inlineStr">
        <is>
          <t>DCX Systems Limited</t>
        </is>
      </c>
      <c r="E840" s="15" t="inlineStr">
        <is>
          <t>DRHP</t>
        </is>
      </c>
      <c r="F840" s="15" t="inlineStr">
        <is>
          <t>DCX Systems Limited</t>
        </is>
      </c>
      <c r="G840" s="15" t="inlineStr">
        <is>
          <t>IPO launched</t>
        </is>
      </c>
      <c r="H840" s="15" t="inlineStr">
        <is>
          <t>Mainboard</t>
        </is>
      </c>
      <c r="I840" s="16" t="n">
        <v>44865</v>
      </c>
      <c r="J840" s="16" t="n">
        <v>44867</v>
      </c>
      <c r="K840" s="16" t="n">
        <v>44876</v>
      </c>
      <c r="L840" s="17" t="n">
        <v>500</v>
      </c>
      <c r="M840" s="17" t="n">
        <v>400</v>
      </c>
      <c r="N840" s="17" t="n">
        <v>100</v>
      </c>
      <c r="O840" s="15" t="inlineStr">
        <is>
          <t>Final issue (ipoplatform)</t>
        </is>
      </c>
      <c r="P840" s="15" t="n"/>
      <c r="Q840" s="18" t="inlineStr">
        <is>
          <t>https://www.sebi.gov.in/sebi_data/attachdocs/apr-2022/1649217556348.pdf</t>
        </is>
      </c>
      <c r="R840" s="18" t="inlineStr">
        <is>
          <t>https://www.sebi.gov.in/filings/public-issues/apr-2022/dcx-systems-limited_57631.html</t>
        </is>
      </c>
      <c r="S840" s="15" t="n"/>
      <c r="T840" s="15" t="inlineStr">
        <is>
          <t>Company name + date window</t>
        </is>
      </c>
      <c r="U840" s="15" t="inlineStr">
        <is>
          <t>DCX Systems Limited</t>
        </is>
      </c>
      <c r="V840" s="15" t="n"/>
      <c r="W840" s="15" t="n"/>
      <c r="X840" s="15" t="n"/>
      <c r="Y840" s="15" t="n"/>
      <c r="Z840" s="15" t="n"/>
      <c r="AA840" s="15" t="n"/>
      <c r="AB840" s="15" t="n"/>
    </row>
    <row r="841" ht="15" customHeight="1" s="12">
      <c r="A841" s="14" t="n">
        <v>840</v>
      </c>
      <c r="B841" s="16" t="n">
        <v>44656</v>
      </c>
      <c r="C841" s="15" t="n">
        <v>2022</v>
      </c>
      <c r="D841" s="15" t="inlineStr">
        <is>
          <t>Yatharth Hospital &amp; Trauma Care Services Limited</t>
        </is>
      </c>
      <c r="E841" s="15" t="inlineStr">
        <is>
          <t>DRHP</t>
        </is>
      </c>
      <c r="F841" s="15" t="inlineStr">
        <is>
          <t>Yatharth Hospital &amp; Trauma Care Services Limited</t>
        </is>
      </c>
      <c r="G841" s="15" t="inlineStr">
        <is>
          <t>IPO launched</t>
        </is>
      </c>
      <c r="H841" s="15" t="inlineStr">
        <is>
          <t>Mainboard</t>
        </is>
      </c>
      <c r="I841" s="16" t="n">
        <v>45133</v>
      </c>
      <c r="J841" s="16" t="n">
        <v>45135</v>
      </c>
      <c r="K841" s="16" t="n">
        <v>45145</v>
      </c>
      <c r="L841" s="17" t="n">
        <v>686.55</v>
      </c>
      <c r="M841" s="17" t="n">
        <v>490</v>
      </c>
      <c r="N841" s="17" t="n">
        <v>196.55</v>
      </c>
      <c r="O841" s="15" t="inlineStr">
        <is>
          <t>Final issue (ipoplatform)</t>
        </is>
      </c>
      <c r="P841" s="15" t="n"/>
      <c r="Q841" s="18" t="inlineStr">
        <is>
          <t>https://www.sebi.gov.in/sebi_data/attachdocs/apr-2022/1649149837349.pdf</t>
        </is>
      </c>
      <c r="R841" s="18" t="inlineStr">
        <is>
          <t>https://www.sebi.gov.in/filings/public-issues/apr-2022/yatharth-hospital-and-trauma-care-services-limited_57585.html</t>
        </is>
      </c>
      <c r="S841" s="15" t="n"/>
      <c r="T841" s="15" t="inlineStr">
        <is>
          <t>SEBI filing link</t>
        </is>
      </c>
      <c r="U841" s="15" t="inlineStr">
        <is>
          <t>Yatharth Hospital and Trauma Care Services Limited</t>
        </is>
      </c>
      <c r="V841" s="15" t="n"/>
      <c r="W841" s="15" t="n"/>
      <c r="X841" s="15" t="n"/>
      <c r="Y841" s="15" t="n"/>
      <c r="Z841" s="15" t="n"/>
      <c r="AA841" s="15" t="n"/>
      <c r="AB841" s="15" t="n"/>
    </row>
    <row r="842" ht="15" customHeight="1" s="12">
      <c r="A842" s="14" t="n">
        <v>841</v>
      </c>
      <c r="B842" s="16" t="n">
        <v>44655</v>
      </c>
      <c r="C842" s="15" t="n">
        <v>2022</v>
      </c>
      <c r="D842" s="15" t="inlineStr">
        <is>
          <t>KFin Technologies Limited</t>
        </is>
      </c>
      <c r="E842" s="15" t="inlineStr">
        <is>
          <t>DRHP</t>
        </is>
      </c>
      <c r="F842" s="15" t="inlineStr">
        <is>
          <t>KFin Technologies Limited</t>
        </is>
      </c>
      <c r="G842" s="15" t="inlineStr">
        <is>
          <t>IPO launched</t>
        </is>
      </c>
      <c r="H842" s="15" t="inlineStr">
        <is>
          <t>Mainboard</t>
        </is>
      </c>
      <c r="I842" s="16" t="n">
        <v>44914</v>
      </c>
      <c r="J842" s="16" t="n">
        <v>44916</v>
      </c>
      <c r="K842" s="16" t="n">
        <v>44924</v>
      </c>
      <c r="L842" s="17" t="n">
        <v>1500</v>
      </c>
      <c r="M842" s="17" t="n">
        <v>1500</v>
      </c>
      <c r="N842" s="17" t="n">
        <v>0</v>
      </c>
      <c r="O842" s="15" t="inlineStr">
        <is>
          <t>Final issue (ipoplatform)</t>
        </is>
      </c>
      <c r="P842" s="15" t="n"/>
      <c r="Q842" s="18" t="inlineStr">
        <is>
          <t>https://www.sebi.gov.in/sebi_data/attachdocs/apr-2022/1649061896992.PDF</t>
        </is>
      </c>
      <c r="R842" s="18" t="inlineStr">
        <is>
          <t>https://www.sebi.gov.in/filings/public-issues/apr-2022/kfin-technologies-limited_57539.html</t>
        </is>
      </c>
      <c r="S842" s="15" t="n"/>
      <c r="T842" s="15" t="inlineStr">
        <is>
          <t>SEBI filing link</t>
        </is>
      </c>
      <c r="U842" s="15" t="inlineStr">
        <is>
          <t>KFin Technologies Limited</t>
        </is>
      </c>
      <c r="V842" s="15" t="n"/>
      <c r="W842" s="15" t="n"/>
      <c r="X842" s="15" t="n"/>
      <c r="Y842" s="15" t="n"/>
      <c r="Z842" s="15" t="n"/>
      <c r="AA842" s="15" t="n"/>
      <c r="AB842" s="15" t="n"/>
    </row>
    <row r="843" ht="15" customHeight="1" s="12">
      <c r="A843" s="14" t="n">
        <v>842</v>
      </c>
      <c r="B843" s="16" t="n">
        <v>44650</v>
      </c>
      <c r="C843" s="15" t="n">
        <v>2022</v>
      </c>
      <c r="D843" s="15" t="inlineStr">
        <is>
          <t>Hemani Industries Limited</t>
        </is>
      </c>
      <c r="E843" s="15" t="inlineStr">
        <is>
          <t>DRHP</t>
        </is>
      </c>
      <c r="F843" s="15" t="inlineStr">
        <is>
          <t>Hemani Industries Limited</t>
        </is>
      </c>
      <c r="G843" s="15" t="inlineStr">
        <is>
          <t>No launched IPO found</t>
        </is>
      </c>
      <c r="H843" s="15" t="n"/>
      <c r="I843" s="16" t="n"/>
      <c r="J843" s="16" t="n"/>
      <c r="K843" s="16" t="n"/>
      <c r="L843" s="17" t="n"/>
      <c r="M843" s="17" t="n"/>
      <c r="N843" s="17" t="n"/>
      <c r="O843" s="15" t="n"/>
      <c r="P843" s="15" t="n"/>
      <c r="Q843" s="18" t="inlineStr">
        <is>
          <t>https://www.sebi.gov.in/sebi_data/attachdocs/mar-2022/1648632326825.pdf</t>
        </is>
      </c>
      <c r="R843" s="18" t="inlineStr">
        <is>
          <t>https://www.sebi.gov.in/filings/public-issues/mar-2022/hemani-industries-limited_57349.html</t>
        </is>
      </c>
      <c r="S843" s="15" t="n"/>
      <c r="T843" s="15" t="n"/>
      <c r="U843" s="15" t="n"/>
      <c r="V843" s="15" t="n"/>
      <c r="W843" s="16" t="n"/>
      <c r="X843" s="16" t="n"/>
      <c r="Y843" s="16" t="n"/>
      <c r="Z843" s="15" t="inlineStr">
        <is>
          <t>No issue found</t>
        </is>
      </c>
      <c r="AA843" s="15" t="inlineStr">
        <is>
          <t>2022 DRHP SEBI-approved; broker pages show dates TBA, no issue opened found.</t>
        </is>
      </c>
      <c r="AB843" s="18" t="inlineStr">
        <is>
          <t>https://www.angelone.in/ipo/hemani-industries-ipo</t>
        </is>
      </c>
    </row>
    <row r="844" ht="15" customHeight="1" s="12">
      <c r="A844" s="14" t="n">
        <v>843</v>
      </c>
      <c r="B844" s="16" t="n">
        <v>44649</v>
      </c>
      <c r="C844" s="15" t="n">
        <v>2022</v>
      </c>
      <c r="D844" s="15" t="inlineStr">
        <is>
          <t>Gujarat Polysol Chemicals Limited</t>
        </is>
      </c>
      <c r="E844" s="15" t="inlineStr">
        <is>
          <t>DRHP</t>
        </is>
      </c>
      <c r="F844" s="15" t="inlineStr">
        <is>
          <t>Gujarat Polysol Chemicals Limited</t>
        </is>
      </c>
      <c r="G844" s="15" t="inlineStr">
        <is>
          <t>No launched IPO found</t>
        </is>
      </c>
      <c r="H844" s="15" t="n"/>
      <c r="I844" s="16" t="n"/>
      <c r="J844" s="16" t="n"/>
      <c r="K844" s="16" t="n"/>
      <c r="L844" s="17" t="n"/>
      <c r="M844" s="17" t="n"/>
      <c r="N844" s="17" t="n"/>
      <c r="O844" s="15" t="n"/>
      <c r="P844" s="15" t="n"/>
      <c r="Q844" s="18" t="inlineStr">
        <is>
          <t>https://www.sebi.gov.in/sebi_data/attachdocs/mar-2022/1648550617486.pdf</t>
        </is>
      </c>
      <c r="R844" s="18" t="inlineStr">
        <is>
          <t>https://www.sebi.gov.in/filings/public-issues/mar-2022/gujarat-polysol-chemicals-limited_57298.html</t>
        </is>
      </c>
      <c r="S844" s="15" t="n"/>
      <c r="T844" s="15" t="n"/>
      <c r="U844" s="15" t="n"/>
      <c r="V844" s="15" t="n"/>
      <c r="W844" s="16" t="n"/>
      <c r="X844" s="16" t="n"/>
      <c r="Y844" s="16" t="n"/>
      <c r="Z844" s="15" t="inlineStr">
        <is>
          <t>No issue found</t>
        </is>
      </c>
      <c r="AA844" s="15" t="inlineStr">
        <is>
          <t>SEBI nod July 2022; issue date never announced.</t>
        </is>
      </c>
      <c r="AB844" s="18" t="inlineStr">
        <is>
          <t>https://www.5paisa.com/ipo/gujarat-polysol-chemicals-ipo</t>
        </is>
      </c>
    </row>
    <row r="845" ht="15" customHeight="1" s="12">
      <c r="A845" s="14" t="n">
        <v>844</v>
      </c>
      <c r="B845" s="16" t="n">
        <v>44648</v>
      </c>
      <c r="C845" s="15" t="n">
        <v>2022</v>
      </c>
      <c r="D845" s="15" t="inlineStr">
        <is>
          <t>Joyalukkas India Limited</t>
        </is>
      </c>
      <c r="E845" s="15" t="inlineStr">
        <is>
          <t>DRHP</t>
        </is>
      </c>
      <c r="F845" s="15" t="inlineStr">
        <is>
          <t>Joyalukkas India Limited</t>
        </is>
      </c>
      <c r="G845" s="15" t="inlineStr">
        <is>
          <t>No launched IPO found</t>
        </is>
      </c>
      <c r="H845" s="15" t="n"/>
      <c r="I845" s="16" t="n"/>
      <c r="J845" s="16" t="n"/>
      <c r="K845" s="16" t="n"/>
      <c r="L845" s="17" t="n"/>
      <c r="M845" s="17" t="n"/>
      <c r="N845" s="17" t="n"/>
      <c r="O845" s="15" t="n"/>
      <c r="P845" s="15" t="n"/>
      <c r="Q845" s="18" t="inlineStr">
        <is>
          <t>https://www.sebi.gov.in/sebi_data/attachdocs/mar-2022/1648451411816.pdf</t>
        </is>
      </c>
      <c r="R845" s="18" t="inlineStr">
        <is>
          <t>https://www.sebi.gov.in/filings/public-issues/mar-2022/joyalukkas-india-limited_57219.html</t>
        </is>
      </c>
      <c r="S845" s="15" t="n"/>
      <c r="T845" s="15" t="n"/>
      <c r="U845" s="15" t="n"/>
      <c r="V845" s="15" t="n"/>
      <c r="W845" s="16" t="n"/>
      <c r="X845" s="16" t="n"/>
      <c r="Y845" s="16" t="n"/>
      <c r="Z845" s="15" t="inlineStr">
        <is>
          <t>No issue found</t>
        </is>
      </c>
      <c r="AA845" s="15" t="inlineStr">
        <is>
          <t>Business Standard lists the company but shows no issue dates; web search limit reached</t>
        </is>
      </c>
      <c r="AB845" s="18" t="inlineStr">
        <is>
          <t>https://www.business-standard.com/markets/ipo/joyalukkas-india-ltd-ipo-37998</t>
        </is>
      </c>
    </row>
    <row r="846" ht="15" customHeight="1" s="12">
      <c r="A846" s="14" t="n">
        <v>845</v>
      </c>
      <c r="B846" s="16" t="n">
        <v>44648</v>
      </c>
      <c r="C846" s="15" t="n">
        <v>2022</v>
      </c>
      <c r="D846" s="15" t="inlineStr">
        <is>
          <t>Yatra Online Limited</t>
        </is>
      </c>
      <c r="E846" s="15" t="inlineStr">
        <is>
          <t>DRHP</t>
        </is>
      </c>
      <c r="F846" s="15" t="inlineStr">
        <is>
          <t>Yatra Online Limited</t>
        </is>
      </c>
      <c r="G846" s="15" t="inlineStr">
        <is>
          <t>IPO launched</t>
        </is>
      </c>
      <c r="H846" s="15" t="inlineStr">
        <is>
          <t>Mainboard</t>
        </is>
      </c>
      <c r="I846" s="16" t="n">
        <v>45184</v>
      </c>
      <c r="J846" s="16" t="n">
        <v>45189</v>
      </c>
      <c r="K846" s="16" t="n">
        <v>45197</v>
      </c>
      <c r="L846" s="17" t="n">
        <v>775</v>
      </c>
      <c r="M846" s="17" t="n">
        <v>602</v>
      </c>
      <c r="N846" s="17" t="n">
        <v>173</v>
      </c>
      <c r="O846" s="15" t="inlineStr">
        <is>
          <t>Final issue (ipoplatform)</t>
        </is>
      </c>
      <c r="P846" s="15" t="n"/>
      <c r="Q846" s="18" t="inlineStr">
        <is>
          <t>https://www.sebi.gov.in/sebi_data/attachdocs/mar-2022/1648451219761.pdf</t>
        </is>
      </c>
      <c r="R846" s="18" t="inlineStr">
        <is>
          <t>https://www.sebi.gov.in/filings/public-issues/mar-2022/yatra-online-limited_57218.html</t>
        </is>
      </c>
      <c r="S846" s="15" t="n"/>
      <c r="T846" s="15" t="inlineStr">
        <is>
          <t>SEBI filing link</t>
        </is>
      </c>
      <c r="U846" s="15" t="inlineStr">
        <is>
          <t>Yatra Online Limited</t>
        </is>
      </c>
      <c r="V846" s="15" t="n"/>
      <c r="W846" s="15" t="n"/>
      <c r="X846" s="15" t="n"/>
      <c r="Y846" s="15" t="n"/>
      <c r="Z846" s="15" t="n"/>
      <c r="AA846" s="15" t="n"/>
      <c r="AB846" s="15" t="n"/>
    </row>
    <row r="847" ht="15" customHeight="1" s="12">
      <c r="A847" s="14" t="n">
        <v>846</v>
      </c>
      <c r="B847" s="16" t="n">
        <v>44648</v>
      </c>
      <c r="C847" s="15" t="n">
        <v>2022</v>
      </c>
      <c r="D847" s="15" t="inlineStr">
        <is>
          <t>HMA Agro Industries Limited</t>
        </is>
      </c>
      <c r="E847" s="15" t="inlineStr">
        <is>
          <t>DRHP</t>
        </is>
      </c>
      <c r="F847" s="15" t="inlineStr">
        <is>
          <t>HMA Agro Industries Limited</t>
        </is>
      </c>
      <c r="G847" s="15" t="inlineStr">
        <is>
          <t>IPO launched</t>
        </is>
      </c>
      <c r="H847" s="15" t="inlineStr">
        <is>
          <t>Mainboard</t>
        </is>
      </c>
      <c r="I847" s="16" t="n">
        <v>45097</v>
      </c>
      <c r="J847" s="16" t="n">
        <v>45100</v>
      </c>
      <c r="K847" s="16" t="n">
        <v>45111</v>
      </c>
      <c r="L847" s="17" t="n">
        <v>480</v>
      </c>
      <c r="M847" s="17" t="n">
        <v>150</v>
      </c>
      <c r="N847" s="17" t="n">
        <v>330</v>
      </c>
      <c r="O847" s="15" t="inlineStr">
        <is>
          <t>Final issue (ipoplatform)</t>
        </is>
      </c>
      <c r="P847" s="15" t="n"/>
      <c r="Q847" s="18" t="inlineStr">
        <is>
          <t>https://www.sebi.gov.in/sebi_data/attachdocs/mar-2022/1648442915512.pdf</t>
        </is>
      </c>
      <c r="R847" s="18" t="inlineStr">
        <is>
          <t>https://www.sebi.gov.in/filings/public-issues/mar-2022/hma-agro-industries-limited_57195.html</t>
        </is>
      </c>
      <c r="S847" s="15" t="n"/>
      <c r="T847" s="15" t="inlineStr">
        <is>
          <t>SEBI filing link</t>
        </is>
      </c>
      <c r="U847" s="15" t="inlineStr">
        <is>
          <t>HMA Agro Industries Limited</t>
        </is>
      </c>
      <c r="V847" s="15" t="n"/>
      <c r="W847" s="15" t="n"/>
      <c r="X847" s="15" t="n"/>
      <c r="Y847" s="15" t="n"/>
      <c r="Z847" s="15" t="n"/>
      <c r="AA847" s="15" t="n"/>
      <c r="AB847" s="15" t="n"/>
    </row>
    <row r="848" ht="15" customHeight="1" s="12">
      <c r="A848" s="14" t="n">
        <v>847</v>
      </c>
      <c r="B848" s="16" t="n">
        <v>44644</v>
      </c>
      <c r="C848" s="15" t="n">
        <v>2022</v>
      </c>
      <c r="D848" s="15" t="inlineStr">
        <is>
          <t>Vikram Solar Limited</t>
        </is>
      </c>
      <c r="E848" s="15" t="inlineStr">
        <is>
          <t>DRHP</t>
        </is>
      </c>
      <c r="F848" s="15" t="inlineStr">
        <is>
          <t>Vikram Solar Limited - DRHP</t>
        </is>
      </c>
      <c r="G848" s="15" t="inlineStr">
        <is>
          <t>No launched IPO found</t>
        </is>
      </c>
      <c r="H848" s="15" t="n"/>
      <c r="I848" s="16" t="n"/>
      <c r="J848" s="16" t="n"/>
      <c r="K848" s="16" t="n"/>
      <c r="L848" s="17" t="n"/>
      <c r="M848" s="17" t="n"/>
      <c r="N848" s="17" t="n"/>
      <c r="O848" s="15" t="n"/>
      <c r="P848" s="15" t="n"/>
      <c r="Q848" s="18" t="inlineStr">
        <is>
          <t>https://www.sebi.gov.in/sebi_data/attachdocs/mar-2022/1648118634631.pdf</t>
        </is>
      </c>
      <c r="R848" s="18" t="inlineStr">
        <is>
          <t>https://www.sebi.gov.in/filings/public-issues/mar-2022/vikram-solar-limited-drhp_57110.html</t>
        </is>
      </c>
      <c r="S848" s="15" t="n"/>
      <c r="T848" s="15" t="n"/>
      <c r="U848" s="15" t="n"/>
      <c r="V848" s="15" t="inlineStr">
        <is>
          <t>Same-name IPO opened 19-Aug-2025 — outside 2 years of this filing, so not linked</t>
        </is>
      </c>
      <c r="W848" s="25" t="n">
        <v>45888</v>
      </c>
      <c r="X848" s="25" t="n">
        <v>45890</v>
      </c>
      <c r="Y848" s="25" t="n">
        <v>45895</v>
      </c>
      <c r="Z848" s="26" t="inlineStr">
        <is>
          <t>Later IPO — not from this draft</t>
        </is>
      </c>
      <c r="AA848" s="15" t="inlineStr">
        <is>
          <t>Opened more than 3 years after last_filed (2022-03-24).</t>
        </is>
      </c>
      <c r="AB848" s="18" t="inlineStr">
        <is>
          <t>https://www.chittorgarh.com/ipo/vikram-solar-ipo/2152/</t>
        </is>
      </c>
    </row>
    <row r="849" ht="15" customHeight="1" s="12">
      <c r="A849" s="14" t="n">
        <v>848</v>
      </c>
      <c r="B849" s="16" t="n">
        <v>44644</v>
      </c>
      <c r="C849" s="15" t="n">
        <v>2022</v>
      </c>
      <c r="D849" s="15" t="inlineStr">
        <is>
          <t>PKH Ventures Limited</t>
        </is>
      </c>
      <c r="E849" s="15" t="inlineStr">
        <is>
          <t>DRHP</t>
        </is>
      </c>
      <c r="F849" s="15" t="inlineStr">
        <is>
          <t>PKH Ventures Limited</t>
        </is>
      </c>
      <c r="G849" s="15" t="inlineStr">
        <is>
          <t>No launched IPO found</t>
        </is>
      </c>
      <c r="H849" s="15" t="n"/>
      <c r="I849" s="16" t="n"/>
      <c r="J849" s="16" t="n"/>
      <c r="K849" s="16" t="n"/>
      <c r="L849" s="17" t="n"/>
      <c r="M849" s="17" t="n"/>
      <c r="N849" s="17" t="n"/>
      <c r="O849" s="15" t="n"/>
      <c r="P849" s="15" t="n"/>
      <c r="Q849" s="18" t="inlineStr">
        <is>
          <t>https://www.sebi.gov.in/sebi_data/attachdocs/mar-2022/1648115477416.pdf</t>
        </is>
      </c>
      <c r="R849" s="18" t="inlineStr">
        <is>
          <t>https://www.sebi.gov.in/filings/public-issues/mar-2022/pkh-ventures-limited_57108.html</t>
        </is>
      </c>
      <c r="S849" s="15" t="n"/>
      <c r="T849" s="15" t="n"/>
      <c r="U849" s="15" t="n"/>
      <c r="V849" s="15" t="n"/>
      <c r="W849" s="19" t="n">
        <v>45107</v>
      </c>
      <c r="X849" s="19" t="n">
        <v>45111</v>
      </c>
      <c r="Y849" s="19" t="n">
        <v>45119</v>
      </c>
      <c r="Z849" s="20" t="inlineStr">
        <is>
          <t>Issue opened</t>
        </is>
      </c>
      <c r="AA849" s="15" t="inlineStr">
        <is>
          <t>Matched on chittorgarh.com</t>
        </is>
      </c>
      <c r="AB849" s="18" t="inlineStr">
        <is>
          <t>https://www.chittorgarh.com/ipo/pkh-ventures-ipo/1448/</t>
        </is>
      </c>
    </row>
    <row r="850" ht="15" customHeight="1" s="12">
      <c r="A850" s="14" t="n">
        <v>849</v>
      </c>
      <c r="B850" s="16" t="n">
        <v>44641</v>
      </c>
      <c r="C850" s="15" t="n">
        <v>2022</v>
      </c>
      <c r="D850" s="15" t="inlineStr">
        <is>
          <t>Mukka Proteins Limited</t>
        </is>
      </c>
      <c r="E850" s="15" t="inlineStr">
        <is>
          <t>DRHP</t>
        </is>
      </c>
      <c r="F850" s="15" t="inlineStr">
        <is>
          <t>Mukka Proteins Limited</t>
        </is>
      </c>
      <c r="G850" s="15" t="inlineStr">
        <is>
          <t>IPO launched</t>
        </is>
      </c>
      <c r="H850" s="15" t="inlineStr">
        <is>
          <t>Mainboard</t>
        </is>
      </c>
      <c r="I850" s="16" t="n">
        <v>45351</v>
      </c>
      <c r="J850" s="16" t="n">
        <v>45355</v>
      </c>
      <c r="K850" s="16" t="n">
        <v>45358</v>
      </c>
      <c r="L850" s="17" t="n">
        <v>224</v>
      </c>
      <c r="M850" s="17" t="n">
        <v>224</v>
      </c>
      <c r="N850" s="17" t="n">
        <v>0</v>
      </c>
      <c r="O850" s="15" t="inlineStr">
        <is>
          <t>Final issue (ipoplatform)</t>
        </is>
      </c>
      <c r="P850" s="15" t="n"/>
      <c r="Q850" s="18" t="inlineStr">
        <is>
          <t>https://www.sebi.gov.in/sebi_data/attachdocs/mar-2022/1647922049984.pdf</t>
        </is>
      </c>
      <c r="R850" s="18" t="inlineStr">
        <is>
          <t>https://www.sebi.gov.in/filings/public-issues/mar-2022/mukka-proteins-limited_57014.html</t>
        </is>
      </c>
      <c r="S850" s="15" t="n"/>
      <c r="T850" s="15" t="inlineStr">
        <is>
          <t>Company name + date window</t>
        </is>
      </c>
      <c r="U850" s="15" t="inlineStr">
        <is>
          <t>Mukka Proteins Limited</t>
        </is>
      </c>
      <c r="V850" s="15" t="n"/>
      <c r="W850" s="15" t="n"/>
      <c r="X850" s="15" t="n"/>
      <c r="Y850" s="15" t="n"/>
      <c r="Z850" s="15" t="n"/>
      <c r="AA850" s="15" t="n"/>
      <c r="AB850" s="15" t="n"/>
    </row>
    <row r="851" ht="15" customHeight="1" s="12">
      <c r="A851" s="14" t="n">
        <v>850</v>
      </c>
      <c r="B851" s="16" t="n">
        <v>44637</v>
      </c>
      <c r="C851" s="15" t="n">
        <v>2022</v>
      </c>
      <c r="D851" s="15" t="inlineStr">
        <is>
          <t>Corrtech International Limited</t>
        </is>
      </c>
      <c r="E851" s="15" t="inlineStr">
        <is>
          <t>DRHP</t>
        </is>
      </c>
      <c r="F851" s="15" t="inlineStr">
        <is>
          <t>Corrtech International Limited</t>
        </is>
      </c>
      <c r="G851" s="15" t="inlineStr">
        <is>
          <t>No launched IPO found</t>
        </is>
      </c>
      <c r="H851" s="15" t="n"/>
      <c r="I851" s="16" t="n"/>
      <c r="J851" s="16" t="n"/>
      <c r="K851" s="16" t="n"/>
      <c r="L851" s="17" t="n"/>
      <c r="M851" s="17" t="n"/>
      <c r="N851" s="17" t="n"/>
      <c r="O851" s="15" t="n"/>
      <c r="P851" s="15" t="n"/>
      <c r="Q851" s="18" t="inlineStr">
        <is>
          <t>https://www.sebi.gov.in/sebi_data/attachdocs/mar-2022/1647520140209.PDF</t>
        </is>
      </c>
      <c r="R851" s="18" t="inlineStr">
        <is>
          <t>https://www.sebi.gov.in/filings/public-issues/mar-2022/corrtech-international-limited_56996.html</t>
        </is>
      </c>
      <c r="S851" s="15" t="n"/>
      <c r="T851" s="15" t="n"/>
      <c r="U851" s="15" t="n"/>
      <c r="V851" s="15" t="n"/>
      <c r="W851" s="16" t="n"/>
      <c r="X851" s="16" t="n"/>
      <c r="Y851" s="16" t="n"/>
      <c r="Z851" s="15" t="inlineStr">
        <is>
          <t>No issue found</t>
        </is>
      </c>
      <c r="AA851" s="15" t="inlineStr">
        <is>
          <t>SEBI nod July 2022 but dates never announced; no issue found.</t>
        </is>
      </c>
      <c r="AB851" s="18" t="inlineStr">
        <is>
          <t>https://www.5paisa.com/ipo/corrtech-international-ltd-ipo</t>
        </is>
      </c>
    </row>
    <row r="852" ht="15" customHeight="1" s="12">
      <c r="A852" s="14" t="n">
        <v>851</v>
      </c>
      <c r="B852" s="16" t="n">
        <v>44634</v>
      </c>
      <c r="C852" s="15" t="n">
        <v>2022</v>
      </c>
      <c r="D852" s="15" t="inlineStr">
        <is>
          <t>Navi Technologies Limited</t>
        </is>
      </c>
      <c r="E852" s="15" t="inlineStr">
        <is>
          <t>DRHP</t>
        </is>
      </c>
      <c r="F852" s="15" t="inlineStr">
        <is>
          <t>Navi Technologies Limited</t>
        </is>
      </c>
      <c r="G852" s="15" t="inlineStr">
        <is>
          <t>No launched IPO found</t>
        </is>
      </c>
      <c r="H852" s="15" t="n"/>
      <c r="I852" s="16" t="n"/>
      <c r="J852" s="16" t="n"/>
      <c r="K852" s="16" t="n"/>
      <c r="L852" s="17" t="n"/>
      <c r="M852" s="17" t="n"/>
      <c r="N852" s="17" t="n"/>
      <c r="O852" s="15" t="n"/>
      <c r="P852" s="15" t="n"/>
      <c r="Q852" s="18" t="inlineStr">
        <is>
          <t>https://www.sebi.gov.in/sebi_data/attachdocs/mar-2022/1647250417596.pdf</t>
        </is>
      </c>
      <c r="R852" s="18" t="inlineStr">
        <is>
          <t>https://www.sebi.gov.in/filings/public-issues/mar-2022/navi-technologies-limited_56853.html</t>
        </is>
      </c>
      <c r="S852" s="15" t="n"/>
      <c r="T852" s="15" t="n"/>
      <c r="U852" s="15" t="n"/>
      <c r="V852" s="15" t="n"/>
      <c r="W852" s="16" t="n"/>
      <c r="X852" s="16" t="n"/>
      <c r="Y852" s="16" t="n"/>
      <c r="Z852" s="15" t="inlineStr">
        <is>
          <t>No issue found</t>
        </is>
      </c>
      <c r="AA852" s="15" t="inlineStr">
        <is>
          <t>Only tentative 2025 dates and restart plans seen; no actual issue found.</t>
        </is>
      </c>
      <c r="AB852" s="18" t="inlineStr">
        <is>
          <t>https://inc42.com/buzz/navi-restarts-ipo-preparations-eyes-launch-in-second-half-of-fy26/</t>
        </is>
      </c>
    </row>
    <row r="853" ht="15" customHeight="1" s="12">
      <c r="A853" s="14" t="n">
        <v>852</v>
      </c>
      <c r="B853" s="16" t="n">
        <v>44630</v>
      </c>
      <c r="C853" s="15" t="n">
        <v>2022</v>
      </c>
      <c r="D853" s="15" t="inlineStr">
        <is>
          <t>EBIXCASH Limited</t>
        </is>
      </c>
      <c r="E853" s="15" t="inlineStr">
        <is>
          <t>DRHP</t>
        </is>
      </c>
      <c r="F853" s="15" t="inlineStr">
        <is>
          <t>EBIXCASH Limited</t>
        </is>
      </c>
      <c r="G853" s="15" t="inlineStr">
        <is>
          <t>No launched IPO found</t>
        </is>
      </c>
      <c r="H853" s="15" t="n"/>
      <c r="I853" s="16" t="n"/>
      <c r="J853" s="16" t="n"/>
      <c r="K853" s="16" t="n"/>
      <c r="L853" s="17" t="n"/>
      <c r="M853" s="17" t="n"/>
      <c r="N853" s="17" t="n"/>
      <c r="O853" s="15" t="n"/>
      <c r="P853" s="15" t="n"/>
      <c r="Q853" s="18" t="inlineStr">
        <is>
          <t>https://www.sebi.gov.in/sebi_data/attachdocs/mar-2022/1646902016643.PDF</t>
        </is>
      </c>
      <c r="R853" s="18" t="inlineStr">
        <is>
          <t>https://www.sebi.gov.in/filings/public-issues/mar-2022/ebixcash-limited_56719.html</t>
        </is>
      </c>
      <c r="S853" s="15" t="n"/>
      <c r="T853" s="15" t="n"/>
      <c r="U853" s="15" t="n"/>
      <c r="V853" s="15" t="n"/>
      <c r="W853" s="16" t="n"/>
      <c r="X853" s="16" t="n"/>
      <c r="Y853" s="16" t="n"/>
      <c r="Z853" s="15" t="inlineStr">
        <is>
          <t>No issue found</t>
        </is>
      </c>
      <c r="AA853" s="15" t="inlineStr">
        <is>
          <t>Open date never announced; no issue found.</t>
        </is>
      </c>
      <c r="AB853" s="18" t="inlineStr">
        <is>
          <t>https://www.religareonline.com/ipo/ebixcash-ipo</t>
        </is>
      </c>
    </row>
    <row r="854" ht="15" customHeight="1" s="12">
      <c r="A854" s="14" t="n">
        <v>853</v>
      </c>
      <c r="B854" s="16" t="n">
        <v>44628</v>
      </c>
      <c r="C854" s="15" t="n">
        <v>2022</v>
      </c>
      <c r="D854" s="15" t="inlineStr">
        <is>
          <t>India Exposition Mart Limited</t>
        </is>
      </c>
      <c r="E854" s="15" t="inlineStr">
        <is>
          <t>DRHP</t>
        </is>
      </c>
      <c r="F854" s="15" t="inlineStr">
        <is>
          <t>India Exposition Mart Limited</t>
        </is>
      </c>
      <c r="G854" s="15" t="inlineStr">
        <is>
          <t>No launched IPO found</t>
        </is>
      </c>
      <c r="H854" s="15" t="n"/>
      <c r="I854" s="16" t="n"/>
      <c r="J854" s="16" t="n"/>
      <c r="K854" s="16" t="n"/>
      <c r="L854" s="17" t="n"/>
      <c r="M854" s="17" t="n"/>
      <c r="N854" s="17" t="n"/>
      <c r="O854" s="15" t="n"/>
      <c r="P854" s="15" t="n"/>
      <c r="Q854" s="18" t="inlineStr">
        <is>
          <t>https://www.sebi.gov.in/sebi_data/attachdocs/mar-2022/1646821102490.PDF</t>
        </is>
      </c>
      <c r="R854" s="18" t="inlineStr">
        <is>
          <t>https://www.sebi.gov.in/filings/public-issues/mar-2022/india-exposition-mart-limited_56684.html</t>
        </is>
      </c>
      <c r="S854" s="15" t="n"/>
      <c r="T854" s="15" t="n"/>
      <c r="U854" s="15" t="n"/>
      <c r="V854" s="15" t="n"/>
      <c r="W854" s="16" t="n"/>
      <c r="X854" s="16" t="n"/>
      <c r="Y854" s="16" t="n"/>
      <c r="Z854" s="15" t="inlineStr">
        <is>
          <t>No issue found</t>
        </is>
      </c>
      <c r="AA854" s="15" t="inlineStr">
        <is>
          <t>Refiled DRHP 2026; dates not announced</t>
        </is>
      </c>
      <c r="AB854" s="18" t="inlineStr">
        <is>
          <t>https://www.chittorgarh.com/ipo/india-exposition-mart-ipo/3225/</t>
        </is>
      </c>
    </row>
    <row r="855" ht="15" customHeight="1" s="12">
      <c r="A855" s="14" t="n">
        <v>854</v>
      </c>
      <c r="B855" s="16" t="n">
        <v>44627</v>
      </c>
      <c r="C855" s="15" t="n">
        <v>2022</v>
      </c>
      <c r="D855" s="15" t="inlineStr">
        <is>
          <t>Suraj Estate Developers Limited</t>
        </is>
      </c>
      <c r="E855" s="15" t="inlineStr">
        <is>
          <t>DRHP</t>
        </is>
      </c>
      <c r="F855" s="15" t="inlineStr">
        <is>
          <t>Suraj Estate Developers Limited - DRHP</t>
        </is>
      </c>
      <c r="G855" s="15" t="inlineStr">
        <is>
          <t>IPO launched</t>
        </is>
      </c>
      <c r="H855" s="15" t="inlineStr">
        <is>
          <t>Mainboard</t>
        </is>
      </c>
      <c r="I855" s="16" t="n">
        <v>45278</v>
      </c>
      <c r="J855" s="16" t="n">
        <v>45280</v>
      </c>
      <c r="K855" s="16" t="n">
        <v>45286</v>
      </c>
      <c r="L855" s="17" t="n">
        <v>400</v>
      </c>
      <c r="M855" s="17" t="n">
        <v>400</v>
      </c>
      <c r="N855" s="17" t="n">
        <v>0</v>
      </c>
      <c r="O855" s="15" t="inlineStr">
        <is>
          <t>Final issue (ipoplatform)</t>
        </is>
      </c>
      <c r="P855" s="15" t="n"/>
      <c r="Q855" s="18" t="inlineStr">
        <is>
          <t>https://www.sebi.gov.in/sebi_data/attachdocs/mar-2022/1646631081824.pdf</t>
        </is>
      </c>
      <c r="R855" s="18" t="inlineStr">
        <is>
          <t>https://www.sebi.gov.in/filings/public-issues/mar-2022/suraj-estate-developers-limited-drhp_56639.html</t>
        </is>
      </c>
      <c r="S855" s="15" t="n"/>
      <c r="T855" s="15" t="inlineStr">
        <is>
          <t>Company name + date window</t>
        </is>
      </c>
      <c r="U855" s="15" t="inlineStr">
        <is>
          <t>Suraj Estate Developers Limited</t>
        </is>
      </c>
      <c r="V855" s="15" t="n"/>
      <c r="W855" s="15" t="n"/>
      <c r="X855" s="15" t="n"/>
      <c r="Y855" s="15" t="n"/>
      <c r="Z855" s="15" t="n"/>
      <c r="AA855" s="15" t="n"/>
      <c r="AB855" s="15" t="n"/>
    </row>
    <row r="856" ht="15" customHeight="1" s="12">
      <c r="A856" s="14" t="n">
        <v>855</v>
      </c>
      <c r="B856" s="16" t="n">
        <v>44615</v>
      </c>
      <c r="C856" s="15" t="n">
        <v>2022</v>
      </c>
      <c r="D856" s="15" t="inlineStr">
        <is>
          <t>Bikaji Foods International Limited</t>
        </is>
      </c>
      <c r="E856" s="15" t="inlineStr">
        <is>
          <t>DRHP</t>
        </is>
      </c>
      <c r="F856" s="15" t="inlineStr">
        <is>
          <t>Bikaji Foods International Limited</t>
        </is>
      </c>
      <c r="G856" s="15" t="inlineStr">
        <is>
          <t>IPO launched</t>
        </is>
      </c>
      <c r="H856" s="15" t="inlineStr">
        <is>
          <t>Mainboard</t>
        </is>
      </c>
      <c r="I856" s="16" t="n">
        <v>44868</v>
      </c>
      <c r="J856" s="16" t="n">
        <v>44872</v>
      </c>
      <c r="K856" s="16" t="n">
        <v>44881</v>
      </c>
      <c r="L856" s="17" t="n">
        <v>881.22</v>
      </c>
      <c r="M856" s="17" t="n">
        <v>881.22</v>
      </c>
      <c r="N856" s="17" t="n">
        <v>0</v>
      </c>
      <c r="O856" s="15" t="inlineStr">
        <is>
          <t>Final issue (ipoplatform)</t>
        </is>
      </c>
      <c r="P856" s="15" t="n"/>
      <c r="Q856" s="18" t="inlineStr">
        <is>
          <t>https://www.sebi.gov.in/sebi_data/attachdocs/feb-2022/1645595502807.pdf</t>
        </is>
      </c>
      <c r="R856" s="18" t="inlineStr">
        <is>
          <t>https://www.sebi.gov.in/filings/public-issues/feb-2022/bikaji-foods-international-limited_56321.html</t>
        </is>
      </c>
      <c r="S856" s="15" t="n"/>
      <c r="T856" s="15" t="inlineStr">
        <is>
          <t>SEBI filing link</t>
        </is>
      </c>
      <c r="U856" s="15" t="inlineStr">
        <is>
          <t>Bikaji Foods International Limited</t>
        </is>
      </c>
      <c r="V856" s="15" t="n"/>
      <c r="W856" s="15" t="n"/>
      <c r="X856" s="15" t="n"/>
      <c r="Y856" s="15" t="n"/>
      <c r="Z856" s="15" t="n"/>
      <c r="AA856" s="15" t="n"/>
      <c r="AB856" s="15" t="n"/>
    </row>
    <row r="857" ht="15" customHeight="1" s="12">
      <c r="A857" s="14" t="n">
        <v>856</v>
      </c>
      <c r="B857" s="16" t="n">
        <v>44614</v>
      </c>
      <c r="C857" s="15" t="n">
        <v>2022</v>
      </c>
      <c r="D857" s="15" t="inlineStr">
        <is>
          <t>Fedbank Financial Services Limited</t>
        </is>
      </c>
      <c r="E857" s="15" t="inlineStr">
        <is>
          <t>DRHP</t>
        </is>
      </c>
      <c r="F857" s="15" t="inlineStr">
        <is>
          <t>Fedbank Financial Services Limited</t>
        </is>
      </c>
      <c r="G857" s="15" t="inlineStr">
        <is>
          <t>IPO launched</t>
        </is>
      </c>
      <c r="H857" s="15" t="inlineStr">
        <is>
          <t>Mainboard</t>
        </is>
      </c>
      <c r="I857" s="16" t="n">
        <v>45252</v>
      </c>
      <c r="J857" s="16" t="n">
        <v>45254</v>
      </c>
      <c r="K857" s="16" t="n">
        <v>45260</v>
      </c>
      <c r="L857" s="17" t="n">
        <v>1092.26</v>
      </c>
      <c r="M857" s="17" t="n">
        <v>600.77</v>
      </c>
      <c r="N857" s="17" t="n">
        <v>491.49</v>
      </c>
      <c r="O857" s="15" t="inlineStr">
        <is>
          <t>Final issue (ipoplatform)</t>
        </is>
      </c>
      <c r="P857" s="15" t="n"/>
      <c r="Q857" s="18" t="inlineStr">
        <is>
          <t>https://www.sebi.gov.in/sebi_data/attachdocs/feb-2022/1645505802717.pdf</t>
        </is>
      </c>
      <c r="R857" s="18" t="inlineStr">
        <is>
          <t>https://www.sebi.gov.in/filings/public-issues/feb-2022/fedbank-financial-services-limited_56273.html</t>
        </is>
      </c>
      <c r="S857" s="15" t="n"/>
      <c r="T857" s="15" t="inlineStr">
        <is>
          <t>Company name + date window</t>
        </is>
      </c>
      <c r="U857" s="15" t="inlineStr">
        <is>
          <t>Fedbank Financial Services Limited</t>
        </is>
      </c>
      <c r="V857" s="15" t="n"/>
      <c r="W857" s="15" t="n"/>
      <c r="X857" s="15" t="n"/>
      <c r="Y857" s="15" t="n"/>
      <c r="Z857" s="15" t="n"/>
      <c r="AA857" s="15" t="n"/>
      <c r="AB857" s="15" t="n"/>
    </row>
    <row r="858" ht="15" customHeight="1" s="12">
      <c r="A858" s="14" t="n">
        <v>857</v>
      </c>
      <c r="B858" s="16" t="n">
        <v>44613</v>
      </c>
      <c r="C858" s="15" t="n">
        <v>2022</v>
      </c>
      <c r="D858" s="15" t="inlineStr">
        <is>
          <t>Archean Chemical Industries Limited</t>
        </is>
      </c>
      <c r="E858" s="15" t="inlineStr">
        <is>
          <t>DRHP</t>
        </is>
      </c>
      <c r="F858" s="15" t="inlineStr">
        <is>
          <t>Archean Chemical Industries Limited</t>
        </is>
      </c>
      <c r="G858" s="15" t="inlineStr">
        <is>
          <t>IPO launched</t>
        </is>
      </c>
      <c r="H858" s="15" t="inlineStr">
        <is>
          <t>Mainboard</t>
        </is>
      </c>
      <c r="I858" s="16" t="n">
        <v>44874</v>
      </c>
      <c r="J858" s="16" t="n">
        <v>44876</v>
      </c>
      <c r="K858" s="16" t="n">
        <v>44886</v>
      </c>
      <c r="L858" s="17" t="n">
        <v>1462.31</v>
      </c>
      <c r="M858" s="17" t="n">
        <v>805</v>
      </c>
      <c r="N858" s="17" t="n">
        <v>657.3099999999999</v>
      </c>
      <c r="O858" s="15" t="inlineStr">
        <is>
          <t>Final issue (ipoplatform)</t>
        </is>
      </c>
      <c r="P858" s="15" t="n"/>
      <c r="Q858" s="18" t="inlineStr">
        <is>
          <t>https://www.sebi.gov.in/sebi_data/attachdocs/feb-2022/1645434836236.PDF</t>
        </is>
      </c>
      <c r="R858" s="18" t="inlineStr">
        <is>
          <t>https://www.sebi.gov.in/filings/public-issues/feb-2022/archean-chemical-industries-limited_56255.html</t>
        </is>
      </c>
      <c r="S858" s="15" t="n"/>
      <c r="T858" s="15" t="inlineStr">
        <is>
          <t>SEBI filing link</t>
        </is>
      </c>
      <c r="U858" s="15" t="inlineStr">
        <is>
          <t>Archean Chemical Industries Limited</t>
        </is>
      </c>
      <c r="V858" s="15" t="n"/>
      <c r="W858" s="15" t="n"/>
      <c r="X858" s="15" t="n"/>
      <c r="Y858" s="15" t="n"/>
      <c r="Z858" s="15" t="n"/>
      <c r="AA858" s="15" t="n"/>
      <c r="AB858" s="15" t="n"/>
    </row>
    <row r="859" ht="15" customHeight="1" s="12">
      <c r="A859" s="14" t="n">
        <v>858</v>
      </c>
      <c r="B859" s="16" t="n">
        <v>44608</v>
      </c>
      <c r="C859" s="15" t="n">
        <v>2022</v>
      </c>
      <c r="D859" s="15" t="inlineStr">
        <is>
          <t>Life Insurance Corporation of India</t>
        </is>
      </c>
      <c r="E859" s="15" t="inlineStr">
        <is>
          <t>Corrigendum</t>
        </is>
      </c>
      <c r="F859" s="15" t="inlineStr">
        <is>
          <t>Life Insurance Corporation of India - Corrigendum to DRHP</t>
        </is>
      </c>
      <c r="G859" s="15" t="inlineStr">
        <is>
          <t>IPO launched</t>
        </is>
      </c>
      <c r="H859" s="15" t="inlineStr">
        <is>
          <t>Mainboard</t>
        </is>
      </c>
      <c r="I859" s="16" t="n">
        <v>44685</v>
      </c>
      <c r="J859" s="16" t="n">
        <v>44690</v>
      </c>
      <c r="K859" s="16" t="n">
        <v>44698</v>
      </c>
      <c r="L859" s="17" t="n">
        <v>21008.48</v>
      </c>
      <c r="M859" s="17" t="n"/>
      <c r="N859" s="17" t="n">
        <v>21008.48</v>
      </c>
      <c r="O859" s="15" t="inlineStr">
        <is>
          <t>Final issue (ipoplatform)</t>
        </is>
      </c>
      <c r="P859" s="15" t="n"/>
      <c r="Q859" s="18" t="inlineStr">
        <is>
          <t>https://www.sebi.gov.in/sebi_data/attachdocs/feb-2022/1644990054346.pdf</t>
        </is>
      </c>
      <c r="R859" s="18" t="inlineStr">
        <is>
          <t>https://www.sebi.gov.in/filings/public-issues/feb-2022/life-insurance-corporation-of-india-corrigendum-to-drhp_56092.html</t>
        </is>
      </c>
      <c r="S859" s="15" t="n"/>
      <c r="T859" s="15" t="inlineStr">
        <is>
          <t>Company name (close spelling) + date window</t>
        </is>
      </c>
      <c r="U859" s="15" t="inlineStr">
        <is>
          <t>LIC Life Insurance Corporation of India</t>
        </is>
      </c>
      <c r="V859" s="15" t="n"/>
      <c r="W859" s="15" t="n"/>
      <c r="X859" s="15" t="n"/>
      <c r="Y859" s="15" t="n"/>
      <c r="Z859" s="15" t="n"/>
      <c r="AA859" s="15" t="n"/>
      <c r="AB859" s="15" t="n"/>
    </row>
    <row r="860" ht="15" customHeight="1" s="12">
      <c r="A860" s="14" t="n">
        <v>859</v>
      </c>
      <c r="B860" s="16" t="n">
        <v>44607</v>
      </c>
      <c r="C860" s="15" t="n">
        <v>2022</v>
      </c>
      <c r="D860" s="15" t="inlineStr">
        <is>
          <t>TVS Supply Chain Solutions Limited</t>
        </is>
      </c>
      <c r="E860" s="15" t="inlineStr">
        <is>
          <t>DRHP</t>
        </is>
      </c>
      <c r="F860" s="15" t="inlineStr">
        <is>
          <t>TVS Supply Chain Solutions Limited</t>
        </is>
      </c>
      <c r="G860" s="15" t="inlineStr">
        <is>
          <t>IPO launched</t>
        </is>
      </c>
      <c r="H860" s="15" t="inlineStr">
        <is>
          <t>Mainboard</t>
        </is>
      </c>
      <c r="I860" s="16" t="n">
        <v>45148</v>
      </c>
      <c r="J860" s="16" t="n">
        <v>45152</v>
      </c>
      <c r="K860" s="16" t="n">
        <v>45161</v>
      </c>
      <c r="L860" s="17" t="n">
        <v>880</v>
      </c>
      <c r="M860" s="17" t="n">
        <v>600</v>
      </c>
      <c r="N860" s="17" t="n">
        <v>280</v>
      </c>
      <c r="O860" s="15" t="inlineStr">
        <is>
          <t>Final issue (ipoplatform)</t>
        </is>
      </c>
      <c r="P860" s="15" t="n"/>
      <c r="Q860" s="18" t="inlineStr">
        <is>
          <t>https://www.sebi.gov.in/sebi_data/attachdocs/feb-2022/1644925771350.PDF</t>
        </is>
      </c>
      <c r="R860" s="18" t="inlineStr">
        <is>
          <t>https://www.sebi.gov.in/filings/public-issues/feb-2022/tvs-supply-chain-solutions-limited_56081.html</t>
        </is>
      </c>
      <c r="S860" s="15" t="n"/>
      <c r="T860" s="15" t="inlineStr">
        <is>
          <t>Company name + date window</t>
        </is>
      </c>
      <c r="U860" s="15" t="inlineStr">
        <is>
          <t>TVS Supply Chain Solutions Limited</t>
        </is>
      </c>
      <c r="V860" s="15" t="n"/>
      <c r="W860" s="15" t="n"/>
      <c r="X860" s="15" t="n"/>
      <c r="Y860" s="15" t="n"/>
      <c r="Z860" s="15" t="n"/>
      <c r="AA860" s="15" t="n"/>
      <c r="AB860" s="15" t="n"/>
    </row>
    <row r="861" ht="15" customHeight="1" s="12">
      <c r="A861" s="14" t="n">
        <v>860</v>
      </c>
      <c r="B861" s="16" t="n">
        <v>44607</v>
      </c>
      <c r="C861" s="15" t="n">
        <v>2022</v>
      </c>
      <c r="D861" s="15" t="inlineStr">
        <is>
          <t>Macleods Pharmaceuticals Limited</t>
        </is>
      </c>
      <c r="E861" s="15" t="inlineStr">
        <is>
          <t>DRHP</t>
        </is>
      </c>
      <c r="F861" s="15" t="inlineStr">
        <is>
          <t>Macleods Pharmaceuticals Limited</t>
        </is>
      </c>
      <c r="G861" s="15" t="inlineStr">
        <is>
          <t>No launched IPO found</t>
        </is>
      </c>
      <c r="H861" s="15" t="n"/>
      <c r="I861" s="16" t="n"/>
      <c r="J861" s="16" t="n"/>
      <c r="K861" s="16" t="n"/>
      <c r="L861" s="17" t="n"/>
      <c r="M861" s="17" t="n"/>
      <c r="N861" s="17" t="n"/>
      <c r="O861" s="15" t="n"/>
      <c r="P861" s="15" t="n"/>
      <c r="Q861" s="18" t="inlineStr">
        <is>
          <t>https://www.sebi.gov.in/sebi_data/attachdocs/feb-2022/1644915066679.PDF</t>
        </is>
      </c>
      <c r="R861" s="18" t="inlineStr">
        <is>
          <t>https://www.sebi.gov.in/filings/public-issues/feb-2022/macleods-pharmaceuticals-limited_56072.html</t>
        </is>
      </c>
      <c r="S861" s="15" t="n"/>
      <c r="T861" s="15" t="n"/>
      <c r="U861" s="15" t="n"/>
      <c r="V861" s="15" t="n"/>
      <c r="W861" s="16" t="n"/>
      <c r="X861" s="16" t="n"/>
      <c r="Y861" s="16" t="n"/>
      <c r="Z861" s="15" t="inlineStr">
        <is>
          <t>No issue found</t>
        </is>
      </c>
      <c r="AA861" s="15" t="inlineStr">
        <is>
          <t>Open date not announced; no issue found.</t>
        </is>
      </c>
      <c r="AB861" s="18" t="inlineStr">
        <is>
          <t>https://www.5paisa.com/ipo/macleods-pharmaceuticals-ltd-ipo</t>
        </is>
      </c>
    </row>
    <row r="862" ht="15" customHeight="1" s="12">
      <c r="A862" s="14" t="n">
        <v>861</v>
      </c>
      <c r="B862" s="16" t="n">
        <v>44605</v>
      </c>
      <c r="C862" s="15" t="n">
        <v>2022</v>
      </c>
      <c r="D862" s="15" t="inlineStr">
        <is>
          <t>Life Insurance Corporation of India</t>
        </is>
      </c>
      <c r="E862" s="15" t="inlineStr">
        <is>
          <t>DRHP</t>
        </is>
      </c>
      <c r="F862" s="15" t="inlineStr">
        <is>
          <t>Life Insurance Corporation of India</t>
        </is>
      </c>
      <c r="G862" s="15" t="inlineStr">
        <is>
          <t>IPO launched</t>
        </is>
      </c>
      <c r="H862" s="15" t="inlineStr">
        <is>
          <t>Mainboard</t>
        </is>
      </c>
      <c r="I862" s="16" t="n">
        <v>44685</v>
      </c>
      <c r="J862" s="16" t="n">
        <v>44690</v>
      </c>
      <c r="K862" s="16" t="n">
        <v>44698</v>
      </c>
      <c r="L862" s="17" t="n">
        <v>21008.48</v>
      </c>
      <c r="M862" s="17" t="n"/>
      <c r="N862" s="17" t="n">
        <v>21008.48</v>
      </c>
      <c r="O862" s="15" t="inlineStr">
        <is>
          <t>Final issue (ipoplatform)</t>
        </is>
      </c>
      <c r="P862" s="15" t="n"/>
      <c r="Q862" s="18" t="inlineStr">
        <is>
          <t>https://www.sebi.gov.in/sebi_data/attachdocs/feb-2022/1644761029168.pdf</t>
        </is>
      </c>
      <c r="R862" s="18" t="inlineStr">
        <is>
          <t>https://www.sebi.gov.in/filings/public-issues/feb-2022/life-insurance-corporation-of-india_56035.html</t>
        </is>
      </c>
      <c r="S862" s="15" t="n"/>
      <c r="T862" s="15" t="inlineStr">
        <is>
          <t>SEBI filing link</t>
        </is>
      </c>
      <c r="U862" s="15" t="inlineStr">
        <is>
          <t>LIC Life Insurance Corporation of India</t>
        </is>
      </c>
      <c r="V862" s="15" t="n"/>
      <c r="W862" s="15" t="n"/>
      <c r="X862" s="15" t="n"/>
      <c r="Y862" s="15" t="n"/>
      <c r="Z862" s="15" t="n"/>
      <c r="AA862" s="15" t="n"/>
      <c r="AB862" s="15" t="n"/>
    </row>
    <row r="863" ht="15" customHeight="1" s="12">
      <c r="A863" s="14" t="n">
        <v>862</v>
      </c>
      <c r="B863" s="16" t="n">
        <v>44603</v>
      </c>
      <c r="C863" s="15" t="n">
        <v>2022</v>
      </c>
      <c r="D863" s="15" t="inlineStr">
        <is>
          <t>Kids Clinic India Limited</t>
        </is>
      </c>
      <c r="E863" s="15" t="inlineStr">
        <is>
          <t>DRHP</t>
        </is>
      </c>
      <c r="F863" s="15" t="inlineStr">
        <is>
          <t>Kids Clinic India Limited</t>
        </is>
      </c>
      <c r="G863" s="15" t="inlineStr">
        <is>
          <t>No launched IPO found</t>
        </is>
      </c>
      <c r="H863" s="15" t="n"/>
      <c r="I863" s="16" t="n"/>
      <c r="J863" s="16" t="n"/>
      <c r="K863" s="16" t="n"/>
      <c r="L863" s="17" t="n"/>
      <c r="M863" s="17" t="n"/>
      <c r="N863" s="17" t="n"/>
      <c r="O863" s="15" t="n"/>
      <c r="P863" s="15" t="n"/>
      <c r="Q863" s="18" t="inlineStr">
        <is>
          <t>https://www.sebi.gov.in/sebi_data/attachdocs/feb-2022/1644577140463.pdf</t>
        </is>
      </c>
      <c r="R863" s="18" t="inlineStr">
        <is>
          <t>https://www.sebi.gov.in/filings/public-issues/feb-2022/kids-clinic-india-limited_56011.html</t>
        </is>
      </c>
      <c r="S863" s="15" t="n"/>
      <c r="T863" s="15" t="n"/>
      <c r="U863" s="15" t="n"/>
      <c r="V863" s="15" t="n"/>
      <c r="W863" s="16" t="n"/>
      <c r="X863" s="16" t="n"/>
      <c r="Y863" s="16" t="n"/>
      <c r="Z863" s="15" t="inlineStr">
        <is>
          <t>No issue found</t>
        </is>
      </c>
      <c r="AA863" s="15" t="inlineStr">
        <is>
          <t>Open date not announced; no issue found.</t>
        </is>
      </c>
      <c r="AB863" s="18" t="inlineStr">
        <is>
          <t>https://www.business-standard.com/markets/ipo/kids-clinic-india-ltd-ipo-76485</t>
        </is>
      </c>
    </row>
    <row r="864" ht="15" customHeight="1" s="12">
      <c r="A864" s="14" t="n">
        <v>863</v>
      </c>
      <c r="B864" s="16" t="n">
        <v>44601</v>
      </c>
      <c r="C864" s="15" t="n">
        <v>2022</v>
      </c>
      <c r="D864" s="15" t="inlineStr">
        <is>
          <t>Cogent E-Services Limited</t>
        </is>
      </c>
      <c r="E864" s="15" t="inlineStr">
        <is>
          <t>DRHP</t>
        </is>
      </c>
      <c r="F864" s="15" t="inlineStr">
        <is>
          <t>Cogent E-Services Limited</t>
        </is>
      </c>
      <c r="G864" s="15" t="inlineStr">
        <is>
          <t>No launched IPO found</t>
        </is>
      </c>
      <c r="H864" s="15" t="n"/>
      <c r="I864" s="16" t="n"/>
      <c r="J864" s="16" t="n"/>
      <c r="K864" s="16" t="n"/>
      <c r="L864" s="17" t="n"/>
      <c r="M864" s="17" t="n"/>
      <c r="N864" s="17" t="n"/>
      <c r="O864" s="15" t="n"/>
      <c r="P864" s="15" t="n"/>
      <c r="Q864" s="18" t="inlineStr">
        <is>
          <t>https://www.sebi.gov.in/sebi_data/attachdocs/feb-2022/1644388324612.PDF</t>
        </is>
      </c>
      <c r="R864" s="18" t="inlineStr">
        <is>
          <t>https://www.sebi.gov.in/filings/public-issues/feb-2022/cogent-e-services-limited_55966.html</t>
        </is>
      </c>
      <c r="S864" s="15" t="n"/>
      <c r="T864" s="15" t="n"/>
      <c r="U864" s="15" t="n"/>
      <c r="V864" s="15" t="n"/>
      <c r="W864" s="16" t="n"/>
      <c r="X864" s="16" t="n"/>
      <c r="Y864" s="16" t="n"/>
      <c r="Z864" s="15" t="inlineStr">
        <is>
          <t>No issue found</t>
        </is>
      </c>
      <c r="AA864" s="15" t="inlineStr">
        <is>
          <t>Open date still 'to be announced'; no issue found.</t>
        </is>
      </c>
      <c r="AB864" s="18" t="inlineStr">
        <is>
          <t>https://www.5paisa.com/ipo/cogent-e-services-ltd-ipo</t>
        </is>
      </c>
    </row>
    <row r="865" ht="15" customHeight="1" s="12">
      <c r="A865" s="14" t="n">
        <v>864</v>
      </c>
      <c r="B865" s="16" t="n">
        <v>44601</v>
      </c>
      <c r="C865" s="15" t="n">
        <v>2022</v>
      </c>
      <c r="D865" s="15" t="inlineStr">
        <is>
          <t>Harsha Engineers International Limited</t>
        </is>
      </c>
      <c r="E865" s="15" t="inlineStr">
        <is>
          <t>DRHP</t>
        </is>
      </c>
      <c r="F865" s="15" t="inlineStr">
        <is>
          <t>Harsha Engineers International Limited</t>
        </is>
      </c>
      <c r="G865" s="15" t="inlineStr">
        <is>
          <t>IPO launched</t>
        </is>
      </c>
      <c r="H865" s="15" t="inlineStr">
        <is>
          <t>Mainboard</t>
        </is>
      </c>
      <c r="I865" s="16" t="n">
        <v>44818</v>
      </c>
      <c r="J865" s="16" t="n">
        <v>44820</v>
      </c>
      <c r="K865" s="16" t="n">
        <v>44830</v>
      </c>
      <c r="L865" s="17" t="n">
        <v>755</v>
      </c>
      <c r="M865" s="17" t="n">
        <v>455</v>
      </c>
      <c r="N865" s="17" t="n">
        <v>300</v>
      </c>
      <c r="O865" s="15" t="inlineStr">
        <is>
          <t>Final issue (ipoplatform)</t>
        </is>
      </c>
      <c r="P865" s="15" t="n"/>
      <c r="Q865" s="18" t="inlineStr">
        <is>
          <t>https://www.sebi.gov.in/sebi_data/attachdocs/feb-2022/1644388087350.pdf</t>
        </is>
      </c>
      <c r="R865" s="18" t="inlineStr">
        <is>
          <t>https://www.sebi.gov.in/filings/public-issues/feb-2022/harsha-engineers-international-limited_55965.html</t>
        </is>
      </c>
      <c r="S865" s="15" t="n"/>
      <c r="T865" s="15" t="inlineStr">
        <is>
          <t>SEBI filing link</t>
        </is>
      </c>
      <c r="U865" s="15" t="inlineStr">
        <is>
          <t>Harsha Engineers International Limited</t>
        </is>
      </c>
      <c r="V865" s="15" t="n"/>
      <c r="W865" s="15" t="n"/>
      <c r="X865" s="15" t="n"/>
      <c r="Y865" s="15" t="n"/>
      <c r="Z865" s="15" t="n"/>
      <c r="AA865" s="15" t="n"/>
      <c r="AB865" s="15" t="n"/>
    </row>
    <row r="866" ht="15" customHeight="1" s="12">
      <c r="A866" s="14" t="n">
        <v>865</v>
      </c>
      <c r="B866" s="16" t="n">
        <v>44600</v>
      </c>
      <c r="C866" s="15" t="n">
        <v>2022</v>
      </c>
      <c r="D866" s="15" t="inlineStr">
        <is>
          <t>Inox Green Energy Services Limited</t>
        </is>
      </c>
      <c r="E866" s="15" t="inlineStr">
        <is>
          <t>DRHP</t>
        </is>
      </c>
      <c r="F866" s="15" t="inlineStr">
        <is>
          <t>Inox Green Energy Services Limited</t>
        </is>
      </c>
      <c r="G866" s="15" t="inlineStr">
        <is>
          <t>IPO launched</t>
        </is>
      </c>
      <c r="H866" s="15" t="inlineStr">
        <is>
          <t>Mainboard</t>
        </is>
      </c>
      <c r="I866" s="16" t="n">
        <v>44876</v>
      </c>
      <c r="J866" s="16" t="n">
        <v>44880</v>
      </c>
      <c r="K866" s="16" t="n">
        <v>44888</v>
      </c>
      <c r="L866" s="17" t="n">
        <v>740</v>
      </c>
      <c r="M866" s="17" t="n">
        <v>370</v>
      </c>
      <c r="N866" s="17" t="n">
        <v>370</v>
      </c>
      <c r="O866" s="15" t="inlineStr">
        <is>
          <t>Final issue (ipoplatform)</t>
        </is>
      </c>
      <c r="P866" s="15" t="n"/>
      <c r="Q866" s="18" t="inlineStr">
        <is>
          <t>https://www.sebi.gov.in/sebi_data/attachdocs/feb-2022/1644320501889.pdf</t>
        </is>
      </c>
      <c r="R866" s="18" t="inlineStr">
        <is>
          <t>https://www.sebi.gov.in/filings/public-issues/feb-2022/inox-green-energy-services-limited_55952.html</t>
        </is>
      </c>
      <c r="S866" s="15" t="n"/>
      <c r="T866" s="15" t="inlineStr">
        <is>
          <t>Company name + date window</t>
        </is>
      </c>
      <c r="U866" s="15" t="inlineStr">
        <is>
          <t>Inox Green Energy Services Limited</t>
        </is>
      </c>
      <c r="V866" s="15" t="n"/>
      <c r="W866" s="15" t="n"/>
      <c r="X866" s="15" t="n"/>
      <c r="Y866" s="15" t="n"/>
      <c r="Z866" s="15" t="n"/>
      <c r="AA866" s="15" t="n"/>
      <c r="AB866" s="15" t="n"/>
    </row>
    <row r="867" ht="15" customHeight="1" s="12">
      <c r="A867" s="14" t="n">
        <v>866</v>
      </c>
      <c r="B867" s="16" t="n">
        <v>44593</v>
      </c>
      <c r="C867" s="15" t="n">
        <v>2022</v>
      </c>
      <c r="D867" s="15" t="inlineStr">
        <is>
          <t>Ethos Limited</t>
        </is>
      </c>
      <c r="E867" s="15" t="inlineStr">
        <is>
          <t>DRHP</t>
        </is>
      </c>
      <c r="F867" s="15" t="inlineStr">
        <is>
          <t>Ethos Limited</t>
        </is>
      </c>
      <c r="G867" s="15" t="inlineStr">
        <is>
          <t>IPO launched</t>
        </is>
      </c>
      <c r="H867" s="15" t="inlineStr">
        <is>
          <t>Mainboard</t>
        </is>
      </c>
      <c r="I867" s="16" t="n">
        <v>44699</v>
      </c>
      <c r="J867" s="16" t="n">
        <v>44701</v>
      </c>
      <c r="K867" s="16" t="n">
        <v>44711</v>
      </c>
      <c r="L867" s="17" t="n">
        <v>472.29</v>
      </c>
      <c r="M867" s="17" t="n">
        <v>375</v>
      </c>
      <c r="N867" s="17" t="n">
        <v>97.29000000000001</v>
      </c>
      <c r="O867" s="15" t="inlineStr">
        <is>
          <t>Final issue (ipoplatform)</t>
        </is>
      </c>
      <c r="P867" s="15" t="n"/>
      <c r="Q867" s="18" t="inlineStr">
        <is>
          <t>https://www.sebi.gov.in/sebi_data/attachdocs/feb-2022/1643704377168.pdf</t>
        </is>
      </c>
      <c r="R867" s="18" t="inlineStr">
        <is>
          <t>https://www.sebi.gov.in/filings/public-issues/feb-2022/ethos-limited_55804.html</t>
        </is>
      </c>
      <c r="S867" s="15" t="n"/>
      <c r="T867" s="15" t="inlineStr">
        <is>
          <t>SEBI filing link</t>
        </is>
      </c>
      <c r="U867" s="15" t="inlineStr">
        <is>
          <t>Ethos Limited</t>
        </is>
      </c>
      <c r="V867" s="15" t="n"/>
      <c r="W867" s="15" t="n"/>
      <c r="X867" s="15" t="n"/>
      <c r="Y867" s="15" t="n"/>
      <c r="Z867" s="15" t="n"/>
      <c r="AA867" s="15" t="n"/>
      <c r="AB867" s="15" t="n"/>
    </row>
    <row r="868" ht="15" customHeight="1" s="12">
      <c r="A868" s="14" t="n">
        <v>867</v>
      </c>
      <c r="B868" s="16" t="n">
        <v>44592</v>
      </c>
      <c r="C868" s="15" t="n">
        <v>2022</v>
      </c>
      <c r="D868" s="15" t="inlineStr">
        <is>
          <t>Adani Wilmar Limited</t>
        </is>
      </c>
      <c r="E868" s="15" t="inlineStr">
        <is>
          <t>Corrigendum</t>
        </is>
      </c>
      <c r="F868" s="15" t="inlineStr">
        <is>
          <t>Adani Wilmar Limited - Corrigendum</t>
        </is>
      </c>
      <c r="G868" s="15" t="inlineStr">
        <is>
          <t>No launched IPO found</t>
        </is>
      </c>
      <c r="H868" s="15" t="n"/>
      <c r="I868" s="16" t="n"/>
      <c r="J868" s="16" t="n"/>
      <c r="K868" s="16" t="n"/>
      <c r="L868" s="17" t="n"/>
      <c r="M868" s="17" t="n"/>
      <c r="N868" s="17" t="n"/>
      <c r="O868" s="15" t="n"/>
      <c r="P868" s="15" t="n"/>
      <c r="Q868" s="18" t="inlineStr">
        <is>
          <t>https://www.sebi.gov.in/sebi_data/attachdocs/jan-2022/1643625050275.pdf</t>
        </is>
      </c>
      <c r="R868" s="18" t="inlineStr">
        <is>
          <t>https://www.sebi.gov.in/filings/public-issues/jan-2022/adani-wilmar-limited-corrigendum_55746.html</t>
        </is>
      </c>
      <c r="S868" s="15" t="n"/>
      <c r="T868" s="15" t="n"/>
      <c r="U868" s="15" t="n"/>
      <c r="V868" s="15" t="inlineStr">
        <is>
          <t>Same-name IPO opened 27-Jan-2022 — outside 2 years of this filing, so not linked</t>
        </is>
      </c>
      <c r="W868" s="16" t="n"/>
      <c r="X868" s="16" t="n"/>
      <c r="Y868" s="16" t="n"/>
      <c r="Z868" s="15" t="inlineStr">
        <is>
          <t>No issue found</t>
        </is>
      </c>
      <c r="AA868" s="15" t="inlineStr">
        <is>
          <t>IPO opened 2022-01-27 (before first_filed 2022-01-31), listed 2022-02-08; so not a later issue.</t>
        </is>
      </c>
      <c r="AB868" s="18" t="inlineStr">
        <is>
          <t>https://www.chittorgarh.com/ipo/adani-wilmar-ipo/1173/</t>
        </is>
      </c>
    </row>
    <row r="869" ht="15" customHeight="1" s="12">
      <c r="A869" s="14" t="n">
        <v>868</v>
      </c>
      <c r="B869" s="16" t="n">
        <v>44590</v>
      </c>
      <c r="C869" s="15" t="n">
        <v>2022</v>
      </c>
      <c r="D869" s="15" t="inlineStr">
        <is>
          <t>Dharmaj Crop Guard Limited</t>
        </is>
      </c>
      <c r="E869" s="15" t="inlineStr">
        <is>
          <t>DRHP</t>
        </is>
      </c>
      <c r="F869" s="15" t="inlineStr">
        <is>
          <t>Dharmaj Crop Guard Limited</t>
        </is>
      </c>
      <c r="G869" s="15" t="inlineStr">
        <is>
          <t>IPO launched</t>
        </is>
      </c>
      <c r="H869" s="15" t="inlineStr">
        <is>
          <t>Mainboard</t>
        </is>
      </c>
      <c r="I869" s="16" t="n">
        <v>44893</v>
      </c>
      <c r="J869" s="16" t="n">
        <v>44895</v>
      </c>
      <c r="K869" s="16" t="n">
        <v>44903</v>
      </c>
      <c r="L869" s="17" t="n">
        <v>251.15</v>
      </c>
      <c r="M869" s="17" t="n">
        <v>216</v>
      </c>
      <c r="N869" s="17" t="n">
        <v>35.15</v>
      </c>
      <c r="O869" s="15" t="inlineStr">
        <is>
          <t>Final issue (ipoplatform)</t>
        </is>
      </c>
      <c r="P869" s="15" t="n"/>
      <c r="Q869" s="18" t="inlineStr">
        <is>
          <t>https://www.sebi.gov.in/sebi_data/attachdocs/jan-2022/1643600980018.pdf</t>
        </is>
      </c>
      <c r="R869" s="18" t="inlineStr">
        <is>
          <t>https://www.sebi.gov.in/filings/public-issues/jan-2022/dharmaj-crop-guard-limited_55731.html</t>
        </is>
      </c>
      <c r="S869" s="15" t="n"/>
      <c r="T869" s="15" t="inlineStr">
        <is>
          <t>SEBI filing link</t>
        </is>
      </c>
      <c r="U869" s="15" t="inlineStr">
        <is>
          <t>Dharmaj Crop Guard Limited</t>
        </is>
      </c>
      <c r="V869" s="15" t="n"/>
      <c r="W869" s="15" t="n"/>
      <c r="X869" s="15" t="n"/>
      <c r="Y869" s="15" t="n"/>
      <c r="Z869" s="15" t="n"/>
      <c r="AA869" s="15" t="n"/>
      <c r="AB869" s="15" t="n"/>
    </row>
    <row r="870" ht="15" customHeight="1" s="12">
      <c r="A870" s="14" t="n">
        <v>869</v>
      </c>
      <c r="B870" s="16" t="n">
        <v>44589</v>
      </c>
      <c r="C870" s="15" t="n">
        <v>2022</v>
      </c>
      <c r="D870" s="15" t="inlineStr">
        <is>
          <t>Imagine Marketing Limited</t>
        </is>
      </c>
      <c r="E870" s="15" t="inlineStr">
        <is>
          <t>DRHP</t>
        </is>
      </c>
      <c r="F870" s="15" t="inlineStr">
        <is>
          <t>Imagine Marketing Limited</t>
        </is>
      </c>
      <c r="G870" s="15" t="inlineStr">
        <is>
          <t>No launched IPO found</t>
        </is>
      </c>
      <c r="H870" s="15" t="n"/>
      <c r="I870" s="16" t="n"/>
      <c r="J870" s="16" t="n"/>
      <c r="K870" s="16" t="n"/>
      <c r="L870" s="17" t="n"/>
      <c r="M870" s="17" t="n"/>
      <c r="N870" s="17" t="n"/>
      <c r="O870" s="15" t="n"/>
      <c r="P870" s="15" t="n"/>
      <c r="Q870" s="18" t="inlineStr">
        <is>
          <t>https://www.sebi.gov.in/sebi_data/attachdocs/jan-2022/1643353844101.PDF</t>
        </is>
      </c>
      <c r="R870" s="18" t="inlineStr">
        <is>
          <t>https://www.sebi.gov.in/filings/public-issues/jan-2022/imagine-marketing-limited_55666.html</t>
        </is>
      </c>
      <c r="S870" s="15" t="n"/>
      <c r="T870" s="15" t="n"/>
      <c r="U870" s="15" t="n"/>
      <c r="V870" s="15" t="n"/>
      <c r="W870" s="16" t="n"/>
      <c r="X870" s="16" t="n"/>
      <c r="Y870" s="16" t="n"/>
      <c r="Z870" s="15" t="inlineStr">
        <is>
          <t>No issue found</t>
        </is>
      </c>
      <c r="AA870" s="15" t="inlineStr">
        <is>
          <t>boAt; SEBI nod 1-Aug-2025; dates not announced</t>
        </is>
      </c>
      <c r="AB870" s="18" t="inlineStr">
        <is>
          <t>https://www.chittorgarh.com/ipo/boat-ipo/2310/</t>
        </is>
      </c>
    </row>
    <row r="871" ht="15" customHeight="1" s="12">
      <c r="A871" s="14" t="n">
        <v>870</v>
      </c>
      <c r="B871" s="16" t="n">
        <v>44586</v>
      </c>
      <c r="C871" s="15" t="n">
        <v>2022</v>
      </c>
      <c r="D871" s="15" t="inlineStr">
        <is>
          <t>FabIndia Limited</t>
        </is>
      </c>
      <c r="E871" s="15" t="inlineStr">
        <is>
          <t>DRHP</t>
        </is>
      </c>
      <c r="F871" s="15" t="inlineStr">
        <is>
          <t>FabIndia Limited</t>
        </is>
      </c>
      <c r="G871" s="15" t="inlineStr">
        <is>
          <t>No launched IPO found</t>
        </is>
      </c>
      <c r="H871" s="15" t="n"/>
      <c r="I871" s="16" t="n"/>
      <c r="J871" s="16" t="n"/>
      <c r="K871" s="16" t="n"/>
      <c r="L871" s="17" t="n"/>
      <c r="M871" s="17" t="n"/>
      <c r="N871" s="17" t="n"/>
      <c r="O871" s="15" t="n"/>
      <c r="P871" s="15" t="n"/>
      <c r="Q871" s="18" t="inlineStr">
        <is>
          <t>https://www.sebi.gov.in/sebi_data/attachdocs/jan-2022/1643089255412.pdf</t>
        </is>
      </c>
      <c r="R871" s="18" t="inlineStr">
        <is>
          <t>https://www.sebi.gov.in/filings/public-issues/jan-2022/fabindia-limited_55532.html</t>
        </is>
      </c>
      <c r="S871" s="15" t="n"/>
      <c r="T871" s="15" t="n"/>
      <c r="U871" s="15" t="n"/>
      <c r="V871" s="15" t="n"/>
      <c r="W871" s="16" t="n"/>
      <c r="X871" s="16" t="n"/>
      <c r="Y871" s="16" t="n"/>
      <c r="Z871" s="15" t="inlineStr">
        <is>
          <t>No issue found</t>
        </is>
      </c>
      <c r="AA871" s="15" t="inlineStr">
        <is>
          <t>Dates still 'to be announced' on IPO sites; no issue found.</t>
        </is>
      </c>
      <c r="AB871" s="18" t="inlineStr">
        <is>
          <t>https://www.5paisa.com/ipo/fabindia-ltd-ipo</t>
        </is>
      </c>
    </row>
    <row r="872" ht="15" customHeight="1" s="12">
      <c r="A872" s="14" t="n">
        <v>871</v>
      </c>
      <c r="B872" s="16" t="n">
        <v>44585</v>
      </c>
      <c r="C872" s="15" t="n">
        <v>2022</v>
      </c>
      <c r="D872" s="15" t="inlineStr">
        <is>
          <t>Dreamfolks Services Limited</t>
        </is>
      </c>
      <c r="E872" s="15" t="inlineStr">
        <is>
          <t>DRHP</t>
        </is>
      </c>
      <c r="F872" s="15" t="inlineStr">
        <is>
          <t>Dreamfolks Services Limited</t>
        </is>
      </c>
      <c r="G872" s="15" t="inlineStr">
        <is>
          <t>IPO launched</t>
        </is>
      </c>
      <c r="H872" s="15" t="inlineStr">
        <is>
          <t>Mainboard</t>
        </is>
      </c>
      <c r="I872" s="16" t="n">
        <v>44797</v>
      </c>
      <c r="J872" s="16" t="n">
        <v>44797</v>
      </c>
      <c r="K872" s="16" t="n">
        <v>44810</v>
      </c>
      <c r="L872" s="17" t="n">
        <v>562.1</v>
      </c>
      <c r="M872" s="17" t="n">
        <v>562.1</v>
      </c>
      <c r="N872" s="17" t="n">
        <v>0</v>
      </c>
      <c r="O872" s="15" t="inlineStr">
        <is>
          <t>Final issue (ipoplatform)</t>
        </is>
      </c>
      <c r="P872" s="15" t="n"/>
      <c r="Q872" s="18" t="inlineStr">
        <is>
          <t>https://www.sebi.gov.in/sebi_data/attachdocs/jan-2022/1643024252581.PDF</t>
        </is>
      </c>
      <c r="R872" s="18" t="inlineStr">
        <is>
          <t>https://www.sebi.gov.in/filings/public-issues/jan-2022/dreamfolks-services-limited_55509.html</t>
        </is>
      </c>
      <c r="S872" s="15" t="n"/>
      <c r="T872" s="15" t="inlineStr">
        <is>
          <t>SEBI filing link</t>
        </is>
      </c>
      <c r="U872" s="15" t="inlineStr">
        <is>
          <t>Dreamfolks Services Limited</t>
        </is>
      </c>
      <c r="V872" s="15" t="n"/>
      <c r="W872" s="15" t="n"/>
      <c r="X872" s="15" t="n"/>
      <c r="Y872" s="15" t="n"/>
      <c r="Z872" s="15" t="n"/>
      <c r="AA872" s="15" t="n"/>
      <c r="AB872" s="15" t="n"/>
    </row>
    <row r="873" ht="15" customHeight="1" s="12">
      <c r="A873" s="14" t="n">
        <v>872</v>
      </c>
      <c r="B873" s="16" t="n">
        <v>44585</v>
      </c>
      <c r="C873" s="15" t="n">
        <v>2022</v>
      </c>
      <c r="D873" s="15" t="inlineStr">
        <is>
          <t>Nandan Terry Limited</t>
        </is>
      </c>
      <c r="E873" s="15" t="inlineStr">
        <is>
          <t>Corrigendum</t>
        </is>
      </c>
      <c r="F873" s="15" t="inlineStr">
        <is>
          <t>Nandan Terry Limited- Corrigendum</t>
        </is>
      </c>
      <c r="G873" s="15" t="inlineStr">
        <is>
          <t>No launched IPO found</t>
        </is>
      </c>
      <c r="H873" s="15" t="n"/>
      <c r="I873" s="16" t="n"/>
      <c r="J873" s="16" t="n"/>
      <c r="K873" s="16" t="n"/>
      <c r="L873" s="17" t="n"/>
      <c r="M873" s="17" t="n"/>
      <c r="N873" s="17" t="n"/>
      <c r="O873" s="15" t="n"/>
      <c r="P873" s="15" t="n"/>
      <c r="Q873" s="18" t="inlineStr">
        <is>
          <t>https://www.sebi.gov.in/sebi_data/attachdocs/jan-2022/1643024168944.pdf</t>
        </is>
      </c>
      <c r="R873" s="18" t="inlineStr">
        <is>
          <t>https://www.sebi.gov.in/filings/public-issues/jan-2022/nandan-terry-limited-corrigendum_55508.html</t>
        </is>
      </c>
      <c r="S873" s="15" t="n"/>
      <c r="T873" s="15" t="n"/>
      <c r="U873" s="15" t="n"/>
      <c r="V873" s="15" t="n"/>
      <c r="W873" s="16" t="n"/>
      <c r="X873" s="16" t="n"/>
      <c r="Y873" s="16" t="n"/>
      <c r="Z873" s="15" t="inlineStr">
        <is>
          <t>No issue found</t>
        </is>
      </c>
      <c r="AA873" s="15" t="inlineStr">
        <is>
          <t>Business Standard lists the company but shows no issue dates; web search limit reached</t>
        </is>
      </c>
      <c r="AB873" s="18" t="inlineStr">
        <is>
          <t>https://www.business-standard.com/markets/ipo/nandan-terry-ltd-ipo-75820</t>
        </is>
      </c>
    </row>
    <row r="874" ht="15" customHeight="1" s="12">
      <c r="A874" s="14" t="n">
        <v>873</v>
      </c>
      <c r="B874" s="16" t="n">
        <v>44581</v>
      </c>
      <c r="C874" s="15" t="n">
        <v>2022</v>
      </c>
      <c r="D874" s="15" t="inlineStr">
        <is>
          <t>Landmark Cars Limited</t>
        </is>
      </c>
      <c r="E874" s="15" t="inlineStr">
        <is>
          <t>DRHP</t>
        </is>
      </c>
      <c r="F874" s="15" t="inlineStr">
        <is>
          <t>Landmark Cars Limited</t>
        </is>
      </c>
      <c r="G874" s="15" t="inlineStr">
        <is>
          <t>IPO launched</t>
        </is>
      </c>
      <c r="H874" s="15" t="inlineStr">
        <is>
          <t>Mainboard</t>
        </is>
      </c>
      <c r="I874" s="16" t="n">
        <v>44908</v>
      </c>
      <c r="J874" s="16" t="n">
        <v>44910</v>
      </c>
      <c r="K874" s="16" t="n">
        <v>44918</v>
      </c>
      <c r="L874" s="17" t="n">
        <v>552</v>
      </c>
      <c r="M874" s="17" t="n">
        <v>150</v>
      </c>
      <c r="N874" s="17" t="n">
        <v>402</v>
      </c>
      <c r="O874" s="15" t="inlineStr">
        <is>
          <t>Final issue (ipoplatform)</t>
        </is>
      </c>
      <c r="P874" s="15" t="n"/>
      <c r="Q874" s="18" t="inlineStr">
        <is>
          <t>https://www.sebi.gov.in/sebi_data/attachdocs/jan-2022/1642660211430.pdf</t>
        </is>
      </c>
      <c r="R874" s="18" t="inlineStr">
        <is>
          <t>https://www.sebi.gov.in/filings/public-issues/jan-2022/landmark-cars-limited_55417.html</t>
        </is>
      </c>
      <c r="S874" s="15" t="n"/>
      <c r="T874" s="15" t="inlineStr">
        <is>
          <t>SEBI filing link</t>
        </is>
      </c>
      <c r="U874" s="15" t="inlineStr">
        <is>
          <t>Landmark Cars Limited</t>
        </is>
      </c>
      <c r="V874" s="15" t="n"/>
      <c r="W874" s="15" t="n"/>
      <c r="X874" s="15" t="n"/>
      <c r="Y874" s="15" t="n"/>
      <c r="Z874" s="15" t="n"/>
      <c r="AA874" s="15" t="n"/>
      <c r="AB874" s="15" t="n"/>
    </row>
    <row r="875" ht="15" customHeight="1" s="12">
      <c r="A875" s="14" t="n">
        <v>874</v>
      </c>
      <c r="B875" s="16" t="n">
        <v>44572</v>
      </c>
      <c r="C875" s="15" t="n">
        <v>2022</v>
      </c>
      <c r="D875" s="15" t="inlineStr">
        <is>
          <t>Sresta Natural Bioproducts Limited</t>
        </is>
      </c>
      <c r="E875" s="15" t="inlineStr">
        <is>
          <t>DRHP</t>
        </is>
      </c>
      <c r="F875" s="15" t="inlineStr">
        <is>
          <t>Sresta Natural Bioproducts Limited</t>
        </is>
      </c>
      <c r="G875" s="15" t="inlineStr">
        <is>
          <t>No launched IPO found</t>
        </is>
      </c>
      <c r="H875" s="15" t="n"/>
      <c r="I875" s="16" t="n"/>
      <c r="J875" s="16" t="n"/>
      <c r="K875" s="16" t="n"/>
      <c r="L875" s="17" t="n"/>
      <c r="M875" s="17" t="n"/>
      <c r="N875" s="17" t="n"/>
      <c r="O875" s="15" t="n"/>
      <c r="P875" s="15" t="n"/>
      <c r="Q875" s="18" t="inlineStr">
        <is>
          <t>https://www.sebi.gov.in/sebi_data/attachdocs/jan-2022/1641882492892.pdf</t>
        </is>
      </c>
      <c r="R875" s="18" t="inlineStr">
        <is>
          <t>https://www.sebi.gov.in/filings/public-issues/jan-2022/sresta-natural-bioproducts-limited_55257.html</t>
        </is>
      </c>
      <c r="S875" s="15" t="n"/>
      <c r="T875" s="15" t="n"/>
      <c r="U875" s="15" t="n"/>
      <c r="V875" s="15" t="n"/>
      <c r="W875" s="16" t="n"/>
      <c r="X875" s="16" t="n"/>
      <c r="Y875" s="16" t="n"/>
      <c r="Z875" s="15" t="inlineStr">
        <is>
          <t>No issue found</t>
        </is>
      </c>
      <c r="AA875" s="15" t="inlineStr">
        <is>
          <t>Business Standard lists the company but shows no issue dates; web search limit reached</t>
        </is>
      </c>
      <c r="AB875" s="18" t="inlineStr">
        <is>
          <t>https://www.business-standard.com/markets/ipo/sresta-natural-bioproducts-ltd-ipo-66553</t>
        </is>
      </c>
    </row>
    <row r="876" ht="15" customHeight="1" s="12">
      <c r="A876" s="14" t="n">
        <v>875</v>
      </c>
      <c r="B876" s="16" t="n">
        <v>44571</v>
      </c>
      <c r="C876" s="15" t="n">
        <v>2022</v>
      </c>
      <c r="D876" s="15" t="inlineStr">
        <is>
          <t>Sanathan Textiles Limited</t>
        </is>
      </c>
      <c r="E876" s="15" t="inlineStr">
        <is>
          <t>DRHP</t>
        </is>
      </c>
      <c r="F876" s="15" t="inlineStr">
        <is>
          <t>Sanathan Textiles Limited</t>
        </is>
      </c>
      <c r="G876" s="15" t="inlineStr">
        <is>
          <t>No launched IPO found</t>
        </is>
      </c>
      <c r="H876" s="15" t="n"/>
      <c r="I876" s="16" t="n"/>
      <c r="J876" s="16" t="n"/>
      <c r="K876" s="16" t="n"/>
      <c r="L876" s="17" t="n"/>
      <c r="M876" s="17" t="n"/>
      <c r="N876" s="17" t="n"/>
      <c r="O876" s="15" t="n"/>
      <c r="P876" s="15" t="n"/>
      <c r="Q876" s="18" t="inlineStr">
        <is>
          <t>https://www.sebi.gov.in/sebi_data/attachdocs/may-2023/1684477689622.pdf</t>
        </is>
      </c>
      <c r="R876" s="18" t="inlineStr">
        <is>
          <t>https://www.sebi.gov.in/filings/public-issues/jan-2022/sanathan-textiles-limited_55255.html</t>
        </is>
      </c>
      <c r="S876" s="15" t="n"/>
      <c r="T876" s="15" t="n"/>
      <c r="U876" s="15" t="n"/>
      <c r="V876" s="15" t="inlineStr">
        <is>
          <t>Same-name IPO opened 19-Dec-2024 — outside 2 years of this filing, so not linked</t>
        </is>
      </c>
      <c r="W876" s="19" t="n">
        <v>45645</v>
      </c>
      <c r="X876" s="19" t="n">
        <v>45649</v>
      </c>
      <c r="Y876" s="19" t="n">
        <v>45653</v>
      </c>
      <c r="Z876" s="20" t="inlineStr">
        <is>
          <t>Issue opened</t>
        </is>
      </c>
      <c r="AA876" s="15" t="inlineStr">
        <is>
          <t>Matched on chittorgarh.com</t>
        </is>
      </c>
      <c r="AB876" s="18" t="inlineStr">
        <is>
          <t>https://www.chittorgarh.com/ipo/sanathan-textiles-ipo/1940/</t>
        </is>
      </c>
    </row>
    <row r="877" ht="15" customHeight="1" s="12">
      <c r="A877" s="14" t="n">
        <v>876</v>
      </c>
      <c r="B877" s="16" t="n">
        <v>44571</v>
      </c>
      <c r="C877" s="15" t="n">
        <v>2022</v>
      </c>
      <c r="D877" s="15" t="inlineStr">
        <is>
          <t>Course5 Intelligence Limited</t>
        </is>
      </c>
      <c r="E877" s="15" t="inlineStr">
        <is>
          <t>DRHP</t>
        </is>
      </c>
      <c r="F877" s="15" t="inlineStr">
        <is>
          <t>Course5 Intelligence Limited</t>
        </is>
      </c>
      <c r="G877" s="15" t="inlineStr">
        <is>
          <t>No launched IPO found</t>
        </is>
      </c>
      <c r="H877" s="15" t="n"/>
      <c r="I877" s="16" t="n"/>
      <c r="J877" s="16" t="n"/>
      <c r="K877" s="16" t="n"/>
      <c r="L877" s="17" t="n"/>
      <c r="M877" s="17" t="n"/>
      <c r="N877" s="17" t="n"/>
      <c r="O877" s="15" t="n"/>
      <c r="P877" s="15" t="n"/>
      <c r="Q877" s="18" t="inlineStr">
        <is>
          <t>https://www.sebi.gov.in/sebi_data/attachdocs/apr-2023/1682055984160.pdf</t>
        </is>
      </c>
      <c r="R877" s="18" t="inlineStr">
        <is>
          <t>https://www.sebi.gov.in/filings/public-issues/jan-2022/course5-intelligence-limited_55249.html</t>
        </is>
      </c>
      <c r="S877" s="15" t="n"/>
      <c r="T877" s="15" t="n"/>
      <c r="U877" s="15" t="n"/>
      <c r="V877" s="15" t="n"/>
      <c r="W877" s="16" t="n"/>
      <c r="X877" s="16" t="n"/>
      <c r="Y877" s="16" t="n"/>
      <c r="Z877" s="15" t="inlineStr">
        <is>
          <t>No issue found</t>
        </is>
      </c>
      <c r="AA877" s="15" t="inlineStr">
        <is>
          <t>Business Standard lists the company but shows no issue dates; web search limit reached</t>
        </is>
      </c>
      <c r="AB877" s="18" t="inlineStr">
        <is>
          <t>https://www.business-standard.com/markets/ipo/course5-intelligence-ltd-ipo-76399</t>
        </is>
      </c>
    </row>
    <row r="878" ht="15" customHeight="1" s="12">
      <c r="A878" s="14" t="n">
        <v>877</v>
      </c>
      <c r="B878" s="16" t="n">
        <v>44561</v>
      </c>
      <c r="C878" s="15" t="n">
        <v>2021</v>
      </c>
      <c r="D878" s="15" t="inlineStr">
        <is>
          <t>Aether Industries Limited</t>
        </is>
      </c>
      <c r="E878" s="15" t="inlineStr">
        <is>
          <t>DRHP</t>
        </is>
      </c>
      <c r="F878" s="15" t="inlineStr">
        <is>
          <t>Aether Industries Limited</t>
        </is>
      </c>
      <c r="G878" s="15" t="inlineStr">
        <is>
          <t>IPO launched</t>
        </is>
      </c>
      <c r="H878" s="15" t="inlineStr">
        <is>
          <t>Mainboard</t>
        </is>
      </c>
      <c r="I878" s="16" t="n">
        <v>44705</v>
      </c>
      <c r="J878" s="16" t="n">
        <v>44707</v>
      </c>
      <c r="K878" s="16" t="n">
        <v>44715</v>
      </c>
      <c r="L878" s="17" t="n">
        <v>808.04</v>
      </c>
      <c r="M878" s="17" t="n">
        <v>808.04</v>
      </c>
      <c r="N878" s="17" t="n">
        <v>0</v>
      </c>
      <c r="O878" s="15" t="inlineStr">
        <is>
          <t>Final issue (ipoplatform)</t>
        </is>
      </c>
      <c r="P878" s="15" t="n"/>
      <c r="Q878" s="18" t="inlineStr">
        <is>
          <t>https://www.sebi.gov.in/sebi_data/attachdocs/dec-2021/1640926829917.PDF</t>
        </is>
      </c>
      <c r="R878" s="18" t="inlineStr">
        <is>
          <t>https://www.sebi.gov.in/filings/public-issues/dec-2021/aether-industries-limited_55116.html</t>
        </is>
      </c>
      <c r="S878" s="15" t="n"/>
      <c r="T878" s="15" t="inlineStr">
        <is>
          <t>SEBI filing link</t>
        </is>
      </c>
      <c r="U878" s="15" t="inlineStr">
        <is>
          <t>Aether Industries Limited</t>
        </is>
      </c>
      <c r="V878" s="15" t="n"/>
      <c r="W878" s="15" t="n"/>
      <c r="X878" s="15" t="n"/>
      <c r="Y878" s="15" t="n"/>
      <c r="Z878" s="15" t="n"/>
      <c r="AA878" s="15" t="n"/>
      <c r="AB878" s="15" t="n"/>
    </row>
    <row r="879" ht="15" customHeight="1" s="12">
      <c r="A879" s="14" t="n">
        <v>878</v>
      </c>
      <c r="B879" s="16" t="n">
        <v>44558</v>
      </c>
      <c r="C879" s="15" t="n">
        <v>2021</v>
      </c>
      <c r="D879" s="15" t="inlineStr">
        <is>
          <t>Rainbow Childrens Medicare Limited</t>
        </is>
      </c>
      <c r="E879" s="15" t="inlineStr">
        <is>
          <t>DRHP</t>
        </is>
      </c>
      <c r="F879" s="15" t="inlineStr">
        <is>
          <t>Rainbow Childrens Medicare Limited</t>
        </is>
      </c>
      <c r="G879" s="15" t="inlineStr">
        <is>
          <t>IPO launched</t>
        </is>
      </c>
      <c r="H879" s="15" t="inlineStr">
        <is>
          <t>Mainboard</t>
        </is>
      </c>
      <c r="I879" s="16" t="n">
        <v>44678</v>
      </c>
      <c r="J879" s="16" t="n">
        <v>44680</v>
      </c>
      <c r="K879" s="16" t="n">
        <v>44691</v>
      </c>
      <c r="L879" s="17" t="n">
        <v>1580.85</v>
      </c>
      <c r="M879" s="17" t="n">
        <v>1580.85</v>
      </c>
      <c r="N879" s="17" t="n">
        <v>0</v>
      </c>
      <c r="O879" s="15" t="inlineStr">
        <is>
          <t>Final issue (ipoplatform)</t>
        </is>
      </c>
      <c r="P879" s="15" t="n"/>
      <c r="Q879" s="18" t="inlineStr">
        <is>
          <t>https://www.sebi.gov.in/sebi_data/attachdocs/dec-2021/1640691609915.pdf</t>
        </is>
      </c>
      <c r="R879" s="18" t="inlineStr">
        <is>
          <t>https://www.sebi.gov.in/filings/public-issues/dec-2021/rainbow-childrens-medicare-limited_55030.html</t>
        </is>
      </c>
      <c r="S879" s="15" t="n"/>
      <c r="T879" s="15" t="inlineStr">
        <is>
          <t>SEBI filing link</t>
        </is>
      </c>
      <c r="U879" s="15" t="inlineStr">
        <is>
          <t>Rainbow Children's Medicare Limited</t>
        </is>
      </c>
      <c r="V879" s="15" t="n"/>
      <c r="W879" s="15" t="n"/>
      <c r="X879" s="15" t="n"/>
      <c r="Y879" s="15" t="n"/>
      <c r="Z879" s="15" t="n"/>
      <c r="AA879" s="15" t="n"/>
      <c r="AB879" s="15" t="n"/>
    </row>
    <row r="880" ht="15" customHeight="1" s="12">
      <c r="A880" s="14" t="n">
        <v>879</v>
      </c>
      <c r="B880" s="16" t="n">
        <v>44558</v>
      </c>
      <c r="C880" s="15" t="n">
        <v>2021</v>
      </c>
      <c r="D880" s="15" t="inlineStr">
        <is>
          <t>Protean eGov Technologies Limited</t>
        </is>
      </c>
      <c r="E880" s="15" t="inlineStr">
        <is>
          <t>DRHP</t>
        </is>
      </c>
      <c r="F880" s="15" t="inlineStr">
        <is>
          <t>Protean eGov Technologies Limited</t>
        </is>
      </c>
      <c r="G880" s="15" t="inlineStr">
        <is>
          <t>IPO launched</t>
        </is>
      </c>
      <c r="H880" s="15" t="inlineStr">
        <is>
          <t>Mainboard</t>
        </is>
      </c>
      <c r="I880" s="16" t="n">
        <v>45236</v>
      </c>
      <c r="J880" s="16" t="n">
        <v>45238</v>
      </c>
      <c r="K880" s="16" t="n">
        <v>45243</v>
      </c>
      <c r="L880" s="17" t="n">
        <v>490.33</v>
      </c>
      <c r="M880" s="17" t="n">
        <v>490.33</v>
      </c>
      <c r="N880" s="17" t="n">
        <v>0</v>
      </c>
      <c r="O880" s="15" t="inlineStr">
        <is>
          <t>Final issue (ipoplatform)</t>
        </is>
      </c>
      <c r="P880" s="15" t="n"/>
      <c r="Q880" s="18" t="inlineStr">
        <is>
          <t>https://www.sebi.gov.in/sebi_data/attachdocs/dec-2021/1640667337266.PDF</t>
        </is>
      </c>
      <c r="R880" s="18" t="inlineStr">
        <is>
          <t>https://www.sebi.gov.in/filings/public-issues/dec-2021/protean-egov-technologies-limited_55005.html</t>
        </is>
      </c>
      <c r="S880" s="15" t="n"/>
      <c r="T880" s="15" t="inlineStr">
        <is>
          <t>SEBI filing link</t>
        </is>
      </c>
      <c r="U880" s="15" t="inlineStr">
        <is>
          <t>Protean eGov Technologies Limited</t>
        </is>
      </c>
      <c r="V880" s="15" t="n"/>
      <c r="W880" s="15" t="n"/>
      <c r="X880" s="15" t="n"/>
      <c r="Y880" s="15" t="n"/>
      <c r="Z880" s="15" t="n"/>
      <c r="AA880" s="15" t="n"/>
      <c r="AB880" s="15" t="n"/>
    </row>
    <row r="881" ht="15" customHeight="1" s="12">
      <c r="A881" s="14" t="n">
        <v>880</v>
      </c>
      <c r="B881" s="16" t="n">
        <v>44557</v>
      </c>
      <c r="C881" s="15" t="n">
        <v>2021</v>
      </c>
      <c r="D881" s="15" t="inlineStr">
        <is>
          <t>Campus Activewear Limited</t>
        </is>
      </c>
      <c r="E881" s="15" t="inlineStr">
        <is>
          <t>DRHP</t>
        </is>
      </c>
      <c r="F881" s="15" t="inlineStr">
        <is>
          <t>Campus Activewear Limited</t>
        </is>
      </c>
      <c r="G881" s="15" t="inlineStr">
        <is>
          <t>IPO launched</t>
        </is>
      </c>
      <c r="H881" s="15" t="inlineStr">
        <is>
          <t>Mainboard</t>
        </is>
      </c>
      <c r="I881" s="16" t="n">
        <v>44677</v>
      </c>
      <c r="J881" s="16" t="n">
        <v>44679</v>
      </c>
      <c r="K881" s="16" t="n">
        <v>44690</v>
      </c>
      <c r="L881" s="17" t="n">
        <v>1400.14</v>
      </c>
      <c r="M881" s="17" t="n">
        <v>1400.14</v>
      </c>
      <c r="N881" s="17" t="n">
        <v>0</v>
      </c>
      <c r="O881" s="15" t="inlineStr">
        <is>
          <t>Final issue (ipoplatform)</t>
        </is>
      </c>
      <c r="P881" s="15" t="n"/>
      <c r="Q881" s="18" t="inlineStr">
        <is>
          <t>https://www.sebi.gov.in/sebi_data/attachdocs/may-2023/1684478101993.pdf</t>
        </is>
      </c>
      <c r="R881" s="18" t="inlineStr">
        <is>
          <t>https://www.sebi.gov.in/filings/public-issues/dec-2021/campus-activewear-limited_54993.html</t>
        </is>
      </c>
      <c r="S881" s="15" t="n"/>
      <c r="T881" s="15" t="inlineStr">
        <is>
          <t>SEBI filing link</t>
        </is>
      </c>
      <c r="U881" s="15" t="inlineStr">
        <is>
          <t>Campus Activewear Limited</t>
        </is>
      </c>
      <c r="V881" s="15" t="n"/>
      <c r="W881" s="15" t="n"/>
      <c r="X881" s="15" t="n"/>
      <c r="Y881" s="15" t="n"/>
      <c r="Z881" s="15" t="n"/>
      <c r="AA881" s="15" t="n"/>
      <c r="AB881" s="15" t="n"/>
    </row>
    <row r="882" ht="15" customHeight="1" s="12">
      <c r="A882" s="14" t="n">
        <v>881</v>
      </c>
      <c r="B882" s="16" t="n">
        <v>44557</v>
      </c>
      <c r="C882" s="15" t="n">
        <v>2021</v>
      </c>
      <c r="D882" s="15" t="inlineStr">
        <is>
          <t>Bharat FIH Limited</t>
        </is>
      </c>
      <c r="E882" s="15" t="inlineStr">
        <is>
          <t>DRHP</t>
        </is>
      </c>
      <c r="F882" s="15" t="inlineStr">
        <is>
          <t>Bharat FIH Limited</t>
        </is>
      </c>
      <c r="G882" s="15" t="inlineStr">
        <is>
          <t>No launched IPO found</t>
        </is>
      </c>
      <c r="H882" s="15" t="n"/>
      <c r="I882" s="16" t="n"/>
      <c r="J882" s="16" t="n"/>
      <c r="K882" s="16" t="n"/>
      <c r="L882" s="17" t="n"/>
      <c r="M882" s="17" t="n"/>
      <c r="N882" s="17" t="n"/>
      <c r="O882" s="15" t="n"/>
      <c r="P882" s="15" t="n"/>
      <c r="Q882" s="18" t="inlineStr">
        <is>
          <t>https://www.sebi.gov.in/sebi_data/attachdocs/dec-2021/1640598942536.pdf</t>
        </is>
      </c>
      <c r="R882" s="18" t="inlineStr">
        <is>
          <t>https://www.sebi.gov.in/filings/public-issues/dec-2021/bharat-fih-limited_54984.html</t>
        </is>
      </c>
      <c r="S882" s="15" t="n"/>
      <c r="T882" s="15" t="n"/>
      <c r="U882" s="15" t="n"/>
      <c r="V882" s="15" t="n"/>
      <c r="W882" s="16" t="n"/>
      <c r="X882" s="16" t="n"/>
      <c r="Y882" s="16" t="n"/>
      <c r="Z882" s="15" t="inlineStr">
        <is>
          <t>No issue found</t>
        </is>
      </c>
      <c r="AA882" s="15" t="inlineStr">
        <is>
          <t>Business Standard lists the company but shows no issue dates; web search limit reached</t>
        </is>
      </c>
      <c r="AB882" s="18" t="inlineStr">
        <is>
          <t>https://www.business-standard.com/markets/ipo/bharat-fih-ltd-ipo-75553</t>
        </is>
      </c>
    </row>
    <row r="883" ht="15" customHeight="1" s="12">
      <c r="A883" s="14" t="n">
        <v>882</v>
      </c>
      <c r="B883" s="16" t="n">
        <v>44557</v>
      </c>
      <c r="C883" s="15" t="n">
        <v>2021</v>
      </c>
      <c r="D883" s="15" t="inlineStr">
        <is>
          <t>Venus Pipes &amp; Tubes Limited</t>
        </is>
      </c>
      <c r="E883" s="15" t="inlineStr">
        <is>
          <t>DRHP</t>
        </is>
      </c>
      <c r="F883" s="15" t="inlineStr">
        <is>
          <t>Venus Pipes &amp; Tubes Limited</t>
        </is>
      </c>
      <c r="G883" s="15" t="inlineStr">
        <is>
          <t>IPO launched</t>
        </is>
      </c>
      <c r="H883" s="15" t="inlineStr">
        <is>
          <t>Mainboard</t>
        </is>
      </c>
      <c r="I883" s="16" t="n">
        <v>44692</v>
      </c>
      <c r="J883" s="16" t="n">
        <v>44694</v>
      </c>
      <c r="K883" s="16" t="n">
        <v>44705</v>
      </c>
      <c r="L883" s="17" t="n">
        <v>165.42</v>
      </c>
      <c r="M883" s="17" t="n">
        <v>165.42</v>
      </c>
      <c r="N883" s="17" t="n">
        <v>0</v>
      </c>
      <c r="O883" s="15" t="inlineStr">
        <is>
          <t>Final issue (ipoplatform)</t>
        </is>
      </c>
      <c r="P883" s="15" t="n"/>
      <c r="Q883" s="18" t="inlineStr">
        <is>
          <t>https://www.sebi.gov.in/sebi_data/attachdocs/mar-2023/1680236774794.pdf</t>
        </is>
      </c>
      <c r="R883" s="18" t="inlineStr">
        <is>
          <t>https://www.sebi.gov.in/filings/public-issues/dec-2021/venus-pipes-and-tubes-limited_54981.html</t>
        </is>
      </c>
      <c r="S883" s="15" t="n"/>
      <c r="T883" s="15" t="inlineStr">
        <is>
          <t>SEBI filing link</t>
        </is>
      </c>
      <c r="U883" s="15" t="inlineStr">
        <is>
          <t>Venus Pipes &amp; Tubes Limited</t>
        </is>
      </c>
      <c r="V883" s="15" t="n"/>
      <c r="W883" s="15" t="n"/>
      <c r="X883" s="15" t="n"/>
      <c r="Y883" s="15" t="n"/>
      <c r="Z883" s="15" t="n"/>
      <c r="AA883" s="15" t="n"/>
      <c r="AB883" s="15" t="n"/>
    </row>
    <row r="884" ht="15" customHeight="1" s="12">
      <c r="A884" s="14" t="n">
        <v>883</v>
      </c>
      <c r="B884" s="16" t="n">
        <v>44557</v>
      </c>
      <c r="C884" s="15" t="n">
        <v>2021</v>
      </c>
      <c r="D884" s="15" t="inlineStr">
        <is>
          <t>TBO TEK Limited</t>
        </is>
      </c>
      <c r="E884" s="15" t="inlineStr">
        <is>
          <t>DRHP</t>
        </is>
      </c>
      <c r="F884" s="15" t="inlineStr">
        <is>
          <t>TBO TEK Limited</t>
        </is>
      </c>
      <c r="G884" s="15" t="inlineStr">
        <is>
          <t>No launched IPO found</t>
        </is>
      </c>
      <c r="H884" s="15" t="n"/>
      <c r="I884" s="16" t="n"/>
      <c r="J884" s="16" t="n"/>
      <c r="K884" s="16" t="n"/>
      <c r="L884" s="17" t="n"/>
      <c r="M884" s="17" t="n"/>
      <c r="N884" s="17" t="n"/>
      <c r="O884" s="15" t="n"/>
      <c r="P884" s="15" t="n"/>
      <c r="Q884" s="18" t="inlineStr">
        <is>
          <t>https://www.sebi.gov.in/sebi_data/attachdocs/apr-2023/1682056189212.pdf</t>
        </is>
      </c>
      <c r="R884" s="18" t="inlineStr">
        <is>
          <t>https://www.sebi.gov.in/filings/public-issues/dec-2021/tbo-tek-limited_54978.html</t>
        </is>
      </c>
      <c r="S884" s="15" t="n"/>
      <c r="T884" s="15" t="n"/>
      <c r="U884" s="15" t="n"/>
      <c r="V884" s="15" t="inlineStr">
        <is>
          <t>Same-name IPO opened 08-May-2024 — outside 2 years of this filing, so not linked</t>
        </is>
      </c>
      <c r="W884" s="19" t="n">
        <v>45420</v>
      </c>
      <c r="X884" s="19" t="n">
        <v>45422</v>
      </c>
      <c r="Y884" s="19" t="n">
        <v>45427</v>
      </c>
      <c r="Z884" s="20" t="inlineStr">
        <is>
          <t>Issue opened</t>
        </is>
      </c>
      <c r="AA884" s="15" t="inlineStr">
        <is>
          <t>Matched on chittorgarh.com</t>
        </is>
      </c>
      <c r="AB884" s="18" t="inlineStr">
        <is>
          <t>https://www.chittorgarh.com/ipo/tbo-tek-ipo/1716/</t>
        </is>
      </c>
    </row>
    <row r="885" ht="15" customHeight="1" s="12">
      <c r="A885" s="14" t="n">
        <v>884</v>
      </c>
      <c r="B885" s="16" t="n">
        <v>44557</v>
      </c>
      <c r="C885" s="15" t="n">
        <v>2021</v>
      </c>
      <c r="D885" s="15" t="inlineStr">
        <is>
          <t>Capillary Technologies India Limited</t>
        </is>
      </c>
      <c r="E885" s="15" t="inlineStr">
        <is>
          <t>DRHP</t>
        </is>
      </c>
      <c r="F885" s="15" t="inlineStr">
        <is>
          <t>Capillary Technologies India Limited</t>
        </is>
      </c>
      <c r="G885" s="15" t="inlineStr">
        <is>
          <t>No launched IPO found</t>
        </is>
      </c>
      <c r="H885" s="15" t="n"/>
      <c r="I885" s="16" t="n"/>
      <c r="J885" s="16" t="n"/>
      <c r="K885" s="16" t="n"/>
      <c r="L885" s="17" t="n"/>
      <c r="M885" s="17" t="n"/>
      <c r="N885" s="17" t="n"/>
      <c r="O885" s="15" t="n"/>
      <c r="P885" s="15" t="n"/>
      <c r="Q885" s="18" t="inlineStr">
        <is>
          <t>https://www.sebi.gov.in/sebi_data/attachdocs/dec-2021/1640597265468.pdf</t>
        </is>
      </c>
      <c r="R885" s="18" t="inlineStr">
        <is>
          <t>https://www.sebi.gov.in/filings/public-issues/dec-2021/capillary-technologies-india-limited_54977.html</t>
        </is>
      </c>
      <c r="S885" s="15" t="n"/>
      <c r="T885" s="15" t="n"/>
      <c r="U885" s="15" t="n"/>
      <c r="V885" s="15" t="inlineStr">
        <is>
          <t>Same-name IPO opened 14-Nov-2025 — outside 2 years of this filing, so not linked</t>
        </is>
      </c>
      <c r="W885" s="25" t="n">
        <v>45975</v>
      </c>
      <c r="X885" s="25" t="n">
        <v>45979</v>
      </c>
      <c r="Y885" s="25" t="n">
        <v>45982</v>
      </c>
      <c r="Z885" s="26" t="inlineStr">
        <is>
          <t>Later IPO — not from this draft</t>
        </is>
      </c>
      <c r="AA885" s="15" t="inlineStr">
        <is>
          <t>Opened 3.9 yrs after this filing, under a later draft</t>
        </is>
      </c>
      <c r="AB885" s="18" t="inlineStr">
        <is>
          <t>https://www.business-standard.com/markets/ipo/capillary-technologies-india-ltd-ipo-76330</t>
        </is>
      </c>
    </row>
    <row r="886" ht="15" customHeight="1" s="12">
      <c r="A886" s="14" t="n">
        <v>885</v>
      </c>
      <c r="B886" s="16" t="n">
        <v>44554</v>
      </c>
      <c r="C886" s="15" t="n">
        <v>2021</v>
      </c>
      <c r="D886" s="15" t="inlineStr">
        <is>
          <t>Hexagon Nutrition Limited</t>
        </is>
      </c>
      <c r="E886" s="15" t="inlineStr">
        <is>
          <t>DRHP</t>
        </is>
      </c>
      <c r="F886" s="15" t="inlineStr">
        <is>
          <t>Hexagon Nutrition Limited</t>
        </is>
      </c>
      <c r="G886" s="15" t="inlineStr">
        <is>
          <t>No launched IPO found</t>
        </is>
      </c>
      <c r="H886" s="15" t="n"/>
      <c r="I886" s="16" t="n"/>
      <c r="J886" s="16" t="n"/>
      <c r="K886" s="16" t="n"/>
      <c r="L886" s="17" t="n"/>
      <c r="M886" s="17" t="n"/>
      <c r="N886" s="17" t="n"/>
      <c r="O886" s="15" t="n"/>
      <c r="P886" s="15" t="n"/>
      <c r="Q886" s="18" t="inlineStr">
        <is>
          <t>https://www.sebi.gov.in/sebi_data/attachdocs/apr-2023/1681708455360.pdf</t>
        </is>
      </c>
      <c r="R886" s="18" t="inlineStr">
        <is>
          <t>https://www.sebi.gov.in/filings/public-issues/dec-2021/hexagon-nutrition-limited_54958.html</t>
        </is>
      </c>
      <c r="S886" s="15" t="n"/>
      <c r="T886" s="15" t="n"/>
      <c r="U886" s="15" t="n"/>
      <c r="V886" s="15" t="inlineStr">
        <is>
          <t>Same-name IPO opened 05-Jun-2026 — outside 2 years of this filing, so not linked</t>
        </is>
      </c>
      <c r="W886" s="25" t="n">
        <v>46178</v>
      </c>
      <c r="X886" s="25" t="n">
        <v>46182</v>
      </c>
      <c r="Y886" s="25" t="n">
        <v>46185</v>
      </c>
      <c r="Z886" s="26" t="inlineStr">
        <is>
          <t>Later IPO — not from this draft</t>
        </is>
      </c>
      <c r="AA886" s="15" t="inlineStr">
        <is>
          <t>Opened 4.4 yrs after this filing, under a later draft</t>
        </is>
      </c>
      <c r="AB886" s="18" t="inlineStr">
        <is>
          <t>https://www.business-standard.com/markets/ipo/hexagon-nutrition-ltd-ipo-69779</t>
        </is>
      </c>
    </row>
    <row r="887" ht="15" customHeight="1" s="12">
      <c r="A887" s="14" t="n">
        <v>886</v>
      </c>
      <c r="B887" s="16" t="n">
        <v>44552</v>
      </c>
      <c r="C887" s="15" t="n">
        <v>2021</v>
      </c>
      <c r="D887" s="15" t="inlineStr">
        <is>
          <t>Asianet Satellite Communications Limited</t>
        </is>
      </c>
      <c r="E887" s="15" t="inlineStr">
        <is>
          <t>DRHP</t>
        </is>
      </c>
      <c r="F887" s="15" t="inlineStr">
        <is>
          <t>Asianet Satellite Communications Limited</t>
        </is>
      </c>
      <c r="G887" s="15" t="inlineStr">
        <is>
          <t>No launched IPO found</t>
        </is>
      </c>
      <c r="H887" s="15" t="n"/>
      <c r="I887" s="16" t="n"/>
      <c r="J887" s="16" t="n"/>
      <c r="K887" s="16" t="n"/>
      <c r="L887" s="17" t="n"/>
      <c r="M887" s="17" t="n"/>
      <c r="N887" s="17" t="n"/>
      <c r="O887" s="15" t="n"/>
      <c r="P887" s="15" t="n"/>
      <c r="Q887" s="18" t="inlineStr">
        <is>
          <t>https://www.sebi.gov.in/sebi_data/attachdocs/apr-2023/1682056359774.pdf</t>
        </is>
      </c>
      <c r="R887" s="18" t="inlineStr">
        <is>
          <t>https://www.sebi.gov.in/filings/public-issues/dec-2021/asianet-satellite-communications-limited_54857.html</t>
        </is>
      </c>
      <c r="S887" s="15" t="n"/>
      <c r="T887" s="15" t="n"/>
      <c r="U887" s="15" t="n"/>
      <c r="V887" s="15" t="n"/>
      <c r="W887" s="16" t="n"/>
      <c r="X887" s="16" t="n"/>
      <c r="Y887" s="16" t="n"/>
      <c r="Z887" s="15" t="inlineStr">
        <is>
          <t>No issue found</t>
        </is>
      </c>
      <c r="AA887" s="15" t="inlineStr">
        <is>
          <t>Business Standard lists the company but shows no issue dates; web search limit reached</t>
        </is>
      </c>
      <c r="AB887" s="18" t="inlineStr">
        <is>
          <t>https://www.business-standard.com/markets/ipo/asianet-satellite-communication-ltd-ipo-20406</t>
        </is>
      </c>
    </row>
    <row r="888" ht="15" customHeight="1" s="12">
      <c r="A888" s="14" t="n">
        <v>887</v>
      </c>
      <c r="B888" s="16" t="n">
        <v>44551</v>
      </c>
      <c r="C888" s="15" t="n">
        <v>2021</v>
      </c>
      <c r="D888" s="15" t="inlineStr">
        <is>
          <t>Snapdeal Limited</t>
        </is>
      </c>
      <c r="E888" s="15" t="inlineStr">
        <is>
          <t>DRHP</t>
        </is>
      </c>
      <c r="F888" s="15" t="inlineStr">
        <is>
          <t>Snapdeal Limited - DRHP</t>
        </is>
      </c>
      <c r="G888" s="15" t="inlineStr">
        <is>
          <t>No launched IPO found</t>
        </is>
      </c>
      <c r="H888" s="15" t="n"/>
      <c r="I888" s="16" t="n"/>
      <c r="J888" s="16" t="n"/>
      <c r="K888" s="16" t="n"/>
      <c r="L888" s="17" t="n"/>
      <c r="M888" s="17" t="n"/>
      <c r="N888" s="17" t="n"/>
      <c r="O888" s="15" t="n"/>
      <c r="P888" s="15" t="n"/>
      <c r="Q888" s="18" t="inlineStr">
        <is>
          <t>https://www.sebi.gov.in/sebi_data/attachdocs/dec-2021/1640066533522.pdf</t>
        </is>
      </c>
      <c r="R888" s="18" t="inlineStr">
        <is>
          <t>https://www.sebi.gov.in/filings/public-issues/dec-2021/snapdeal-limited-drhp_54826.html</t>
        </is>
      </c>
      <c r="S888" s="15" t="n"/>
      <c r="T888" s="15" t="n"/>
      <c r="U888" s="15" t="n"/>
      <c r="V888" s="15" t="n"/>
      <c r="W888" s="25" t="n">
        <v>46290</v>
      </c>
      <c r="X888" s="25" t="n">
        <v>46294</v>
      </c>
      <c r="Y888" s="25" t="n">
        <v>46300</v>
      </c>
      <c r="Z888" s="26" t="inlineStr">
        <is>
          <t>Later IPO — not from this draft</t>
        </is>
      </c>
      <c r="AA888" s="15" t="inlineStr">
        <is>
          <t>Opened 4.8 yrs after this filing, under a later draft</t>
        </is>
      </c>
      <c r="AB888" s="18" t="inlineStr">
        <is>
          <t>https://www.chittorgarh.com/ipo/snapdeal-ipo/2543/</t>
        </is>
      </c>
    </row>
    <row r="889" ht="15" customHeight="1" s="12">
      <c r="A889" s="14" t="n">
        <v>888</v>
      </c>
      <c r="B889" s="16" t="n">
        <v>44546</v>
      </c>
      <c r="C889" s="15" t="n">
        <v>2021</v>
      </c>
      <c r="D889" s="15" t="inlineStr">
        <is>
          <t>Syrma SGS Technology Limited</t>
        </is>
      </c>
      <c r="E889" s="15" t="inlineStr">
        <is>
          <t>DRHP</t>
        </is>
      </c>
      <c r="F889" s="15" t="inlineStr">
        <is>
          <t>Syrma SGS Technology Limited</t>
        </is>
      </c>
      <c r="G889" s="15" t="inlineStr">
        <is>
          <t>IPO launched</t>
        </is>
      </c>
      <c r="H889" s="15" t="inlineStr">
        <is>
          <t>Mainboard</t>
        </is>
      </c>
      <c r="I889" s="16" t="n">
        <v>44785</v>
      </c>
      <c r="J889" s="16" t="n">
        <v>44791</v>
      </c>
      <c r="K889" s="16" t="n">
        <v>44799</v>
      </c>
      <c r="L889" s="17" t="n">
        <v>840</v>
      </c>
      <c r="M889" s="17" t="n">
        <v>840</v>
      </c>
      <c r="N889" s="17" t="n">
        <v>0</v>
      </c>
      <c r="O889" s="15" t="inlineStr">
        <is>
          <t>Final issue (ipoplatform)</t>
        </is>
      </c>
      <c r="P889" s="15" t="n"/>
      <c r="Q889" s="18" t="inlineStr">
        <is>
          <t>https://www.sebi.gov.in/sebi_data/attachdocs/apr-2023/1681728325244.pdf</t>
        </is>
      </c>
      <c r="R889" s="18" t="inlineStr">
        <is>
          <t>https://www.sebi.gov.in/filings/public-issues/dec-2021/syrma-sgs-technology-limited_54635.html</t>
        </is>
      </c>
      <c r="S889" s="15" t="n"/>
      <c r="T889" s="15" t="inlineStr">
        <is>
          <t>SEBI filing link</t>
        </is>
      </c>
      <c r="U889" s="15" t="inlineStr">
        <is>
          <t>Syrma SGS Technology Ltd</t>
        </is>
      </c>
      <c r="V889" s="15" t="n"/>
      <c r="W889" s="15" t="n"/>
      <c r="X889" s="15" t="n"/>
      <c r="Y889" s="15" t="n"/>
      <c r="Z889" s="15" t="n"/>
      <c r="AA889" s="15" t="n"/>
      <c r="AB889" s="15" t="n"/>
    </row>
    <row r="890" ht="15" customHeight="1" s="12">
      <c r="A890" s="14" t="n">
        <v>889</v>
      </c>
      <c r="B890" s="16" t="n">
        <v>44546</v>
      </c>
      <c r="C890" s="15" t="n">
        <v>2021</v>
      </c>
      <c r="D890" s="15" t="inlineStr">
        <is>
          <t>Nandan Terry Limited</t>
        </is>
      </c>
      <c r="E890" s="15" t="inlineStr">
        <is>
          <t>DRHP</t>
        </is>
      </c>
      <c r="F890" s="15" t="inlineStr">
        <is>
          <t>Nandan Terry Limited</t>
        </is>
      </c>
      <c r="G890" s="15" t="inlineStr">
        <is>
          <t>No launched IPO found</t>
        </is>
      </c>
      <c r="H890" s="15" t="n"/>
      <c r="I890" s="16" t="n"/>
      <c r="J890" s="16" t="n"/>
      <c r="K890" s="16" t="n"/>
      <c r="L890" s="17" t="n"/>
      <c r="M890" s="17" t="n"/>
      <c r="N890" s="17" t="n"/>
      <c r="O890" s="15" t="n"/>
      <c r="P890" s="15" t="n"/>
      <c r="Q890" s="18" t="inlineStr">
        <is>
          <t>https://www.sebi.gov.in/sebi_data/attachdocs/jun-2023/1687844703232.pdf</t>
        </is>
      </c>
      <c r="R890" s="18" t="inlineStr">
        <is>
          <t>https://www.sebi.gov.in/filings/public-issues/dec-2021/nandan-terry-limited_54588.html</t>
        </is>
      </c>
      <c r="S890" s="15" t="n"/>
      <c r="T890" s="15" t="n"/>
      <c r="U890" s="15" t="n"/>
      <c r="V890" s="15" t="n"/>
      <c r="W890" s="16" t="n"/>
      <c r="X890" s="16" t="n"/>
      <c r="Y890" s="16" t="n"/>
      <c r="Z890" s="15" t="inlineStr">
        <is>
          <t>No issue found</t>
        </is>
      </c>
      <c r="AA890" s="15" t="inlineStr">
        <is>
          <t>Business Standard lists the company but shows no issue dates; web search limit reached</t>
        </is>
      </c>
      <c r="AB890" s="18" t="inlineStr">
        <is>
          <t>https://www.business-standard.com/markets/ipo/nandan-terry-ltd-ipo-75820</t>
        </is>
      </c>
    </row>
    <row r="891" ht="15" customHeight="1" s="12">
      <c r="A891" s="14" t="n">
        <v>890</v>
      </c>
      <c r="B891" s="16" t="n">
        <v>44545</v>
      </c>
      <c r="C891" s="15" t="n">
        <v>2021</v>
      </c>
      <c r="D891" s="15" t="inlineStr">
        <is>
          <t>Maini Precision Products Ltd</t>
        </is>
      </c>
      <c r="E891" s="15" t="inlineStr">
        <is>
          <t>DRHP</t>
        </is>
      </c>
      <c r="F891" s="15" t="inlineStr">
        <is>
          <t>Maini Precision Products Ltd</t>
        </is>
      </c>
      <c r="G891" s="15" t="inlineStr">
        <is>
          <t>No launched IPO found</t>
        </is>
      </c>
      <c r="H891" s="15" t="n"/>
      <c r="I891" s="16" t="n"/>
      <c r="J891" s="16" t="n"/>
      <c r="K891" s="16" t="n"/>
      <c r="L891" s="17" t="n"/>
      <c r="M891" s="17" t="n"/>
      <c r="N891" s="17" t="n"/>
      <c r="O891" s="15" t="n"/>
      <c r="P891" s="15" t="n"/>
      <c r="Q891" s="18" t="inlineStr">
        <is>
          <t>https://www.sebi.gov.in/sebi_data/attachdocs/may-2023/1684478880364.pdf</t>
        </is>
      </c>
      <c r="R891" s="18" t="inlineStr">
        <is>
          <t>https://www.sebi.gov.in/filings/public-issues/dec-2021/maini-precision-products-ltd_54615.html</t>
        </is>
      </c>
      <c r="S891" s="15" t="n"/>
      <c r="T891" s="15" t="n"/>
      <c r="U891" s="15" t="n"/>
      <c r="V891" s="15" t="n"/>
      <c r="W891" s="16" t="n"/>
      <c r="X891" s="16" t="n"/>
      <c r="Y891" s="16" t="n"/>
      <c r="Z891" s="15" t="inlineStr">
        <is>
          <t>No issue found</t>
        </is>
      </c>
      <c r="AA891" s="15" t="inlineStr">
        <is>
          <t>Business Standard lists the company but shows no issue dates; web search limit reached</t>
        </is>
      </c>
      <c r="AB891" s="18" t="inlineStr">
        <is>
          <t>https://www.business-standard.com/markets/ipo/maini-precision-products-ltd-ipo-15381</t>
        </is>
      </c>
    </row>
    <row r="892" ht="15" customHeight="1" s="12">
      <c r="A892" s="14" t="n">
        <v>891</v>
      </c>
      <c r="B892" s="16" t="n">
        <v>44540</v>
      </c>
      <c r="C892" s="15" t="n">
        <v>2021</v>
      </c>
      <c r="D892" s="15" t="inlineStr">
        <is>
          <t>CMR Green Technologies Limited</t>
        </is>
      </c>
      <c r="E892" s="15" t="inlineStr">
        <is>
          <t>Addendum cum Corrigendum</t>
        </is>
      </c>
      <c r="F892" s="15" t="inlineStr">
        <is>
          <t>CMR Green Technologies Limited - Addendum cum Corrigendum</t>
        </is>
      </c>
      <c r="G892" s="15" t="inlineStr">
        <is>
          <t>No launched IPO found</t>
        </is>
      </c>
      <c r="H892" s="15" t="n"/>
      <c r="I892" s="16" t="n"/>
      <c r="J892" s="16" t="n"/>
      <c r="K892" s="16" t="n"/>
      <c r="L892" s="17" t="n"/>
      <c r="M892" s="17" t="n"/>
      <c r="N892" s="17" t="n"/>
      <c r="O892" s="15" t="n"/>
      <c r="P892" s="15" t="n"/>
      <c r="Q892" s="18" t="inlineStr">
        <is>
          <t>https://www.sebi.gov.in/sebi_data/attachdocs/dec-2021/1639117458686.pdf</t>
        </is>
      </c>
      <c r="R892" s="18" t="inlineStr">
        <is>
          <t>https://www.sebi.gov.in/filings/public-issues/dec-2021/cmr-green-technologies-limited-addendum-cum-corrigendum_54525.html</t>
        </is>
      </c>
      <c r="S892" s="15" t="n"/>
      <c r="T892" s="15" t="n"/>
      <c r="U892" s="15" t="n"/>
      <c r="V892" s="15" t="inlineStr">
        <is>
          <t>Same-name IPO opened 03-Jun-2026 — outside 2 years of this filing, so not linked</t>
        </is>
      </c>
      <c r="W892" s="25" t="n">
        <v>46176</v>
      </c>
      <c r="X892" s="25" t="n">
        <v>46178</v>
      </c>
      <c r="Y892" s="25" t="n">
        <v>46183</v>
      </c>
      <c r="Z892" s="26" t="inlineStr">
        <is>
          <t>Later IPO — not from this draft</t>
        </is>
      </c>
      <c r="AA892" s="15" t="inlineStr">
        <is>
          <t>Opened 4.5 yrs after this filing, under a later draft</t>
        </is>
      </c>
      <c r="AB892" s="18" t="inlineStr">
        <is>
          <t>https://www.business-standard.com/markets/ipo/cmr-green-technologies-ltd-ipo-32473</t>
        </is>
      </c>
    </row>
    <row r="893" ht="15" customHeight="1" s="12">
      <c r="A893" s="14" t="n">
        <v>892</v>
      </c>
      <c r="B893" s="16" t="n">
        <v>44539</v>
      </c>
      <c r="C893" s="15" t="n">
        <v>2021</v>
      </c>
      <c r="D893" s="15" t="inlineStr">
        <is>
          <t>JK Files &amp; Engineering Limited</t>
        </is>
      </c>
      <c r="E893" s="15" t="inlineStr">
        <is>
          <t>DRHP</t>
        </is>
      </c>
      <c r="F893" s="15" t="inlineStr">
        <is>
          <t>JK Files &amp; Engineering Limited</t>
        </is>
      </c>
      <c r="G893" s="15" t="inlineStr">
        <is>
          <t>No launched IPO found</t>
        </is>
      </c>
      <c r="H893" s="15" t="n"/>
      <c r="I893" s="16" t="n"/>
      <c r="J893" s="16" t="n"/>
      <c r="K893" s="16" t="n"/>
      <c r="L893" s="17" t="n"/>
      <c r="M893" s="17" t="n"/>
      <c r="N893" s="17" t="n"/>
      <c r="O893" s="15" t="n"/>
      <c r="P893" s="15" t="n"/>
      <c r="Q893" s="18" t="inlineStr">
        <is>
          <t>https://www.sebi.gov.in/sebi_data/attachdocs/dec-2021/1639044167121.pdf</t>
        </is>
      </c>
      <c r="R893" s="18" t="inlineStr">
        <is>
          <t>https://www.sebi.gov.in/filings/public-issues/dec-2021/jk-files-and-engineering-limited_54514.html</t>
        </is>
      </c>
      <c r="S893" s="15" t="n"/>
      <c r="T893" s="15" t="n"/>
      <c r="U893" s="15" t="n"/>
      <c r="V893" s="15" t="n"/>
      <c r="W893" s="16" t="n"/>
      <c r="X893" s="16" t="n"/>
      <c r="Y893" s="16" t="n"/>
      <c r="Z893" s="15" t="inlineStr">
        <is>
          <t>No issue found</t>
        </is>
      </c>
      <c r="AA893" s="15" t="inlineStr">
        <is>
          <t>Business Standard lists the company but shows no issue dates; web search limit reached</t>
        </is>
      </c>
      <c r="AB893" s="18" t="inlineStr">
        <is>
          <t>https://www.business-standard.com/markets/ipo/jk-files-engineering-ltd-ipo-42996</t>
        </is>
      </c>
    </row>
    <row r="894" ht="15" customHeight="1" s="12">
      <c r="A894" s="14" t="n">
        <v>893</v>
      </c>
      <c r="B894" s="16" t="n">
        <v>44526</v>
      </c>
      <c r="C894" s="15" t="n">
        <v>2021</v>
      </c>
      <c r="D894" s="15" t="inlineStr">
        <is>
          <t>Jesons Industries Limited</t>
        </is>
      </c>
      <c r="E894" s="15" t="inlineStr">
        <is>
          <t>DRHP</t>
        </is>
      </c>
      <c r="F894" s="15" t="inlineStr">
        <is>
          <t>Jesons Industries Limited- DRHP</t>
        </is>
      </c>
      <c r="G894" s="15" t="inlineStr">
        <is>
          <t>No launched IPO found</t>
        </is>
      </c>
      <c r="H894" s="15" t="n"/>
      <c r="I894" s="16" t="n"/>
      <c r="J894" s="16" t="n"/>
      <c r="K894" s="16" t="n"/>
      <c r="L894" s="17" t="n"/>
      <c r="M894" s="17" t="n"/>
      <c r="N894" s="17" t="n"/>
      <c r="O894" s="15" t="n"/>
      <c r="P894" s="15" t="n"/>
      <c r="Q894" s="18" t="inlineStr">
        <is>
          <t>https://www.sebi.gov.in/sebi_data/attachdocs/may-2023/1684478187166.pdf</t>
        </is>
      </c>
      <c r="R894" s="18" t="inlineStr">
        <is>
          <t>https://www.sebi.gov.in/filings/public-issues/nov-2021/jesons-industries-limited-drhp_54222.html</t>
        </is>
      </c>
      <c r="S894" s="15" t="n"/>
      <c r="T894" s="15" t="n"/>
      <c r="U894" s="15" t="n"/>
      <c r="V894" s="15" t="n"/>
      <c r="W894" s="16" t="n"/>
      <c r="X894" s="16" t="n"/>
      <c r="Y894" s="16" t="n"/>
      <c r="Z894" s="15" t="inlineStr">
        <is>
          <t>No issue found</t>
        </is>
      </c>
      <c r="AA894" s="15" t="inlineStr">
        <is>
          <t>Business Standard lists the company but shows no issue dates; web search limit reached</t>
        </is>
      </c>
      <c r="AB894" s="18" t="inlineStr">
        <is>
          <t>https://www.business-standard.com/markets/ipo/jesons-industries-ltd-ipo-27109</t>
        </is>
      </c>
    </row>
    <row r="895" ht="15" customHeight="1" s="12">
      <c r="A895" s="14" t="n">
        <v>894</v>
      </c>
      <c r="B895" s="16" t="n">
        <v>44523</v>
      </c>
      <c r="C895" s="15" t="n">
        <v>2021</v>
      </c>
      <c r="D895" s="15" t="inlineStr">
        <is>
          <t>Go Airlines (India) Limited</t>
        </is>
      </c>
      <c r="E895" s="15" t="inlineStr">
        <is>
          <t>Addendum</t>
        </is>
      </c>
      <c r="F895" s="15" t="inlineStr">
        <is>
          <t>Go Airlines (India) Limited - Second Addendum to the DRHP</t>
        </is>
      </c>
      <c r="G895" s="15" t="inlineStr">
        <is>
          <t>No launched IPO found</t>
        </is>
      </c>
      <c r="H895" s="15" t="n"/>
      <c r="I895" s="16" t="n"/>
      <c r="J895" s="16" t="n"/>
      <c r="K895" s="16" t="n"/>
      <c r="L895" s="17" t="n"/>
      <c r="M895" s="17" t="n"/>
      <c r="N895" s="17" t="n"/>
      <c r="O895" s="15" t="n"/>
      <c r="P895" s="15" t="n"/>
      <c r="Q895" s="18" t="inlineStr">
        <is>
          <t>https://www.sebi.gov.in/sebi_data/attachdocs/nov-2021/1637659122113.pdf</t>
        </is>
      </c>
      <c r="R895" s="18" t="inlineStr">
        <is>
          <t>https://www.sebi.gov.in/filings/public-issues/nov-2021/go-airlines-india-limited-second-addendum-to-the-drhp_54128.html</t>
        </is>
      </c>
      <c r="S895" s="15" t="n"/>
      <c r="T895" s="15" t="n"/>
      <c r="U895" s="15" t="n"/>
      <c r="V895" s="15" t="n"/>
      <c r="W895" s="16" t="n"/>
      <c r="X895" s="16" t="n"/>
      <c r="Y895" s="16" t="n"/>
      <c r="Z895" s="15" t="inlineStr">
        <is>
          <t>Withdrawn / approval lapsed</t>
        </is>
      </c>
      <c r="AA895" s="15" t="inlineStr">
        <is>
          <t>One snippet claims Dec 8 2021 opening, unverified; IPO not confirmed to have opened.</t>
        </is>
      </c>
      <c r="AB895" s="18" t="inlineStr">
        <is>
          <t>https://www.5paisa.com/ipo/go-airlines-india-ltd-ipo</t>
        </is>
      </c>
    </row>
    <row r="896" ht="15" customHeight="1" s="12">
      <c r="A896" s="14" t="n">
        <v>895</v>
      </c>
      <c r="B896" s="16" t="n">
        <v>44522</v>
      </c>
      <c r="C896" s="15" t="n">
        <v>2021</v>
      </c>
      <c r="D896" s="15" t="inlineStr">
        <is>
          <t>Adani Wilmar Limited</t>
        </is>
      </c>
      <c r="E896" s="15" t="inlineStr">
        <is>
          <t>Corrigendum</t>
        </is>
      </c>
      <c r="F896" s="15" t="inlineStr">
        <is>
          <t>Adani Wilmar Limited - Corrigendum</t>
        </is>
      </c>
      <c r="G896" s="15" t="inlineStr">
        <is>
          <t>IPO launched</t>
        </is>
      </c>
      <c r="H896" s="15" t="inlineStr">
        <is>
          <t>Mainboard</t>
        </is>
      </c>
      <c r="I896" s="16" t="n">
        <v>44588</v>
      </c>
      <c r="J896" s="16" t="n">
        <v>44592</v>
      </c>
      <c r="K896" s="16" t="n">
        <v>44600</v>
      </c>
      <c r="L896" s="17" t="n">
        <v>3600</v>
      </c>
      <c r="M896" s="17" t="n">
        <v>3600</v>
      </c>
      <c r="N896" s="17" t="n">
        <v>0</v>
      </c>
      <c r="O896" s="15" t="inlineStr">
        <is>
          <t>Final issue (ipoplatform)</t>
        </is>
      </c>
      <c r="P896" s="15" t="n"/>
      <c r="Q896" s="18" t="inlineStr">
        <is>
          <t>https://www.sebi.gov.in/sebi_data/attachdocs/nov-2021/1637573093024.pdf</t>
        </is>
      </c>
      <c r="R896" s="18" t="inlineStr">
        <is>
          <t>https://www.sebi.gov.in/filings/public-issues/nov-2021/adani-wilmar-limited-corrigendum_54098.html</t>
        </is>
      </c>
      <c r="S896" s="15" t="n"/>
      <c r="T896" s="15" t="inlineStr">
        <is>
          <t>Company name + date window</t>
        </is>
      </c>
      <c r="U896" s="15" t="inlineStr">
        <is>
          <t>Adani Wilmar Limited</t>
        </is>
      </c>
      <c r="V896" s="15" t="n"/>
      <c r="W896" s="15" t="n"/>
      <c r="X896" s="15" t="n"/>
      <c r="Y896" s="15" t="n"/>
      <c r="Z896" s="15" t="n"/>
      <c r="AA896" s="15" t="n"/>
      <c r="AB896" s="15" t="n"/>
    </row>
    <row r="897" ht="15" customHeight="1" s="12">
      <c r="A897" s="14" t="n">
        <v>896</v>
      </c>
      <c r="B897" s="16" t="n">
        <v>44522</v>
      </c>
      <c r="C897" s="15" t="n">
        <v>2021</v>
      </c>
      <c r="D897" s="15" t="inlineStr">
        <is>
          <t>Elin Electronics Limited</t>
        </is>
      </c>
      <c r="E897" s="15" t="inlineStr">
        <is>
          <t>DRHP</t>
        </is>
      </c>
      <c r="F897" s="15" t="inlineStr">
        <is>
          <t>Elin Electronics Limited</t>
        </is>
      </c>
      <c r="G897" s="15" t="inlineStr">
        <is>
          <t>IPO launched</t>
        </is>
      </c>
      <c r="H897" s="15" t="inlineStr">
        <is>
          <t>Mainboard</t>
        </is>
      </c>
      <c r="I897" s="16" t="n">
        <v>44915</v>
      </c>
      <c r="J897" s="16" t="n">
        <v>44917</v>
      </c>
      <c r="K897" s="16" t="n">
        <v>44925</v>
      </c>
      <c r="L897" s="17" t="n">
        <v>475</v>
      </c>
      <c r="M897" s="17" t="n">
        <v>175</v>
      </c>
      <c r="N897" s="17" t="n">
        <v>300</v>
      </c>
      <c r="O897" s="15" t="inlineStr">
        <is>
          <t>Final issue (ipoplatform)</t>
        </is>
      </c>
      <c r="P897" s="15" t="n"/>
      <c r="Q897" s="18" t="inlineStr">
        <is>
          <t>https://www.sebi.gov.in/sebi_data/attachdocs/apr-2023/1682057447460.pdf</t>
        </is>
      </c>
      <c r="R897" s="18" t="inlineStr">
        <is>
          <t>https://www.sebi.gov.in/filings/public-issues/nov-2021/elin-electronics-limited_54076.html</t>
        </is>
      </c>
      <c r="S897" s="15" t="n"/>
      <c r="T897" s="15" t="inlineStr">
        <is>
          <t>SEBI filing link</t>
        </is>
      </c>
      <c r="U897" s="15" t="inlineStr">
        <is>
          <t>Elin Electronics Limited</t>
        </is>
      </c>
      <c r="V897" s="15" t="n"/>
      <c r="W897" s="15" t="n"/>
      <c r="X897" s="15" t="n"/>
      <c r="Y897" s="15" t="n"/>
      <c r="Z897" s="15" t="n"/>
      <c r="AA897" s="15" t="n"/>
      <c r="AB897" s="15" t="n"/>
    </row>
    <row r="898" ht="15" customHeight="1" s="12">
      <c r="A898" s="14" t="n">
        <v>897</v>
      </c>
      <c r="B898" s="16" t="n">
        <v>44518</v>
      </c>
      <c r="C898" s="15" t="n">
        <v>2021</v>
      </c>
      <c r="D898" s="15" t="inlineStr">
        <is>
          <t>Droom Technology Limited</t>
        </is>
      </c>
      <c r="E898" s="15" t="inlineStr">
        <is>
          <t>DRHP</t>
        </is>
      </c>
      <c r="F898" s="15" t="inlineStr">
        <is>
          <t>Droom Technology Limited</t>
        </is>
      </c>
      <c r="G898" s="15" t="inlineStr">
        <is>
          <t>No launched IPO found</t>
        </is>
      </c>
      <c r="H898" s="15" t="n"/>
      <c r="I898" s="16" t="n"/>
      <c r="J898" s="16" t="n"/>
      <c r="K898" s="16" t="n"/>
      <c r="L898" s="17" t="n"/>
      <c r="M898" s="17" t="n"/>
      <c r="N898" s="17" t="n"/>
      <c r="O898" s="15" t="n"/>
      <c r="P898" s="15" t="n"/>
      <c r="Q898" s="18" t="inlineStr">
        <is>
          <t>https://www.sebi.gov.in/sebi_data/attachdocs/may-2023/1683610115492.pdf</t>
        </is>
      </c>
      <c r="R898" s="18" t="inlineStr">
        <is>
          <t>https://www.sebi.gov.in/filings/public-issues/nov-2021/droom-technology-limited_53946.html</t>
        </is>
      </c>
      <c r="S898" s="15" t="n"/>
      <c r="T898" s="15" t="n"/>
      <c r="U898" s="15" t="n"/>
      <c r="V898" s="15" t="n"/>
      <c r="W898" s="16" t="n"/>
      <c r="X898" s="16" t="n"/>
      <c r="Y898" s="16" t="n"/>
      <c r="Z898" s="15" t="inlineStr">
        <is>
          <t>No issue found</t>
        </is>
      </c>
      <c r="AA898" s="15" t="inlineStr">
        <is>
          <t>Business Standard lists the company but shows no issue dates; web search limit reached</t>
        </is>
      </c>
      <c r="AB898" s="18" t="inlineStr">
        <is>
          <t>https://www.business-standard.com/markets/ipo/droom-technology-ltd-ipo-69759</t>
        </is>
      </c>
    </row>
    <row r="899" ht="15" customHeight="1" s="12">
      <c r="A899" s="14" t="n">
        <v>898</v>
      </c>
      <c r="B899" s="16" t="n">
        <v>44515</v>
      </c>
      <c r="C899" s="15" t="n">
        <v>2021</v>
      </c>
      <c r="D899" s="15" t="inlineStr">
        <is>
          <t>eMudhra Limited</t>
        </is>
      </c>
      <c r="E899" s="15" t="inlineStr">
        <is>
          <t>DRHP</t>
        </is>
      </c>
      <c r="F899" s="15" t="inlineStr">
        <is>
          <t>eMudhra Limited</t>
        </is>
      </c>
      <c r="G899" s="15" t="inlineStr">
        <is>
          <t>IPO launched</t>
        </is>
      </c>
      <c r="H899" s="15" t="inlineStr">
        <is>
          <t>Mainboard</t>
        </is>
      </c>
      <c r="I899" s="16" t="n">
        <v>44701</v>
      </c>
      <c r="J899" s="16" t="n">
        <v>44705</v>
      </c>
      <c r="K899" s="16" t="n">
        <v>44713</v>
      </c>
      <c r="L899" s="17" t="n">
        <v>412.79</v>
      </c>
      <c r="M899" s="17" t="n">
        <v>412.79</v>
      </c>
      <c r="N899" s="17" t="n">
        <v>0</v>
      </c>
      <c r="O899" s="15" t="inlineStr">
        <is>
          <t>Final issue (ipoplatform)</t>
        </is>
      </c>
      <c r="P899" s="15" t="n"/>
      <c r="Q899" s="18" t="inlineStr">
        <is>
          <t>https://www.sebi.gov.in/sebi_data/attachdocs/apr-2023/1681727908413.pdf</t>
        </is>
      </c>
      <c r="R899" s="18" t="inlineStr">
        <is>
          <t>https://www.sebi.gov.in/filings/public-issues/nov-2021/emudhra-limited_53934.html</t>
        </is>
      </c>
      <c r="S899" s="15" t="n"/>
      <c r="T899" s="15" t="inlineStr">
        <is>
          <t>Company name + date window</t>
        </is>
      </c>
      <c r="U899" s="15" t="inlineStr">
        <is>
          <t>eMudhra Limited</t>
        </is>
      </c>
      <c r="V899" s="15" t="n"/>
      <c r="W899" s="15" t="n"/>
      <c r="X899" s="15" t="n"/>
      <c r="Y899" s="15" t="n"/>
      <c r="Z899" s="15" t="n"/>
      <c r="AA899" s="15" t="n"/>
      <c r="AB899" s="15" t="n"/>
    </row>
    <row r="900" ht="15" customHeight="1" s="12">
      <c r="A900" s="14" t="n">
        <v>899</v>
      </c>
      <c r="B900" s="16" t="n">
        <v>44512</v>
      </c>
      <c r="C900" s="15" t="n">
        <v>2021</v>
      </c>
      <c r="D900" s="15" t="inlineStr">
        <is>
          <t>Five-Star Business Finance Limited</t>
        </is>
      </c>
      <c r="E900" s="15" t="inlineStr">
        <is>
          <t>DRHP</t>
        </is>
      </c>
      <c r="F900" s="15" t="inlineStr">
        <is>
          <t>Five-Star Business Finance Limited</t>
        </is>
      </c>
      <c r="G900" s="15" t="inlineStr">
        <is>
          <t>IPO launched</t>
        </is>
      </c>
      <c r="H900" s="15" t="inlineStr">
        <is>
          <t>Mainboard</t>
        </is>
      </c>
      <c r="I900" s="16" t="n">
        <v>44874</v>
      </c>
      <c r="J900" s="16" t="n">
        <v>44876</v>
      </c>
      <c r="K900" s="16" t="n">
        <v>44886</v>
      </c>
      <c r="L900" s="17" t="n">
        <v>1593.45</v>
      </c>
      <c r="M900" s="17" t="n">
        <v>1593.45</v>
      </c>
      <c r="N900" s="17" t="n">
        <v>0</v>
      </c>
      <c r="O900" s="15" t="inlineStr">
        <is>
          <t>Final issue (ipoplatform)</t>
        </is>
      </c>
      <c r="P900" s="15" t="n"/>
      <c r="Q900" s="18" t="inlineStr">
        <is>
          <t>https://www.sebi.gov.in/sebi_data/attachdocs/may-2023/1684485971694.pdf</t>
        </is>
      </c>
      <c r="R900" s="18" t="inlineStr">
        <is>
          <t>https://www.sebi.gov.in/filings/public-issues/nov-2021/five-star-business-finance-limited_53885.html</t>
        </is>
      </c>
      <c r="S900" s="15" t="n"/>
      <c r="T900" s="15" t="inlineStr">
        <is>
          <t>SEBI filing link</t>
        </is>
      </c>
      <c r="U900" s="15" t="inlineStr">
        <is>
          <t>Five Star Business Finance Limited</t>
        </is>
      </c>
      <c r="V900" s="15" t="n"/>
      <c r="W900" s="15" t="n"/>
      <c r="X900" s="15" t="n"/>
      <c r="Y900" s="15" t="n"/>
      <c r="Z900" s="15" t="n"/>
      <c r="AA900" s="15" t="n"/>
      <c r="AB900" s="15" t="n"/>
    </row>
    <row r="901" ht="15" customHeight="1" s="12">
      <c r="A901" s="14" t="n">
        <v>900</v>
      </c>
      <c r="B901" s="16" t="n">
        <v>44511</v>
      </c>
      <c r="C901" s="15" t="n">
        <v>2021</v>
      </c>
      <c r="D901" s="15" t="inlineStr">
        <is>
          <t>Veranda Learning Solutions Limited</t>
        </is>
      </c>
      <c r="E901" s="15" t="inlineStr">
        <is>
          <t>DRHP</t>
        </is>
      </c>
      <c r="F901" s="15" t="inlineStr">
        <is>
          <t>Veranda Learning Solutions Limited</t>
        </is>
      </c>
      <c r="G901" s="15" t="inlineStr">
        <is>
          <t>IPO launched</t>
        </is>
      </c>
      <c r="H901" s="15" t="inlineStr">
        <is>
          <t>Mainboard</t>
        </is>
      </c>
      <c r="I901" s="16" t="n">
        <v>44649</v>
      </c>
      <c r="J901" s="16" t="n">
        <v>44651</v>
      </c>
      <c r="K901" s="16" t="n">
        <v>44662</v>
      </c>
      <c r="L901" s="17" t="n">
        <v>200</v>
      </c>
      <c r="M901" s="17" t="n">
        <v>200</v>
      </c>
      <c r="N901" s="17" t="n">
        <v>0</v>
      </c>
      <c r="O901" s="15" t="inlineStr">
        <is>
          <t>Final issue (ipoplatform)</t>
        </is>
      </c>
      <c r="P901" s="15" t="n"/>
      <c r="Q901" s="18" t="inlineStr">
        <is>
          <t>https://www.sebi.gov.in/sebi_data/attachdocs/apr-2023/1681124791057.pdf</t>
        </is>
      </c>
      <c r="R901" s="18" t="inlineStr">
        <is>
          <t>https://www.sebi.gov.in/filings/public-issues/nov-2021/veranda-learning-solutions-limited_53868.html</t>
        </is>
      </c>
      <c r="S901" s="15" t="n"/>
      <c r="T901" s="15" t="inlineStr">
        <is>
          <t>SEBI filing link</t>
        </is>
      </c>
      <c r="U901" s="15" t="inlineStr">
        <is>
          <t>Veranda Learning Solutions Limited</t>
        </is>
      </c>
      <c r="V901" s="15" t="n"/>
      <c r="W901" s="15" t="n"/>
      <c r="X901" s="15" t="n"/>
      <c r="Y901" s="15" t="n"/>
      <c r="Z901" s="15" t="n"/>
      <c r="AA901" s="15" t="n"/>
      <c r="AB901" s="15" t="n"/>
    </row>
    <row r="902" ht="15" customHeight="1" s="12">
      <c r="A902" s="14" t="n">
        <v>901</v>
      </c>
      <c r="B902" s="16" t="n">
        <v>44511</v>
      </c>
      <c r="C902" s="15" t="n">
        <v>2021</v>
      </c>
      <c r="D902" s="15" t="inlineStr">
        <is>
          <t>API Holdings Limited</t>
        </is>
      </c>
      <c r="E902" s="15" t="inlineStr">
        <is>
          <t>DRHP</t>
        </is>
      </c>
      <c r="F902" s="15" t="inlineStr">
        <is>
          <t>API Holdings Limited IPO - DRHP</t>
        </is>
      </c>
      <c r="G902" s="15" t="inlineStr">
        <is>
          <t>No launched IPO found</t>
        </is>
      </c>
      <c r="H902" s="15" t="n"/>
      <c r="I902" s="16" t="n"/>
      <c r="J902" s="16" t="n"/>
      <c r="K902" s="16" t="n"/>
      <c r="L902" s="17" t="n"/>
      <c r="M902" s="17" t="n"/>
      <c r="N902" s="17" t="n"/>
      <c r="O902" s="15" t="n"/>
      <c r="P902" s="15" t="n"/>
      <c r="Q902" s="18" t="inlineStr">
        <is>
          <t>https://www.sebi.gov.in/sebi_data/attachdocs/nov-2021/1636605933124.pdf</t>
        </is>
      </c>
      <c r="R902" s="18" t="inlineStr">
        <is>
          <t>https://www.sebi.gov.in/filings/public-issues/nov-2021/api-holdings-limited-ipo-drhp_53850.html</t>
        </is>
      </c>
      <c r="S902" s="15" t="n"/>
      <c r="T902" s="15" t="n"/>
      <c r="U902" s="15" t="n"/>
      <c r="V902" s="15" t="n"/>
      <c r="W902" s="16" t="n"/>
      <c r="X902" s="16" t="n"/>
      <c r="Y902" s="16" t="n"/>
      <c r="Z902" s="15" t="inlineStr">
        <is>
          <t>No issue found</t>
        </is>
      </c>
      <c r="AA902" s="15" t="inlineStr">
        <is>
          <t>Business Standard lists the company but shows no issue dates; web search limit reached</t>
        </is>
      </c>
      <c r="AB902" s="18" t="inlineStr">
        <is>
          <t>https://www.business-standard.com/markets/ipo/api-holdings-ltd-ipo-76195</t>
        </is>
      </c>
    </row>
    <row r="903" ht="15" customHeight="1" s="12">
      <c r="A903" s="14" t="n">
        <v>902</v>
      </c>
      <c r="B903" s="16" t="n">
        <v>44510</v>
      </c>
      <c r="C903" s="15" t="n">
        <v>2021</v>
      </c>
      <c r="D903" s="15" t="inlineStr">
        <is>
          <t>Go Airlines (India) Limited</t>
        </is>
      </c>
      <c r="E903" s="15" t="inlineStr">
        <is>
          <t>Addendum</t>
        </is>
      </c>
      <c r="F903" s="15" t="inlineStr">
        <is>
          <t>Go Airlines (India) Limited - addendum to DRHP</t>
        </is>
      </c>
      <c r="G903" s="15" t="inlineStr">
        <is>
          <t>No launched IPO found</t>
        </is>
      </c>
      <c r="H903" s="15" t="n"/>
      <c r="I903" s="16" t="n"/>
      <c r="J903" s="16" t="n"/>
      <c r="K903" s="16" t="n"/>
      <c r="L903" s="17" t="n"/>
      <c r="M903" s="17" t="n"/>
      <c r="N903" s="17" t="n"/>
      <c r="O903" s="15" t="n"/>
      <c r="P903" s="15" t="n"/>
      <c r="Q903" s="18" t="inlineStr">
        <is>
          <t>https://www.sebi.gov.in/sebi_data/attachdocs/nov-2021/1636527663772.pdf</t>
        </is>
      </c>
      <c r="R903" s="18" t="inlineStr">
        <is>
          <t>https://www.sebi.gov.in/filings/public-issues/nov-2021/go-airlines-india-limited-addendum-to-drhp_53827.html</t>
        </is>
      </c>
      <c r="S903" s="15" t="n"/>
      <c r="T903" s="15" t="n"/>
      <c r="U903" s="15" t="n"/>
      <c r="V903" s="15" t="n"/>
      <c r="W903" s="16" t="n"/>
      <c r="X903" s="16" t="n"/>
      <c r="Y903" s="16" t="n"/>
      <c r="Z903" s="15" t="inlineStr">
        <is>
          <t>Withdrawn / approval lapsed</t>
        </is>
      </c>
      <c r="AA903" s="15" t="inlineStr">
        <is>
          <t>One snippet claims Dec 8 2021 opening, unverified; IPO not confirmed to have opened.</t>
        </is>
      </c>
      <c r="AB903" s="18" t="inlineStr">
        <is>
          <t>https://www.5paisa.com/ipo/go-airlines-india-ltd-ipo</t>
        </is>
      </c>
    </row>
    <row r="904" ht="15" customHeight="1" s="12">
      <c r="A904" s="14" t="n">
        <v>903</v>
      </c>
      <c r="B904" s="16" t="n">
        <v>44503</v>
      </c>
      <c r="C904" s="15" t="n">
        <v>2021</v>
      </c>
      <c r="D904" s="15" t="inlineStr">
        <is>
          <t>Delhivery Limited</t>
        </is>
      </c>
      <c r="E904" s="15" t="inlineStr">
        <is>
          <t>DRHP</t>
        </is>
      </c>
      <c r="F904" s="15" t="inlineStr">
        <is>
          <t>Delhivery Limited</t>
        </is>
      </c>
      <c r="G904" s="15" t="inlineStr">
        <is>
          <t>IPO launched</t>
        </is>
      </c>
      <c r="H904" s="15" t="inlineStr">
        <is>
          <t>Mainboard</t>
        </is>
      </c>
      <c r="I904" s="16" t="n">
        <v>44692</v>
      </c>
      <c r="J904" s="16" t="n">
        <v>44694</v>
      </c>
      <c r="K904" s="16" t="n">
        <v>44705</v>
      </c>
      <c r="L904" s="17" t="n">
        <v>5235</v>
      </c>
      <c r="M904" s="17" t="n">
        <v>4000</v>
      </c>
      <c r="N904" s="17" t="n">
        <v>1235</v>
      </c>
      <c r="O904" s="15" t="inlineStr">
        <is>
          <t>Final issue (ipoplatform)</t>
        </is>
      </c>
      <c r="P904" s="15" t="n"/>
      <c r="Q904" s="18" t="inlineStr">
        <is>
          <t>https://www.sebi.gov.in/sebi_data/attachdocs/nov-2021/1635921144635.pdf</t>
        </is>
      </c>
      <c r="R904" s="18" t="inlineStr">
        <is>
          <t>https://www.sebi.gov.in/filings/public-issues/nov-2021/delhivery-limited_53741.html</t>
        </is>
      </c>
      <c r="S904" s="15" t="n"/>
      <c r="T904" s="15" t="inlineStr">
        <is>
          <t>SEBI filing link</t>
        </is>
      </c>
      <c r="U904" s="15" t="inlineStr">
        <is>
          <t>Delhivery Limited</t>
        </is>
      </c>
      <c r="V904" s="15" t="n"/>
      <c r="W904" s="15" t="n"/>
      <c r="X904" s="15" t="n"/>
      <c r="Y904" s="15" t="n"/>
      <c r="Z904" s="15" t="n"/>
      <c r="AA904" s="15" t="n"/>
      <c r="AB904" s="15" t="n"/>
    </row>
    <row r="905" ht="15" customHeight="1" s="12">
      <c r="A905" s="14" t="n">
        <v>904</v>
      </c>
      <c r="B905" s="16" t="n">
        <v>44501</v>
      </c>
      <c r="C905" s="15" t="n">
        <v>2021</v>
      </c>
      <c r="D905" s="15" t="inlineStr">
        <is>
          <t>Capital Small Finance Bank Limited</t>
        </is>
      </c>
      <c r="E905" s="15" t="inlineStr">
        <is>
          <t>DRHP</t>
        </is>
      </c>
      <c r="F905" s="15" t="inlineStr">
        <is>
          <t>Capital Small Finance Bank Limited</t>
        </is>
      </c>
      <c r="G905" s="15" t="inlineStr">
        <is>
          <t>No launched IPO found</t>
        </is>
      </c>
      <c r="H905" s="15" t="n"/>
      <c r="I905" s="16" t="n"/>
      <c r="J905" s="16" t="n"/>
      <c r="K905" s="16" t="n"/>
      <c r="L905" s="17" t="n"/>
      <c r="M905" s="17" t="n"/>
      <c r="N905" s="17" t="n"/>
      <c r="O905" s="15" t="n"/>
      <c r="P905" s="15" t="n"/>
      <c r="Q905" s="18" t="inlineStr">
        <is>
          <t>https://www.sebi.gov.in/sebi_data/attachdocs/jun-2023/1687844519514.pdf</t>
        </is>
      </c>
      <c r="R905" s="18" t="inlineStr">
        <is>
          <t>https://www.sebi.gov.in/filings/public-issues/nov-2021/capital-small-finance-bank-limited_53666.html</t>
        </is>
      </c>
      <c r="S905" s="15" t="n"/>
      <c r="T905" s="15" t="n"/>
      <c r="U905" s="15" t="n"/>
      <c r="V905" s="15" t="inlineStr">
        <is>
          <t>Same-name IPO opened 07-Feb-2024 — outside 2 years of this filing, so not linked</t>
        </is>
      </c>
      <c r="W905" s="19" t="n">
        <v>45329</v>
      </c>
      <c r="X905" s="19" t="n">
        <v>45331</v>
      </c>
      <c r="Y905" s="19" t="n">
        <v>45336</v>
      </c>
      <c r="Z905" s="20" t="inlineStr">
        <is>
          <t>Issue opened</t>
        </is>
      </c>
      <c r="AA905" s="15" t="inlineStr">
        <is>
          <t>Matched on chittorgarh.com</t>
        </is>
      </c>
      <c r="AB905" s="18" t="inlineStr">
        <is>
          <t>https://www.chittorgarh.com/ipo/capital-sfb-ipo/1641/</t>
        </is>
      </c>
    </row>
    <row r="906" ht="15" customHeight="1" s="12">
      <c r="A906" s="14" t="n">
        <v>905</v>
      </c>
      <c r="B906" s="16" t="n">
        <v>44484</v>
      </c>
      <c r="C906" s="15" t="n">
        <v>2021</v>
      </c>
      <c r="D906" s="15" t="inlineStr">
        <is>
          <t>GPT Healthcare Limited</t>
        </is>
      </c>
      <c r="E906" s="15" t="inlineStr">
        <is>
          <t>DRHP</t>
        </is>
      </c>
      <c r="F906" s="15" t="inlineStr">
        <is>
          <t>GPT Healthcare Limited</t>
        </is>
      </c>
      <c r="G906" s="15" t="inlineStr">
        <is>
          <t>No launched IPO found</t>
        </is>
      </c>
      <c r="H906" s="15" t="n"/>
      <c r="I906" s="16" t="n"/>
      <c r="J906" s="16" t="n"/>
      <c r="K906" s="16" t="n"/>
      <c r="L906" s="17" t="n"/>
      <c r="M906" s="17" t="n"/>
      <c r="N906" s="17" t="n"/>
      <c r="O906" s="15" t="n"/>
      <c r="P906" s="15" t="n"/>
      <c r="Q906" s="18" t="inlineStr">
        <is>
          <t>https://www.sebi.gov.in/sebi_data/attachdocs/apr-2023/1681728121033.PDF</t>
        </is>
      </c>
      <c r="R906" s="18" t="inlineStr">
        <is>
          <t>https://www.sebi.gov.in/filings/public-issues/oct-2021/gpt-healthcare-limited_53315.html</t>
        </is>
      </c>
      <c r="S906" s="15" t="n"/>
      <c r="T906" s="15" t="n"/>
      <c r="U906" s="15" t="n"/>
      <c r="V906" s="15" t="inlineStr">
        <is>
          <t>Same-name IPO opened 22-Feb-2024 — outside 2 years of this filing, so not linked</t>
        </is>
      </c>
      <c r="W906" s="19" t="n">
        <v>45344</v>
      </c>
      <c r="X906" s="19" t="n">
        <v>45348</v>
      </c>
      <c r="Y906" s="19" t="n">
        <v>45351</v>
      </c>
      <c r="Z906" s="20" t="inlineStr">
        <is>
          <t>Issue opened</t>
        </is>
      </c>
      <c r="AA906" s="15" t="inlineStr">
        <is>
          <t>Matched on chittorgarh.com</t>
        </is>
      </c>
      <c r="AB906" s="18" t="inlineStr">
        <is>
          <t>https://www.chittorgarh.com/ipo/gpt-healthcare-ipo/1655/</t>
        </is>
      </c>
    </row>
    <row r="907" ht="15" customHeight="1" s="12">
      <c r="A907" s="14" t="n">
        <v>906</v>
      </c>
      <c r="B907" s="16" t="n">
        <v>44482</v>
      </c>
      <c r="C907" s="15" t="n">
        <v>2021</v>
      </c>
      <c r="D907" s="15" t="inlineStr">
        <is>
          <t>Radiant Cash Management Services Limited</t>
        </is>
      </c>
      <c r="E907" s="15" t="inlineStr">
        <is>
          <t>DRHP</t>
        </is>
      </c>
      <c r="F907" s="15" t="inlineStr">
        <is>
          <t>Radiant Cash Management Services Limited</t>
        </is>
      </c>
      <c r="G907" s="15" t="inlineStr">
        <is>
          <t>IPO launched</t>
        </is>
      </c>
      <c r="H907" s="15" t="inlineStr">
        <is>
          <t>Mainboard</t>
        </is>
      </c>
      <c r="I907" s="16" t="n">
        <v>44918</v>
      </c>
      <c r="J907" s="16" t="n">
        <v>44922</v>
      </c>
      <c r="K907" s="16" t="n">
        <v>44930</v>
      </c>
      <c r="L907" s="17" t="n">
        <v>256.64</v>
      </c>
      <c r="M907" s="17" t="n">
        <v>54</v>
      </c>
      <c r="N907" s="17" t="n">
        <v>202.64</v>
      </c>
      <c r="O907" s="15" t="inlineStr">
        <is>
          <t>Final issue (ipoplatform)</t>
        </is>
      </c>
      <c r="P907" s="15" t="n"/>
      <c r="Q907" s="18" t="inlineStr">
        <is>
          <t>https://www.sebi.gov.in/sebi_data/attachdocs/apr-2023/1681729285497.pdf</t>
        </is>
      </c>
      <c r="R907" s="18" t="inlineStr">
        <is>
          <t>https://www.sebi.gov.in/filings/public-issues/oct-2021/radiant-cash-management-services-limited_53262.html</t>
        </is>
      </c>
      <c r="S907" s="15" t="n"/>
      <c r="T907" s="15" t="inlineStr">
        <is>
          <t>SEBI filing link</t>
        </is>
      </c>
      <c r="U907" s="15" t="inlineStr">
        <is>
          <t>Radiant Cash Management Services Limited</t>
        </is>
      </c>
      <c r="V907" s="15" t="n"/>
      <c r="W907" s="15" t="n"/>
      <c r="X907" s="15" t="n"/>
      <c r="Y907" s="15" t="n"/>
      <c r="Z907" s="15" t="n"/>
      <c r="AA907" s="15" t="n"/>
      <c r="AB907" s="15" t="n"/>
    </row>
    <row r="908" ht="15" customHeight="1" s="12">
      <c r="A908" s="14" t="n">
        <v>907</v>
      </c>
      <c r="B908" s="16" t="n">
        <v>44482</v>
      </c>
      <c r="C908" s="15" t="n">
        <v>2021</v>
      </c>
      <c r="D908" s="15" t="inlineStr">
        <is>
          <t>Easing of Operational Procedure</t>
        </is>
      </c>
      <c r="E908" s="15" t="inlineStr">
        <is>
          <t>Other</t>
        </is>
      </c>
      <c r="F908" s="15" t="inlineStr">
        <is>
          <t>Easing of Operational Procedure</t>
        </is>
      </c>
      <c r="G908" s="15" t="inlineStr">
        <is>
          <t>Not an offer document</t>
        </is>
      </c>
      <c r="H908" s="15" t="n"/>
      <c r="I908" s="16" t="n"/>
      <c r="J908" s="16" t="n"/>
      <c r="K908" s="16" t="n"/>
      <c r="L908" s="17" t="n"/>
      <c r="M908" s="17" t="n"/>
      <c r="N908" s="17" t="n"/>
      <c r="O908" s="15" t="n"/>
      <c r="P908" s="15" t="n"/>
      <c r="Q908" s="18" t="inlineStr">
        <is>
          <t>https://www.sebi.gov.in/sebi_data/attachdocs/oct-2021/1634115848881.pdf</t>
        </is>
      </c>
      <c r="R908" s="18" t="inlineStr">
        <is>
          <t>https://www.sebi.gov.in/filings/public-issues/oct-2021/easing-of-operational-procedure_53257.html</t>
        </is>
      </c>
      <c r="S908" s="15" t="n"/>
      <c r="T908" s="15" t="n"/>
      <c r="U908" s="15" t="n"/>
      <c r="V908" s="15" t="n"/>
      <c r="W908" s="16" t="n"/>
      <c r="X908" s="16" t="n"/>
      <c r="Y908" s="16" t="n"/>
      <c r="Z908" s="15" t="inlineStr">
        <is>
          <t>Not an offer document</t>
        </is>
      </c>
      <c r="AA908" s="15" t="inlineStr">
        <is>
          <t>SEBI entry is not an issuer draft</t>
        </is>
      </c>
      <c r="AB908" s="15" t="n"/>
    </row>
    <row r="909" ht="15" customHeight="1" s="12">
      <c r="A909" s="14" t="n">
        <v>908</v>
      </c>
      <c r="B909" s="16" t="n">
        <v>44470</v>
      </c>
      <c r="C909" s="15" t="n">
        <v>2021</v>
      </c>
      <c r="D909" s="15" t="inlineStr">
        <is>
          <t>Oravel Stays Limited</t>
        </is>
      </c>
      <c r="E909" s="15" t="inlineStr">
        <is>
          <t>DRHP</t>
        </is>
      </c>
      <c r="F909" s="15" t="inlineStr">
        <is>
          <t>Oravel Stays Limited</t>
        </is>
      </c>
      <c r="G909" s="15" t="inlineStr">
        <is>
          <t>No launched IPO found</t>
        </is>
      </c>
      <c r="H909" s="15" t="n"/>
      <c r="I909" s="16" t="n"/>
      <c r="J909" s="16" t="n"/>
      <c r="K909" s="16" t="n"/>
      <c r="L909" s="17" t="n"/>
      <c r="M909" s="17" t="n"/>
      <c r="N909" s="17" t="n"/>
      <c r="O909" s="15" t="n"/>
      <c r="P909" s="15" t="n"/>
      <c r="Q909" s="18" t="inlineStr">
        <is>
          <t>https://www.sebi.gov.in/sebi_data/attachdocs/oct-2021/1633086336012.pdf</t>
        </is>
      </c>
      <c r="R909" s="18" t="inlineStr">
        <is>
          <t>https://www.sebi.gov.in/filings/public-issues/oct-2021/oravel-stays-limited_53084.html</t>
        </is>
      </c>
      <c r="S909" s="15" t="n"/>
      <c r="T909" s="15" t="n"/>
      <c r="U909" s="15" t="n"/>
      <c r="V909" s="15" t="n"/>
      <c r="W909" s="16" t="n"/>
      <c r="X909" s="16" t="n"/>
      <c r="Y909" s="16" t="n"/>
      <c r="Z909" s="15" t="inlineStr">
        <is>
          <t>No issue found</t>
        </is>
      </c>
      <c r="AA909" s="15" t="inlineStr">
        <is>
          <t>SEBI nod 2-Jun-2026 (UDRHP-I filed Jun-2026); dates not announced</t>
        </is>
      </c>
      <c r="AB909" s="18" t="inlineStr">
        <is>
          <t>https://www.chittorgarh.com/ipo/oyo-ipo/2843/</t>
        </is>
      </c>
    </row>
    <row r="910" ht="15" customHeight="1" s="12">
      <c r="A910" s="14" t="n">
        <v>909</v>
      </c>
      <c r="B910" s="16" t="n">
        <v>44470</v>
      </c>
      <c r="C910" s="15" t="n">
        <v>2021</v>
      </c>
      <c r="D910" s="15" t="inlineStr">
        <is>
          <t>BVG India Limited</t>
        </is>
      </c>
      <c r="E910" s="15" t="inlineStr">
        <is>
          <t>DRHP</t>
        </is>
      </c>
      <c r="F910" s="15" t="inlineStr">
        <is>
          <t>BVG India Limited</t>
        </is>
      </c>
      <c r="G910" s="15" t="inlineStr">
        <is>
          <t>No launched IPO found</t>
        </is>
      </c>
      <c r="H910" s="15" t="n"/>
      <c r="I910" s="16" t="n"/>
      <c r="J910" s="16" t="n"/>
      <c r="K910" s="16" t="n"/>
      <c r="L910" s="17" t="n"/>
      <c r="M910" s="17" t="n"/>
      <c r="N910" s="17" t="n"/>
      <c r="O910" s="15" t="n"/>
      <c r="P910" s="15" t="n"/>
      <c r="Q910" s="18" t="inlineStr">
        <is>
          <t>https://www.sebi.gov.in/sebi_data/attachdocs/may-2023/1683610288276.pdf</t>
        </is>
      </c>
      <c r="R910" s="18" t="inlineStr">
        <is>
          <t>https://www.sebi.gov.in/filings/public-issues/oct-2021/bvg-india-limited_53072.html</t>
        </is>
      </c>
      <c r="S910" s="15" t="n"/>
      <c r="T910" s="15" t="n"/>
      <c r="U910" s="15" t="n"/>
      <c r="V910" s="15" t="n"/>
      <c r="W910" s="16" t="n"/>
      <c r="X910" s="16" t="n"/>
      <c r="Y910" s="16" t="n"/>
      <c r="Z910" s="15" t="inlineStr">
        <is>
          <t>No issue found</t>
        </is>
      </c>
      <c r="AA910" s="15" t="inlineStr">
        <is>
          <t>SEBI nod 23-Jan-2026; dates not yet announced</t>
        </is>
      </c>
      <c r="AB910" s="18" t="inlineStr">
        <is>
          <t>https://www.chittorgarh.com/ipo/bvg-india-ipo/2684/</t>
        </is>
      </c>
    </row>
    <row r="911" ht="15" customHeight="1" s="12">
      <c r="A911" s="14" t="n">
        <v>910</v>
      </c>
      <c r="B911" s="16" t="n">
        <v>44470</v>
      </c>
      <c r="C911" s="15" t="n">
        <v>2021</v>
      </c>
      <c r="D911" s="15" t="inlineStr">
        <is>
          <t>Uma Exports Limited</t>
        </is>
      </c>
      <c r="E911" s="15" t="inlineStr">
        <is>
          <t>DRHP</t>
        </is>
      </c>
      <c r="F911" s="15" t="inlineStr">
        <is>
          <t>Uma Exports Limited</t>
        </is>
      </c>
      <c r="G911" s="15" t="inlineStr">
        <is>
          <t>IPO launched</t>
        </is>
      </c>
      <c r="H911" s="15" t="inlineStr">
        <is>
          <t>Mainboard</t>
        </is>
      </c>
      <c r="I911" s="16" t="n">
        <v>44648</v>
      </c>
      <c r="J911" s="16" t="n">
        <v>44650</v>
      </c>
      <c r="K911" s="16" t="n">
        <v>44658</v>
      </c>
      <c r="L911" s="17" t="n">
        <v>60</v>
      </c>
      <c r="M911" s="17" t="n">
        <v>60</v>
      </c>
      <c r="N911" s="17" t="n">
        <v>0</v>
      </c>
      <c r="O911" s="15" t="inlineStr">
        <is>
          <t>Final issue (ipoplatform)</t>
        </is>
      </c>
      <c r="P911" s="15" t="n"/>
      <c r="Q911" s="18" t="inlineStr">
        <is>
          <t>https://www.sebi.gov.in/sebi_data/attachdocs/oct-2021/1633068598567.pdf</t>
        </is>
      </c>
      <c r="R911" s="18" t="inlineStr">
        <is>
          <t>https://www.sebi.gov.in/filings/public-issues/oct-2021/uma-exports-limited_53071.html</t>
        </is>
      </c>
      <c r="S911" s="15" t="n"/>
      <c r="T911" s="15" t="inlineStr">
        <is>
          <t>SEBI filing link</t>
        </is>
      </c>
      <c r="U911" s="15" t="inlineStr">
        <is>
          <t>Uma Exports Limited</t>
        </is>
      </c>
      <c r="V911" s="15" t="n"/>
      <c r="W911" s="15" t="n"/>
      <c r="X911" s="15" t="n"/>
      <c r="Y911" s="15" t="n"/>
      <c r="Z911" s="15" t="n"/>
      <c r="AA911" s="15" t="n"/>
      <c r="AB911" s="15" t="n"/>
    </row>
    <row r="912" ht="15" customHeight="1" s="12">
      <c r="A912" s="14" t="n">
        <v>911</v>
      </c>
      <c r="B912" s="16" t="n">
        <v>44470</v>
      </c>
      <c r="C912" s="15" t="n">
        <v>2021</v>
      </c>
      <c r="D912" s="15" t="inlineStr">
        <is>
          <t>Wellness Forever Medicare Limited</t>
        </is>
      </c>
      <c r="E912" s="15" t="inlineStr">
        <is>
          <t>DRHP</t>
        </is>
      </c>
      <c r="F912" s="15" t="inlineStr">
        <is>
          <t>Wellness Forever Medicare Limited</t>
        </is>
      </c>
      <c r="G912" s="15" t="inlineStr">
        <is>
          <t>No launched IPO found</t>
        </is>
      </c>
      <c r="H912" s="15" t="n"/>
      <c r="I912" s="16" t="n"/>
      <c r="J912" s="16" t="n"/>
      <c r="K912" s="16" t="n"/>
      <c r="L912" s="17" t="n"/>
      <c r="M912" s="17" t="n"/>
      <c r="N912" s="17" t="n"/>
      <c r="O912" s="15" t="n"/>
      <c r="P912" s="15" t="n"/>
      <c r="Q912" s="18" t="inlineStr">
        <is>
          <t>https://www.sebi.gov.in/sebi_data/attachdocs/oct-2021/1633066313151.pdf</t>
        </is>
      </c>
      <c r="R912" s="18" t="inlineStr">
        <is>
          <t>https://www.sebi.gov.in/filings/public-issues/oct-2021/wellness-forever-medicare-limited_53070.html</t>
        </is>
      </c>
      <c r="S912" s="15" t="n"/>
      <c r="T912" s="15" t="n"/>
      <c r="U912" s="15" t="n"/>
      <c r="V912" s="15" t="n"/>
      <c r="W912" s="16" t="n"/>
      <c r="X912" s="16" t="n"/>
      <c r="Y912" s="16" t="n"/>
      <c r="Z912" s="15" t="inlineStr">
        <is>
          <t>No issue found</t>
        </is>
      </c>
      <c r="AA912" s="15" t="inlineStr">
        <is>
          <t>Business Standard lists the company but shows no issue dates; web search limit reached</t>
        </is>
      </c>
      <c r="AB912" s="18" t="inlineStr">
        <is>
          <t>https://www.business-standard.com/markets/ipo/wellness-forever-medicare-ltd-ipo-71843</t>
        </is>
      </c>
    </row>
    <row r="913" ht="15" customHeight="1" s="12">
      <c r="A913" s="14" t="n">
        <v>912</v>
      </c>
      <c r="B913" s="16" t="n">
        <v>44470</v>
      </c>
      <c r="C913" s="15" t="n">
        <v>2021</v>
      </c>
      <c r="D913" s="15" t="inlineStr">
        <is>
          <t>PKH Ventures Limited</t>
        </is>
      </c>
      <c r="E913" s="15" t="inlineStr">
        <is>
          <t>DRHP</t>
        </is>
      </c>
      <c r="F913" s="15" t="inlineStr">
        <is>
          <t>PKH Ventures Limited</t>
        </is>
      </c>
      <c r="G913" s="15" t="inlineStr">
        <is>
          <t>No launched IPO found</t>
        </is>
      </c>
      <c r="H913" s="15" t="n"/>
      <c r="I913" s="16" t="n"/>
      <c r="J913" s="16" t="n"/>
      <c r="K913" s="16" t="n"/>
      <c r="L913" s="17" t="n"/>
      <c r="M913" s="17" t="n"/>
      <c r="N913" s="17" t="n"/>
      <c r="O913" s="15" t="n"/>
      <c r="P913" s="15" t="n"/>
      <c r="Q913" s="18" t="inlineStr">
        <is>
          <t>https://www.sebi.gov.in/sebi_data/attachdocs/oct-2021/1633065250451.pdf</t>
        </is>
      </c>
      <c r="R913" s="18" t="inlineStr">
        <is>
          <t>https://www.sebi.gov.in/filings/public-issues/oct-2021/pkh-ventures-limited_53069.html</t>
        </is>
      </c>
      <c r="S913" s="15" t="n"/>
      <c r="T913" s="15" t="n"/>
      <c r="U913" s="15" t="n"/>
      <c r="V913" s="15" t="n"/>
      <c r="W913" s="19" t="n">
        <v>45107</v>
      </c>
      <c r="X913" s="19" t="n">
        <v>45111</v>
      </c>
      <c r="Y913" s="19" t="n">
        <v>45119</v>
      </c>
      <c r="Z913" s="20" t="inlineStr">
        <is>
          <t>Issue opened</t>
        </is>
      </c>
      <c r="AA913" s="15" t="inlineStr">
        <is>
          <t>Matched on chittorgarh.com</t>
        </is>
      </c>
      <c r="AB913" s="18" t="inlineStr">
        <is>
          <t>https://www.chittorgarh.com/ipo/pkh-ventures-ipo/1448/</t>
        </is>
      </c>
    </row>
    <row r="914" ht="15" customHeight="1" s="12">
      <c r="A914" s="14" t="n">
        <v>913</v>
      </c>
      <c r="B914" s="16" t="n">
        <v>44469</v>
      </c>
      <c r="C914" s="15" t="n">
        <v>2021</v>
      </c>
      <c r="D914" s="15" t="inlineStr">
        <is>
          <t>Global Health Limited</t>
        </is>
      </c>
      <c r="E914" s="15" t="inlineStr">
        <is>
          <t>DRHP</t>
        </is>
      </c>
      <c r="F914" s="15" t="inlineStr">
        <is>
          <t>Global Health Limited</t>
        </is>
      </c>
      <c r="G914" s="15" t="inlineStr">
        <is>
          <t>IPO launched</t>
        </is>
      </c>
      <c r="H914" s="15" t="inlineStr">
        <is>
          <t>Mainboard</t>
        </is>
      </c>
      <c r="I914" s="16" t="n">
        <v>44868</v>
      </c>
      <c r="J914" s="16" t="n">
        <v>44872</v>
      </c>
      <c r="K914" s="16" t="n">
        <v>44881</v>
      </c>
      <c r="L914" s="17" t="n">
        <v>2205.57</v>
      </c>
      <c r="M914" s="17" t="n">
        <v>2205.57</v>
      </c>
      <c r="N914" s="17" t="n">
        <v>0</v>
      </c>
      <c r="O914" s="15" t="inlineStr">
        <is>
          <t>Final issue (ipoplatform)</t>
        </is>
      </c>
      <c r="P914" s="15" t="n"/>
      <c r="Q914" s="18" t="inlineStr">
        <is>
          <t>https://www.sebi.gov.in/sebi_data/attachdocs/sep-2021/1632991079985.pdf</t>
        </is>
      </c>
      <c r="R914" s="18" t="inlineStr">
        <is>
          <t>https://www.sebi.gov.in/filings/public-issues/sep-2021/global-health-limited_53030.html</t>
        </is>
      </c>
      <c r="S914" s="15" t="n"/>
      <c r="T914" s="15" t="inlineStr">
        <is>
          <t>SEBI filing link</t>
        </is>
      </c>
      <c r="U914" s="15" t="inlineStr">
        <is>
          <t>Global Health Limited</t>
        </is>
      </c>
      <c r="V914" s="15" t="n"/>
      <c r="W914" s="15" t="n"/>
      <c r="X914" s="15" t="n"/>
      <c r="Y914" s="15" t="n"/>
      <c r="Z914" s="15" t="n"/>
      <c r="AA914" s="15" t="n"/>
      <c r="AB914" s="15" t="n"/>
    </row>
    <row r="915" ht="15" customHeight="1" s="12">
      <c r="A915" s="14" t="n">
        <v>914</v>
      </c>
      <c r="B915" s="16" t="n">
        <v>44469</v>
      </c>
      <c r="C915" s="15" t="n">
        <v>2021</v>
      </c>
      <c r="D915" s="15" t="inlineStr">
        <is>
          <t>Abans Holdings Limited</t>
        </is>
      </c>
      <c r="E915" s="15" t="inlineStr">
        <is>
          <t>DRHP</t>
        </is>
      </c>
      <c r="F915" s="15" t="inlineStr">
        <is>
          <t>Abans Holdings Limited</t>
        </is>
      </c>
      <c r="G915" s="15" t="inlineStr">
        <is>
          <t>IPO launched</t>
        </is>
      </c>
      <c r="H915" s="15" t="inlineStr">
        <is>
          <t>Mainboard</t>
        </is>
      </c>
      <c r="I915" s="16" t="n">
        <v>44907</v>
      </c>
      <c r="J915" s="16" t="n">
        <v>44910</v>
      </c>
      <c r="K915" s="16" t="n">
        <v>44918</v>
      </c>
      <c r="L915" s="17" t="n">
        <v>345.6</v>
      </c>
      <c r="M915" s="17" t="n">
        <v>102.6</v>
      </c>
      <c r="N915" s="17" t="n">
        <v>243</v>
      </c>
      <c r="O915" s="15" t="inlineStr">
        <is>
          <t>Final issue (ipoplatform)</t>
        </is>
      </c>
      <c r="P915" s="15" t="n"/>
      <c r="Q915" s="18" t="inlineStr">
        <is>
          <t>https://www.sebi.gov.in/sebi_data/attachdocs/sep-2021/1632978355924.pdf</t>
        </is>
      </c>
      <c r="R915" s="18" t="inlineStr">
        <is>
          <t>https://www.sebi.gov.in/filings/public-issues/sep-2021/abans-holdings-limited_53019.html</t>
        </is>
      </c>
      <c r="S915" s="15" t="n"/>
      <c r="T915" s="15" t="inlineStr">
        <is>
          <t>SEBI filing link</t>
        </is>
      </c>
      <c r="U915" s="15" t="inlineStr">
        <is>
          <t>Abans Holdings Limited</t>
        </is>
      </c>
      <c r="V915" s="15" t="n"/>
      <c r="W915" s="15" t="n"/>
      <c r="X915" s="15" t="n"/>
      <c r="Y915" s="15" t="n"/>
      <c r="Z915" s="15" t="n"/>
      <c r="AA915" s="15" t="n"/>
      <c r="AB915" s="15" t="n"/>
    </row>
    <row r="916" ht="15" customHeight="1" s="12">
      <c r="A916" s="14" t="n">
        <v>915</v>
      </c>
      <c r="B916" s="16" t="n">
        <v>44468</v>
      </c>
      <c r="C916" s="15" t="n">
        <v>2021</v>
      </c>
      <c r="D916" s="15" t="inlineStr">
        <is>
          <t>Sahajanand Medical Technologies Limited</t>
        </is>
      </c>
      <c r="E916" s="15" t="inlineStr">
        <is>
          <t>DRHP</t>
        </is>
      </c>
      <c r="F916" s="15" t="inlineStr">
        <is>
          <t>Sahajanand Medical Technologies Limited</t>
        </is>
      </c>
      <c r="G916" s="15" t="inlineStr">
        <is>
          <t>No launched IPO found</t>
        </is>
      </c>
      <c r="H916" s="15" t="n"/>
      <c r="I916" s="16" t="n"/>
      <c r="J916" s="16" t="n"/>
      <c r="K916" s="16" t="n"/>
      <c r="L916" s="17" t="n"/>
      <c r="M916" s="17" t="n"/>
      <c r="N916" s="17" t="n"/>
      <c r="O916" s="15" t="n"/>
      <c r="P916" s="15" t="n"/>
      <c r="Q916" s="18" t="inlineStr">
        <is>
          <t>https://www.sebi.gov.in/sebi_data/attachdocs/apr-2023/1682057747724.PDF</t>
        </is>
      </c>
      <c r="R916" s="18" t="inlineStr">
        <is>
          <t>https://www.sebi.gov.in/filings/public-issues/sep-2021/sahajanand-medical-technologies-limited_52996.html</t>
        </is>
      </c>
      <c r="S916" s="15" t="n"/>
      <c r="T916" s="15" t="n"/>
      <c r="U916" s="15" t="n"/>
      <c r="V916" s="15" t="n"/>
      <c r="W916" s="16" t="n"/>
      <c r="X916" s="16" t="n"/>
      <c r="Y916" s="16" t="n"/>
      <c r="Z916" s="15" t="inlineStr">
        <is>
          <t>No issue found</t>
        </is>
      </c>
      <c r="AA916" s="15" t="inlineStr">
        <is>
          <t>SEBI nod 17-Nov-2025; 100% OFS; dates not yet announced</t>
        </is>
      </c>
      <c r="AB916" s="18" t="inlineStr">
        <is>
          <t>https://www.chittorgarh.com/ipo/sahajanand-medical-technologies-ipo/2550/</t>
        </is>
      </c>
    </row>
    <row r="917" ht="15" customHeight="1" s="12">
      <c r="A917" s="14" t="n">
        <v>916</v>
      </c>
      <c r="B917" s="16" t="n">
        <v>44468</v>
      </c>
      <c r="C917" s="15" t="n">
        <v>2021</v>
      </c>
      <c r="D917" s="15" t="inlineStr">
        <is>
          <t>Veeda Clinical Research Limited</t>
        </is>
      </c>
      <c r="E917" s="15" t="inlineStr">
        <is>
          <t>DRHP</t>
        </is>
      </c>
      <c r="F917" s="15" t="inlineStr">
        <is>
          <t>Veeda Clinical Research Limited</t>
        </is>
      </c>
      <c r="G917" s="15" t="inlineStr">
        <is>
          <t>No launched IPO found</t>
        </is>
      </c>
      <c r="H917" s="15" t="n"/>
      <c r="I917" s="16" t="n"/>
      <c r="J917" s="16" t="n"/>
      <c r="K917" s="16" t="n"/>
      <c r="L917" s="17" t="n"/>
      <c r="M917" s="17" t="n"/>
      <c r="N917" s="17" t="n"/>
      <c r="O917" s="15" t="n"/>
      <c r="P917" s="15" t="n"/>
      <c r="Q917" s="18" t="inlineStr">
        <is>
          <t>https://www.sebi.gov.in/sebi_data/attachdocs/sep-2021/1632912125249.pdf</t>
        </is>
      </c>
      <c r="R917" s="18" t="inlineStr">
        <is>
          <t>https://www.sebi.gov.in/filings/public-issues/sep-2021/veeda-clinical-research-limited_52985.html</t>
        </is>
      </c>
      <c r="S917" s="15" t="n"/>
      <c r="T917" s="15" t="n"/>
      <c r="U917" s="15" t="n"/>
      <c r="V917" s="15" t="n"/>
      <c r="W917" s="16" t="n"/>
      <c r="X917" s="16" t="n"/>
      <c r="Y917" s="16" t="n"/>
      <c r="Z917" s="15" t="inlineStr">
        <is>
          <t>No issue found</t>
        </is>
      </c>
      <c r="AA917" s="15" t="inlineStr">
        <is>
          <t>Business Standard lists the company but shows no issue dates; web search limit reached</t>
        </is>
      </c>
      <c r="AB917" s="18" t="inlineStr">
        <is>
          <t>https://www.business-standard.com/markets/ipo/veeda-clinical-research-ltd-ipo-67701</t>
        </is>
      </c>
    </row>
    <row r="918" ht="15" customHeight="1" s="12">
      <c r="A918" s="14" t="n">
        <v>917</v>
      </c>
      <c r="B918" s="16" t="n">
        <v>44468</v>
      </c>
      <c r="C918" s="15" t="n">
        <v>2021</v>
      </c>
      <c r="D918" s="15" t="inlineStr">
        <is>
          <t>Waaree Energies Limited</t>
        </is>
      </c>
      <c r="E918" s="15" t="inlineStr">
        <is>
          <t>DRHP</t>
        </is>
      </c>
      <c r="F918" s="15" t="inlineStr">
        <is>
          <t>Waaree Energies Limited</t>
        </is>
      </c>
      <c r="G918" s="15" t="inlineStr">
        <is>
          <t>No launched IPO found</t>
        </is>
      </c>
      <c r="H918" s="15" t="n"/>
      <c r="I918" s="16" t="n"/>
      <c r="J918" s="16" t="n"/>
      <c r="K918" s="16" t="n"/>
      <c r="L918" s="17" t="n"/>
      <c r="M918" s="17" t="n"/>
      <c r="N918" s="17" t="n"/>
      <c r="O918" s="15" t="n"/>
      <c r="P918" s="15" t="n"/>
      <c r="Q918" s="18" t="inlineStr">
        <is>
          <t>https://www.sebi.gov.in/sebi_data/attachdocs/apr-2023/1682058378328.PDF</t>
        </is>
      </c>
      <c r="R918" s="18" t="inlineStr">
        <is>
          <t>https://www.sebi.gov.in/filings/public-issues/sep-2021/waaree-energies-limited_52983.html</t>
        </is>
      </c>
      <c r="S918" s="15" t="n"/>
      <c r="T918" s="15" t="n"/>
      <c r="U918" s="15" t="n"/>
      <c r="V918" s="15" t="inlineStr">
        <is>
          <t>Same-name IPO opened 21-Oct-2024 — outside 2 years of this filing, so not linked</t>
        </is>
      </c>
      <c r="W918" s="25" t="n">
        <v>45586</v>
      </c>
      <c r="X918" s="25" t="n">
        <v>45588</v>
      </c>
      <c r="Y918" s="25" t="n">
        <v>45593</v>
      </c>
      <c r="Z918" s="26" t="inlineStr">
        <is>
          <t>Later IPO — not from this draft</t>
        </is>
      </c>
      <c r="AA918" s="15" t="inlineStr">
        <is>
          <t>Opened 3.1 yrs after this filing, under a later draft</t>
        </is>
      </c>
      <c r="AB918" s="18" t="inlineStr">
        <is>
          <t>https://www.business-standard.com/markets/ipo/waaree-energies-ltd-ipo-39763</t>
        </is>
      </c>
    </row>
    <row r="919" ht="15" customHeight="1" s="12">
      <c r="A919" s="14" t="n">
        <v>918</v>
      </c>
      <c r="B919" s="16" t="n">
        <v>44468</v>
      </c>
      <c r="C919" s="15" t="n">
        <v>2021</v>
      </c>
      <c r="D919" s="15" t="inlineStr">
        <is>
          <t>Lava International Limited</t>
        </is>
      </c>
      <c r="E919" s="15" t="inlineStr">
        <is>
          <t>DRHP</t>
        </is>
      </c>
      <c r="F919" s="15" t="inlineStr">
        <is>
          <t>Lava International Limited</t>
        </is>
      </c>
      <c r="G919" s="15" t="inlineStr">
        <is>
          <t>No launched IPO found</t>
        </is>
      </c>
      <c r="H919" s="15" t="n"/>
      <c r="I919" s="16" t="n"/>
      <c r="J919" s="16" t="n"/>
      <c r="K919" s="16" t="n"/>
      <c r="L919" s="17" t="n"/>
      <c r="M919" s="17" t="n"/>
      <c r="N919" s="17" t="n"/>
      <c r="O919" s="15" t="n"/>
      <c r="P919" s="15" t="n"/>
      <c r="Q919" s="18" t="inlineStr">
        <is>
          <t>https://www.sebi.gov.in/sebi_data/attachdocs/apr-2023/1682057845662.PDF</t>
        </is>
      </c>
      <c r="R919" s="18" t="inlineStr">
        <is>
          <t>https://www.sebi.gov.in/filings/public-issues/sep-2021/lava-international-limited_52980.html</t>
        </is>
      </c>
      <c r="S919" s="15" t="n"/>
      <c r="T919" s="15" t="n"/>
      <c r="U919" s="15" t="n"/>
      <c r="V919" s="15" t="n"/>
      <c r="W919" s="16" t="n"/>
      <c r="X919" s="16" t="n"/>
      <c r="Y919" s="16" t="n"/>
      <c r="Z919" s="15" t="inlineStr">
        <is>
          <t>Withdrawn / approval lapsed</t>
        </is>
      </c>
      <c r="AA919" s="15" t="inlineStr">
        <is>
          <t>SEBI returned DRHP Jan 13, 2023 asking refiling; IPO now pushed to FY27; still unlisted</t>
        </is>
      </c>
      <c r="AB919" s="18" t="inlineStr">
        <is>
          <t>https://www.business-standard.com/article/markets/sebi-returns-lava-intl-s-draft-ipo-papers-asks-to-refile-with-updates-123011700495_1.html</t>
        </is>
      </c>
    </row>
    <row r="920" ht="15" customHeight="1" s="12">
      <c r="A920" s="14" t="n">
        <v>919</v>
      </c>
      <c r="B920" s="16" t="n">
        <v>44468</v>
      </c>
      <c r="C920" s="15" t="n">
        <v>2021</v>
      </c>
      <c r="D920" s="15" t="inlineStr">
        <is>
          <t>CMR Green Technologies Limited</t>
        </is>
      </c>
      <c r="E920" s="15" t="inlineStr">
        <is>
          <t>DRHP</t>
        </is>
      </c>
      <c r="F920" s="15" t="inlineStr">
        <is>
          <t>CMR Green Technologies Limited</t>
        </is>
      </c>
      <c r="G920" s="15" t="inlineStr">
        <is>
          <t>No launched IPO found</t>
        </is>
      </c>
      <c r="H920" s="15" t="n"/>
      <c r="I920" s="16" t="n"/>
      <c r="J920" s="16" t="n"/>
      <c r="K920" s="16" t="n"/>
      <c r="L920" s="17" t="n"/>
      <c r="M920" s="17" t="n"/>
      <c r="N920" s="17" t="n"/>
      <c r="O920" s="15" t="n"/>
      <c r="P920" s="15" t="n"/>
      <c r="Q920" s="18" t="inlineStr">
        <is>
          <t>https://www.sebi.gov.in/sebi_data/attachdocs/may-2023/1683610487738.pdf</t>
        </is>
      </c>
      <c r="R920" s="18" t="inlineStr">
        <is>
          <t>https://www.sebi.gov.in/filings/public-issues/sep-2021/cmr-green-technologies-limited_52979.html</t>
        </is>
      </c>
      <c r="S920" s="15" t="n"/>
      <c r="T920" s="15" t="n"/>
      <c r="U920" s="15" t="n"/>
      <c r="V920" s="15" t="inlineStr">
        <is>
          <t>Same-name IPO opened 03-Jun-2026 — outside 2 years of this filing, so not linked</t>
        </is>
      </c>
      <c r="W920" s="25" t="n">
        <v>46176</v>
      </c>
      <c r="X920" s="25" t="n">
        <v>46178</v>
      </c>
      <c r="Y920" s="25" t="n">
        <v>46183</v>
      </c>
      <c r="Z920" s="26" t="inlineStr">
        <is>
          <t>Later IPO — not from this draft</t>
        </is>
      </c>
      <c r="AA920" s="15" t="inlineStr">
        <is>
          <t>Opened 4.7 yrs after this filing, under a later draft</t>
        </is>
      </c>
      <c r="AB920" s="18" t="inlineStr">
        <is>
          <t>https://www.business-standard.com/markets/ipo/cmr-green-technologies-ltd-ipo-32473</t>
        </is>
      </c>
    </row>
    <row r="921" ht="15" customHeight="1" s="12">
      <c r="A921" s="14" t="n">
        <v>920</v>
      </c>
      <c r="B921" s="16" t="n">
        <v>44466</v>
      </c>
      <c r="C921" s="15" t="n">
        <v>2021</v>
      </c>
      <c r="D921" s="15" t="inlineStr">
        <is>
          <t>Godavari Biorefineries Limited</t>
        </is>
      </c>
      <c r="E921" s="15" t="inlineStr">
        <is>
          <t>DRHP</t>
        </is>
      </c>
      <c r="F921" s="15" t="inlineStr">
        <is>
          <t>Godavari Biorefineries Limited</t>
        </is>
      </c>
      <c r="G921" s="15" t="inlineStr">
        <is>
          <t>No launched IPO found</t>
        </is>
      </c>
      <c r="H921" s="15" t="n"/>
      <c r="I921" s="16" t="n"/>
      <c r="J921" s="16" t="n"/>
      <c r="K921" s="16" t="n"/>
      <c r="L921" s="17" t="n"/>
      <c r="M921" s="17" t="n"/>
      <c r="N921" s="17" t="n"/>
      <c r="O921" s="15" t="n"/>
      <c r="P921" s="15" t="n"/>
      <c r="Q921" s="18" t="inlineStr">
        <is>
          <t>https://www.sebi.gov.in/sebi_data/attachdocs/apr-2023/1681713289967.pdf</t>
        </is>
      </c>
      <c r="R921" s="18" t="inlineStr">
        <is>
          <t>https://www.sebi.gov.in/filings/public-issues/sep-2021/godavari-biorefineries-limited_52933.html</t>
        </is>
      </c>
      <c r="S921" s="15" t="n"/>
      <c r="T921" s="15" t="n"/>
      <c r="U921" s="15" t="n"/>
      <c r="V921" s="15" t="inlineStr">
        <is>
          <t>Same-name IPO opened 23-Oct-2024 — outside 2 years of this filing, so not linked</t>
        </is>
      </c>
      <c r="W921" s="25" t="n">
        <v>45588</v>
      </c>
      <c r="X921" s="25" t="n">
        <v>45590</v>
      </c>
      <c r="Y921" s="25" t="n">
        <v>45595</v>
      </c>
      <c r="Z921" s="26" t="inlineStr">
        <is>
          <t>Later IPO — not from this draft</t>
        </is>
      </c>
      <c r="AA921" s="15" t="inlineStr">
        <is>
          <t>Opened 3.1 yrs after this filing, under a later draft</t>
        </is>
      </c>
      <c r="AB921" s="18" t="inlineStr">
        <is>
          <t>https://www.business-standard.com/markets/ipo/godavari-biorefineries-ltd-ipo-40541</t>
        </is>
      </c>
    </row>
    <row r="922" ht="15" customHeight="1" s="12">
      <c r="A922" s="14" t="n">
        <v>921</v>
      </c>
      <c r="B922" s="16" t="n">
        <v>44461</v>
      </c>
      <c r="C922" s="15" t="n">
        <v>2021</v>
      </c>
      <c r="D922" s="15" t="inlineStr">
        <is>
          <t>Electronics Mart India Limited</t>
        </is>
      </c>
      <c r="E922" s="15" t="inlineStr">
        <is>
          <t>DRHP</t>
        </is>
      </c>
      <c r="F922" s="15" t="inlineStr">
        <is>
          <t>Electronics Mart India Limited</t>
        </is>
      </c>
      <c r="G922" s="15" t="inlineStr">
        <is>
          <t>IPO launched</t>
        </is>
      </c>
      <c r="H922" s="15" t="inlineStr">
        <is>
          <t>Mainboard</t>
        </is>
      </c>
      <c r="I922" s="16" t="n">
        <v>44838</v>
      </c>
      <c r="J922" s="16" t="n">
        <v>44841</v>
      </c>
      <c r="K922" s="16" t="n">
        <v>44851</v>
      </c>
      <c r="L922" s="17" t="n">
        <v>500</v>
      </c>
      <c r="M922" s="17" t="n">
        <v>500</v>
      </c>
      <c r="N922" s="17" t="n">
        <v>0</v>
      </c>
      <c r="O922" s="15" t="inlineStr">
        <is>
          <t>Final issue (ipoplatform)</t>
        </is>
      </c>
      <c r="P922" s="15" t="n"/>
      <c r="Q922" s="18" t="inlineStr">
        <is>
          <t>https://www.sebi.gov.in/sebi_data/attachdocs/apr-2023/1681726875378.pdf</t>
        </is>
      </c>
      <c r="R922" s="18" t="inlineStr">
        <is>
          <t>https://www.sebi.gov.in/filings/public-issues/sep-2021/electronics-mart-india-limited_52760.html</t>
        </is>
      </c>
      <c r="S922" s="15" t="n"/>
      <c r="T922" s="15" t="inlineStr">
        <is>
          <t>SEBI filing link</t>
        </is>
      </c>
      <c r="U922" s="15" t="inlineStr">
        <is>
          <t>Electronics Mart India Limited</t>
        </is>
      </c>
      <c r="V922" s="15" t="n"/>
      <c r="W922" s="15" t="n"/>
      <c r="X922" s="15" t="n"/>
      <c r="Y922" s="15" t="n"/>
      <c r="Z922" s="15" t="n"/>
      <c r="AA922" s="15" t="n"/>
      <c r="AB922" s="15" t="n"/>
    </row>
    <row r="923" ht="15" customHeight="1" s="12">
      <c r="A923" s="14" t="n">
        <v>922</v>
      </c>
      <c r="B923" s="16" t="n">
        <v>44461</v>
      </c>
      <c r="C923" s="15" t="n">
        <v>2021</v>
      </c>
      <c r="D923" s="15" t="inlineStr">
        <is>
          <t>Data Patterns (India) Limited</t>
        </is>
      </c>
      <c r="E923" s="15" t="inlineStr">
        <is>
          <t>DRHP</t>
        </is>
      </c>
      <c r="F923" s="15" t="inlineStr">
        <is>
          <t>Data Patterns (India) Limited</t>
        </is>
      </c>
      <c r="G923" s="15" t="inlineStr">
        <is>
          <t>IPO launched</t>
        </is>
      </c>
      <c r="H923" s="15" t="inlineStr">
        <is>
          <t>Mainboard</t>
        </is>
      </c>
      <c r="I923" s="16" t="n">
        <v>44544</v>
      </c>
      <c r="J923" s="16" t="n">
        <v>44546</v>
      </c>
      <c r="K923" s="16" t="n">
        <v>44554</v>
      </c>
      <c r="L923" s="17" t="n">
        <v>588.22</v>
      </c>
      <c r="M923" s="17" t="n">
        <v>588.22</v>
      </c>
      <c r="N923" s="17" t="n">
        <v>0</v>
      </c>
      <c r="O923" s="15" t="inlineStr">
        <is>
          <t>Final issue (ipoplatform)</t>
        </is>
      </c>
      <c r="P923" s="15" t="n"/>
      <c r="Q923" s="18" t="inlineStr">
        <is>
          <t>https://www.sebi.gov.in/sebi_data/attachdocs/may-2023/1684483816065.pdf</t>
        </is>
      </c>
      <c r="R923" s="18" t="inlineStr">
        <is>
          <t>https://www.sebi.gov.in/filings/public-issues/sep-2021/data-patterns-india-limited_52759.html</t>
        </is>
      </c>
      <c r="S923" s="15" t="n"/>
      <c r="T923" s="15" t="inlineStr">
        <is>
          <t>SEBI filing link</t>
        </is>
      </c>
      <c r="U923" s="15" t="inlineStr">
        <is>
          <t>Data Patterns (India) Limited</t>
        </is>
      </c>
      <c r="V923" s="15" t="n"/>
      <c r="W923" s="15" t="n"/>
      <c r="X923" s="15" t="n"/>
      <c r="Y923" s="15" t="n"/>
      <c r="Z923" s="15" t="n"/>
      <c r="AA923" s="15" t="n"/>
      <c r="AB923" s="15" t="n"/>
    </row>
    <row r="924" ht="15" customHeight="1" s="12">
      <c r="A924" s="14" t="n">
        <v>923</v>
      </c>
      <c r="B924" s="16" t="n">
        <v>44460</v>
      </c>
      <c r="C924" s="15" t="n">
        <v>2021</v>
      </c>
      <c r="D924" s="15" t="inlineStr">
        <is>
          <t>Puranik Builders Limited</t>
        </is>
      </c>
      <c r="E924" s="15" t="inlineStr">
        <is>
          <t>DRHP</t>
        </is>
      </c>
      <c r="F924" s="15" t="inlineStr">
        <is>
          <t>Puranik Builders Limited</t>
        </is>
      </c>
      <c r="G924" s="15" t="inlineStr">
        <is>
          <t>No launched IPO found</t>
        </is>
      </c>
      <c r="H924" s="15" t="n"/>
      <c r="I924" s="16" t="n"/>
      <c r="J924" s="16" t="n"/>
      <c r="K924" s="16" t="n"/>
      <c r="L924" s="17" t="n"/>
      <c r="M924" s="17" t="n"/>
      <c r="N924" s="17" t="n"/>
      <c r="O924" s="15" t="n"/>
      <c r="P924" s="15" t="n"/>
      <c r="Q924" s="18" t="inlineStr">
        <is>
          <t>https://www.sebi.gov.in/sebi_data/attachdocs/sep-2021/1632208724120.pdf</t>
        </is>
      </c>
      <c r="R924" s="18" t="inlineStr">
        <is>
          <t>https://www.sebi.gov.in/filings/public-issues/sep-2021/puranik-builders-limited_52737.html</t>
        </is>
      </c>
      <c r="S924" s="15" t="n"/>
      <c r="T924" s="15" t="n"/>
      <c r="U924" s="15" t="n"/>
      <c r="V924" s="15" t="n"/>
      <c r="W924" s="16" t="n"/>
      <c r="X924" s="16" t="n"/>
      <c r="Y924" s="16" t="n"/>
      <c r="Z924" s="15" t="inlineStr">
        <is>
          <t>No issue found</t>
        </is>
      </c>
      <c r="AA924" s="15" t="inlineStr">
        <is>
          <t>Business Standard lists the company but shows no issue dates; web search limit reached</t>
        </is>
      </c>
      <c r="AB924" s="18" t="inlineStr">
        <is>
          <t>https://www.business-standard.com/markets/ipo/puranik-builders-ltd-ipo-66783</t>
        </is>
      </c>
    </row>
    <row r="925" ht="15" customHeight="1" s="12">
      <c r="A925" s="14" t="n">
        <v>924</v>
      </c>
      <c r="B925" s="16" t="n">
        <v>44459</v>
      </c>
      <c r="C925" s="15" t="n">
        <v>2021</v>
      </c>
      <c r="D925" s="15" t="inlineStr">
        <is>
          <t>Hariom Pipe Industries Limited</t>
        </is>
      </c>
      <c r="E925" s="15" t="inlineStr">
        <is>
          <t>DRHP</t>
        </is>
      </c>
      <c r="F925" s="15" t="inlineStr">
        <is>
          <t>Hariom Pipe Industries Limited</t>
        </is>
      </c>
      <c r="G925" s="15" t="inlineStr">
        <is>
          <t>IPO launched</t>
        </is>
      </c>
      <c r="H925" s="15" t="inlineStr">
        <is>
          <t>Mainboard</t>
        </is>
      </c>
      <c r="I925" s="16" t="n">
        <v>44650</v>
      </c>
      <c r="J925" s="16" t="n">
        <v>44656</v>
      </c>
      <c r="K925" s="16" t="n">
        <v>44664</v>
      </c>
      <c r="L925" s="17" t="n">
        <v>130.05</v>
      </c>
      <c r="M925" s="17" t="n">
        <v>130.05</v>
      </c>
      <c r="N925" s="17" t="n">
        <v>0</v>
      </c>
      <c r="O925" s="15" t="inlineStr">
        <is>
          <t>Final issue (ipoplatform)</t>
        </is>
      </c>
      <c r="P925" s="15" t="n"/>
      <c r="Q925" s="18" t="inlineStr">
        <is>
          <t>https://www.sebi.gov.in/sebi_data/attachdocs/apr-2023/1681727033745.pdf</t>
        </is>
      </c>
      <c r="R925" s="18" t="inlineStr">
        <is>
          <t>https://www.sebi.gov.in/filings/public-issues/sep-2021/hariom-pipe-industries-limited_52718.html</t>
        </is>
      </c>
      <c r="S925" s="15" t="n"/>
      <c r="T925" s="15" t="inlineStr">
        <is>
          <t>Company name + date window</t>
        </is>
      </c>
      <c r="U925" s="15" t="inlineStr">
        <is>
          <t>Hariom Pipe Industries Limited</t>
        </is>
      </c>
      <c r="V925" s="15" t="n"/>
      <c r="W925" s="15" t="n"/>
      <c r="X925" s="15" t="n"/>
      <c r="Y925" s="15" t="n"/>
      <c r="Z925" s="15" t="n"/>
      <c r="AA925" s="15" t="n"/>
      <c r="AB925" s="15" t="n"/>
    </row>
    <row r="926" ht="15" customHeight="1" s="12">
      <c r="A926" s="14" t="n">
        <v>925</v>
      </c>
      <c r="B926" s="16" t="n">
        <v>44453</v>
      </c>
      <c r="C926" s="15" t="n">
        <v>2021</v>
      </c>
      <c r="D926" s="15" t="inlineStr">
        <is>
          <t>Vedant Fashions Limited</t>
        </is>
      </c>
      <c r="E926" s="15" t="inlineStr">
        <is>
          <t>DRHP</t>
        </is>
      </c>
      <c r="F926" s="15" t="inlineStr">
        <is>
          <t>Vedant Fashions Limited</t>
        </is>
      </c>
      <c r="G926" s="15" t="inlineStr">
        <is>
          <t>IPO launched</t>
        </is>
      </c>
      <c r="H926" s="15" t="inlineStr">
        <is>
          <t>Mainboard</t>
        </is>
      </c>
      <c r="I926" s="16" t="n">
        <v>44596</v>
      </c>
      <c r="J926" s="16" t="n">
        <v>44600</v>
      </c>
      <c r="K926" s="16" t="n">
        <v>44608</v>
      </c>
      <c r="L926" s="17" t="n">
        <v>3149.19</v>
      </c>
      <c r="M926" s="17" t="n">
        <v>3149.19</v>
      </c>
      <c r="N926" s="17" t="n">
        <v>0</v>
      </c>
      <c r="O926" s="15" t="inlineStr">
        <is>
          <t>Final issue (ipoplatform)</t>
        </is>
      </c>
      <c r="P926" s="15" t="n"/>
      <c r="Q926" s="18" t="inlineStr">
        <is>
          <t>https://www.sebi.gov.in/sebi_data/attachdocs/apr-2023/1682060315396.pdf</t>
        </is>
      </c>
      <c r="R926" s="18" t="inlineStr">
        <is>
          <t>https://www.sebi.gov.in/filings/public-issues/sep-2021/vedant-fashions-limited_52555.html</t>
        </is>
      </c>
      <c r="S926" s="15" t="n"/>
      <c r="T926" s="15" t="inlineStr">
        <is>
          <t>Company name + date window</t>
        </is>
      </c>
      <c r="U926" s="15" t="inlineStr">
        <is>
          <t>Vedant Fashions Limited</t>
        </is>
      </c>
      <c r="V926" s="15" t="n"/>
      <c r="W926" s="15" t="n"/>
      <c r="X926" s="15" t="n"/>
      <c r="Y926" s="15" t="n"/>
      <c r="Z926" s="15" t="n"/>
      <c r="AA926" s="15" t="n"/>
      <c r="AB926" s="15" t="n"/>
    </row>
    <row r="927" ht="15" customHeight="1" s="12">
      <c r="A927" s="14" t="n">
        <v>926</v>
      </c>
      <c r="B927" s="16" t="n">
        <v>44446</v>
      </c>
      <c r="C927" s="15" t="n">
        <v>2021</v>
      </c>
      <c r="D927" s="15" t="inlineStr">
        <is>
          <t>HEALTHIUM MEDTECH LIMITED</t>
        </is>
      </c>
      <c r="E927" s="15" t="inlineStr">
        <is>
          <t>DRHP</t>
        </is>
      </c>
      <c r="F927" s="15" t="inlineStr">
        <is>
          <t>HEALTHIUM MEDTECH LIMITED - DRHP</t>
        </is>
      </c>
      <c r="G927" s="15" t="inlineStr">
        <is>
          <t>No launched IPO found</t>
        </is>
      </c>
      <c r="H927" s="15" t="n"/>
      <c r="I927" s="16" t="n"/>
      <c r="J927" s="16" t="n"/>
      <c r="K927" s="16" t="n"/>
      <c r="L927" s="17" t="n"/>
      <c r="M927" s="17" t="n"/>
      <c r="N927" s="17" t="n"/>
      <c r="O927" s="15" t="n"/>
      <c r="P927" s="15" t="n"/>
      <c r="Q927" s="18" t="inlineStr">
        <is>
          <t>https://www.sebi.gov.in/sebi_data/attachdocs/sep-2021/1631013990540.PDF</t>
        </is>
      </c>
      <c r="R927" s="18" t="inlineStr">
        <is>
          <t>https://www.sebi.gov.in/filings/public-issues/sep-2021/healthium-medtech-limited-drhp_52453.html</t>
        </is>
      </c>
      <c r="S927" s="15" t="n"/>
      <c r="T927" s="15" t="n"/>
      <c r="U927" s="15" t="n"/>
      <c r="V927" s="15" t="n"/>
      <c r="W927" s="16" t="n"/>
      <c r="X927" s="16" t="n"/>
      <c r="Y927" s="16" t="n"/>
      <c r="Z927" s="15" t="inlineStr">
        <is>
          <t>No issue found</t>
        </is>
      </c>
      <c r="AA927" s="15" t="inlineStr">
        <is>
          <t>Business Standard lists the company but shows no issue dates; web search limit reached</t>
        </is>
      </c>
      <c r="AB927" s="18" t="inlineStr">
        <is>
          <t>https://www.business-standard.com/markets/ipo/healthium-medtech-ltd-ipo-38807</t>
        </is>
      </c>
    </row>
    <row r="928" ht="15" customHeight="1" s="12">
      <c r="A928" s="14" t="n">
        <v>927</v>
      </c>
      <c r="B928" s="16" t="n">
        <v>44446</v>
      </c>
      <c r="C928" s="15" t="n">
        <v>2021</v>
      </c>
      <c r="D928" s="15" t="inlineStr">
        <is>
          <t>INDIA1 PAYMENTS LIMITED</t>
        </is>
      </c>
      <c r="E928" s="15" t="inlineStr">
        <is>
          <t>DRHP</t>
        </is>
      </c>
      <c r="F928" s="15" t="inlineStr">
        <is>
          <t>INDIA1 PAYMENTS LIMITED - DRHP</t>
        </is>
      </c>
      <c r="G928" s="15" t="inlineStr">
        <is>
          <t>No launched IPO found</t>
        </is>
      </c>
      <c r="H928" s="15" t="n"/>
      <c r="I928" s="16" t="n"/>
      <c r="J928" s="16" t="n"/>
      <c r="K928" s="16" t="n"/>
      <c r="L928" s="17" t="n"/>
      <c r="M928" s="17" t="n"/>
      <c r="N928" s="17" t="n"/>
      <c r="O928" s="15" t="n"/>
      <c r="P928" s="15" t="n"/>
      <c r="Q928" s="18" t="inlineStr">
        <is>
          <t>https://www.sebi.gov.in/sebi_data/attachdocs/sep-2021/1631013813872.pdf</t>
        </is>
      </c>
      <c r="R928" s="18" t="inlineStr">
        <is>
          <t>https://www.sebi.gov.in/filings/public-issues/sep-2021/india1-payments-limited-drhp_52451.html</t>
        </is>
      </c>
      <c r="S928" s="15" t="n"/>
      <c r="T928" s="15" t="n"/>
      <c r="U928" s="15" t="n"/>
      <c r="V928" s="15" t="n"/>
      <c r="W928" s="16" t="n"/>
      <c r="X928" s="16" t="n"/>
      <c r="Y928" s="16" t="n"/>
      <c r="Z928" s="15" t="inlineStr">
        <is>
          <t>No issue found</t>
        </is>
      </c>
      <c r="AA928" s="15" t="inlineStr">
        <is>
          <t>Business Standard lists the company but shows no issue dates; web search limit reached</t>
        </is>
      </c>
      <c r="AB928" s="18" t="inlineStr">
        <is>
          <t>https://www.business-standard.com/markets/ipo/india1-payments-ltd-ipo-74893</t>
        </is>
      </c>
    </row>
    <row r="929" ht="15" customHeight="1" s="12">
      <c r="A929" s="14" t="n">
        <v>928</v>
      </c>
      <c r="B929" s="16" t="n">
        <v>44446</v>
      </c>
      <c r="C929" s="15" t="n">
        <v>2021</v>
      </c>
      <c r="D929" s="15" t="inlineStr">
        <is>
          <t>Tamilnad Mercantile Bank Limited</t>
        </is>
      </c>
      <c r="E929" s="15" t="inlineStr">
        <is>
          <t>DRHP</t>
        </is>
      </c>
      <c r="F929" s="15" t="inlineStr">
        <is>
          <t>Tamilnad Mercantile Bank Limited</t>
        </is>
      </c>
      <c r="G929" s="15" t="inlineStr">
        <is>
          <t>IPO launched</t>
        </is>
      </c>
      <c r="H929" s="15" t="inlineStr">
        <is>
          <t>Mainboard</t>
        </is>
      </c>
      <c r="I929" s="16" t="n">
        <v>44809</v>
      </c>
      <c r="J929" s="16" t="n">
        <v>44811</v>
      </c>
      <c r="K929" s="16" t="n">
        <v>44819</v>
      </c>
      <c r="L929" s="17" t="n">
        <v>807.84</v>
      </c>
      <c r="M929" s="17" t="n">
        <v>807.84</v>
      </c>
      <c r="N929" s="17" t="n">
        <v>0</v>
      </c>
      <c r="O929" s="15" t="inlineStr">
        <is>
          <t>Final issue (ipoplatform)</t>
        </is>
      </c>
      <c r="P929" s="15" t="n"/>
      <c r="Q929" s="18" t="inlineStr">
        <is>
          <t>https://www.sebi.gov.in/sebi_data/attachdocs/sep-2021/1630994629026.pdf</t>
        </is>
      </c>
      <c r="R929" s="18" t="inlineStr">
        <is>
          <t>https://www.sebi.gov.in/filings/public-issues/sep-2021/tamilnad-mercantile-bank-limited_52434.html</t>
        </is>
      </c>
      <c r="S929" s="15" t="n"/>
      <c r="T929" s="15" t="inlineStr">
        <is>
          <t>SEBI filing link</t>
        </is>
      </c>
      <c r="U929" s="15" t="inlineStr">
        <is>
          <t>Tamilnad Mercantile Bank Limited</t>
        </is>
      </c>
      <c r="V929" s="15" t="n"/>
      <c r="W929" s="15" t="n"/>
      <c r="X929" s="15" t="n"/>
      <c r="Y929" s="15" t="n"/>
      <c r="Z929" s="15" t="n"/>
      <c r="AA929" s="15" t="n"/>
      <c r="AB929" s="15" t="n"/>
    </row>
    <row r="930" ht="15" customHeight="1" s="12">
      <c r="A930" s="14" t="n">
        <v>929</v>
      </c>
      <c r="B930" s="16" t="n">
        <v>44445</v>
      </c>
      <c r="C930" s="15" t="n">
        <v>2021</v>
      </c>
      <c r="D930" s="15" t="inlineStr">
        <is>
          <t>ESDS Software Solutions Limited</t>
        </is>
      </c>
      <c r="E930" s="15" t="inlineStr">
        <is>
          <t>DRHP</t>
        </is>
      </c>
      <c r="F930" s="15" t="inlineStr">
        <is>
          <t>ESDS Software Solutions Limited</t>
        </is>
      </c>
      <c r="G930" s="15" t="inlineStr">
        <is>
          <t>No launched IPO found</t>
        </is>
      </c>
      <c r="H930" s="15" t="n"/>
      <c r="I930" s="16" t="n"/>
      <c r="J930" s="16" t="n"/>
      <c r="K930" s="16" t="n"/>
      <c r="L930" s="17" t="n"/>
      <c r="M930" s="17" t="n"/>
      <c r="N930" s="17" t="n"/>
      <c r="O930" s="15" t="n"/>
      <c r="P930" s="15" t="n"/>
      <c r="Q930" s="18" t="inlineStr">
        <is>
          <t>https://www.sebi.gov.in/sebi_data/attachdocs/apr-2023/1682058494706.pdf</t>
        </is>
      </c>
      <c r="R930" s="18" t="inlineStr">
        <is>
          <t>https://www.sebi.gov.in/filings/public-issues/sep-2021/esds-software-solutions-limited_52398.html</t>
        </is>
      </c>
      <c r="S930" s="15" t="n"/>
      <c r="T930" s="15" t="n"/>
      <c r="U930" s="15" t="n"/>
      <c r="V930" s="15" t="n"/>
      <c r="W930" s="25" t="n">
        <v>46262</v>
      </c>
      <c r="X930" s="25" t="n">
        <v>46266</v>
      </c>
      <c r="Y930" s="25" t="n">
        <v>46269</v>
      </c>
      <c r="Z930" s="26" t="inlineStr">
        <is>
          <t>Later IPO — not from this draft</t>
        </is>
      </c>
      <c r="AA930" s="15" t="inlineStr">
        <is>
          <t>Opened 5.0 yrs after this filing, under a later draft</t>
        </is>
      </c>
      <c r="AB930" s="18" t="inlineStr">
        <is>
          <t>https://www.business-standard.com/markets/ipo/esds-software-solution-ltd-ipo-71185</t>
        </is>
      </c>
    </row>
    <row r="931" ht="15" customHeight="1" s="12">
      <c r="A931" s="14" t="n">
        <v>930</v>
      </c>
      <c r="B931" s="16" t="n">
        <v>44442</v>
      </c>
      <c r="C931" s="15" t="n">
        <v>2021</v>
      </c>
      <c r="D931" s="15" t="inlineStr">
        <is>
          <t>D.K. Enterprises Global Limited</t>
        </is>
      </c>
      <c r="E931" s="15" t="inlineStr">
        <is>
          <t>DRHP</t>
        </is>
      </c>
      <c r="F931" s="15" t="inlineStr">
        <is>
          <t>D.K. Enterprises Global Limited</t>
        </is>
      </c>
      <c r="G931" s="15" t="inlineStr">
        <is>
          <t>IPO launched</t>
        </is>
      </c>
      <c r="H931" s="15" t="inlineStr">
        <is>
          <t>SME</t>
        </is>
      </c>
      <c r="I931" s="16" t="n">
        <v>44476</v>
      </c>
      <c r="J931" s="16" t="n">
        <v>44481</v>
      </c>
      <c r="K931" s="16" t="n">
        <v>44491</v>
      </c>
      <c r="L931" s="17" t="n">
        <v>7.99</v>
      </c>
      <c r="M931" s="17" t="n">
        <v>7.99</v>
      </c>
      <c r="N931" s="17" t="n">
        <v>0</v>
      </c>
      <c r="O931" s="15" t="inlineStr">
        <is>
          <t>Final issue (ipoplatform)</t>
        </is>
      </c>
      <c r="P931" s="15" t="n"/>
      <c r="Q931" s="18" t="inlineStr">
        <is>
          <t>https://www.sebi.gov.in/sebi_data/attachdocs/sep-2021/1630664390458.pdf</t>
        </is>
      </c>
      <c r="R931" s="18" t="inlineStr">
        <is>
          <t>https://www.sebi.gov.in/filings/public-issues/sep-2021/d-k-enterprises-global-limited_52364.html</t>
        </is>
      </c>
      <c r="S931" s="15" t="n"/>
      <c r="T931" s="15" t="inlineStr">
        <is>
          <t>SEBI filing link</t>
        </is>
      </c>
      <c r="U931" s="15" t="inlineStr">
        <is>
          <t>DK Enterprises Global Limited</t>
        </is>
      </c>
      <c r="V931" s="15" t="n"/>
      <c r="W931" s="15" t="n"/>
      <c r="X931" s="15" t="n"/>
      <c r="Y931" s="15" t="n"/>
      <c r="Z931" s="15" t="n"/>
      <c r="AA931" s="15" t="n"/>
      <c r="AB931" s="15" t="n"/>
    </row>
    <row r="932" ht="15" customHeight="1" s="12">
      <c r="A932" s="14" t="n">
        <v>931</v>
      </c>
      <c r="B932" s="16" t="n">
        <v>44442</v>
      </c>
      <c r="C932" s="15" t="n">
        <v>2021</v>
      </c>
      <c r="D932" s="15" t="inlineStr">
        <is>
          <t>Avyukta Dairy Products Limited</t>
        </is>
      </c>
      <c r="E932" s="15" t="inlineStr">
        <is>
          <t>DRHP</t>
        </is>
      </c>
      <c r="F932" s="15" t="inlineStr">
        <is>
          <t>Avyukta Dairy Products Limited</t>
        </is>
      </c>
      <c r="G932" s="15" t="inlineStr">
        <is>
          <t>No launched IPO found</t>
        </is>
      </c>
      <c r="H932" s="15" t="n"/>
      <c r="I932" s="16" t="n"/>
      <c r="J932" s="16" t="n"/>
      <c r="K932" s="16" t="n"/>
      <c r="L932" s="17" t="n"/>
      <c r="M932" s="17" t="n"/>
      <c r="N932" s="17" t="n"/>
      <c r="O932" s="15" t="n"/>
      <c r="P932" s="15" t="n"/>
      <c r="Q932" s="18" t="inlineStr">
        <is>
          <t>https://www.sebi.gov.in/sebi_data/attachdocs/sep-2021/1630660650926.pdf</t>
        </is>
      </c>
      <c r="R932" s="18" t="inlineStr">
        <is>
          <t>https://www.sebi.gov.in/filings/public-issues/sep-2021/avyukta-dairy-products-limited_52362.html</t>
        </is>
      </c>
      <c r="S932" s="15" t="n"/>
      <c r="T932" s="15" t="n"/>
      <c r="U932" s="15" t="n"/>
      <c r="V932" s="15" t="n"/>
      <c r="W932" s="16" t="n"/>
      <c r="X932" s="16" t="n"/>
      <c r="Y932" s="16" t="n"/>
      <c r="Z932" s="15" t="inlineStr">
        <is>
          <t>No issue found</t>
        </is>
      </c>
      <c r="AA932" s="15" t="inlineStr">
        <is>
          <t>Business Standard lists the company but shows no issue dates; web search limit reached</t>
        </is>
      </c>
      <c r="AB932" s="18" t="inlineStr">
        <is>
          <t>https://www.business-standard.com/markets/ipo/avyukta-dairy-products-ltd-ipo-75899</t>
        </is>
      </c>
    </row>
    <row r="933" ht="15" customHeight="1" s="12">
      <c r="A933" s="14" t="n">
        <v>932</v>
      </c>
      <c r="B933" s="16" t="n">
        <v>44441</v>
      </c>
      <c r="C933" s="15" t="n">
        <v>2021</v>
      </c>
      <c r="D933" s="15" t="inlineStr">
        <is>
          <t>C.E. Info Systems Limited</t>
        </is>
      </c>
      <c r="E933" s="15" t="inlineStr">
        <is>
          <t>DRHP</t>
        </is>
      </c>
      <c r="F933" s="15" t="inlineStr">
        <is>
          <t>C.E. Info Systems Limited - DRHP</t>
        </is>
      </c>
      <c r="G933" s="15" t="inlineStr">
        <is>
          <t>IPO launched</t>
        </is>
      </c>
      <c r="H933" s="15" t="inlineStr">
        <is>
          <t>Mainboard</t>
        </is>
      </c>
      <c r="I933" s="16" t="n">
        <v>44539</v>
      </c>
      <c r="J933" s="16" t="n">
        <v>44543</v>
      </c>
      <c r="K933" s="16" t="n">
        <v>44551</v>
      </c>
      <c r="L933" s="17" t="n">
        <v>1039.61</v>
      </c>
      <c r="M933" s="17" t="n">
        <v>1039.61</v>
      </c>
      <c r="N933" s="17" t="n">
        <v>0</v>
      </c>
      <c r="O933" s="15" t="inlineStr">
        <is>
          <t>Final issue (ipoplatform)</t>
        </is>
      </c>
      <c r="P933" s="15" t="n"/>
      <c r="Q933" s="18" t="inlineStr">
        <is>
          <t>https://www.sebi.gov.in/sebi_data/attachdocs/apr-2023/1682059822787.pdf</t>
        </is>
      </c>
      <c r="R933" s="18" t="inlineStr">
        <is>
          <t>https://www.sebi.gov.in/filings/public-issues/sep-2021/c-e-info-systems-limited-drhp_52321.html</t>
        </is>
      </c>
      <c r="S933" s="15" t="n"/>
      <c r="T933" s="15" t="inlineStr">
        <is>
          <t>SEBI filing link</t>
        </is>
      </c>
      <c r="U933" s="15" t="inlineStr">
        <is>
          <t>C.E. Info systems limited</t>
        </is>
      </c>
      <c r="V933" s="15" t="n"/>
      <c r="W933" s="15" t="n"/>
      <c r="X933" s="15" t="n"/>
      <c r="Y933" s="15" t="n"/>
      <c r="Z933" s="15" t="n"/>
      <c r="AA933" s="15" t="n"/>
      <c r="AB933" s="15" t="n"/>
    </row>
    <row r="934" ht="15" customHeight="1" s="12">
      <c r="A934" s="14" t="n">
        <v>933</v>
      </c>
      <c r="B934" s="16" t="n">
        <v>44440</v>
      </c>
      <c r="C934" s="15" t="n">
        <v>2021</v>
      </c>
      <c r="D934" s="15" t="inlineStr">
        <is>
          <t>Aditya Birla Sun Life AMC</t>
        </is>
      </c>
      <c r="E934" s="15" t="inlineStr">
        <is>
          <t>Corrigendum</t>
        </is>
      </c>
      <c r="F934" s="15" t="inlineStr">
        <is>
          <t>Aditya Birla Sun Life AMC - Corrigendum to DRHP</t>
        </is>
      </c>
      <c r="G934" s="15" t="inlineStr">
        <is>
          <t>IPO launched</t>
        </is>
      </c>
      <c r="H934" s="15" t="inlineStr">
        <is>
          <t>Mainboard</t>
        </is>
      </c>
      <c r="I934" s="16" t="n">
        <v>44468</v>
      </c>
      <c r="J934" s="16" t="n">
        <v>44470</v>
      </c>
      <c r="K934" s="16" t="n">
        <v>44480</v>
      </c>
      <c r="L934" s="17" t="n">
        <v>2768.26</v>
      </c>
      <c r="M934" s="17" t="n">
        <v>2768.26</v>
      </c>
      <c r="N934" s="17" t="n">
        <v>0</v>
      </c>
      <c r="O934" s="15" t="inlineStr">
        <is>
          <t>Final issue (ipoplatform)</t>
        </is>
      </c>
      <c r="P934" s="15" t="n"/>
      <c r="Q934" s="18" t="inlineStr">
        <is>
          <t>https://www.sebi.gov.in/sebi_data/attachdocs/sep-2021/1630484305586.pdf</t>
        </is>
      </c>
      <c r="R934" s="18" t="inlineStr">
        <is>
          <t>https://www.sebi.gov.in/filings/public-issues/sep-2021/aditya-birla-sun-life-amc-corrigendum-to-drhp_52304.html</t>
        </is>
      </c>
      <c r="S934" s="15" t="n"/>
      <c r="T934" s="15" t="inlineStr">
        <is>
          <t>Company name + date window</t>
        </is>
      </c>
      <c r="U934" s="15" t="inlineStr">
        <is>
          <t>Aditya Birla Sun Life AMC Limited</t>
        </is>
      </c>
      <c r="V934" s="15" t="n"/>
      <c r="W934" s="15" t="n"/>
      <c r="X934" s="15" t="n"/>
      <c r="Y934" s="15" t="n"/>
      <c r="Z934" s="15" t="n"/>
      <c r="AA934" s="15" t="n"/>
      <c r="AB934" s="15" t="n"/>
    </row>
    <row r="935" ht="15" customHeight="1" s="12">
      <c r="A935" s="14" t="n">
        <v>934</v>
      </c>
      <c r="B935" s="16" t="n">
        <v>44440</v>
      </c>
      <c r="C935" s="15" t="n">
        <v>2021</v>
      </c>
      <c r="D935" s="15" t="inlineStr">
        <is>
          <t>INFINION BIOPHARMA LIMITED</t>
        </is>
      </c>
      <c r="E935" s="15" t="inlineStr">
        <is>
          <t>DRHP</t>
        </is>
      </c>
      <c r="F935" s="15" t="inlineStr">
        <is>
          <t>INFINION BIOPHARMA LIMITED</t>
        </is>
      </c>
      <c r="G935" s="15" t="inlineStr">
        <is>
          <t>No launched IPO found</t>
        </is>
      </c>
      <c r="H935" s="15" t="n"/>
      <c r="I935" s="16" t="n"/>
      <c r="J935" s="16" t="n"/>
      <c r="K935" s="16" t="n"/>
      <c r="L935" s="17" t="n"/>
      <c r="M935" s="17" t="n"/>
      <c r="N935" s="17" t="n"/>
      <c r="O935" s="15" t="n"/>
      <c r="P935" s="15" t="n"/>
      <c r="Q935" s="18" t="inlineStr">
        <is>
          <t>https://www.sebi.gov.in/sebi_data/attachdocs/sep-2021/1630484205106.pdf</t>
        </is>
      </c>
      <c r="R935" s="18" t="inlineStr">
        <is>
          <t>https://www.sebi.gov.in/filings/public-issues/sep-2021/infinion-biopharma-limited_52303.html</t>
        </is>
      </c>
      <c r="S935" s="15" t="n"/>
      <c r="T935" s="15" t="n"/>
      <c r="U935" s="15" t="n"/>
      <c r="V935" s="15" t="n"/>
      <c r="W935" s="16" t="n"/>
      <c r="X935" s="16" t="n"/>
      <c r="Y935" s="16" t="n"/>
      <c r="Z935" s="15" t="inlineStr">
        <is>
          <t>No issue found</t>
        </is>
      </c>
      <c r="AA935" s="15" t="inlineStr">
        <is>
          <t>Business Standard lists the company but shows no issue dates; web search limit reached</t>
        </is>
      </c>
      <c r="AB935" s="18" t="inlineStr">
        <is>
          <t>https://www.business-standard.com/markets/ipo/infinion-biopharma-ltd-ipo-75880</t>
        </is>
      </c>
    </row>
    <row r="936" ht="15" customHeight="1" s="12">
      <c r="A936" s="14" t="n">
        <v>935</v>
      </c>
      <c r="B936" s="16" t="n">
        <v>44435</v>
      </c>
      <c r="C936" s="15" t="n">
        <v>2021</v>
      </c>
      <c r="D936" s="15" t="inlineStr">
        <is>
          <t>Maximus International Limited</t>
        </is>
      </c>
      <c r="E936" s="15" t="inlineStr">
        <is>
          <t>DRHP</t>
        </is>
      </c>
      <c r="F936" s="15" t="inlineStr">
        <is>
          <t>Maximus International Limited</t>
        </is>
      </c>
      <c r="G936" s="15" t="inlineStr">
        <is>
          <t>No launched IPO found</t>
        </is>
      </c>
      <c r="H936" s="15" t="n"/>
      <c r="I936" s="16" t="n"/>
      <c r="J936" s="16" t="n"/>
      <c r="K936" s="16" t="n"/>
      <c r="L936" s="17" t="n"/>
      <c r="M936" s="17" t="n"/>
      <c r="N936" s="17" t="n"/>
      <c r="O936" s="15" t="n"/>
      <c r="P936" s="15" t="n"/>
      <c r="Q936" s="18" t="inlineStr">
        <is>
          <t>https://www.sebi.gov.in/sebi_data/attachdocs/aug-2021/1630066435746.pdf</t>
        </is>
      </c>
      <c r="R936" s="18" t="inlineStr">
        <is>
          <t>https://www.sebi.gov.in/filings/public-issues/aug-2021/maximus-international-limited_52143.html</t>
        </is>
      </c>
      <c r="S936" s="15" t="n"/>
      <c r="T936" s="15" t="n"/>
      <c r="U936" s="15" t="n"/>
      <c r="V936" s="15" t="inlineStr">
        <is>
          <t>Same-name IPO opened 17-Mar-2017 — outside 2 years of this filing, so not linked</t>
        </is>
      </c>
      <c r="W936" s="16" t="n"/>
      <c r="X936" s="16" t="n"/>
      <c r="Y936" s="16" t="n"/>
      <c r="Z936" s="15" t="inlineStr">
        <is>
          <t>No issue found</t>
        </is>
      </c>
      <c r="AA936" s="15" t="inlineStr">
        <is>
          <t>Business Standard lists the company but shows no issue dates; web search limit reached</t>
        </is>
      </c>
      <c r="AB936" s="18" t="inlineStr">
        <is>
          <t>https://www.business-standard.com/markets/ipo/maximus-international-ltd-ipo-69821</t>
        </is>
      </c>
    </row>
    <row r="937" ht="15" customHeight="1" s="12">
      <c r="A937" s="14" t="n">
        <v>936</v>
      </c>
      <c r="B937" s="16" t="n">
        <v>44432</v>
      </c>
      <c r="C937" s="15" t="n">
        <v>2021</v>
      </c>
      <c r="D937" s="15" t="inlineStr">
        <is>
          <t>Prudent Corporate Advisory Services Limited</t>
        </is>
      </c>
      <c r="E937" s="15" t="inlineStr">
        <is>
          <t>DRHP</t>
        </is>
      </c>
      <c r="F937" s="15" t="inlineStr">
        <is>
          <t>Prudent Corporate Advisory Services Limited</t>
        </is>
      </c>
      <c r="G937" s="15" t="inlineStr">
        <is>
          <t>IPO launched</t>
        </is>
      </c>
      <c r="H937" s="15" t="inlineStr">
        <is>
          <t>Mainboard</t>
        </is>
      </c>
      <c r="I937" s="16" t="n">
        <v>44691</v>
      </c>
      <c r="J937" s="16" t="n">
        <v>44693</v>
      </c>
      <c r="K937" s="16" t="n">
        <v>44701</v>
      </c>
      <c r="L937" s="17" t="n">
        <v>538.61</v>
      </c>
      <c r="M937" s="17" t="n">
        <v>538.61</v>
      </c>
      <c r="N937" s="17" t="n">
        <v>0</v>
      </c>
      <c r="O937" s="15" t="inlineStr">
        <is>
          <t>Final issue (ipoplatform)</t>
        </is>
      </c>
      <c r="P937" s="15" t="n"/>
      <c r="Q937" s="18" t="inlineStr">
        <is>
          <t>https://www.sebi.gov.in/sebi_data/attachdocs/may-2023/1683093571163.pdf</t>
        </is>
      </c>
      <c r="R937" s="18" t="inlineStr">
        <is>
          <t>https://www.sebi.gov.in/filings/public-issues/aug-2021/prudent-corporate-advisory-services-limited_52022.html</t>
        </is>
      </c>
      <c r="S937" s="15" t="n"/>
      <c r="T937" s="15" t="inlineStr">
        <is>
          <t>SEBI filing link</t>
        </is>
      </c>
      <c r="U937" s="15" t="inlineStr">
        <is>
          <t>Prudent Corporate Advisory Services Limited</t>
        </is>
      </c>
      <c r="V937" s="15" t="n"/>
      <c r="W937" s="15" t="n"/>
      <c r="X937" s="15" t="n"/>
      <c r="Y937" s="15" t="n"/>
      <c r="Z937" s="15" t="n"/>
      <c r="AA937" s="15" t="n"/>
      <c r="AB937" s="15" t="n"/>
    </row>
    <row r="938" ht="15" customHeight="1" s="12">
      <c r="A938" s="14" t="n">
        <v>937</v>
      </c>
      <c r="B938" s="16" t="n">
        <v>44431</v>
      </c>
      <c r="C938" s="15" t="n">
        <v>2021</v>
      </c>
      <c r="D938" s="15" t="inlineStr">
        <is>
          <t>Metro Brands Limited</t>
        </is>
      </c>
      <c r="E938" s="15" t="inlineStr">
        <is>
          <t>DRHP</t>
        </is>
      </c>
      <c r="F938" s="15" t="inlineStr">
        <is>
          <t>Metro Brands Limited</t>
        </is>
      </c>
      <c r="G938" s="15" t="inlineStr">
        <is>
          <t>IPO launched</t>
        </is>
      </c>
      <c r="H938" s="15" t="inlineStr">
        <is>
          <t>Mainboard</t>
        </is>
      </c>
      <c r="I938" s="16" t="n">
        <v>44540</v>
      </c>
      <c r="J938" s="16" t="n">
        <v>44544</v>
      </c>
      <c r="K938" s="16" t="n">
        <v>44552</v>
      </c>
      <c r="L938" s="17" t="n">
        <v>1367.51</v>
      </c>
      <c r="M938" s="17" t="n">
        <v>1367.51</v>
      </c>
      <c r="N938" s="17" t="n">
        <v>0</v>
      </c>
      <c r="O938" s="15" t="inlineStr">
        <is>
          <t>Final issue (ipoplatform)</t>
        </is>
      </c>
      <c r="P938" s="15" t="n"/>
      <c r="Q938" s="18" t="inlineStr">
        <is>
          <t>https://www.sebi.gov.in/sebi_data/attachdocs/apr-2023/1681886073770.pdf</t>
        </is>
      </c>
      <c r="R938" s="18" t="inlineStr">
        <is>
          <t>https://www.sebi.gov.in/filings/public-issues/aug-2021/metro-brands-limited_52009.html</t>
        </is>
      </c>
      <c r="S938" s="15" t="n"/>
      <c r="T938" s="15" t="inlineStr">
        <is>
          <t>SEBI filing link</t>
        </is>
      </c>
      <c r="U938" s="15" t="inlineStr">
        <is>
          <t>Metro Brands Limited</t>
        </is>
      </c>
      <c r="V938" s="15" t="n"/>
      <c r="W938" s="15" t="n"/>
      <c r="X938" s="15" t="n"/>
      <c r="Y938" s="15" t="n"/>
      <c r="Z938" s="15" t="n"/>
      <c r="AA938" s="15" t="n"/>
      <c r="AB938" s="15" t="n"/>
    </row>
    <row r="939" ht="15" customHeight="1" s="12">
      <c r="A939" s="14" t="n">
        <v>938</v>
      </c>
      <c r="B939" s="16" t="n">
        <v>44428</v>
      </c>
      <c r="C939" s="15" t="n">
        <v>2021</v>
      </c>
      <c r="D939" s="15" t="inlineStr">
        <is>
          <t>AGS Transact Technologies Limited</t>
        </is>
      </c>
      <c r="E939" s="15" t="inlineStr">
        <is>
          <t>DRHP</t>
        </is>
      </c>
      <c r="F939" s="15" t="inlineStr">
        <is>
          <t>AGS Transact Technologies Limited</t>
        </is>
      </c>
      <c r="G939" s="15" t="inlineStr">
        <is>
          <t>IPO launched</t>
        </is>
      </c>
      <c r="H939" s="15" t="inlineStr">
        <is>
          <t>Mainboard</t>
        </is>
      </c>
      <c r="I939" s="16" t="n">
        <v>44580</v>
      </c>
      <c r="J939" s="16" t="n">
        <v>44582</v>
      </c>
      <c r="K939" s="16" t="n">
        <v>44592</v>
      </c>
      <c r="L939" s="17" t="n">
        <v>680</v>
      </c>
      <c r="M939" s="17" t="n">
        <v>680</v>
      </c>
      <c r="N939" s="17" t="n">
        <v>0</v>
      </c>
      <c r="O939" s="15" t="inlineStr">
        <is>
          <t>Final issue (ipoplatform)</t>
        </is>
      </c>
      <c r="P939" s="15" t="n"/>
      <c r="Q939" s="18" t="inlineStr">
        <is>
          <t>https://www.sebi.gov.in/sebi_data/attachdocs/may-2023/1683612171593.pdf</t>
        </is>
      </c>
      <c r="R939" s="18" t="inlineStr">
        <is>
          <t>https://www.sebi.gov.in/filings/public-issues/aug-2021/ags-transact-technologies-limited_51981.html</t>
        </is>
      </c>
      <c r="S939" s="15" t="n"/>
      <c r="T939" s="15" t="inlineStr">
        <is>
          <t>Company name + date window</t>
        </is>
      </c>
      <c r="U939" s="15" t="inlineStr">
        <is>
          <t>AGS Transact Technologies Limited</t>
        </is>
      </c>
      <c r="V939" s="15" t="n"/>
      <c r="W939" s="15" t="n"/>
      <c r="X939" s="15" t="n"/>
      <c r="Y939" s="15" t="n"/>
      <c r="Z939" s="15" t="n"/>
      <c r="AA939" s="15" t="n"/>
      <c r="AB939" s="15" t="n"/>
    </row>
    <row r="940" ht="15" customHeight="1" s="12">
      <c r="A940" s="14" t="n">
        <v>939</v>
      </c>
      <c r="B940" s="16" t="n">
        <v>44428</v>
      </c>
      <c r="C940" s="15" t="n">
        <v>2021</v>
      </c>
      <c r="D940" s="15" t="inlineStr">
        <is>
          <t>Emcure Pharmaceuticals Limited</t>
        </is>
      </c>
      <c r="E940" s="15" t="inlineStr">
        <is>
          <t>DRHP</t>
        </is>
      </c>
      <c r="F940" s="15" t="inlineStr">
        <is>
          <t>Emcure Pharmaceuticals Limited</t>
        </is>
      </c>
      <c r="G940" s="15" t="inlineStr">
        <is>
          <t>No launched IPO found</t>
        </is>
      </c>
      <c r="H940" s="15" t="n"/>
      <c r="I940" s="16" t="n"/>
      <c r="J940" s="16" t="n"/>
      <c r="K940" s="16" t="n"/>
      <c r="L940" s="17" t="n"/>
      <c r="M940" s="17" t="n"/>
      <c r="N940" s="17" t="n"/>
      <c r="O940" s="15" t="n"/>
      <c r="P940" s="15" t="n"/>
      <c r="Q940" s="18" t="inlineStr">
        <is>
          <t>https://www.sebi.gov.in/sebi_data/attachdocs/apr-2023/1681883610977.pdf</t>
        </is>
      </c>
      <c r="R940" s="18" t="inlineStr">
        <is>
          <t>https://www.sebi.gov.in/filings/public-issues/aug-2021/emcure-pharmaceuticals-limited_51971.html</t>
        </is>
      </c>
      <c r="S940" s="15" t="n"/>
      <c r="T940" s="15" t="n"/>
      <c r="U940" s="15" t="n"/>
      <c r="V940" s="15" t="inlineStr">
        <is>
          <t>Same-name IPO opened 03-Jul-2024 — outside 2 years of this filing, so not linked</t>
        </is>
      </c>
      <c r="W940" s="19" t="n">
        <v>45476</v>
      </c>
      <c r="X940" s="19" t="n">
        <v>45478</v>
      </c>
      <c r="Y940" s="19" t="n">
        <v>45483</v>
      </c>
      <c r="Z940" s="20" t="inlineStr">
        <is>
          <t>Issue opened</t>
        </is>
      </c>
      <c r="AA940" s="15" t="inlineStr">
        <is>
          <t>Matched on chittorgarh.com</t>
        </is>
      </c>
      <c r="AB940" s="18" t="inlineStr">
        <is>
          <t>https://www.chittorgarh.com/ipo/emcure-pharma-ipo/1766/</t>
        </is>
      </c>
    </row>
    <row r="941" ht="15" customHeight="1" s="12">
      <c r="A941" s="14" t="n">
        <v>940</v>
      </c>
      <c r="B941" s="16" t="n">
        <v>44426</v>
      </c>
      <c r="C941" s="15" t="n">
        <v>2021</v>
      </c>
      <c r="D941" s="15" t="inlineStr">
        <is>
          <t>MedPlus Health Services Limited</t>
        </is>
      </c>
      <c r="E941" s="15" t="inlineStr">
        <is>
          <t>DRHP</t>
        </is>
      </c>
      <c r="F941" s="15" t="inlineStr">
        <is>
          <t>MedPlus Health Services Limited</t>
        </is>
      </c>
      <c r="G941" s="15" t="inlineStr">
        <is>
          <t>IPO launched</t>
        </is>
      </c>
      <c r="H941" s="15" t="inlineStr">
        <is>
          <t>Mainboard</t>
        </is>
      </c>
      <c r="I941" s="16" t="n">
        <v>44543</v>
      </c>
      <c r="J941" s="16" t="n">
        <v>44545</v>
      </c>
      <c r="K941" s="16" t="n">
        <v>44553</v>
      </c>
      <c r="L941" s="17" t="n">
        <v>1398.3</v>
      </c>
      <c r="M941" s="17" t="n">
        <v>600</v>
      </c>
      <c r="N941" s="17" t="n">
        <v>798.3</v>
      </c>
      <c r="O941" s="15" t="inlineStr">
        <is>
          <t>Final issue (ipoplatform)</t>
        </is>
      </c>
      <c r="P941" s="15" t="n"/>
      <c r="Q941" s="18" t="inlineStr">
        <is>
          <t>https://www.sebi.gov.in/sebi_data/attachdocs/apr-2023/1681883356106.pdf</t>
        </is>
      </c>
      <c r="R941" s="18" t="inlineStr">
        <is>
          <t>https://www.sebi.gov.in/filings/public-issues/aug-2021/medplus-health-services-limited_51966.html</t>
        </is>
      </c>
      <c r="S941" s="15" t="n"/>
      <c r="T941" s="15" t="inlineStr">
        <is>
          <t>SEBI filing link</t>
        </is>
      </c>
      <c r="U941" s="15" t="inlineStr">
        <is>
          <t>Medplus Health Services Limited</t>
        </is>
      </c>
      <c r="V941" s="15" t="n"/>
      <c r="W941" s="15" t="n"/>
      <c r="X941" s="15" t="n"/>
      <c r="Y941" s="15" t="n"/>
      <c r="Z941" s="15" t="n"/>
      <c r="AA941" s="15" t="n"/>
      <c r="AB941" s="15" t="n"/>
    </row>
    <row r="942" ht="15" customHeight="1" s="12">
      <c r="A942" s="14" t="n">
        <v>941</v>
      </c>
      <c r="B942" s="16" t="n">
        <v>44426</v>
      </c>
      <c r="C942" s="15" t="n">
        <v>2021</v>
      </c>
      <c r="D942" s="15" t="inlineStr">
        <is>
          <t>Sterlite Power Transmissions Limited</t>
        </is>
      </c>
      <c r="E942" s="15" t="inlineStr">
        <is>
          <t>DRHP</t>
        </is>
      </c>
      <c r="F942" s="15" t="inlineStr">
        <is>
          <t>Sterlite Power Transmissions Limited - DRHP</t>
        </is>
      </c>
      <c r="G942" s="15" t="inlineStr">
        <is>
          <t>No launched IPO found</t>
        </is>
      </c>
      <c r="H942" s="15" t="n"/>
      <c r="I942" s="16" t="n"/>
      <c r="J942" s="16" t="n"/>
      <c r="K942" s="16" t="n"/>
      <c r="L942" s="17" t="n"/>
      <c r="M942" s="17" t="n"/>
      <c r="N942" s="17" t="n"/>
      <c r="O942" s="15" t="n"/>
      <c r="P942" s="15" t="n"/>
      <c r="Q942" s="18" t="inlineStr">
        <is>
          <t>https://www.sebi.gov.in/sebi_data/attachdocs/aug-2021/1629284268385.pdf</t>
        </is>
      </c>
      <c r="R942" s="18" t="inlineStr">
        <is>
          <t>https://www.sebi.gov.in/filings/public-issues/aug-2021/sterlite-power-transmissions-limited-drhp_51956.html</t>
        </is>
      </c>
      <c r="S942" s="15" t="n"/>
      <c r="T942" s="15" t="n"/>
      <c r="U942" s="15" t="n"/>
      <c r="V942" s="15" t="n"/>
      <c r="W942" s="16" t="n"/>
      <c r="X942" s="16" t="n"/>
      <c r="Y942" s="16" t="n"/>
      <c r="Z942" s="15" t="inlineStr">
        <is>
          <t>Withdrawn / approval lapsed</t>
        </is>
      </c>
      <c r="AA942" s="15" t="inlineStr">
        <is>
          <t>SEBI nod Dec 2021; DRHP withdrawn/lapsed 2022 citing volatility; never listed</t>
        </is>
      </c>
      <c r="AB942" s="18" t="inlineStr">
        <is>
          <t>https://www.sterliteelectric.com/press-release/sterlite-power-transmission-limited-alters-strategic-plans</t>
        </is>
      </c>
    </row>
    <row r="943" ht="15" customHeight="1" s="12">
      <c r="A943" s="14" t="n">
        <v>942</v>
      </c>
      <c r="B943" s="16" t="n">
        <v>44426</v>
      </c>
      <c r="C943" s="15" t="n">
        <v>2021</v>
      </c>
      <c r="D943" s="15" t="inlineStr">
        <is>
          <t>Tega Industries Limited</t>
        </is>
      </c>
      <c r="E943" s="15" t="inlineStr">
        <is>
          <t>DRHP</t>
        </is>
      </c>
      <c r="F943" s="15" t="inlineStr">
        <is>
          <t>Tega Industries Limited - DRHP</t>
        </is>
      </c>
      <c r="G943" s="15" t="inlineStr">
        <is>
          <t>IPO launched</t>
        </is>
      </c>
      <c r="H943" s="15" t="inlineStr">
        <is>
          <t>Mainboard</t>
        </is>
      </c>
      <c r="I943" s="16" t="n">
        <v>44531</v>
      </c>
      <c r="J943" s="16" t="n">
        <v>44533</v>
      </c>
      <c r="K943" s="16" t="n">
        <v>44543</v>
      </c>
      <c r="L943" s="17" t="n">
        <v>619.23</v>
      </c>
      <c r="M943" s="17" t="n">
        <v>619.23</v>
      </c>
      <c r="N943" s="17" t="n">
        <v>0</v>
      </c>
      <c r="O943" s="15" t="inlineStr">
        <is>
          <t>Final issue (ipoplatform)</t>
        </is>
      </c>
      <c r="P943" s="15" t="n"/>
      <c r="Q943" s="18" t="inlineStr">
        <is>
          <t>https://www.sebi.gov.in/sebi_data/attachdocs/apr-2023/1681883056051.pdf</t>
        </is>
      </c>
      <c r="R943" s="18" t="inlineStr">
        <is>
          <t>https://www.sebi.gov.in/filings/public-issues/aug-2021/tega-industries-limited-drhp_51954.html</t>
        </is>
      </c>
      <c r="S943" s="15" t="n"/>
      <c r="T943" s="15" t="inlineStr">
        <is>
          <t>SEBI filing link</t>
        </is>
      </c>
      <c r="U943" s="15" t="inlineStr">
        <is>
          <t>Tega Industries Limited</t>
        </is>
      </c>
      <c r="V943" s="15" t="n"/>
      <c r="W943" s="15" t="n"/>
      <c r="X943" s="15" t="n"/>
      <c r="Y943" s="15" t="n"/>
      <c r="Z943" s="15" t="n"/>
      <c r="AA943" s="15" t="n"/>
      <c r="AB943" s="15" t="n"/>
    </row>
    <row r="944" ht="15" customHeight="1" s="12">
      <c r="A944" s="14" t="n">
        <v>943</v>
      </c>
      <c r="B944" s="16" t="n">
        <v>44426</v>
      </c>
      <c r="C944" s="15" t="n">
        <v>2021</v>
      </c>
      <c r="D944" s="15" t="inlineStr">
        <is>
          <t>Rategain Travel Technologies Limited</t>
        </is>
      </c>
      <c r="E944" s="15" t="inlineStr">
        <is>
          <t>DRHP</t>
        </is>
      </c>
      <c r="F944" s="15" t="inlineStr">
        <is>
          <t>Rategain Travel Technologies Limited</t>
        </is>
      </c>
      <c r="G944" s="15" t="inlineStr">
        <is>
          <t>IPO launched</t>
        </is>
      </c>
      <c r="H944" s="15" t="inlineStr">
        <is>
          <t>Mainboard</t>
        </is>
      </c>
      <c r="I944" s="16" t="n">
        <v>44537</v>
      </c>
      <c r="J944" s="16" t="n">
        <v>44539</v>
      </c>
      <c r="K944" s="16" t="n">
        <v>44547</v>
      </c>
      <c r="L944" s="17" t="n">
        <v>1335.74</v>
      </c>
      <c r="M944" s="17" t="n">
        <v>1335.74</v>
      </c>
      <c r="N944" s="17" t="n">
        <v>0</v>
      </c>
      <c r="O944" s="15" t="inlineStr">
        <is>
          <t>Final issue (ipoplatform)</t>
        </is>
      </c>
      <c r="P944" s="15" t="n"/>
      <c r="Q944" s="18" t="inlineStr">
        <is>
          <t>https://www.sebi.gov.in/sebi_data/attachdocs/aug-2021/1629278801573.pdf</t>
        </is>
      </c>
      <c r="R944" s="18" t="inlineStr">
        <is>
          <t>https://www.sebi.gov.in/filings/public-issues/aug-2021/rategain-travel-technologies-limited_51940.html</t>
        </is>
      </c>
      <c r="S944" s="15" t="n"/>
      <c r="T944" s="15" t="inlineStr">
        <is>
          <t>SEBI filing link</t>
        </is>
      </c>
      <c r="U944" s="15" t="inlineStr">
        <is>
          <t>Rategain Travel Technologies Limited</t>
        </is>
      </c>
      <c r="V944" s="15" t="n"/>
      <c r="W944" s="15" t="n"/>
      <c r="X944" s="15" t="n"/>
      <c r="Y944" s="15" t="n"/>
      <c r="Z944" s="15" t="n"/>
      <c r="AA944" s="15" t="n"/>
      <c r="AB944" s="15" t="n"/>
    </row>
    <row r="945" ht="15" customHeight="1" s="12">
      <c r="A945" s="14" t="n">
        <v>944</v>
      </c>
      <c r="B945" s="16" t="n">
        <v>44426</v>
      </c>
      <c r="C945" s="15" t="n">
        <v>2021</v>
      </c>
      <c r="D945" s="15" t="inlineStr">
        <is>
          <t>INSPIRA ENTERPRISE INDIA LIMITED</t>
        </is>
      </c>
      <c r="E945" s="15" t="inlineStr">
        <is>
          <t>DRHP</t>
        </is>
      </c>
      <c r="F945" s="15" t="inlineStr">
        <is>
          <t>INSPIRA ENTERPRISE INDIA LIMITED</t>
        </is>
      </c>
      <c r="G945" s="15" t="inlineStr">
        <is>
          <t>No launched IPO found</t>
        </is>
      </c>
      <c r="H945" s="15" t="n"/>
      <c r="I945" s="16" t="n"/>
      <c r="J945" s="16" t="n"/>
      <c r="K945" s="16" t="n"/>
      <c r="L945" s="17" t="n"/>
      <c r="M945" s="17" t="n"/>
      <c r="N945" s="17" t="n"/>
      <c r="O945" s="15" t="n"/>
      <c r="P945" s="15" t="n"/>
      <c r="Q945" s="18" t="inlineStr">
        <is>
          <t>https://www.sebi.gov.in/sebi_data/attachdocs/apr-2023/1681883512747.pdf</t>
        </is>
      </c>
      <c r="R945" s="18" t="inlineStr">
        <is>
          <t>https://www.sebi.gov.in/filings/public-issues/aug-2021/inspira-enterprise-india-limited_51934.html</t>
        </is>
      </c>
      <c r="S945" s="15" t="n"/>
      <c r="T945" s="15" t="n"/>
      <c r="U945" s="15" t="n"/>
      <c r="V945" s="15" t="n"/>
      <c r="W945" s="16" t="n"/>
      <c r="X945" s="16" t="n"/>
      <c r="Y945" s="16" t="n"/>
      <c r="Z945" s="15" t="inlineStr">
        <is>
          <t>No issue found</t>
        </is>
      </c>
      <c r="AA945" s="15" t="inlineStr">
        <is>
          <t>Business Standard lists the company but shows no issue dates; web search limit reached</t>
        </is>
      </c>
      <c r="AB945" s="18" t="inlineStr">
        <is>
          <t>https://www.business-standard.com/markets/ipo/inspira-enterprise-india-ltd-ipo-75821</t>
        </is>
      </c>
    </row>
    <row r="946" ht="15" customHeight="1" s="12">
      <c r="A946" s="14" t="n">
        <v>945</v>
      </c>
      <c r="B946" s="16" t="n">
        <v>44426</v>
      </c>
      <c r="C946" s="15" t="n">
        <v>2021</v>
      </c>
      <c r="D946" s="15" t="inlineStr">
        <is>
          <t>Aditya Birla Sun Life AMC</t>
        </is>
      </c>
      <c r="E946" s="15" t="inlineStr">
        <is>
          <t>Addendum</t>
        </is>
      </c>
      <c r="F946" s="15" t="inlineStr">
        <is>
          <t>Aditya Birla Sun Life AMC - Addendum to DRHP</t>
        </is>
      </c>
      <c r="G946" s="15" t="inlineStr">
        <is>
          <t>IPO launched</t>
        </is>
      </c>
      <c r="H946" s="15" t="inlineStr">
        <is>
          <t>Mainboard</t>
        </is>
      </c>
      <c r="I946" s="16" t="n">
        <v>44468</v>
      </c>
      <c r="J946" s="16" t="n">
        <v>44470</v>
      </c>
      <c r="K946" s="16" t="n">
        <v>44480</v>
      </c>
      <c r="L946" s="17" t="n">
        <v>2768.26</v>
      </c>
      <c r="M946" s="17" t="n">
        <v>2768.26</v>
      </c>
      <c r="N946" s="17" t="n">
        <v>0</v>
      </c>
      <c r="O946" s="15" t="inlineStr">
        <is>
          <t>Final issue (ipoplatform)</t>
        </is>
      </c>
      <c r="P946" s="15" t="n"/>
      <c r="Q946" s="18" t="inlineStr">
        <is>
          <t>https://www.sebi.gov.in/sebi_data/attachdocs/aug-2021/1629264527205.pdf</t>
        </is>
      </c>
      <c r="R946" s="18" t="inlineStr">
        <is>
          <t>https://www.sebi.gov.in/filings/public-issues/aug-2021/aditya-birla-sun-life-amc-addendum-to-drhp_51930.html</t>
        </is>
      </c>
      <c r="S946" s="15" t="n"/>
      <c r="T946" s="15" t="inlineStr">
        <is>
          <t>Company name + date window</t>
        </is>
      </c>
      <c r="U946" s="15" t="inlineStr">
        <is>
          <t>Aditya Birla Sun Life AMC Limited</t>
        </is>
      </c>
      <c r="V946" s="15" t="n"/>
      <c r="W946" s="15" t="n"/>
      <c r="X946" s="15" t="n"/>
      <c r="Y946" s="15" t="n"/>
      <c r="Z946" s="15" t="n"/>
      <c r="AA946" s="15" t="n"/>
      <c r="AB946" s="15" t="n"/>
    </row>
    <row r="947" ht="15" customHeight="1" s="12">
      <c r="A947" s="14" t="n">
        <v>946</v>
      </c>
      <c r="B947" s="16" t="n">
        <v>44425</v>
      </c>
      <c r="C947" s="15" t="n">
        <v>2021</v>
      </c>
      <c r="D947" s="15" t="inlineStr">
        <is>
          <t>Tracxn Technologies Limited</t>
        </is>
      </c>
      <c r="E947" s="15" t="inlineStr">
        <is>
          <t>DRHP</t>
        </is>
      </c>
      <c r="F947" s="15" t="inlineStr">
        <is>
          <t>Tracxn Technologies Limited</t>
        </is>
      </c>
      <c r="G947" s="15" t="inlineStr">
        <is>
          <t>IPO launched</t>
        </is>
      </c>
      <c r="H947" s="15" t="inlineStr">
        <is>
          <t>Mainboard</t>
        </is>
      </c>
      <c r="I947" s="16" t="n">
        <v>44844</v>
      </c>
      <c r="J947" s="16" t="n">
        <v>44846</v>
      </c>
      <c r="K947" s="16" t="n">
        <v>44854</v>
      </c>
      <c r="L947" s="17" t="n">
        <v>309.38</v>
      </c>
      <c r="M947" s="17" t="n">
        <v>309.38</v>
      </c>
      <c r="N947" s="17" t="n">
        <v>0</v>
      </c>
      <c r="O947" s="15" t="inlineStr">
        <is>
          <t>Final issue (ipoplatform)</t>
        </is>
      </c>
      <c r="P947" s="15" t="n"/>
      <c r="Q947" s="18" t="inlineStr">
        <is>
          <t>https://www.sebi.gov.in/sebi_data/attachdocs/apr-2023/1681728022374.pdf</t>
        </is>
      </c>
      <c r="R947" s="18" t="inlineStr">
        <is>
          <t>https://www.sebi.gov.in/filings/public-issues/aug-2021/tracxn-technologies-limited_51961.html</t>
        </is>
      </c>
      <c r="S947" s="15" t="n"/>
      <c r="T947" s="15" t="inlineStr">
        <is>
          <t>SEBI filing link</t>
        </is>
      </c>
      <c r="U947" s="15" t="inlineStr">
        <is>
          <t>Tracxn Technologies Limited</t>
        </is>
      </c>
      <c r="V947" s="15" t="n"/>
      <c r="W947" s="15" t="n"/>
      <c r="X947" s="15" t="n"/>
      <c r="Y947" s="15" t="n"/>
      <c r="Z947" s="15" t="n"/>
      <c r="AA947" s="15" t="n"/>
      <c r="AB947" s="15" t="n"/>
    </row>
    <row r="948" ht="15" customHeight="1" s="12">
      <c r="A948" s="14" t="n">
        <v>947</v>
      </c>
      <c r="B948" s="16" t="n">
        <v>44425</v>
      </c>
      <c r="C948" s="15" t="n">
        <v>2021</v>
      </c>
      <c r="D948" s="15" t="inlineStr">
        <is>
          <t>VLCC HEALTH CARE LIMITED</t>
        </is>
      </c>
      <c r="E948" s="15" t="inlineStr">
        <is>
          <t>DRHP</t>
        </is>
      </c>
      <c r="F948" s="15" t="inlineStr">
        <is>
          <t>VLCC HEALTH CARE LIMITED</t>
        </is>
      </c>
      <c r="G948" s="15" t="inlineStr">
        <is>
          <t>No launched IPO found</t>
        </is>
      </c>
      <c r="H948" s="15" t="n"/>
      <c r="I948" s="16" t="n"/>
      <c r="J948" s="16" t="n"/>
      <c r="K948" s="16" t="n"/>
      <c r="L948" s="17" t="n"/>
      <c r="M948" s="17" t="n"/>
      <c r="N948" s="17" t="n"/>
      <c r="O948" s="15" t="n"/>
      <c r="P948" s="15" t="n"/>
      <c r="Q948" s="18" t="inlineStr">
        <is>
          <t>https://www.sebi.gov.in/sebi_data/attachdocs/may-2023/1683091160982.pdf</t>
        </is>
      </c>
      <c r="R948" s="18" t="inlineStr">
        <is>
          <t>https://www.sebi.gov.in/filings/public-issues/aug-2021/vlcc-health-care-limited_51901.html</t>
        </is>
      </c>
      <c r="S948" s="15" t="n"/>
      <c r="T948" s="15" t="n"/>
      <c r="U948" s="15" t="n"/>
      <c r="V948" s="15" t="n"/>
      <c r="W948" s="16" t="n"/>
      <c r="X948" s="16" t="n"/>
      <c r="Y948" s="16" t="n"/>
      <c r="Z948" s="15" t="inlineStr">
        <is>
          <t>Withdrawn / approval lapsed</t>
        </is>
      </c>
      <c r="AA948" s="15" t="inlineStr">
        <is>
          <t>SEBI nod Dec 2015 lapsed (demonetisation delay); 2021 DRHP also lapsed; Carlyle bought majority 2022</t>
        </is>
      </c>
      <c r="AB948" s="18" t="inlineStr">
        <is>
          <t>https://www.businessinsider.in/business/corporates/news/carlyle-group-acquires-majority-stake-in-vlcc-a-beauty-and-wellness-chain-which-was-headed-for-an-ipo/articleshow/96880486.cms</t>
        </is>
      </c>
    </row>
    <row r="949" ht="15" customHeight="1" s="12">
      <c r="A949" s="14" t="n">
        <v>948</v>
      </c>
      <c r="B949" s="16" t="n">
        <v>44425</v>
      </c>
      <c r="C949" s="15" t="n">
        <v>2021</v>
      </c>
      <c r="D949" s="15" t="inlineStr">
        <is>
          <t>Go Fashion (India) Limited</t>
        </is>
      </c>
      <c r="E949" s="15" t="inlineStr">
        <is>
          <t>DRHP</t>
        </is>
      </c>
      <c r="F949" s="15" t="inlineStr">
        <is>
          <t>Go Fashion (India) Limited - DRHP</t>
        </is>
      </c>
      <c r="G949" s="15" t="inlineStr">
        <is>
          <t>IPO launched</t>
        </is>
      </c>
      <c r="H949" s="15" t="inlineStr">
        <is>
          <t>Mainboard</t>
        </is>
      </c>
      <c r="I949" s="16" t="n">
        <v>44517</v>
      </c>
      <c r="J949" s="16" t="n">
        <v>44522</v>
      </c>
      <c r="K949" s="16" t="n">
        <v>44530</v>
      </c>
      <c r="L949" s="17" t="n">
        <v>1013.61</v>
      </c>
      <c r="M949" s="17" t="n">
        <v>1013.61</v>
      </c>
      <c r="N949" s="17" t="n">
        <v>0</v>
      </c>
      <c r="O949" s="15" t="inlineStr">
        <is>
          <t>Final issue (ipoplatform)</t>
        </is>
      </c>
      <c r="P949" s="15" t="n"/>
      <c r="Q949" s="18" t="inlineStr">
        <is>
          <t>https://www.sebi.gov.in/sebi_data/attachdocs/may-2023/1685435181878.pdf</t>
        </is>
      </c>
      <c r="R949" s="18" t="inlineStr">
        <is>
          <t>https://www.sebi.gov.in/filings/public-issues/aug-2021/go-fashion-india-limited-drhp_51887.html</t>
        </is>
      </c>
      <c r="S949" s="15" t="n"/>
      <c r="T949" s="15" t="inlineStr">
        <is>
          <t>SEBI filing link</t>
        </is>
      </c>
      <c r="U949" s="15" t="inlineStr">
        <is>
          <t>Go Fashion (India) Limited</t>
        </is>
      </c>
      <c r="V949" s="15" t="n"/>
      <c r="W949" s="15" t="n"/>
      <c r="X949" s="15" t="n"/>
      <c r="Y949" s="15" t="n"/>
      <c r="Z949" s="15" t="n"/>
      <c r="AA949" s="15" t="n"/>
      <c r="AB949" s="15" t="n"/>
    </row>
    <row r="950" ht="15" customHeight="1" s="12">
      <c r="A950" s="14" t="n">
        <v>949</v>
      </c>
      <c r="B950" s="16" t="n">
        <v>44425</v>
      </c>
      <c r="C950" s="15" t="n">
        <v>2021</v>
      </c>
      <c r="D950" s="15" t="inlineStr">
        <is>
          <t>Paradeep Phosphates Limited</t>
        </is>
      </c>
      <c r="E950" s="15" t="inlineStr">
        <is>
          <t>DRHP</t>
        </is>
      </c>
      <c r="F950" s="15" t="inlineStr">
        <is>
          <t>Paradeep Phosphates Limited</t>
        </is>
      </c>
      <c r="G950" s="15" t="inlineStr">
        <is>
          <t>IPO launched</t>
        </is>
      </c>
      <c r="H950" s="15" t="inlineStr">
        <is>
          <t>Mainboard</t>
        </is>
      </c>
      <c r="I950" s="16" t="n">
        <v>44698</v>
      </c>
      <c r="J950" s="16" t="n">
        <v>44700</v>
      </c>
      <c r="K950" s="16" t="n">
        <v>44708</v>
      </c>
      <c r="L950" s="17" t="n">
        <v>1501.73</v>
      </c>
      <c r="M950" s="17" t="n">
        <v>1004</v>
      </c>
      <c r="N950" s="17" t="n">
        <v>497.73</v>
      </c>
      <c r="O950" s="15" t="inlineStr">
        <is>
          <t>Final issue (ipoplatform)</t>
        </is>
      </c>
      <c r="P950" s="15" t="n"/>
      <c r="Q950" s="18" t="inlineStr">
        <is>
          <t>https://www.sebi.gov.in/sebi_data/attachdocs/aug-2021/1629175422290.pdf</t>
        </is>
      </c>
      <c r="R950" s="18" t="inlineStr">
        <is>
          <t>https://www.sebi.gov.in/filings/public-issues/aug-2021/paradeep-phosphates-limited_51883.html</t>
        </is>
      </c>
      <c r="S950" s="15" t="n"/>
      <c r="T950" s="15" t="inlineStr">
        <is>
          <t>SEBI filing link</t>
        </is>
      </c>
      <c r="U950" s="15" t="inlineStr">
        <is>
          <t>Paradeep Phosphates Limited</t>
        </is>
      </c>
      <c r="V950" s="15" t="n"/>
      <c r="W950" s="15" t="n"/>
      <c r="X950" s="15" t="n"/>
      <c r="Y950" s="15" t="n"/>
      <c r="Z950" s="15" t="n"/>
      <c r="AA950" s="15" t="n"/>
      <c r="AB950" s="15" t="n"/>
    </row>
    <row r="951" ht="15" customHeight="1" s="12">
      <c r="A951" s="14" t="n">
        <v>950</v>
      </c>
      <c r="B951" s="16" t="n">
        <v>44425</v>
      </c>
      <c r="C951" s="15" t="n">
        <v>2021</v>
      </c>
      <c r="D951" s="15" t="inlineStr">
        <is>
          <t>CMS Info Systems Limited</t>
        </is>
      </c>
      <c r="E951" s="15" t="inlineStr">
        <is>
          <t>DRHP</t>
        </is>
      </c>
      <c r="F951" s="15" t="inlineStr">
        <is>
          <t>CMS Info Systems Limited - DRHP</t>
        </is>
      </c>
      <c r="G951" s="15" t="inlineStr">
        <is>
          <t>IPO launched</t>
        </is>
      </c>
      <c r="H951" s="15" t="inlineStr">
        <is>
          <t>Mainboard</t>
        </is>
      </c>
      <c r="I951" s="16" t="n">
        <v>44551</v>
      </c>
      <c r="J951" s="16" t="n">
        <v>44553</v>
      </c>
      <c r="K951" s="16" t="n">
        <v>44561</v>
      </c>
      <c r="L951" s="17" t="n">
        <v>1100</v>
      </c>
      <c r="M951" s="17" t="n">
        <v>1100</v>
      </c>
      <c r="N951" s="17" t="n">
        <v>0</v>
      </c>
      <c r="O951" s="15" t="inlineStr">
        <is>
          <t>Final issue (ipoplatform)</t>
        </is>
      </c>
      <c r="P951" s="15" t="n"/>
      <c r="Q951" s="18" t="inlineStr">
        <is>
          <t>https://www.sebi.gov.in/sebi_data/attachdocs/aug-2021/1629174551568.pdf</t>
        </is>
      </c>
      <c r="R951" s="18" t="inlineStr">
        <is>
          <t>https://www.sebi.gov.in/filings/public-issues/aug-2021/cms-info-systems-limited-drhp_51874.html</t>
        </is>
      </c>
      <c r="S951" s="15" t="n"/>
      <c r="T951" s="15" t="inlineStr">
        <is>
          <t>Company name + date window</t>
        </is>
      </c>
      <c r="U951" s="15" t="inlineStr">
        <is>
          <t>CMS Info Systems Limited</t>
        </is>
      </c>
      <c r="V951" s="15" t="n"/>
      <c r="W951" s="15" t="n"/>
      <c r="X951" s="15" t="n"/>
      <c r="Y951" s="15" t="n"/>
      <c r="Z951" s="15" t="n"/>
      <c r="AA951" s="15" t="n"/>
      <c r="AB951" s="15" t="n"/>
    </row>
    <row r="952" ht="15" customHeight="1" s="12">
      <c r="A952" s="14" t="n">
        <v>951</v>
      </c>
      <c r="B952" s="16" t="n">
        <v>44424</v>
      </c>
      <c r="C952" s="15" t="n">
        <v>2021</v>
      </c>
      <c r="D952" s="15" t="inlineStr">
        <is>
          <t>Latent View Analytics Limited</t>
        </is>
      </c>
      <c r="E952" s="15" t="inlineStr">
        <is>
          <t>DRHP</t>
        </is>
      </c>
      <c r="F952" s="15" t="inlineStr">
        <is>
          <t>Latent View Analytics Limited</t>
        </is>
      </c>
      <c r="G952" s="15" t="inlineStr">
        <is>
          <t>IPO launched</t>
        </is>
      </c>
      <c r="H952" s="15" t="inlineStr">
        <is>
          <t>Mainboard</t>
        </is>
      </c>
      <c r="I952" s="16" t="n">
        <v>44510</v>
      </c>
      <c r="J952" s="16" t="n">
        <v>44512</v>
      </c>
      <c r="K952" s="16" t="n">
        <v>44523</v>
      </c>
      <c r="L952" s="17" t="n">
        <v>600</v>
      </c>
      <c r="M952" s="17" t="n">
        <v>600</v>
      </c>
      <c r="N952" s="17" t="n">
        <v>0</v>
      </c>
      <c r="O952" s="15" t="inlineStr">
        <is>
          <t>Final issue (ipoplatform)</t>
        </is>
      </c>
      <c r="P952" s="15" t="n"/>
      <c r="Q952" s="18" t="inlineStr">
        <is>
          <t>https://www.sebi.gov.in/sebi_data/attachdocs/apr-2023/1681883825138.pdf</t>
        </is>
      </c>
      <c r="R952" s="18" t="inlineStr">
        <is>
          <t>https://www.sebi.gov.in/filings/public-issues/aug-2021/latent-view-analytics-limited_51900.html</t>
        </is>
      </c>
      <c r="S952" s="15" t="n"/>
      <c r="T952" s="15" t="inlineStr">
        <is>
          <t>SEBI filing link</t>
        </is>
      </c>
      <c r="U952" s="15" t="inlineStr">
        <is>
          <t>Latent View Analytics Limited</t>
        </is>
      </c>
      <c r="V952" s="15" t="n"/>
      <c r="W952" s="15" t="n"/>
      <c r="X952" s="15" t="n"/>
      <c r="Y952" s="15" t="n"/>
      <c r="Z952" s="15" t="n"/>
      <c r="AA952" s="15" t="n"/>
      <c r="AB952" s="15" t="n"/>
    </row>
    <row r="953" ht="15" customHeight="1" s="12">
      <c r="A953" s="14" t="n">
        <v>952</v>
      </c>
      <c r="B953" s="16" t="n">
        <v>44421</v>
      </c>
      <c r="C953" s="15" t="n">
        <v>2021</v>
      </c>
      <c r="D953" s="15" t="inlineStr">
        <is>
          <t>Le Travenues Technology Limited</t>
        </is>
      </c>
      <c r="E953" s="15" t="inlineStr">
        <is>
          <t>DRHP</t>
        </is>
      </c>
      <c r="F953" s="15" t="inlineStr">
        <is>
          <t>Le Travenues Technology Limited - DRHP</t>
        </is>
      </c>
      <c r="G953" s="15" t="inlineStr">
        <is>
          <t>No launched IPO found</t>
        </is>
      </c>
      <c r="H953" s="15" t="n"/>
      <c r="I953" s="16" t="n"/>
      <c r="J953" s="16" t="n"/>
      <c r="K953" s="16" t="n"/>
      <c r="L953" s="17" t="n"/>
      <c r="M953" s="17" t="n"/>
      <c r="N953" s="17" t="n"/>
      <c r="O953" s="15" t="n"/>
      <c r="P953" s="15" t="n"/>
      <c r="Q953" s="18" t="inlineStr">
        <is>
          <t>https://www.sebi.gov.in/sebi_data/attachdocs/aug-2021/1628842822688.pdf</t>
        </is>
      </c>
      <c r="R953" s="18" t="inlineStr">
        <is>
          <t>https://www.sebi.gov.in/filings/public-issues/aug-2021/le-travenues-technology-limited-drhp_51830.html</t>
        </is>
      </c>
      <c r="S953" s="15" t="n"/>
      <c r="T953" s="15" t="n"/>
      <c r="U953" s="15" t="n"/>
      <c r="V953" s="15" t="inlineStr">
        <is>
          <t>Same-name IPO opened 10-Jun-2024 — outside 2 years of this filing, so not linked</t>
        </is>
      </c>
      <c r="W953" s="19" t="n">
        <v>45453</v>
      </c>
      <c r="X953" s="19" t="n">
        <v>45455</v>
      </c>
      <c r="Y953" s="19" t="n">
        <v>45461</v>
      </c>
      <c r="Z953" s="20" t="inlineStr">
        <is>
          <t>Issue opened</t>
        </is>
      </c>
      <c r="AA953" s="15" t="inlineStr">
        <is>
          <t>Matched on chittorgarh.com</t>
        </is>
      </c>
      <c r="AB953" s="18" t="inlineStr">
        <is>
          <t>https://www.chittorgarh.com/ipo/ixigo-ipo/1742/</t>
        </is>
      </c>
    </row>
    <row r="954" ht="15" customHeight="1" s="12">
      <c r="A954" s="14" t="n">
        <v>953</v>
      </c>
      <c r="B954" s="16" t="n">
        <v>44420</v>
      </c>
      <c r="C954" s="15" t="n">
        <v>2021</v>
      </c>
      <c r="D954" s="15" t="inlineStr">
        <is>
          <t>Sapphire Foods India Limited</t>
        </is>
      </c>
      <c r="E954" s="15" t="inlineStr">
        <is>
          <t>DRHP</t>
        </is>
      </c>
      <c r="F954" s="15" t="inlineStr">
        <is>
          <t>Sapphire Foods India Limited - DRHP</t>
        </is>
      </c>
      <c r="G954" s="15" t="inlineStr">
        <is>
          <t>IPO launched</t>
        </is>
      </c>
      <c r="H954" s="15" t="inlineStr">
        <is>
          <t>Mainboard</t>
        </is>
      </c>
      <c r="I954" s="16" t="n">
        <v>44509</v>
      </c>
      <c r="J954" s="16" t="n">
        <v>44511</v>
      </c>
      <c r="K954" s="16" t="n">
        <v>44518</v>
      </c>
      <c r="L954" s="17" t="n">
        <v>2073.25</v>
      </c>
      <c r="M954" s="17" t="n">
        <v>2073.25</v>
      </c>
      <c r="N954" s="17" t="n">
        <v>0</v>
      </c>
      <c r="O954" s="15" t="inlineStr">
        <is>
          <t>Final issue (ipoplatform)</t>
        </is>
      </c>
      <c r="P954" s="15" t="n"/>
      <c r="Q954" s="18" t="inlineStr">
        <is>
          <t>https://www.sebi.gov.in/sebi_data/attachdocs/aug-2021/1628744638556.pdf</t>
        </is>
      </c>
      <c r="R954" s="18" t="inlineStr">
        <is>
          <t>https://www.sebi.gov.in/filings/public-issues/aug-2021/sapphire-foods-india-limited-drhp_51813.html</t>
        </is>
      </c>
      <c r="S954" s="15" t="n"/>
      <c r="T954" s="15" t="inlineStr">
        <is>
          <t>SEBI filing link</t>
        </is>
      </c>
      <c r="U954" s="15" t="inlineStr">
        <is>
          <t>Sapphire Foods India Limited</t>
        </is>
      </c>
      <c r="V954" s="15" t="n"/>
      <c r="W954" s="15" t="n"/>
      <c r="X954" s="15" t="n"/>
      <c r="Y954" s="15" t="n"/>
      <c r="Z954" s="15" t="n"/>
      <c r="AA954" s="15" t="n"/>
      <c r="AB954" s="15" t="n"/>
    </row>
    <row r="955" ht="15" customHeight="1" s="12">
      <c r="A955" s="14" t="n">
        <v>954</v>
      </c>
      <c r="B955" s="16" t="n">
        <v>44419</v>
      </c>
      <c r="C955" s="15" t="n">
        <v>2021</v>
      </c>
      <c r="D955" s="15" t="inlineStr">
        <is>
          <t>Easing of Operational Procedure</t>
        </is>
      </c>
      <c r="E955" s="15" t="inlineStr">
        <is>
          <t>Other</t>
        </is>
      </c>
      <c r="F955" s="15" t="inlineStr">
        <is>
          <t>Easing of Operational Procedure</t>
        </is>
      </c>
      <c r="G955" s="15" t="inlineStr">
        <is>
          <t>Not an offer document</t>
        </is>
      </c>
      <c r="H955" s="15" t="n"/>
      <c r="I955" s="16" t="n"/>
      <c r="J955" s="16" t="n"/>
      <c r="K955" s="16" t="n"/>
      <c r="L955" s="17" t="n"/>
      <c r="M955" s="17" t="n"/>
      <c r="N955" s="17" t="n"/>
      <c r="O955" s="15" t="n"/>
      <c r="P955" s="15" t="n"/>
      <c r="Q955" s="18" t="inlineStr">
        <is>
          <t>https://www.sebi.gov.in/sebi_data/attachdocs/aug-2021/1628655252340.pdf</t>
        </is>
      </c>
      <c r="R955" s="18" t="inlineStr">
        <is>
          <t>https://www.sebi.gov.in/filings/public-issues/aug-2021/easing-of-operational-procedure_51777.html</t>
        </is>
      </c>
      <c r="S955" s="15" t="n"/>
      <c r="T955" s="15" t="n"/>
      <c r="U955" s="15" t="n"/>
      <c r="V955" s="15" t="n"/>
      <c r="W955" s="16" t="n"/>
      <c r="X955" s="16" t="n"/>
      <c r="Y955" s="16" t="n"/>
      <c r="Z955" s="15" t="inlineStr">
        <is>
          <t>Not an offer document</t>
        </is>
      </c>
      <c r="AA955" s="15" t="inlineStr">
        <is>
          <t>SEBI entry is not an issuer draft</t>
        </is>
      </c>
      <c r="AB955" s="15" t="n"/>
    </row>
    <row r="956" ht="15" customHeight="1" s="12">
      <c r="A956" s="14" t="n">
        <v>955</v>
      </c>
      <c r="B956" s="16" t="n">
        <v>44419</v>
      </c>
      <c r="C956" s="15" t="n">
        <v>2021</v>
      </c>
      <c r="D956" s="15" t="inlineStr">
        <is>
          <t>Tarsons Products Limited</t>
        </is>
      </c>
      <c r="E956" s="15" t="inlineStr">
        <is>
          <t>DRHP</t>
        </is>
      </c>
      <c r="F956" s="15" t="inlineStr">
        <is>
          <t>Tarsons Products Limited</t>
        </is>
      </c>
      <c r="G956" s="15" t="inlineStr">
        <is>
          <t>IPO launched</t>
        </is>
      </c>
      <c r="H956" s="15" t="inlineStr">
        <is>
          <t>Mainboard</t>
        </is>
      </c>
      <c r="I956" s="16" t="n">
        <v>44515</v>
      </c>
      <c r="J956" s="16" t="n">
        <v>44517</v>
      </c>
      <c r="K956" s="16" t="n">
        <v>44526</v>
      </c>
      <c r="L956" s="17" t="n">
        <v>1023.47</v>
      </c>
      <c r="M956" s="17" t="n">
        <v>1023.47</v>
      </c>
      <c r="N956" s="17" t="n">
        <v>0</v>
      </c>
      <c r="O956" s="15" t="inlineStr">
        <is>
          <t>Final issue (ipoplatform)</t>
        </is>
      </c>
      <c r="P956" s="15" t="n"/>
      <c r="Q956" s="18" t="inlineStr">
        <is>
          <t>https://www.sebi.gov.in/sebi_data/attachdocs/may-2023/1683090800507.pdf</t>
        </is>
      </c>
      <c r="R956" s="18" t="inlineStr">
        <is>
          <t>https://www.sebi.gov.in/filings/public-issues/aug-2021/tarsons-products-limited_51774.html</t>
        </is>
      </c>
      <c r="S956" s="15" t="n"/>
      <c r="T956" s="15" t="inlineStr">
        <is>
          <t>SEBI filing link</t>
        </is>
      </c>
      <c r="U956" s="15" t="inlineStr">
        <is>
          <t>Tarsons Products Limited</t>
        </is>
      </c>
      <c r="V956" s="15" t="n"/>
      <c r="W956" s="15" t="n"/>
      <c r="X956" s="15" t="n"/>
      <c r="Y956" s="15" t="n"/>
      <c r="Z956" s="15" t="n"/>
      <c r="AA956" s="15" t="n"/>
      <c r="AB956" s="15" t="n"/>
    </row>
    <row r="957" ht="15" customHeight="1" s="12">
      <c r="A957" s="14" t="n">
        <v>956</v>
      </c>
      <c r="B957" s="16" t="n">
        <v>44418</v>
      </c>
      <c r="C957" s="15" t="n">
        <v>2021</v>
      </c>
      <c r="D957" s="15" t="inlineStr">
        <is>
          <t>Sigachi Industries Limited</t>
        </is>
      </c>
      <c r="E957" s="15" t="inlineStr">
        <is>
          <t>DRHP</t>
        </is>
      </c>
      <c r="F957" s="15" t="inlineStr">
        <is>
          <t>Sigachi Industries Limited</t>
        </is>
      </c>
      <c r="G957" s="15" t="inlineStr">
        <is>
          <t>IPO launched</t>
        </is>
      </c>
      <c r="H957" s="15" t="inlineStr">
        <is>
          <t>Mainboard</t>
        </is>
      </c>
      <c r="I957" s="16" t="n">
        <v>44501</v>
      </c>
      <c r="J957" s="16" t="n">
        <v>44503</v>
      </c>
      <c r="K957" s="16" t="n">
        <v>44515</v>
      </c>
      <c r="L957" s="17" t="n">
        <v>125.43</v>
      </c>
      <c r="M957" s="17" t="n">
        <v>125.43</v>
      </c>
      <c r="N957" s="17" t="n">
        <v>0</v>
      </c>
      <c r="O957" s="15" t="inlineStr">
        <is>
          <t>Final issue (ipoplatform)</t>
        </is>
      </c>
      <c r="P957" s="15" t="n"/>
      <c r="Q957" s="18" t="inlineStr">
        <is>
          <t>https://www.sebi.gov.in/sebi_data/attachdocs/aug-2021/1628654919955.pdf</t>
        </is>
      </c>
      <c r="R957" s="18" t="inlineStr">
        <is>
          <t>https://www.sebi.gov.in/filings/public-issues/aug-2021/sigachi-industries-limited_51775.html</t>
        </is>
      </c>
      <c r="S957" s="15" t="n"/>
      <c r="T957" s="15" t="inlineStr">
        <is>
          <t>Company name + date window</t>
        </is>
      </c>
      <c r="U957" s="15" t="inlineStr">
        <is>
          <t>Sigachi Industries Limited</t>
        </is>
      </c>
      <c r="V957" s="15" t="n"/>
      <c r="W957" s="15" t="n"/>
      <c r="X957" s="15" t="n"/>
      <c r="Y957" s="15" t="n"/>
      <c r="Z957" s="15" t="n"/>
      <c r="AA957" s="15" t="n"/>
      <c r="AB957" s="15" t="n"/>
    </row>
    <row r="958" ht="15" customHeight="1" s="12">
      <c r="A958" s="14" t="n">
        <v>957</v>
      </c>
      <c r="B958" s="16" t="n">
        <v>44418</v>
      </c>
      <c r="C958" s="15" t="n">
        <v>2021</v>
      </c>
      <c r="D958" s="15" t="inlineStr">
        <is>
          <t>KEVENTER AGRO LIMITED</t>
        </is>
      </c>
      <c r="E958" s="15" t="inlineStr">
        <is>
          <t>DRHP</t>
        </is>
      </c>
      <c r="F958" s="15" t="inlineStr">
        <is>
          <t>KEVENTER AGRO LIMITED - DRHP</t>
        </is>
      </c>
      <c r="G958" s="15" t="inlineStr">
        <is>
          <t>No launched IPO found</t>
        </is>
      </c>
      <c r="H958" s="15" t="n"/>
      <c r="I958" s="16" t="n"/>
      <c r="J958" s="16" t="n"/>
      <c r="K958" s="16" t="n"/>
      <c r="L958" s="17" t="n"/>
      <c r="M958" s="17" t="n"/>
      <c r="N958" s="17" t="n"/>
      <c r="O958" s="15" t="n"/>
      <c r="P958" s="15" t="n"/>
      <c r="Q958" s="18" t="inlineStr">
        <is>
          <t>https://www.sebi.gov.in/sebi_data/attachdocs/may-2023/1684478703627.pdf</t>
        </is>
      </c>
      <c r="R958" s="18" t="inlineStr">
        <is>
          <t>https://www.sebi.gov.in/filings/public-issues/aug-2021/keventer-agro-limited-drhp_51756.html</t>
        </is>
      </c>
      <c r="S958" s="15" t="n"/>
      <c r="T958" s="15" t="n"/>
      <c r="U958" s="15" t="n"/>
      <c r="V958" s="15" t="n"/>
      <c r="W958" s="16" t="n"/>
      <c r="X958" s="16" t="n"/>
      <c r="Y958" s="16" t="n"/>
      <c r="Z958" s="15" t="inlineStr">
        <is>
          <t>No issue found</t>
        </is>
      </c>
      <c r="AA958" s="15" t="inlineStr">
        <is>
          <t>Open date listed as to be announced.</t>
        </is>
      </c>
      <c r="AB958" s="18" t="inlineStr">
        <is>
          <t>https://www.angelone.in/news/keventer-agro-files-drhp-with-sebi-to-float-its-ipo</t>
        </is>
      </c>
    </row>
    <row r="959" ht="15" customHeight="1" s="12">
      <c r="A959" s="14" t="n">
        <v>958</v>
      </c>
      <c r="B959" s="16" t="n">
        <v>44417</v>
      </c>
      <c r="C959" s="15" t="n">
        <v>2021</v>
      </c>
      <c r="D959" s="15" t="inlineStr">
        <is>
          <t>Fusion Micro Finance Limited</t>
        </is>
      </c>
      <c r="E959" s="15" t="inlineStr">
        <is>
          <t>DRHP</t>
        </is>
      </c>
      <c r="F959" s="15" t="inlineStr">
        <is>
          <t>Fusion Micro Finance Limited</t>
        </is>
      </c>
      <c r="G959" s="15" t="inlineStr">
        <is>
          <t>IPO launched</t>
        </is>
      </c>
      <c r="H959" s="15" t="inlineStr">
        <is>
          <t>Mainboard</t>
        </is>
      </c>
      <c r="I959" s="16" t="n">
        <v>44867</v>
      </c>
      <c r="J959" s="16" t="n">
        <v>44869</v>
      </c>
      <c r="K959" s="16" t="n">
        <v>44880</v>
      </c>
      <c r="L959" s="17" t="n">
        <v>1103.99</v>
      </c>
      <c r="M959" s="17" t="n">
        <v>1103.99</v>
      </c>
      <c r="N959" s="17" t="n">
        <v>0</v>
      </c>
      <c r="O959" s="15" t="inlineStr">
        <is>
          <t>Final issue (ipoplatform)</t>
        </is>
      </c>
      <c r="P959" s="15" t="n"/>
      <c r="Q959" s="18" t="inlineStr">
        <is>
          <t>https://www.sebi.gov.in/sebi_data/attachdocs/may-2023/1684485520346.PDF</t>
        </is>
      </c>
      <c r="R959" s="18" t="inlineStr">
        <is>
          <t>https://www.sebi.gov.in/filings/public-issues/aug-2021/fusion-micro-finance-limited_51753.html</t>
        </is>
      </c>
      <c r="S959" s="15" t="n"/>
      <c r="T959" s="15" t="inlineStr">
        <is>
          <t>SEBI filing link</t>
        </is>
      </c>
      <c r="U959" s="15" t="inlineStr">
        <is>
          <t>Fusion Micro Finance Limited</t>
        </is>
      </c>
      <c r="V959" s="15" t="n"/>
      <c r="W959" s="15" t="n"/>
      <c r="X959" s="15" t="n"/>
      <c r="Y959" s="15" t="n"/>
      <c r="Z959" s="15" t="n"/>
      <c r="AA959" s="15" t="n"/>
      <c r="AB959" s="15" t="n"/>
    </row>
    <row r="960" ht="15" customHeight="1" s="12">
      <c r="A960" s="14" t="n">
        <v>959</v>
      </c>
      <c r="B960" s="16" t="n">
        <v>44417</v>
      </c>
      <c r="C960" s="15" t="n">
        <v>2021</v>
      </c>
      <c r="D960" s="15" t="inlineStr">
        <is>
          <t>Gemini Edibles &amp; Fats India Limited</t>
        </is>
      </c>
      <c r="E960" s="15" t="inlineStr">
        <is>
          <t>DRHP</t>
        </is>
      </c>
      <c r="F960" s="15" t="inlineStr">
        <is>
          <t>Gemini Edibles &amp; Fats India Limited - DRHP</t>
        </is>
      </c>
      <c r="G960" s="15" t="inlineStr">
        <is>
          <t>No launched IPO found</t>
        </is>
      </c>
      <c r="H960" s="15" t="n"/>
      <c r="I960" s="16" t="n"/>
      <c r="J960" s="16" t="n"/>
      <c r="K960" s="16" t="n"/>
      <c r="L960" s="17" t="n"/>
      <c r="M960" s="17" t="n"/>
      <c r="N960" s="17" t="n"/>
      <c r="O960" s="15" t="n"/>
      <c r="P960" s="15" t="n"/>
      <c r="Q960" s="18" t="inlineStr">
        <is>
          <t>https://www.sebi.gov.in/sebi_data/attachdocs/apr-2023/1681881260338.PDF</t>
        </is>
      </c>
      <c r="R960" s="18" t="inlineStr">
        <is>
          <t>https://www.sebi.gov.in/filings/public-issues/aug-2021/gemini-edibles-and-fats-india-limited-drhp_51728.html</t>
        </is>
      </c>
      <c r="S960" s="15" t="n"/>
      <c r="T960" s="15" t="n"/>
      <c r="U960" s="15" t="n"/>
      <c r="V960" s="15" t="n"/>
      <c r="W960" s="16" t="n"/>
      <c r="X960" s="16" t="n"/>
      <c r="Y960" s="16" t="n"/>
      <c r="Z960" s="15" t="inlineStr">
        <is>
          <t>No issue found</t>
        </is>
      </c>
      <c r="AA960" s="15" t="inlineStr">
        <is>
          <t>2021 DRHP was put in abeyance; refiled Aug-2026; dates not announced</t>
        </is>
      </c>
      <c r="AB960" s="18" t="inlineStr">
        <is>
          <t>https://www.chittorgarh.com/ipo/gemini-edibles-fats-india-ipo/3238/</t>
        </is>
      </c>
    </row>
    <row r="961" ht="15" customHeight="1" s="12">
      <c r="A961" s="14" t="n">
        <v>960</v>
      </c>
      <c r="B961" s="16" t="n">
        <v>44413</v>
      </c>
      <c r="C961" s="15" t="n">
        <v>2021</v>
      </c>
      <c r="D961" s="15" t="inlineStr">
        <is>
          <t>Popular Vehicles and Services Limited</t>
        </is>
      </c>
      <c r="E961" s="15" t="inlineStr">
        <is>
          <t>DRHP</t>
        </is>
      </c>
      <c r="F961" s="15" t="inlineStr">
        <is>
          <t>Popular Vehicles and Services Limited</t>
        </is>
      </c>
      <c r="G961" s="15" t="inlineStr">
        <is>
          <t>No launched IPO found</t>
        </is>
      </c>
      <c r="H961" s="15" t="n"/>
      <c r="I961" s="16" t="n"/>
      <c r="J961" s="16" t="n"/>
      <c r="K961" s="16" t="n"/>
      <c r="L961" s="17" t="n"/>
      <c r="M961" s="17" t="n"/>
      <c r="N961" s="17" t="n"/>
      <c r="O961" s="15" t="n"/>
      <c r="P961" s="15" t="n"/>
      <c r="Q961" s="18" t="inlineStr">
        <is>
          <t>https://www.sebi.gov.in/sebi_data/attachdocs/apr-2023/1681881395807.pdf</t>
        </is>
      </c>
      <c r="R961" s="18" t="inlineStr">
        <is>
          <t>https://www.sebi.gov.in/filings/public-issues/aug-2021/popular-vehicles-and-services-limited_51669.html</t>
        </is>
      </c>
      <c r="S961" s="15" t="n"/>
      <c r="T961" s="15" t="n"/>
      <c r="U961" s="15" t="n"/>
      <c r="V961" s="15" t="inlineStr">
        <is>
          <t>Same-name IPO opened 12-Mar-2024 — outside 2 years of this filing, so not linked</t>
        </is>
      </c>
      <c r="W961" s="19" t="n">
        <v>45363</v>
      </c>
      <c r="X961" s="19" t="n">
        <v>45365</v>
      </c>
      <c r="Y961" s="19" t="n">
        <v>45370</v>
      </c>
      <c r="Z961" s="20" t="inlineStr">
        <is>
          <t>Issue opened</t>
        </is>
      </c>
      <c r="AA961" s="15" t="inlineStr">
        <is>
          <t>Taken from same company, row 656 of this sheet</t>
        </is>
      </c>
      <c r="AB961" s="15" t="n"/>
    </row>
    <row r="962" ht="15" customHeight="1" s="12">
      <c r="A962" s="14" t="n">
        <v>961</v>
      </c>
      <c r="B962" s="16" t="n">
        <v>44411</v>
      </c>
      <c r="C962" s="15" t="n">
        <v>2021</v>
      </c>
      <c r="D962" s="15" t="inlineStr">
        <is>
          <t>Adani Wilmar Limited</t>
        </is>
      </c>
      <c r="E962" s="15" t="inlineStr">
        <is>
          <t>DRHP</t>
        </is>
      </c>
      <c r="F962" s="15" t="inlineStr">
        <is>
          <t>Adani Wilmar Limited</t>
        </is>
      </c>
      <c r="G962" s="15" t="inlineStr">
        <is>
          <t>IPO launched</t>
        </is>
      </c>
      <c r="H962" s="15" t="inlineStr">
        <is>
          <t>Mainboard</t>
        </is>
      </c>
      <c r="I962" s="16" t="n">
        <v>44588</v>
      </c>
      <c r="J962" s="16" t="n">
        <v>44592</v>
      </c>
      <c r="K962" s="16" t="n">
        <v>44600</v>
      </c>
      <c r="L962" s="17" t="n">
        <v>3600</v>
      </c>
      <c r="M962" s="17" t="n">
        <v>3600</v>
      </c>
      <c r="N962" s="17" t="n">
        <v>0</v>
      </c>
      <c r="O962" s="15" t="inlineStr">
        <is>
          <t>Final issue (ipoplatform)</t>
        </is>
      </c>
      <c r="P962" s="15" t="n"/>
      <c r="Q962" s="18" t="inlineStr">
        <is>
          <t>https://www.sebi.gov.in/sebi_data/attachdocs/aug-2021/1627982722189.PDF</t>
        </is>
      </c>
      <c r="R962" s="18" t="inlineStr">
        <is>
          <t>https://www.sebi.gov.in/filings/public-issues/aug-2021/adani-wilmar-limited_51577.html</t>
        </is>
      </c>
      <c r="S962" s="15" t="n"/>
      <c r="T962" s="15" t="inlineStr">
        <is>
          <t>SEBI filing link</t>
        </is>
      </c>
      <c r="U962" s="15" t="inlineStr">
        <is>
          <t>Adani Wilmar Limited</t>
        </is>
      </c>
      <c r="V962" s="15" t="n"/>
      <c r="W962" s="15" t="n"/>
      <c r="X962" s="15" t="n"/>
      <c r="Y962" s="15" t="n"/>
      <c r="Z962" s="15" t="n"/>
      <c r="AA962" s="15" t="n"/>
      <c r="AB962" s="15" t="n"/>
    </row>
    <row r="963" ht="15" customHeight="1" s="12">
      <c r="A963" s="14" t="n">
        <v>962</v>
      </c>
      <c r="B963" s="16" t="n">
        <v>44411</v>
      </c>
      <c r="C963" s="15" t="n">
        <v>2021</v>
      </c>
      <c r="D963" s="15" t="inlineStr">
        <is>
          <t>FSN E-Commerce Ventures Limited</t>
        </is>
      </c>
      <c r="E963" s="15" t="inlineStr">
        <is>
          <t>DRHP</t>
        </is>
      </c>
      <c r="F963" s="15" t="inlineStr">
        <is>
          <t>FSN E-Commerce Ventures Limited</t>
        </is>
      </c>
      <c r="G963" s="15" t="inlineStr">
        <is>
          <t>IPO launched</t>
        </is>
      </c>
      <c r="H963" s="15" t="inlineStr">
        <is>
          <t>Mainboard</t>
        </is>
      </c>
      <c r="I963" s="16" t="n">
        <v>44497</v>
      </c>
      <c r="J963" s="16" t="n">
        <v>44501</v>
      </c>
      <c r="K963" s="16" t="n">
        <v>44510</v>
      </c>
      <c r="L963" s="17" t="n">
        <v>5351.92</v>
      </c>
      <c r="M963" s="17" t="n">
        <v>5351.92</v>
      </c>
      <c r="N963" s="17" t="n">
        <v>0</v>
      </c>
      <c r="O963" s="15" t="inlineStr">
        <is>
          <t>Final issue (ipoplatform)</t>
        </is>
      </c>
      <c r="P963" s="15" t="n"/>
      <c r="Q963" s="18" t="inlineStr">
        <is>
          <t>https://www.sebi.gov.in/sebi_data/attachdocs/aug-2021/1627980678999.pdf</t>
        </is>
      </c>
      <c r="R963" s="18" t="inlineStr">
        <is>
          <t>https://www.sebi.gov.in/filings/public-issues/aug-2021/fsn-e-commerce-ventures-limited_51574.html</t>
        </is>
      </c>
      <c r="S963" s="15" t="n"/>
      <c r="T963" s="15" t="inlineStr">
        <is>
          <t>SEBI filing link</t>
        </is>
      </c>
      <c r="U963" s="15" t="inlineStr">
        <is>
          <t>FSN E-Commerce Ventures Limited</t>
        </is>
      </c>
      <c r="V963" s="15" t="n"/>
      <c r="W963" s="15" t="n"/>
      <c r="X963" s="15" t="n"/>
      <c r="Y963" s="15" t="n"/>
      <c r="Z963" s="15" t="n"/>
      <c r="AA963" s="15" t="n"/>
      <c r="AB963" s="15" t="n"/>
    </row>
    <row r="964" ht="15" customHeight="1" s="12">
      <c r="A964" s="14" t="n">
        <v>963</v>
      </c>
      <c r="B964" s="16" t="n">
        <v>44410</v>
      </c>
      <c r="C964" s="15" t="n">
        <v>2021</v>
      </c>
      <c r="D964" s="15" t="inlineStr">
        <is>
          <t>PB Fintech Limited</t>
        </is>
      </c>
      <c r="E964" s="15" t="inlineStr">
        <is>
          <t>DRHP</t>
        </is>
      </c>
      <c r="F964" s="15" t="inlineStr">
        <is>
          <t>PB Fintech Limited - DRHP</t>
        </is>
      </c>
      <c r="G964" s="15" t="inlineStr">
        <is>
          <t>IPO launched</t>
        </is>
      </c>
      <c r="H964" s="15" t="inlineStr">
        <is>
          <t>Mainboard</t>
        </is>
      </c>
      <c r="I964" s="16" t="n">
        <v>44501</v>
      </c>
      <c r="J964" s="16" t="n">
        <v>44503</v>
      </c>
      <c r="K964" s="16" t="n">
        <v>44515</v>
      </c>
      <c r="L964" s="17" t="n">
        <v>5625</v>
      </c>
      <c r="M964" s="17" t="n">
        <v>3750</v>
      </c>
      <c r="N964" s="17" t="n">
        <v>1875</v>
      </c>
      <c r="O964" s="15" t="inlineStr">
        <is>
          <t>Final issue (ipoplatform)</t>
        </is>
      </c>
      <c r="P964" s="15" t="n"/>
      <c r="Q964" s="18" t="inlineStr">
        <is>
          <t>https://www.sebi.gov.in/sebi_data/attachdocs/aug-2021/1627894921606.pdf</t>
        </is>
      </c>
      <c r="R964" s="18" t="inlineStr">
        <is>
          <t>https://www.sebi.gov.in/filings/public-issues/aug-2021/pb-fintech-limited-drhp_51551.html</t>
        </is>
      </c>
      <c r="S964" s="15" t="n"/>
      <c r="T964" s="15" t="inlineStr">
        <is>
          <t>SEBI filing link</t>
        </is>
      </c>
      <c r="U964" s="15" t="inlineStr">
        <is>
          <t>PB Fintech Limited</t>
        </is>
      </c>
      <c r="V964" s="15" t="n"/>
      <c r="W964" s="15" t="n"/>
      <c r="X964" s="15" t="n"/>
      <c r="Y964" s="15" t="n"/>
      <c r="Z964" s="15" t="n"/>
      <c r="AA964" s="15" t="n"/>
      <c r="AB964" s="15" t="n"/>
    </row>
    <row r="965" ht="15" customHeight="1" s="12">
      <c r="A965" s="14" t="n">
        <v>964</v>
      </c>
      <c r="B965" s="16" t="n">
        <v>44410</v>
      </c>
      <c r="C965" s="15" t="n">
        <v>2021</v>
      </c>
      <c r="D965" s="15" t="inlineStr">
        <is>
          <t>Fino Payments Bank Limited</t>
        </is>
      </c>
      <c r="E965" s="15" t="inlineStr">
        <is>
          <t>DRHP</t>
        </is>
      </c>
      <c r="F965" s="15" t="inlineStr">
        <is>
          <t>Fino Payments Bank Limited - DRHP</t>
        </is>
      </c>
      <c r="G965" s="15" t="inlineStr">
        <is>
          <t>IPO launched</t>
        </is>
      </c>
      <c r="H965" s="15" t="inlineStr">
        <is>
          <t>Mainboard</t>
        </is>
      </c>
      <c r="I965" s="16" t="n">
        <v>44498</v>
      </c>
      <c r="J965" s="16" t="n">
        <v>44502</v>
      </c>
      <c r="K965" s="16" t="n">
        <v>44512</v>
      </c>
      <c r="L965" s="17" t="n">
        <v>1200.29</v>
      </c>
      <c r="M965" s="17" t="n">
        <v>1200.29</v>
      </c>
      <c r="N965" s="17" t="n">
        <v>0</v>
      </c>
      <c r="O965" s="15" t="inlineStr">
        <is>
          <t>Final issue (ipoplatform)</t>
        </is>
      </c>
      <c r="P965" s="15" t="n"/>
      <c r="Q965" s="18" t="inlineStr">
        <is>
          <t>https://www.sebi.gov.in/sebi_data/attachdocs/aug-2021/1627879493797.pdf</t>
        </is>
      </c>
      <c r="R965" s="18" t="inlineStr">
        <is>
          <t>https://www.sebi.gov.in/filings/public-issues/aug-2021/fino-payments-bank-limited-drhp_51537.html</t>
        </is>
      </c>
      <c r="S965" s="15" t="n"/>
      <c r="T965" s="15" t="inlineStr">
        <is>
          <t>SEBI filing link</t>
        </is>
      </c>
      <c r="U965" s="15" t="inlineStr">
        <is>
          <t>Fino Payments Bank Limited</t>
        </is>
      </c>
      <c r="V965" s="15" t="n"/>
      <c r="W965" s="15" t="n"/>
      <c r="X965" s="15" t="n"/>
      <c r="Y965" s="15" t="n"/>
      <c r="Z965" s="15" t="n"/>
      <c r="AA965" s="15" t="n"/>
      <c r="AB965" s="15" t="n"/>
    </row>
    <row r="966" ht="15" customHeight="1" s="12">
      <c r="A966" s="14" t="n">
        <v>965</v>
      </c>
      <c r="B966" s="16" t="n">
        <v>44405</v>
      </c>
      <c r="C966" s="15" t="n">
        <v>2021</v>
      </c>
      <c r="D966" s="15" t="inlineStr">
        <is>
          <t>SJS Enterprises Limited</t>
        </is>
      </c>
      <c r="E966" s="15" t="inlineStr">
        <is>
          <t>DRHP</t>
        </is>
      </c>
      <c r="F966" s="15" t="inlineStr">
        <is>
          <t>SJS Enterprises Limited - DRHP</t>
        </is>
      </c>
      <c r="G966" s="15" t="inlineStr">
        <is>
          <t>IPO launched</t>
        </is>
      </c>
      <c r="H966" s="15" t="inlineStr">
        <is>
          <t>Mainboard</t>
        </is>
      </c>
      <c r="I966" s="16" t="n">
        <v>44501</v>
      </c>
      <c r="J966" s="16" t="n">
        <v>44503</v>
      </c>
      <c r="K966" s="16" t="n">
        <v>44515</v>
      </c>
      <c r="L966" s="17" t="n">
        <v>800</v>
      </c>
      <c r="M966" s="17" t="n">
        <v>800</v>
      </c>
      <c r="N966" s="17" t="n">
        <v>0</v>
      </c>
      <c r="O966" s="15" t="inlineStr">
        <is>
          <t>Final issue (ipoplatform)</t>
        </is>
      </c>
      <c r="P966" s="15" t="n"/>
      <c r="Q966" s="18" t="inlineStr">
        <is>
          <t>https://www.sebi.gov.in/sebi_data/attachdocs/apr-2023/1681881733916.PDF</t>
        </is>
      </c>
      <c r="R966" s="18" t="inlineStr">
        <is>
          <t>https://www.sebi.gov.in/filings/public-issues/jul-2021/sjs-enterprises-limited-drhp_51425.html</t>
        </is>
      </c>
      <c r="S966" s="15" t="n"/>
      <c r="T966" s="15" t="inlineStr">
        <is>
          <t>SEBI filing link</t>
        </is>
      </c>
      <c r="U966" s="15" t="inlineStr">
        <is>
          <t>S.J.S. Enterprises Limited</t>
        </is>
      </c>
      <c r="V966" s="15" t="n"/>
      <c r="W966" s="15" t="n"/>
      <c r="X966" s="15" t="n"/>
      <c r="Y966" s="15" t="n"/>
      <c r="Z966" s="15" t="n"/>
      <c r="AA966" s="15" t="n"/>
      <c r="AB966" s="15" t="n"/>
    </row>
    <row r="967" ht="15" customHeight="1" s="12">
      <c r="A967" s="14" t="n">
        <v>966</v>
      </c>
      <c r="B967" s="16" t="n">
        <v>44403</v>
      </c>
      <c r="C967" s="15" t="n">
        <v>2021</v>
      </c>
      <c r="D967" s="15" t="inlineStr">
        <is>
          <t>ESAF Small Finance Bank Limited</t>
        </is>
      </c>
      <c r="E967" s="15" t="inlineStr">
        <is>
          <t>DRHP</t>
        </is>
      </c>
      <c r="F967" s="15" t="inlineStr">
        <is>
          <t>ESAF Small Finance Bank Limited - DRHP</t>
        </is>
      </c>
      <c r="G967" s="15" t="inlineStr">
        <is>
          <t>No launched IPO found</t>
        </is>
      </c>
      <c r="H967" s="15" t="n"/>
      <c r="I967" s="16" t="n"/>
      <c r="J967" s="16" t="n"/>
      <c r="K967" s="16" t="n"/>
      <c r="L967" s="17" t="n"/>
      <c r="M967" s="17" t="n"/>
      <c r="N967" s="17" t="n"/>
      <c r="O967" s="15" t="n"/>
      <c r="P967" s="15" t="n"/>
      <c r="Q967" s="18" t="inlineStr">
        <is>
          <t>https://www.sebi.gov.in/sebi_data/attachdocs/jul-2021/1627281939111.pdf</t>
        </is>
      </c>
      <c r="R967" s="18" t="inlineStr">
        <is>
          <t>https://www.sebi.gov.in/filings/public-issues/jul-2021/esaf-small-finance-bank-limited-drhp_51383.html</t>
        </is>
      </c>
      <c r="S967" s="15" t="n"/>
      <c r="T967" s="15" t="n"/>
      <c r="U967" s="15" t="n"/>
      <c r="V967" s="15" t="inlineStr">
        <is>
          <t>Same-name IPO opened 03-Nov-2023 — outside 2 years of this filing, so not linked</t>
        </is>
      </c>
      <c r="W967" s="19" t="n">
        <v>45233</v>
      </c>
      <c r="X967" s="19" t="n">
        <v>45237</v>
      </c>
      <c r="Y967" s="19" t="n">
        <v>45240</v>
      </c>
      <c r="Z967" s="20" t="inlineStr">
        <is>
          <t>Issue opened</t>
        </is>
      </c>
      <c r="AA967" s="15" t="inlineStr">
        <is>
          <t>Matched on chittorgarh.com</t>
        </is>
      </c>
      <c r="AB967" s="18" t="inlineStr">
        <is>
          <t>https://www.chittorgarh.com/ipo/esaf-small-finance-bank-ipo/1553/</t>
        </is>
      </c>
    </row>
    <row r="968" ht="15" customHeight="1" s="12">
      <c r="A968" s="14" t="n">
        <v>967</v>
      </c>
      <c r="B968" s="16" t="n">
        <v>44400</v>
      </c>
      <c r="C968" s="15" t="n">
        <v>2021</v>
      </c>
      <c r="D968" s="15" t="inlineStr">
        <is>
          <t>Star Health and Allied Insurance Company Limited</t>
        </is>
      </c>
      <c r="E968" s="15" t="inlineStr">
        <is>
          <t>DRHP</t>
        </is>
      </c>
      <c r="F968" s="15" t="inlineStr">
        <is>
          <t>Star Health and Allied Insurance Company Limited - DRHP</t>
        </is>
      </c>
      <c r="G968" s="15" t="inlineStr">
        <is>
          <t>IPO launched</t>
        </is>
      </c>
      <c r="H968" s="15" t="inlineStr">
        <is>
          <t>Mainboard</t>
        </is>
      </c>
      <c r="I968" s="16" t="n">
        <v>44530</v>
      </c>
      <c r="J968" s="16" t="n">
        <v>44532</v>
      </c>
      <c r="K968" s="16" t="n">
        <v>44540</v>
      </c>
      <c r="L968" s="17" t="n">
        <v>7249.18</v>
      </c>
      <c r="M968" s="17" t="n">
        <v>7249.18</v>
      </c>
      <c r="N968" s="17" t="n">
        <v>0</v>
      </c>
      <c r="O968" s="15" t="inlineStr">
        <is>
          <t>Final issue (ipoplatform)</t>
        </is>
      </c>
      <c r="P968" s="15" t="n"/>
      <c r="Q968" s="18" t="inlineStr">
        <is>
          <t>https://www.sebi.gov.in/sebi_data/attachdocs/jul-2021/1627036206572.pdf</t>
        </is>
      </c>
      <c r="R968" s="18" t="inlineStr">
        <is>
          <t>https://www.sebi.gov.in/filings/public-issues/jul-2021/star-health-and-allied-insurance-company-limited-drhp_51323.html</t>
        </is>
      </c>
      <c r="S968" s="15" t="n"/>
      <c r="T968" s="15" t="inlineStr">
        <is>
          <t>SEBI filing link</t>
        </is>
      </c>
      <c r="U968" s="15" t="inlineStr">
        <is>
          <t>Star Health and Allied Insurance Company Limited</t>
        </is>
      </c>
      <c r="V968" s="15" t="n"/>
      <c r="W968" s="15" t="n"/>
      <c r="X968" s="15" t="n"/>
      <c r="Y968" s="15" t="n"/>
      <c r="Z968" s="15" t="n"/>
      <c r="AA968" s="15" t="n"/>
      <c r="AB968" s="15" t="n"/>
    </row>
    <row r="969" ht="15" customHeight="1" s="12">
      <c r="A969" s="14" t="n">
        <v>968</v>
      </c>
      <c r="B969" s="16" t="n">
        <v>44397</v>
      </c>
      <c r="C969" s="15" t="n">
        <v>2021</v>
      </c>
      <c r="D969" s="15" t="inlineStr">
        <is>
          <t>Anand Rathi Wealth Limited</t>
        </is>
      </c>
      <c r="E969" s="15" t="inlineStr">
        <is>
          <t>DRHP</t>
        </is>
      </c>
      <c r="F969" s="15" t="inlineStr">
        <is>
          <t>Anand Rathi Wealth Limited</t>
        </is>
      </c>
      <c r="G969" s="15" t="inlineStr">
        <is>
          <t>IPO launched</t>
        </is>
      </c>
      <c r="H969" s="15" t="inlineStr">
        <is>
          <t>Mainboard</t>
        </is>
      </c>
      <c r="I969" s="16" t="n">
        <v>44532</v>
      </c>
      <c r="J969" s="16" t="n">
        <v>44536</v>
      </c>
      <c r="K969" s="16" t="n">
        <v>44544</v>
      </c>
      <c r="L969" s="17" t="n">
        <v>660</v>
      </c>
      <c r="M969" s="17" t="n">
        <v>660</v>
      </c>
      <c r="N969" s="17" t="n">
        <v>0</v>
      </c>
      <c r="O969" s="15" t="inlineStr">
        <is>
          <t>Final issue (ipoplatform)</t>
        </is>
      </c>
      <c r="P969" s="15" t="n"/>
      <c r="Q969" s="18" t="inlineStr">
        <is>
          <t>https://www.sebi.gov.in/sebi_data/attachdocs/apr-2023/1681710901338.pdf</t>
        </is>
      </c>
      <c r="R969" s="18" t="inlineStr">
        <is>
          <t>https://www.sebi.gov.in/filings/public-issues/jul-2021/anand-rathi-wealth-limited_51249.html</t>
        </is>
      </c>
      <c r="S969" s="15" t="n"/>
      <c r="T969" s="15" t="inlineStr">
        <is>
          <t>SEBI filing link</t>
        </is>
      </c>
      <c r="U969" s="15" t="inlineStr">
        <is>
          <t>Anand Rathi Wealth Limited</t>
        </is>
      </c>
      <c r="V969" s="15" t="n"/>
      <c r="W969" s="15" t="n"/>
      <c r="X969" s="15" t="n"/>
      <c r="Y969" s="15" t="n"/>
      <c r="Z969" s="15" t="n"/>
      <c r="AA969" s="15" t="n"/>
      <c r="AB969" s="15" t="n"/>
    </row>
    <row r="970" ht="15" customHeight="1" s="12">
      <c r="A970" s="14" t="n">
        <v>969</v>
      </c>
      <c r="B970" s="16" t="n">
        <v>44396</v>
      </c>
      <c r="C970" s="15" t="n">
        <v>2021</v>
      </c>
      <c r="D970" s="15" t="inlineStr">
        <is>
          <t>Chemspec Chemicals Limited</t>
        </is>
      </c>
      <c r="E970" s="15" t="inlineStr">
        <is>
          <t>DRHP</t>
        </is>
      </c>
      <c r="F970" s="15" t="inlineStr">
        <is>
          <t>Chemspec Chemicals Limited</t>
        </is>
      </c>
      <c r="G970" s="15" t="inlineStr">
        <is>
          <t>No launched IPO found</t>
        </is>
      </c>
      <c r="H970" s="15" t="n"/>
      <c r="I970" s="16" t="n"/>
      <c r="J970" s="16" t="n"/>
      <c r="K970" s="16" t="n"/>
      <c r="L970" s="17" t="n"/>
      <c r="M970" s="17" t="n"/>
      <c r="N970" s="17" t="n"/>
      <c r="O970" s="15" t="n"/>
      <c r="P970" s="15" t="n"/>
      <c r="Q970" s="18" t="inlineStr">
        <is>
          <t>https://www.sebi.gov.in/sebi_data/attachdocs/may-2023/1684478374985.pdf</t>
        </is>
      </c>
      <c r="R970" s="18" t="inlineStr">
        <is>
          <t>https://www.sebi.gov.in/filings/public-issues/jul-2021/chemspec-chemicals-limited_51232.html</t>
        </is>
      </c>
      <c r="S970" s="15" t="n"/>
      <c r="T970" s="15" t="n"/>
      <c r="U970" s="15" t="n"/>
      <c r="V970" s="15" t="n"/>
      <c r="W970" s="16" t="n"/>
      <c r="X970" s="16" t="n"/>
      <c r="Y970" s="16" t="n"/>
      <c r="Z970" s="15" t="inlineStr">
        <is>
          <t>No issue found</t>
        </is>
      </c>
      <c r="AA970" s="15" t="inlineStr">
        <is>
          <t>SEBI nod Aug 2021; open date never announced.</t>
        </is>
      </c>
      <c r="AB970" s="18" t="inlineStr">
        <is>
          <t>https://www.business-standard.com/article/markets/chemspec-chemicals-northern-arc-capital-get-sebi-s-nod-to-float-ipo-121090600885_1.html</t>
        </is>
      </c>
    </row>
    <row r="971" ht="15" customHeight="1" s="12">
      <c r="A971" s="14" t="n">
        <v>970</v>
      </c>
      <c r="B971" s="16" t="n">
        <v>44396</v>
      </c>
      <c r="C971" s="15" t="n">
        <v>2021</v>
      </c>
      <c r="D971" s="15" t="inlineStr">
        <is>
          <t>HP ADHESIVES LIMITED</t>
        </is>
      </c>
      <c r="E971" s="15" t="inlineStr">
        <is>
          <t>DRHP</t>
        </is>
      </c>
      <c r="F971" s="15" t="inlineStr">
        <is>
          <t>HP ADHESIVES LIMITED</t>
        </is>
      </c>
      <c r="G971" s="15" t="inlineStr">
        <is>
          <t>IPO launched</t>
        </is>
      </c>
      <c r="H971" s="15" t="inlineStr">
        <is>
          <t>Mainboard</t>
        </is>
      </c>
      <c r="I971" s="16" t="n">
        <v>44545</v>
      </c>
      <c r="J971" s="16" t="n">
        <v>44547</v>
      </c>
      <c r="K971" s="16" t="n">
        <v>44557</v>
      </c>
      <c r="L971" s="17" t="n">
        <v>125.96</v>
      </c>
      <c r="M971" s="17" t="n">
        <v>113.44</v>
      </c>
      <c r="N971" s="17" t="n">
        <v>12.52</v>
      </c>
      <c r="O971" s="15" t="inlineStr">
        <is>
          <t>Final issue (ipoplatform)</t>
        </is>
      </c>
      <c r="P971" s="15" t="n"/>
      <c r="Q971" s="18" t="inlineStr">
        <is>
          <t>https://www.sebi.gov.in/sebi_data/attachdocs/jul-2021/1626680438413.pdf</t>
        </is>
      </c>
      <c r="R971" s="18" t="inlineStr">
        <is>
          <t>https://www.sebi.gov.in/filings/public-issues/jul-2021/hp-adhesives-limited_51229.html</t>
        </is>
      </c>
      <c r="S971" s="15" t="n"/>
      <c r="T971" s="15" t="inlineStr">
        <is>
          <t>SEBI filing link</t>
        </is>
      </c>
      <c r="U971" s="15" t="inlineStr">
        <is>
          <t>HP Adhesives Limited</t>
        </is>
      </c>
      <c r="V971" s="15" t="n"/>
      <c r="W971" s="15" t="n"/>
      <c r="X971" s="15" t="n"/>
      <c r="Y971" s="15" t="n"/>
      <c r="Z971" s="15" t="n"/>
      <c r="AA971" s="15" t="n"/>
      <c r="AB971" s="15" t="n"/>
    </row>
    <row r="972" ht="15" customHeight="1" s="12">
      <c r="A972" s="14" t="n">
        <v>971</v>
      </c>
      <c r="B972" s="16" t="n">
        <v>44393</v>
      </c>
      <c r="C972" s="15" t="n">
        <v>2021</v>
      </c>
      <c r="D972" s="15" t="inlineStr">
        <is>
          <t>One 97 Communications Limited</t>
        </is>
      </c>
      <c r="E972" s="15" t="inlineStr">
        <is>
          <t>DRHP</t>
        </is>
      </c>
      <c r="F972" s="15" t="inlineStr">
        <is>
          <t>One 97 Communications Limited</t>
        </is>
      </c>
      <c r="G972" s="15" t="inlineStr">
        <is>
          <t>IPO launched</t>
        </is>
      </c>
      <c r="H972" s="15" t="inlineStr">
        <is>
          <t>Mainboard</t>
        </is>
      </c>
      <c r="I972" s="16" t="n">
        <v>44508</v>
      </c>
      <c r="J972" s="16" t="n">
        <v>44510</v>
      </c>
      <c r="K972" s="16" t="n">
        <v>44518</v>
      </c>
      <c r="L972" s="17" t="n">
        <v>18300</v>
      </c>
      <c r="M972" s="17" t="n">
        <v>8300</v>
      </c>
      <c r="N972" s="17" t="n">
        <v>10000</v>
      </c>
      <c r="O972" s="15" t="inlineStr">
        <is>
          <t>Final issue (ipoplatform)</t>
        </is>
      </c>
      <c r="P972" s="15" t="n"/>
      <c r="Q972" s="18" t="inlineStr">
        <is>
          <t>https://www.sebi.gov.in/sebi_data/attachdocs/jul-2021/1626426805246.pdf</t>
        </is>
      </c>
      <c r="R972" s="18" t="inlineStr">
        <is>
          <t>https://www.sebi.gov.in/filings/public-issues/jul-2021/one-97-communications-limited_51156.html</t>
        </is>
      </c>
      <c r="S972" s="15" t="n"/>
      <c r="T972" s="15" t="inlineStr">
        <is>
          <t>SEBI filing link</t>
        </is>
      </c>
      <c r="U972" s="15" t="inlineStr">
        <is>
          <t>One 97 Communications Limited</t>
        </is>
      </c>
      <c r="V972" s="15" t="n"/>
      <c r="W972" s="15" t="n"/>
      <c r="X972" s="15" t="n"/>
      <c r="Y972" s="15" t="n"/>
      <c r="Z972" s="15" t="n"/>
      <c r="AA972" s="15" t="n"/>
      <c r="AB972" s="15" t="n"/>
    </row>
    <row r="973" ht="15" customHeight="1" s="12">
      <c r="A973" s="14" t="n">
        <v>972</v>
      </c>
      <c r="B973" s="16" t="n">
        <v>44393</v>
      </c>
      <c r="C973" s="15" t="n">
        <v>2021</v>
      </c>
      <c r="D973" s="15" t="inlineStr">
        <is>
          <t>Northern Arc Capital Limited</t>
        </is>
      </c>
      <c r="E973" s="15" t="inlineStr">
        <is>
          <t>DRHP</t>
        </is>
      </c>
      <c r="F973" s="15" t="inlineStr">
        <is>
          <t>Northern Arc Capital Limited</t>
        </is>
      </c>
      <c r="G973" s="15" t="inlineStr">
        <is>
          <t>No launched IPO found</t>
        </is>
      </c>
      <c r="H973" s="15" t="n"/>
      <c r="I973" s="16" t="n"/>
      <c r="J973" s="16" t="n"/>
      <c r="K973" s="16" t="n"/>
      <c r="L973" s="17" t="n"/>
      <c r="M973" s="17" t="n"/>
      <c r="N973" s="17" t="n"/>
      <c r="O973" s="15" t="n"/>
      <c r="P973" s="15" t="n"/>
      <c r="Q973" s="18" t="inlineStr">
        <is>
          <t>https://www.sebi.gov.in/sebi_data/attachdocs/jul-2021/1626414845763.PDF</t>
        </is>
      </c>
      <c r="R973" s="18" t="inlineStr">
        <is>
          <t>https://www.sebi.gov.in/filings/public-issues/jul-2021/northern-arc-capital-limited_51118.html</t>
        </is>
      </c>
      <c r="S973" s="15" t="n"/>
      <c r="T973" s="15" t="n"/>
      <c r="U973" s="15" t="n"/>
      <c r="V973" s="15" t="inlineStr">
        <is>
          <t>Same-name IPO opened 16-Sep-2024 — outside 2 years of this filing, so not linked</t>
        </is>
      </c>
      <c r="W973" s="25" t="n">
        <v>45551</v>
      </c>
      <c r="X973" s="25" t="n">
        <v>45554</v>
      </c>
      <c r="Y973" s="25" t="n">
        <v>45559</v>
      </c>
      <c r="Z973" s="26" t="inlineStr">
        <is>
          <t>Later IPO — not from this draft</t>
        </is>
      </c>
      <c r="AA973" s="15" t="inlineStr">
        <is>
          <t>IPO opened over 3 years after Jul 2021 filing (likely fresh DRHP).</t>
        </is>
      </c>
      <c r="AB973" s="18" t="inlineStr">
        <is>
          <t>https://www.chittorgarh.com/ipo/northern-arc-capital-ipo/1855/</t>
        </is>
      </c>
    </row>
    <row r="974" ht="15" customHeight="1" s="12">
      <c r="A974" s="14" t="n">
        <v>973</v>
      </c>
      <c r="B974" s="16" t="n">
        <v>44390</v>
      </c>
      <c r="C974" s="15" t="n">
        <v>2021</v>
      </c>
      <c r="D974" s="15" t="inlineStr">
        <is>
          <t>ONE MOBIKWIK SYSTEMS LIMITED</t>
        </is>
      </c>
      <c r="E974" s="15" t="inlineStr">
        <is>
          <t>DRHP</t>
        </is>
      </c>
      <c r="F974" s="15" t="inlineStr">
        <is>
          <t>ONE MOBIKWIK SYSTEMS LIMITED</t>
        </is>
      </c>
      <c r="G974" s="15" t="inlineStr">
        <is>
          <t>No launched IPO found</t>
        </is>
      </c>
      <c r="H974" s="15" t="n"/>
      <c r="I974" s="16" t="n"/>
      <c r="J974" s="16" t="n"/>
      <c r="K974" s="16" t="n"/>
      <c r="L974" s="17" t="n"/>
      <c r="M974" s="17" t="n"/>
      <c r="N974" s="17" t="n"/>
      <c r="O974" s="15" t="n"/>
      <c r="P974" s="15" t="n"/>
      <c r="Q974" s="18" t="inlineStr">
        <is>
          <t>https://www.sebi.gov.in/sebi_data/attachdocs/may-2023/1683091053319.pdf</t>
        </is>
      </c>
      <c r="R974" s="18" t="inlineStr">
        <is>
          <t>https://www.sebi.gov.in/filings/public-issues/jul-2021/one-mobikwik-systems-limited_51019.html</t>
        </is>
      </c>
      <c r="S974" s="15" t="n"/>
      <c r="T974" s="15" t="n"/>
      <c r="U974" s="15" t="n"/>
      <c r="V974" s="15" t="inlineStr">
        <is>
          <t>Same-name IPO opened 11-Dec-2024 — outside 2 years of this filing, so not linked</t>
        </is>
      </c>
      <c r="W974" s="25" t="n">
        <v>45637</v>
      </c>
      <c r="X974" s="25" t="n">
        <v>45639</v>
      </c>
      <c r="Y974" s="25" t="n">
        <v>45644</v>
      </c>
      <c r="Z974" s="26" t="inlineStr">
        <is>
          <t>Later IPO — not from this draft</t>
        </is>
      </c>
      <c r="AA974" s="15" t="inlineStr">
        <is>
          <t>IPO opened over 3 years after Jul 2021 filing (likely fresh DRHP).</t>
        </is>
      </c>
      <c r="AB974" s="18" t="inlineStr">
        <is>
          <t>https://www.chittorgarh.com/ipo/mobikwik-ipo/1928/</t>
        </is>
      </c>
    </row>
    <row r="975" ht="15" customHeight="1" s="12">
      <c r="A975" s="14" t="n">
        <v>974</v>
      </c>
      <c r="B975" s="16" t="n">
        <v>44390</v>
      </c>
      <c r="C975" s="15" t="n">
        <v>2021</v>
      </c>
      <c r="D975" s="15" t="inlineStr">
        <is>
          <t>Shri Bajrang Power and Ispat Limited</t>
        </is>
      </c>
      <c r="E975" s="15" t="inlineStr">
        <is>
          <t>DRHP</t>
        </is>
      </c>
      <c r="F975" s="15" t="inlineStr">
        <is>
          <t>Shri Bajrang Power and Ispat Limited</t>
        </is>
      </c>
      <c r="G975" s="15" t="inlineStr">
        <is>
          <t>No launched IPO found</t>
        </is>
      </c>
      <c r="H975" s="15" t="n"/>
      <c r="I975" s="16" t="n"/>
      <c r="J975" s="16" t="n"/>
      <c r="K975" s="16" t="n"/>
      <c r="L975" s="17" t="n"/>
      <c r="M975" s="17" t="n"/>
      <c r="N975" s="17" t="n"/>
      <c r="O975" s="15" t="n"/>
      <c r="P975" s="15" t="n"/>
      <c r="Q975" s="18" t="inlineStr">
        <is>
          <t>https://www.sebi.gov.in/sebi_data/attachdocs/apr-2023/1681707959879.pdf</t>
        </is>
      </c>
      <c r="R975" s="18" t="inlineStr">
        <is>
          <t>https://www.sebi.gov.in/filings/public-issues/jul-2021/shri-bajrang-power-and-ispat-limited_51017.html</t>
        </is>
      </c>
      <c r="S975" s="15" t="n"/>
      <c r="T975" s="15" t="n"/>
      <c r="U975" s="15" t="n"/>
      <c r="V975" s="15" t="n"/>
      <c r="W975" s="16" t="n"/>
      <c r="X975" s="16" t="n"/>
      <c r="Y975" s="16" t="n"/>
      <c r="Z975" s="15" t="inlineStr">
        <is>
          <t>No issue found</t>
        </is>
      </c>
      <c r="AA975" s="15" t="inlineStr">
        <is>
          <t>Business Standard lists the company but shows no issue dates; web search limit reached</t>
        </is>
      </c>
      <c r="AB975" s="18" t="inlineStr">
        <is>
          <t>https://www.business-standard.com/markets/ipo/shri-bajrang-power-ispat-ltd-ipo-33671</t>
        </is>
      </c>
    </row>
    <row r="976" ht="15" customHeight="1" s="12">
      <c r="A976" s="14" t="n">
        <v>975</v>
      </c>
      <c r="B976" s="16" t="n">
        <v>44385</v>
      </c>
      <c r="C976" s="15" t="n">
        <v>2021</v>
      </c>
      <c r="D976" s="15" t="inlineStr">
        <is>
          <t>Utkarsh Small Finance Bank Limited</t>
        </is>
      </c>
      <c r="E976" s="15" t="inlineStr">
        <is>
          <t>Addendum</t>
        </is>
      </c>
      <c r="F976" s="15" t="inlineStr">
        <is>
          <t>Utkarsh Small Finance Bank Limited - Addendum to DRHP</t>
        </is>
      </c>
      <c r="G976" s="15" t="inlineStr">
        <is>
          <t>No launched IPO found</t>
        </is>
      </c>
      <c r="H976" s="15" t="n"/>
      <c r="I976" s="16" t="n"/>
      <c r="J976" s="16" t="n"/>
      <c r="K976" s="16" t="n"/>
      <c r="L976" s="17" t="n"/>
      <c r="M976" s="17" t="n"/>
      <c r="N976" s="17" t="n"/>
      <c r="O976" s="15" t="n"/>
      <c r="P976" s="15" t="n"/>
      <c r="Q976" s="18" t="inlineStr">
        <is>
          <t>https://www.sebi.gov.in/sebi_data/attachdocs/jul-2021/1625734748891.pdf</t>
        </is>
      </c>
      <c r="R976" s="18" t="inlineStr">
        <is>
          <t>https://www.sebi.gov.in/filings/public-issues/jul-2021/utkarsh-small-finance-bank-limited-addendum-to-drhp_50954.html</t>
        </is>
      </c>
      <c r="S976" s="15" t="n"/>
      <c r="T976" s="15" t="n"/>
      <c r="U976" s="15" t="n"/>
      <c r="V976" s="15" t="inlineStr">
        <is>
          <t>Same-name IPO opened 12-Jul-2023 — outside 2 years of this filing, so not linked</t>
        </is>
      </c>
      <c r="W976" s="19" t="n">
        <v>45119</v>
      </c>
      <c r="X976" s="19" t="n">
        <v>45121</v>
      </c>
      <c r="Y976" s="19" t="n">
        <v>45128</v>
      </c>
      <c r="Z976" s="20" t="inlineStr">
        <is>
          <t>Issue opened</t>
        </is>
      </c>
      <c r="AA976" s="15" t="inlineStr">
        <is>
          <t>Matched on chittorgarh.com</t>
        </is>
      </c>
      <c r="AB976" s="18" t="inlineStr">
        <is>
          <t>https://www.chittorgarh.com/ipo/utkarsh-small-finance-bank-ipo/1456/</t>
        </is>
      </c>
    </row>
    <row r="977" ht="15" customHeight="1" s="12">
      <c r="A977" s="14" t="n">
        <v>976</v>
      </c>
      <c r="B977" s="16" t="n">
        <v>44384</v>
      </c>
      <c r="C977" s="15" t="n">
        <v>2021</v>
      </c>
      <c r="D977" s="15" t="inlineStr">
        <is>
          <t>Uma Converter Limited</t>
        </is>
      </c>
      <c r="E977" s="15" t="inlineStr">
        <is>
          <t>DRHP</t>
        </is>
      </c>
      <c r="F977" s="15" t="inlineStr">
        <is>
          <t>Uma Converter Limited - DRHP</t>
        </is>
      </c>
      <c r="G977" s="15" t="inlineStr">
        <is>
          <t>IPO launched</t>
        </is>
      </c>
      <c r="H977" s="15" t="inlineStr">
        <is>
          <t>SME</t>
        </is>
      </c>
      <c r="I977" s="16" t="n">
        <v>44910</v>
      </c>
      <c r="J977" s="16" t="n">
        <v>44916</v>
      </c>
      <c r="K977" s="16" t="n">
        <v>44924</v>
      </c>
      <c r="L977" s="17" t="n">
        <v>18.41</v>
      </c>
      <c r="M977" s="17" t="n">
        <v>18.41</v>
      </c>
      <c r="N977" s="17" t="n">
        <v>0</v>
      </c>
      <c r="O977" s="15" t="inlineStr">
        <is>
          <t>Final issue (ipoplatform)</t>
        </is>
      </c>
      <c r="P977" s="15" t="n"/>
      <c r="Q977" s="18" t="inlineStr">
        <is>
          <t>https://www.sebi.gov.in/sebi_data/attachdocs/jul-2021/1625647160172.pdf</t>
        </is>
      </c>
      <c r="R977" s="18" t="inlineStr">
        <is>
          <t>https://www.sebi.gov.in/filings/public-issues/jul-2021/uma-converter-limited-drhp_50936.html</t>
        </is>
      </c>
      <c r="S977" s="15" t="n"/>
      <c r="T977" s="15" t="inlineStr">
        <is>
          <t>SEBI filing link</t>
        </is>
      </c>
      <c r="U977" s="15" t="inlineStr">
        <is>
          <t>Uma Converter Limited</t>
        </is>
      </c>
      <c r="V977" s="15" t="n"/>
      <c r="W977" s="15" t="n"/>
      <c r="X977" s="15" t="n"/>
      <c r="Y977" s="15" t="n"/>
      <c r="Z977" s="15" t="n"/>
      <c r="AA977" s="15" t="n"/>
      <c r="AB977" s="15" t="n"/>
    </row>
    <row r="978" ht="15" customHeight="1" s="12">
      <c r="A978" s="14" t="n">
        <v>977</v>
      </c>
      <c r="B978" s="16" t="n">
        <v>44375</v>
      </c>
      <c r="C978" s="15" t="n">
        <v>2021</v>
      </c>
      <c r="D978" s="15" t="inlineStr">
        <is>
          <t>Skanray Technologies Limited</t>
        </is>
      </c>
      <c r="E978" s="15" t="inlineStr">
        <is>
          <t>DRHP</t>
        </is>
      </c>
      <c r="F978" s="15" t="inlineStr">
        <is>
          <t>Skanray Technologies Limited</t>
        </is>
      </c>
      <c r="G978" s="15" t="inlineStr">
        <is>
          <t>No launched IPO found</t>
        </is>
      </c>
      <c r="H978" s="15" t="n"/>
      <c r="I978" s="16" t="n"/>
      <c r="J978" s="16" t="n"/>
      <c r="K978" s="16" t="n"/>
      <c r="L978" s="17" t="n"/>
      <c r="M978" s="17" t="n"/>
      <c r="N978" s="17" t="n"/>
      <c r="O978" s="15" t="n"/>
      <c r="P978" s="15" t="n"/>
      <c r="Q978" s="18" t="inlineStr">
        <is>
          <t>https://www.sebi.gov.in/sebi_data/attachdocs/jun-2021/1624870811964.pdf</t>
        </is>
      </c>
      <c r="R978" s="18" t="inlineStr">
        <is>
          <t>https://www.sebi.gov.in/filings/public-issues/jun-2021/skanray-technologies-limited_50724.html</t>
        </is>
      </c>
      <c r="S978" s="15" t="n"/>
      <c r="T978" s="15" t="n"/>
      <c r="U978" s="15" t="n"/>
      <c r="V978" s="15" t="n"/>
      <c r="W978" s="16" t="n"/>
      <c r="X978" s="16" t="n"/>
      <c r="Y978" s="16" t="n"/>
      <c r="Z978" s="15" t="inlineStr">
        <is>
          <t>No issue found</t>
        </is>
      </c>
      <c r="AA978" s="15" t="inlineStr">
        <is>
          <t>SEBI-approved but still listed upcoming; no open date found.</t>
        </is>
      </c>
      <c r="AB978" s="18" t="inlineStr">
        <is>
          <t>https://www.5paisa.com/ipo/skanray-technologies-ltd-ipo</t>
        </is>
      </c>
    </row>
    <row r="979" ht="15" customHeight="1" s="12">
      <c r="A979" s="14" t="n">
        <v>978</v>
      </c>
      <c r="B979" s="16" t="n">
        <v>44361</v>
      </c>
      <c r="C979" s="15" t="n">
        <v>2021</v>
      </c>
      <c r="D979" s="15" t="inlineStr">
        <is>
          <t>Ruchi Soya Industries Limited</t>
        </is>
      </c>
      <c r="E979" s="15" t="inlineStr">
        <is>
          <t>DRHP</t>
        </is>
      </c>
      <c r="F979" s="15" t="inlineStr">
        <is>
          <t>Ruchi Soya Industries Limited</t>
        </is>
      </c>
      <c r="G979" s="15" t="inlineStr">
        <is>
          <t>IPO launched</t>
        </is>
      </c>
      <c r="H979" s="15" t="inlineStr">
        <is>
          <t>Mainboard</t>
        </is>
      </c>
      <c r="I979" s="16" t="n">
        <v>44644</v>
      </c>
      <c r="J979" s="16" t="n">
        <v>44648</v>
      </c>
      <c r="K979" s="16" t="n">
        <v>44659</v>
      </c>
      <c r="L979" s="17" t="n">
        <v>4300</v>
      </c>
      <c r="M979" s="17" t="n">
        <v>4300</v>
      </c>
      <c r="N979" s="17" t="n">
        <v>0</v>
      </c>
      <c r="O979" s="15" t="inlineStr">
        <is>
          <t>Final issue (ipoplatform)</t>
        </is>
      </c>
      <c r="P979" s="15" t="n"/>
      <c r="Q979" s="18" t="inlineStr">
        <is>
          <t>https://www.sebi.gov.in/sebi_data/attachdocs/apr-2023/1681728772799.pdf</t>
        </is>
      </c>
      <c r="R979" s="18" t="inlineStr">
        <is>
          <t>https://www.sebi.gov.in/filings/public-issues/jun-2021/ruchi-soya-industries-limited_50522.html</t>
        </is>
      </c>
      <c r="S979" s="15" t="n"/>
      <c r="T979" s="15" t="inlineStr">
        <is>
          <t>SEBI filing link</t>
        </is>
      </c>
      <c r="U979" s="15" t="inlineStr">
        <is>
          <t>Patanjali Foods Limited (Ruchi Soya Industries Limited)</t>
        </is>
      </c>
      <c r="V979" s="15" t="n"/>
      <c r="W979" s="15" t="n"/>
      <c r="X979" s="15" t="n"/>
      <c r="Y979" s="15" t="n"/>
      <c r="Z979" s="15" t="n"/>
      <c r="AA979" s="15" t="n"/>
      <c r="AB979" s="15" t="n"/>
    </row>
    <row r="980" ht="15" customHeight="1" s="12">
      <c r="A980" s="14" t="n">
        <v>979</v>
      </c>
      <c r="B980" s="16" t="n">
        <v>44358</v>
      </c>
      <c r="C980" s="15" t="n">
        <v>2021</v>
      </c>
      <c r="D980" s="15" t="inlineStr">
        <is>
          <t>Sansera Engineering Limited</t>
        </is>
      </c>
      <c r="E980" s="15" t="inlineStr">
        <is>
          <t>DRHP</t>
        </is>
      </c>
      <c r="F980" s="15" t="inlineStr">
        <is>
          <t>Sansera Engineering Limited</t>
        </is>
      </c>
      <c r="G980" s="15" t="inlineStr">
        <is>
          <t>IPO launched</t>
        </is>
      </c>
      <c r="H980" s="15" t="inlineStr">
        <is>
          <t>Mainboard</t>
        </is>
      </c>
      <c r="I980" s="16" t="n">
        <v>44453</v>
      </c>
      <c r="J980" s="16" t="n">
        <v>44455</v>
      </c>
      <c r="K980" s="16" t="n">
        <v>44463</v>
      </c>
      <c r="L980" s="17" t="n">
        <v>1282.98</v>
      </c>
      <c r="M980" s="17" t="n">
        <v>1282.98</v>
      </c>
      <c r="N980" s="17" t="n">
        <v>0</v>
      </c>
      <c r="O980" s="15" t="inlineStr">
        <is>
          <t>Final issue (ipoplatform)</t>
        </is>
      </c>
      <c r="P980" s="15" t="n"/>
      <c r="Q980" s="18" t="inlineStr">
        <is>
          <t>https://www.sebi.gov.in/sebi_data/attachdocs/may-2023/1683091344512.pdf</t>
        </is>
      </c>
      <c r="R980" s="18" t="inlineStr">
        <is>
          <t>https://www.sebi.gov.in/filings/public-issues/jun-2021/sansera-engineering-limited_50499.html</t>
        </is>
      </c>
      <c r="S980" s="15" t="n"/>
      <c r="T980" s="15" t="inlineStr">
        <is>
          <t>SEBI filing link</t>
        </is>
      </c>
      <c r="U980" s="15" t="inlineStr">
        <is>
          <t>Sansera Engineering Limited</t>
        </is>
      </c>
      <c r="V980" s="15" t="n"/>
      <c r="W980" s="15" t="n"/>
      <c r="X980" s="15" t="n"/>
      <c r="Y980" s="15" t="n"/>
      <c r="Z980" s="15" t="n"/>
      <c r="AA980" s="15" t="n"/>
      <c r="AB980" s="15" t="n"/>
    </row>
    <row r="981" ht="15" customHeight="1" s="12">
      <c r="A981" s="14" t="n">
        <v>980</v>
      </c>
      <c r="B981" s="16" t="n">
        <v>44356</v>
      </c>
      <c r="C981" s="15" t="n">
        <v>2021</v>
      </c>
      <c r="D981" s="15" t="inlineStr">
        <is>
          <t>AB Cotspin India Limited</t>
        </is>
      </c>
      <c r="E981" s="15" t="inlineStr">
        <is>
          <t>DRHP</t>
        </is>
      </c>
      <c r="F981" s="15" t="inlineStr">
        <is>
          <t>AB Cotspin India Limited – SME IPO</t>
        </is>
      </c>
      <c r="G981" s="15" t="inlineStr">
        <is>
          <t>IPO launched</t>
        </is>
      </c>
      <c r="H981" s="15" t="inlineStr">
        <is>
          <t>SME</t>
        </is>
      </c>
      <c r="I981" s="16" t="n">
        <v>44560</v>
      </c>
      <c r="J981" s="16" t="n">
        <v>44564</v>
      </c>
      <c r="K981" s="16" t="n">
        <v>44572</v>
      </c>
      <c r="L981" s="17" t="n">
        <v>10.09</v>
      </c>
      <c r="M981" s="17" t="n">
        <v>10.09</v>
      </c>
      <c r="N981" s="17" t="n">
        <v>0</v>
      </c>
      <c r="O981" s="15" t="inlineStr">
        <is>
          <t>Final issue (ipoplatform)</t>
        </is>
      </c>
      <c r="P981" s="15" t="n"/>
      <c r="Q981" s="18" t="inlineStr">
        <is>
          <t>https://www.sebi.gov.in/sebi_data/attachdocs/jun-2021/1623223411196.pdf</t>
        </is>
      </c>
      <c r="R981" s="18" t="inlineStr">
        <is>
          <t>https://www.sebi.gov.in/filings/public-issues/jun-2021/ab-cotspin-india-limited-sme-ipo_50465.html</t>
        </is>
      </c>
      <c r="S981" s="15" t="n"/>
      <c r="T981" s="15" t="inlineStr">
        <is>
          <t>Company name + date window</t>
        </is>
      </c>
      <c r="U981" s="15" t="inlineStr">
        <is>
          <t>AB Cotspin India Limited</t>
        </is>
      </c>
      <c r="V981" s="15" t="n"/>
      <c r="W981" s="15" t="n"/>
      <c r="X981" s="15" t="n"/>
      <c r="Y981" s="15" t="n"/>
      <c r="Z981" s="15" t="n"/>
      <c r="AA981" s="15" t="n"/>
      <c r="AB981" s="15" t="n"/>
    </row>
    <row r="982" ht="15" customHeight="1" s="12">
      <c r="A982" s="14" t="n">
        <v>981</v>
      </c>
      <c r="B982" s="16" t="n">
        <v>44355</v>
      </c>
      <c r="C982" s="15" t="n">
        <v>2021</v>
      </c>
      <c r="D982" s="15" t="inlineStr">
        <is>
          <t>Ami Organics Limited</t>
        </is>
      </c>
      <c r="E982" s="15" t="inlineStr">
        <is>
          <t>DRHP</t>
        </is>
      </c>
      <c r="F982" s="15" t="inlineStr">
        <is>
          <t>Ami Organics Limited- DRHP</t>
        </is>
      </c>
      <c r="G982" s="15" t="inlineStr">
        <is>
          <t>IPO launched</t>
        </is>
      </c>
      <c r="H982" s="15" t="inlineStr">
        <is>
          <t>Mainboard</t>
        </is>
      </c>
      <c r="I982" s="16" t="n">
        <v>44440</v>
      </c>
      <c r="J982" s="16" t="n">
        <v>44442</v>
      </c>
      <c r="K982" s="16" t="n">
        <v>44453</v>
      </c>
      <c r="L982" s="17" t="n">
        <v>569.64</v>
      </c>
      <c r="M982" s="17" t="n">
        <v>569.64</v>
      </c>
      <c r="N982" s="17" t="n">
        <v>0</v>
      </c>
      <c r="O982" s="15" t="inlineStr">
        <is>
          <t>Final issue (ipoplatform)</t>
        </is>
      </c>
      <c r="P982" s="15" t="n"/>
      <c r="Q982" s="18" t="inlineStr">
        <is>
          <t>https://www.sebi.gov.in/sebi_data/attachdocs/jun-2023/1687843606945.pdf</t>
        </is>
      </c>
      <c r="R982" s="18" t="inlineStr">
        <is>
          <t>https://www.sebi.gov.in/filings/public-issues/jun-2021/ami-organics-limited-drhp_50456.html</t>
        </is>
      </c>
      <c r="S982" s="15" t="n"/>
      <c r="T982" s="15" t="inlineStr">
        <is>
          <t>SEBI filing link</t>
        </is>
      </c>
      <c r="U982" s="15" t="inlineStr">
        <is>
          <t>Ami Organics Limited</t>
        </is>
      </c>
      <c r="V982" s="15" t="n"/>
      <c r="W982" s="15" t="n"/>
      <c r="X982" s="15" t="n"/>
      <c r="Y982" s="15" t="n"/>
      <c r="Z982" s="15" t="n"/>
      <c r="AA982" s="15" t="n"/>
      <c r="AB982" s="15" t="n"/>
    </row>
    <row r="983" ht="15" customHeight="1" s="12">
      <c r="A983" s="14" t="n">
        <v>982</v>
      </c>
      <c r="B983" s="16" t="n">
        <v>44354</v>
      </c>
      <c r="C983" s="15" t="n">
        <v>2021</v>
      </c>
      <c r="D983" s="15" t="inlineStr">
        <is>
          <t>Vijaya Diagnostic Centre Limited</t>
        </is>
      </c>
      <c r="E983" s="15" t="inlineStr">
        <is>
          <t>DRHP</t>
        </is>
      </c>
      <c r="F983" s="15" t="inlineStr">
        <is>
          <t>Vijaya Diagnostic Centre Limited</t>
        </is>
      </c>
      <c r="G983" s="15" t="inlineStr">
        <is>
          <t>IPO launched</t>
        </is>
      </c>
      <c r="H983" s="15" t="inlineStr">
        <is>
          <t>Mainboard</t>
        </is>
      </c>
      <c r="I983" s="16" t="n">
        <v>44440</v>
      </c>
      <c r="J983" s="16" t="n">
        <v>44442</v>
      </c>
      <c r="K983" s="16" t="n">
        <v>44453</v>
      </c>
      <c r="L983" s="17" t="n">
        <v>1895.04</v>
      </c>
      <c r="M983" s="17" t="n">
        <v>1895.04</v>
      </c>
      <c r="N983" s="17" t="n">
        <v>0</v>
      </c>
      <c r="O983" s="15" t="inlineStr">
        <is>
          <t>Final issue (ipoplatform)</t>
        </is>
      </c>
      <c r="P983" s="15" t="n"/>
      <c r="Q983" s="18" t="inlineStr">
        <is>
          <t>https://www.sebi.gov.in/sebi_data/attachdocs/may-2023/1683095460609.pdf</t>
        </is>
      </c>
      <c r="R983" s="18" t="inlineStr">
        <is>
          <t>https://www.sebi.gov.in/filings/public-issues/jun-2021/vijaya-diagnostic-centre-limited_50437.html</t>
        </is>
      </c>
      <c r="S983" s="15" t="n"/>
      <c r="T983" s="15" t="inlineStr">
        <is>
          <t>SEBI filing link</t>
        </is>
      </c>
      <c r="U983" s="15" t="inlineStr">
        <is>
          <t>Vijaya Diagnostic Centre Limited</t>
        </is>
      </c>
      <c r="V983" s="15" t="n"/>
      <c r="W983" s="15" t="n"/>
      <c r="X983" s="15" t="n"/>
      <c r="Y983" s="15" t="n"/>
      <c r="Z983" s="15" t="n"/>
      <c r="AA983" s="15" t="n"/>
      <c r="AB983" s="15" t="n"/>
    </row>
    <row r="984" ht="15" customHeight="1" s="12">
      <c r="A984" s="14" t="n">
        <v>983</v>
      </c>
      <c r="B984" s="16" t="n">
        <v>44333</v>
      </c>
      <c r="C984" s="15" t="n">
        <v>2021</v>
      </c>
      <c r="D984" s="15" t="inlineStr">
        <is>
          <t>Windlas Biotech Limited</t>
        </is>
      </c>
      <c r="E984" s="15" t="inlineStr">
        <is>
          <t>DRHP</t>
        </is>
      </c>
      <c r="F984" s="15" t="inlineStr">
        <is>
          <t>Windlas Biotech Limited</t>
        </is>
      </c>
      <c r="G984" s="15" t="inlineStr">
        <is>
          <t>IPO launched</t>
        </is>
      </c>
      <c r="H984" s="15" t="inlineStr">
        <is>
          <t>Mainboard</t>
        </is>
      </c>
      <c r="I984" s="16" t="n">
        <v>44412</v>
      </c>
      <c r="J984" s="16" t="n">
        <v>44414</v>
      </c>
      <c r="K984" s="16" t="n">
        <v>44424</v>
      </c>
      <c r="L984" s="17" t="n">
        <v>401.54</v>
      </c>
      <c r="M984" s="17" t="n">
        <v>401.54</v>
      </c>
      <c r="N984" s="17" t="n">
        <v>0</v>
      </c>
      <c r="O984" s="15" t="inlineStr">
        <is>
          <t>Final issue (ipoplatform)</t>
        </is>
      </c>
      <c r="P984" s="15" t="n"/>
      <c r="Q984" s="18" t="inlineStr">
        <is>
          <t>https://www.sebi.gov.in/sebi_data/attachdocs/apr-2023/1681728638471.pdf</t>
        </is>
      </c>
      <c r="R984" s="18" t="inlineStr">
        <is>
          <t>https://www.sebi.gov.in/filings/public-issues/may-2021/windlas-biotech-limited_50158.html</t>
        </is>
      </c>
      <c r="S984" s="15" t="n"/>
      <c r="T984" s="15" t="inlineStr">
        <is>
          <t>SEBI filing link</t>
        </is>
      </c>
      <c r="U984" s="15" t="inlineStr">
        <is>
          <t>Windlas Biotech Limited</t>
        </is>
      </c>
      <c r="V984" s="15" t="n"/>
      <c r="W984" s="15" t="n"/>
      <c r="X984" s="15" t="n"/>
      <c r="Y984" s="15" t="n"/>
      <c r="Z984" s="15" t="n"/>
      <c r="AA984" s="15" t="n"/>
      <c r="AB984" s="15" t="n"/>
    </row>
    <row r="985" ht="15" customHeight="1" s="12">
      <c r="A985" s="14" t="n">
        <v>984</v>
      </c>
      <c r="B985" s="16" t="n">
        <v>44333</v>
      </c>
      <c r="C985" s="15" t="n">
        <v>2021</v>
      </c>
      <c r="D985" s="15" t="inlineStr">
        <is>
          <t>Supriya Lifescience Limited</t>
        </is>
      </c>
      <c r="E985" s="15" t="inlineStr">
        <is>
          <t>DRHP</t>
        </is>
      </c>
      <c r="F985" s="15" t="inlineStr">
        <is>
          <t>Supriya Lifescience Limited</t>
        </is>
      </c>
      <c r="G985" s="15" t="inlineStr">
        <is>
          <t>IPO launched</t>
        </is>
      </c>
      <c r="H985" s="15" t="inlineStr">
        <is>
          <t>Mainboard</t>
        </is>
      </c>
      <c r="I985" s="16" t="n">
        <v>44546</v>
      </c>
      <c r="J985" s="16" t="n">
        <v>44550</v>
      </c>
      <c r="K985" s="16" t="n">
        <v>44558</v>
      </c>
      <c r="L985" s="17" t="n">
        <v>700</v>
      </c>
      <c r="M985" s="17" t="n">
        <v>700</v>
      </c>
      <c r="N985" s="17" t="n">
        <v>0</v>
      </c>
      <c r="O985" s="15" t="inlineStr">
        <is>
          <t>Final issue (ipoplatform)</t>
        </is>
      </c>
      <c r="P985" s="15" t="n"/>
      <c r="Q985" s="18" t="inlineStr">
        <is>
          <t>https://www.sebi.gov.in/sebi_data/attachdocs/may-2023/1683089249059.pdf</t>
        </is>
      </c>
      <c r="R985" s="18" t="inlineStr">
        <is>
          <t>https://www.sebi.gov.in/filings/public-issues/may-2021/supriya-lifescience-limited_50137.html</t>
        </is>
      </c>
      <c r="S985" s="15" t="n"/>
      <c r="T985" s="15" t="inlineStr">
        <is>
          <t>SEBI filing link</t>
        </is>
      </c>
      <c r="U985" s="15" t="inlineStr">
        <is>
          <t>Supriya Lifescience Limited</t>
        </is>
      </c>
      <c r="V985" s="15" t="n"/>
      <c r="W985" s="15" t="n"/>
      <c r="X985" s="15" t="n"/>
      <c r="Y985" s="15" t="n"/>
      <c r="Z985" s="15" t="n"/>
      <c r="AA985" s="15" t="n"/>
      <c r="AB985" s="15" t="n"/>
    </row>
    <row r="986" ht="15" customHeight="1" s="12">
      <c r="A986" s="14" t="n">
        <v>985</v>
      </c>
      <c r="B986" s="16" t="n">
        <v>44333</v>
      </c>
      <c r="C986" s="15" t="n">
        <v>2021</v>
      </c>
      <c r="D986" s="15" t="inlineStr">
        <is>
          <t>Devyani International Limited</t>
        </is>
      </c>
      <c r="E986" s="15" t="inlineStr">
        <is>
          <t>DRHP</t>
        </is>
      </c>
      <c r="F986" s="15" t="inlineStr">
        <is>
          <t>Devyani International Limited</t>
        </is>
      </c>
      <c r="G986" s="15" t="inlineStr">
        <is>
          <t>IPO launched</t>
        </is>
      </c>
      <c r="H986" s="15" t="inlineStr">
        <is>
          <t>Mainboard</t>
        </is>
      </c>
      <c r="I986" s="16" t="n">
        <v>44412</v>
      </c>
      <c r="J986" s="16" t="n">
        <v>44414</v>
      </c>
      <c r="K986" s="16" t="n">
        <v>44424</v>
      </c>
      <c r="L986" s="17" t="n">
        <v>1838</v>
      </c>
      <c r="M986" s="17" t="n">
        <v>1838</v>
      </c>
      <c r="N986" s="17" t="n">
        <v>0</v>
      </c>
      <c r="O986" s="15" t="inlineStr">
        <is>
          <t>Final issue (ipoplatform)</t>
        </is>
      </c>
      <c r="P986" s="15" t="n"/>
      <c r="Q986" s="18" t="inlineStr">
        <is>
          <t>https://www.sebi.gov.in/sebi_data/attachdocs/may-2021/1621233522211.pdf</t>
        </is>
      </c>
      <c r="R986" s="18" t="inlineStr">
        <is>
          <t>https://www.sebi.gov.in/filings/public-issues/may-2021/devyani-international-limited_50136.html</t>
        </is>
      </c>
      <c r="S986" s="15" t="n"/>
      <c r="T986" s="15" t="inlineStr">
        <is>
          <t>SEBI filing link</t>
        </is>
      </c>
      <c r="U986" s="15" t="inlineStr">
        <is>
          <t>Devyani International Limited</t>
        </is>
      </c>
      <c r="V986" s="15" t="n"/>
      <c r="W986" s="15" t="n"/>
      <c r="X986" s="15" t="n"/>
      <c r="Y986" s="15" t="n"/>
      <c r="Z986" s="15" t="n"/>
      <c r="AA986" s="15" t="n"/>
      <c r="AB986" s="15" t="n"/>
    </row>
    <row r="987" ht="15" customHeight="1" s="12">
      <c r="A987" s="14" t="n">
        <v>986</v>
      </c>
      <c r="B987" s="16" t="n">
        <v>44333</v>
      </c>
      <c r="C987" s="15" t="n">
        <v>2021</v>
      </c>
      <c r="D987" s="15" t="inlineStr">
        <is>
          <t>Aptus Value Housing Finance India Limited</t>
        </is>
      </c>
      <c r="E987" s="15" t="inlineStr">
        <is>
          <t>DRHP</t>
        </is>
      </c>
      <c r="F987" s="15" t="inlineStr">
        <is>
          <t>Aptus Value Housing Finance India Limited</t>
        </is>
      </c>
      <c r="G987" s="15" t="inlineStr">
        <is>
          <t>IPO launched</t>
        </is>
      </c>
      <c r="H987" s="15" t="inlineStr">
        <is>
          <t>Mainboard</t>
        </is>
      </c>
      <c r="I987" s="16" t="n">
        <v>44418</v>
      </c>
      <c r="J987" s="16" t="n">
        <v>44420</v>
      </c>
      <c r="K987" s="16" t="n">
        <v>44432</v>
      </c>
      <c r="L987" s="17" t="n">
        <v>2780.05</v>
      </c>
      <c r="M987" s="17" t="n">
        <v>2780.05</v>
      </c>
      <c r="N987" s="17" t="n">
        <v>0</v>
      </c>
      <c r="O987" s="15" t="inlineStr">
        <is>
          <t>Final issue (ipoplatform)</t>
        </is>
      </c>
      <c r="P987" s="15" t="n"/>
      <c r="Q987" s="18" t="inlineStr">
        <is>
          <t>https://www.sebi.gov.in/sebi_data/attachdocs/may-2023/1683611856071.pdf</t>
        </is>
      </c>
      <c r="R987" s="18" t="inlineStr">
        <is>
          <t>https://www.sebi.gov.in/filings/public-issues/may-2021/aptus-value-housing-finance-india-limited_50135.html</t>
        </is>
      </c>
      <c r="S987" s="15" t="n"/>
      <c r="T987" s="15" t="inlineStr">
        <is>
          <t>SEBI filing link</t>
        </is>
      </c>
      <c r="U987" s="15" t="inlineStr">
        <is>
          <t>Aptus Value Housing Finance India Ltd</t>
        </is>
      </c>
      <c r="V987" s="15" t="n"/>
      <c r="W987" s="15" t="n"/>
      <c r="X987" s="15" t="n"/>
      <c r="Y987" s="15" t="n"/>
      <c r="Z987" s="15" t="n"/>
      <c r="AA987" s="15" t="n"/>
      <c r="AB987" s="15" t="n"/>
    </row>
    <row r="988" ht="15" customHeight="1" s="12">
      <c r="A988" s="14" t="n">
        <v>987</v>
      </c>
      <c r="B988" s="16" t="n">
        <v>44333</v>
      </c>
      <c r="C988" s="15" t="n">
        <v>2021</v>
      </c>
      <c r="D988" s="15" t="inlineStr">
        <is>
          <t>CARTRADE TECH LIMITED</t>
        </is>
      </c>
      <c r="E988" s="15" t="inlineStr">
        <is>
          <t>DRHP</t>
        </is>
      </c>
      <c r="F988" s="15" t="inlineStr">
        <is>
          <t>CARTRADE TECH LIMITED - DRHP</t>
        </is>
      </c>
      <c r="G988" s="15" t="inlineStr">
        <is>
          <t>IPO launched</t>
        </is>
      </c>
      <c r="H988" s="15" t="inlineStr">
        <is>
          <t>Mainboard</t>
        </is>
      </c>
      <c r="I988" s="16" t="n">
        <v>44417</v>
      </c>
      <c r="J988" s="16" t="n">
        <v>44419</v>
      </c>
      <c r="K988" s="16" t="n">
        <v>44428</v>
      </c>
      <c r="L988" s="17" t="n">
        <v>2998.51</v>
      </c>
      <c r="M988" s="17" t="n">
        <v>2998.51</v>
      </c>
      <c r="N988" s="17" t="n">
        <v>0</v>
      </c>
      <c r="O988" s="15" t="inlineStr">
        <is>
          <t>Final issue (ipoplatform)</t>
        </is>
      </c>
      <c r="P988" s="15" t="n"/>
      <c r="Q988" s="18" t="inlineStr">
        <is>
          <t>https://www.sebi.gov.in/sebi_data/attachdocs/may-2021/1621232058140.pdf</t>
        </is>
      </c>
      <c r="R988" s="18" t="inlineStr">
        <is>
          <t>https://www.sebi.gov.in/filings/public-issues/may-2021/cartrade-tech-limited-drhp_50134.html</t>
        </is>
      </c>
      <c r="S988" s="15" t="n"/>
      <c r="T988" s="15" t="inlineStr">
        <is>
          <t>SEBI filing link</t>
        </is>
      </c>
      <c r="U988" s="15" t="inlineStr">
        <is>
          <t>CarTrade Tech Limited</t>
        </is>
      </c>
      <c r="V988" s="15" t="n"/>
      <c r="W988" s="15" t="n"/>
      <c r="X988" s="15" t="n"/>
      <c r="Y988" s="15" t="n"/>
      <c r="Z988" s="15" t="n"/>
      <c r="AA988" s="15" t="n"/>
      <c r="AB988" s="15" t="n"/>
    </row>
    <row r="989" ht="15" customHeight="1" s="12">
      <c r="A989" s="14" t="n">
        <v>988</v>
      </c>
      <c r="B989" s="16" t="n">
        <v>44331</v>
      </c>
      <c r="C989" s="15" t="n">
        <v>2021</v>
      </c>
      <c r="D989" s="15" t="inlineStr">
        <is>
          <t>Krsnaa Diagnostics Limited</t>
        </is>
      </c>
      <c r="E989" s="15" t="inlineStr">
        <is>
          <t>DRHP</t>
        </is>
      </c>
      <c r="F989" s="15" t="inlineStr">
        <is>
          <t>Krsnaa Diagnostics Limited</t>
        </is>
      </c>
      <c r="G989" s="15" t="inlineStr">
        <is>
          <t>IPO launched</t>
        </is>
      </c>
      <c r="H989" s="15" t="inlineStr">
        <is>
          <t>Mainboard</t>
        </is>
      </c>
      <c r="I989" s="16" t="n">
        <v>44412</v>
      </c>
      <c r="J989" s="16" t="n">
        <v>44414</v>
      </c>
      <c r="K989" s="16" t="n">
        <v>44424</v>
      </c>
      <c r="L989" s="17" t="n">
        <v>1213.33</v>
      </c>
      <c r="M989" s="17" t="n">
        <v>1213.33</v>
      </c>
      <c r="N989" s="17" t="n">
        <v>0</v>
      </c>
      <c r="O989" s="15" t="inlineStr">
        <is>
          <t>Final issue (ipoplatform)</t>
        </is>
      </c>
      <c r="P989" s="15" t="n"/>
      <c r="Q989" s="18" t="inlineStr">
        <is>
          <t>https://www.sebi.gov.in/sebi_data/attachdocs/may-2023/1684479827992.pdf</t>
        </is>
      </c>
      <c r="R989" s="18" t="inlineStr">
        <is>
          <t>https://www.sebi.gov.in/filings/public-issues/may-2021/krsnaa-diagnostics-limited_50149.html</t>
        </is>
      </c>
      <c r="S989" s="15" t="n"/>
      <c r="T989" s="15" t="inlineStr">
        <is>
          <t>SEBI filing link</t>
        </is>
      </c>
      <c r="U989" s="15" t="inlineStr">
        <is>
          <t>Krsnaa Diagnostics Limited</t>
        </is>
      </c>
      <c r="V989" s="15" t="n"/>
      <c r="W989" s="15" t="n"/>
      <c r="X989" s="15" t="n"/>
      <c r="Y989" s="15" t="n"/>
      <c r="Z989" s="15" t="n"/>
      <c r="AA989" s="15" t="n"/>
      <c r="AB989" s="15" t="n"/>
    </row>
    <row r="990" ht="15" customHeight="1" s="12">
      <c r="A990" s="14" t="n">
        <v>989</v>
      </c>
      <c r="B990" s="16" t="n">
        <v>44330</v>
      </c>
      <c r="C990" s="15" t="n">
        <v>2021</v>
      </c>
      <c r="D990" s="15" t="inlineStr">
        <is>
          <t>Penna Cement Industries Limited</t>
        </is>
      </c>
      <c r="E990" s="15" t="inlineStr">
        <is>
          <t>DRHP</t>
        </is>
      </c>
      <c r="F990" s="15" t="inlineStr">
        <is>
          <t>Penna Cement Industries Limited</t>
        </is>
      </c>
      <c r="G990" s="15" t="inlineStr">
        <is>
          <t>No launched IPO found</t>
        </is>
      </c>
      <c r="H990" s="15" t="n"/>
      <c r="I990" s="16" t="n"/>
      <c r="J990" s="16" t="n"/>
      <c r="K990" s="16" t="n"/>
      <c r="L990" s="17" t="n"/>
      <c r="M990" s="17" t="n"/>
      <c r="N990" s="17" t="n"/>
      <c r="O990" s="15" t="n"/>
      <c r="P990" s="15" t="n"/>
      <c r="Q990" s="18" t="inlineStr">
        <is>
          <t>https://www.sebi.gov.in/sebi_data/attachdocs/may-2023/1684477607868.pdf</t>
        </is>
      </c>
      <c r="R990" s="18" t="inlineStr">
        <is>
          <t>https://www.sebi.gov.in/filings/public-issues/may-2021/penna-cement-industries-limited_50123.html</t>
        </is>
      </c>
      <c r="S990" s="15" t="n"/>
      <c r="T990" s="15" t="n"/>
      <c r="U990" s="15" t="n"/>
      <c r="V990" s="15" t="n"/>
      <c r="W990" s="16" t="n"/>
      <c r="X990" s="16" t="n"/>
      <c r="Y990" s="16" t="n"/>
      <c r="Z990" s="15" t="inlineStr">
        <is>
          <t>No issue found</t>
        </is>
      </c>
      <c r="AA990" s="15" t="inlineStr">
        <is>
          <t>Business Standard lists the company but shows no issue dates; web search limit reached</t>
        </is>
      </c>
      <c r="AB990" s="18" t="inlineStr">
        <is>
          <t>https://www.business-standard.com/markets/ipo/penna-cement-indutries-ltd-ipo-25179</t>
        </is>
      </c>
    </row>
    <row r="991" ht="15" customHeight="1" s="12">
      <c r="A991" s="14" t="n">
        <v>990</v>
      </c>
      <c r="B991" s="16" t="n">
        <v>44330</v>
      </c>
      <c r="C991" s="15" t="n">
        <v>2021</v>
      </c>
      <c r="D991" s="15" t="inlineStr">
        <is>
          <t>Go Airlines (India) Limited</t>
        </is>
      </c>
      <c r="E991" s="15" t="inlineStr">
        <is>
          <t>DRHP</t>
        </is>
      </c>
      <c r="F991" s="15" t="inlineStr">
        <is>
          <t>Go Airlines (India) Limited - DRHP</t>
        </is>
      </c>
      <c r="G991" s="15" t="inlineStr">
        <is>
          <t>No launched IPO found</t>
        </is>
      </c>
      <c r="H991" s="15" t="n"/>
      <c r="I991" s="16" t="n"/>
      <c r="J991" s="16" t="n"/>
      <c r="K991" s="16" t="n"/>
      <c r="L991" s="17" t="n"/>
      <c r="M991" s="17" t="n"/>
      <c r="N991" s="17" t="n"/>
      <c r="O991" s="15" t="n"/>
      <c r="P991" s="15" t="n"/>
      <c r="Q991" s="18" t="inlineStr">
        <is>
          <t>https://www.sebi.gov.in/sebi_data/attachdocs/may-2023/1684479007171.pdf</t>
        </is>
      </c>
      <c r="R991" s="18" t="inlineStr">
        <is>
          <t>https://www.sebi.gov.in/filings/public-issues/may-2021/go-airlines-india-limited-drhp_50122.html</t>
        </is>
      </c>
      <c r="S991" s="15" t="n"/>
      <c r="T991" s="15" t="n"/>
      <c r="U991" s="15" t="n"/>
      <c r="V991" s="15" t="n"/>
      <c r="W991" s="16" t="n"/>
      <c r="X991" s="16" t="n"/>
      <c r="Y991" s="16" t="n"/>
      <c r="Z991" s="15" t="inlineStr">
        <is>
          <t>Withdrawn / approval lapsed</t>
        </is>
      </c>
      <c r="AA991" s="15" t="inlineStr">
        <is>
          <t>One snippet claims Dec 8 2021 opening, unverified; IPO not confirmed to have opened.</t>
        </is>
      </c>
      <c r="AB991" s="18" t="inlineStr">
        <is>
          <t>https://www.5paisa.com/ipo/go-airlines-india-ltd-ipo</t>
        </is>
      </c>
    </row>
    <row r="992" ht="15" customHeight="1" s="12">
      <c r="A992" s="14" t="n">
        <v>991</v>
      </c>
      <c r="B992" s="16" t="n">
        <v>44328</v>
      </c>
      <c r="C992" s="15" t="n">
        <v>2021</v>
      </c>
      <c r="D992" s="15" t="inlineStr">
        <is>
          <t>Medi Assist Healthcare Services Limited</t>
        </is>
      </c>
      <c r="E992" s="15" t="inlineStr">
        <is>
          <t>DRHP</t>
        </is>
      </c>
      <c r="F992" s="15" t="inlineStr">
        <is>
          <t>Medi Assist Healthcare Services Limited</t>
        </is>
      </c>
      <c r="G992" s="15" t="inlineStr">
        <is>
          <t>No launched IPO found</t>
        </is>
      </c>
      <c r="H992" s="15" t="n"/>
      <c r="I992" s="16" t="n"/>
      <c r="J992" s="16" t="n"/>
      <c r="K992" s="16" t="n"/>
      <c r="L992" s="17" t="n"/>
      <c r="M992" s="17" t="n"/>
      <c r="N992" s="17" t="n"/>
      <c r="O992" s="15" t="n"/>
      <c r="P992" s="15" t="n"/>
      <c r="Q992" s="18" t="inlineStr">
        <is>
          <t>https://www.sebi.gov.in/sebi_data/attachdocs/apr-2023/1681818840108.pdf</t>
        </is>
      </c>
      <c r="R992" s="18" t="inlineStr">
        <is>
          <t>https://www.sebi.gov.in/filings/public-issues/may-2021/medi-assist-healthcare-services-limited_50115.html</t>
        </is>
      </c>
      <c r="S992" s="15" t="n"/>
      <c r="T992" s="15" t="n"/>
      <c r="U992" s="15" t="n"/>
      <c r="V992" s="15" t="inlineStr">
        <is>
          <t>Same-name IPO opened 15-Jan-2024 — outside 2 years of this filing, so not linked</t>
        </is>
      </c>
      <c r="W992" s="19" t="n">
        <v>45306</v>
      </c>
      <c r="X992" s="19" t="n">
        <v>45308</v>
      </c>
      <c r="Y992" s="19" t="n">
        <v>45314</v>
      </c>
      <c r="Z992" s="20" t="inlineStr">
        <is>
          <t>Issue opened</t>
        </is>
      </c>
      <c r="AA992" s="15" t="inlineStr">
        <is>
          <t>Taken from same company, row 672 of this sheet</t>
        </is>
      </c>
      <c r="AB992" s="15" t="n"/>
    </row>
    <row r="993" ht="15" customHeight="1" s="12">
      <c r="A993" s="14" t="n">
        <v>992</v>
      </c>
      <c r="B993" s="16" t="n">
        <v>44326</v>
      </c>
      <c r="C993" s="15" t="n">
        <v>2021</v>
      </c>
      <c r="D993" s="15" t="inlineStr">
        <is>
          <t>Fincare Small Finance Bank Limited</t>
        </is>
      </c>
      <c r="E993" s="15" t="inlineStr">
        <is>
          <t>DRHP</t>
        </is>
      </c>
      <c r="F993" s="15" t="inlineStr">
        <is>
          <t>Fincare Small Finance Bank Limited</t>
        </is>
      </c>
      <c r="G993" s="15" t="inlineStr">
        <is>
          <t>No launched IPO found</t>
        </is>
      </c>
      <c r="H993" s="15" t="n"/>
      <c r="I993" s="16" t="n"/>
      <c r="J993" s="16" t="n"/>
      <c r="K993" s="16" t="n"/>
      <c r="L993" s="17" t="n"/>
      <c r="M993" s="17" t="n"/>
      <c r="N993" s="17" t="n"/>
      <c r="O993" s="15" t="n"/>
      <c r="P993" s="15" t="n"/>
      <c r="Q993" s="18" t="inlineStr">
        <is>
          <t>https://www.sebi.gov.in/sebi_data/attachdocs/may-2021/1620645846903.pdf</t>
        </is>
      </c>
      <c r="R993" s="18" t="inlineStr">
        <is>
          <t>https://www.sebi.gov.in/filings/public-issues/may-2021/fincare-small-finance-bank-limited_50091.html</t>
        </is>
      </c>
      <c r="S993" s="15" t="n"/>
      <c r="T993" s="15" t="n"/>
      <c r="U993" s="15" t="n"/>
      <c r="V993" s="15" t="n"/>
      <c r="W993" s="16" t="n"/>
      <c r="X993" s="16" t="n"/>
      <c r="Y993" s="16" t="n"/>
      <c r="Z993" s="15" t="inlineStr">
        <is>
          <t>No issue found</t>
        </is>
      </c>
      <c r="AA993" s="15" t="inlineStr">
        <is>
          <t>SEBI approval after refiling; open date never announced.</t>
        </is>
      </c>
      <c r="AB993" s="18" t="inlineStr">
        <is>
          <t>https://finance.yahoo.com/news/fincare-small-finance-bank-gets-044405454.html</t>
        </is>
      </c>
    </row>
    <row r="994" ht="15" customHeight="1" s="12">
      <c r="A994" s="14" t="n">
        <v>993</v>
      </c>
      <c r="B994" s="16" t="n">
        <v>44322</v>
      </c>
      <c r="C994" s="15" t="n">
        <v>2021</v>
      </c>
      <c r="D994" s="15" t="inlineStr">
        <is>
          <t>Nuvoco Vistas Corporation Limited</t>
        </is>
      </c>
      <c r="E994" s="15" t="inlineStr">
        <is>
          <t>DRHP</t>
        </is>
      </c>
      <c r="F994" s="15" t="inlineStr">
        <is>
          <t>Nuvoco Vistas Corporation Limited</t>
        </is>
      </c>
      <c r="G994" s="15" t="inlineStr">
        <is>
          <t>IPO launched</t>
        </is>
      </c>
      <c r="H994" s="15" t="inlineStr">
        <is>
          <t>Mainboard</t>
        </is>
      </c>
      <c r="I994" s="16" t="n">
        <v>44417</v>
      </c>
      <c r="J994" s="16" t="n">
        <v>44419</v>
      </c>
      <c r="K994" s="16" t="n">
        <v>44431</v>
      </c>
      <c r="L994" s="17" t="n">
        <v>5000</v>
      </c>
      <c r="M994" s="17" t="n">
        <v>1500</v>
      </c>
      <c r="N994" s="17" t="n">
        <v>3500</v>
      </c>
      <c r="O994" s="15" t="inlineStr">
        <is>
          <t>Final issue (ipoplatform)</t>
        </is>
      </c>
      <c r="P994" s="15" t="n"/>
      <c r="Q994" s="18" t="inlineStr">
        <is>
          <t>https://www.sebi.gov.in/sebi_data/attachdocs/may-2023/1684484764300.pdf</t>
        </is>
      </c>
      <c r="R994" s="18" t="inlineStr">
        <is>
          <t>https://www.sebi.gov.in/filings/public-issues/may-2021/nuvoco-vistas-corporation-limited_50076.html</t>
        </is>
      </c>
      <c r="S994" s="15" t="n"/>
      <c r="T994" s="15" t="inlineStr">
        <is>
          <t>SEBI filing link</t>
        </is>
      </c>
      <c r="U994" s="15" t="inlineStr">
        <is>
          <t>Nuvoco Vistas Corporation Ltd</t>
        </is>
      </c>
      <c r="V994" s="15" t="n"/>
      <c r="W994" s="15" t="n"/>
      <c r="X994" s="15" t="n"/>
      <c r="Y994" s="15" t="n"/>
      <c r="Z994" s="15" t="n"/>
      <c r="AA994" s="15" t="n"/>
      <c r="AB994" s="15" t="n"/>
    </row>
    <row r="995" ht="15" customHeight="1" s="12">
      <c r="A995" s="14" t="n">
        <v>994</v>
      </c>
      <c r="B995" s="16" t="n">
        <v>44319</v>
      </c>
      <c r="C995" s="15" t="n">
        <v>2021</v>
      </c>
      <c r="D995" s="15" t="inlineStr">
        <is>
          <t>Chemplast Sanmar Limited</t>
        </is>
      </c>
      <c r="E995" s="15" t="inlineStr">
        <is>
          <t>DRHP</t>
        </is>
      </c>
      <c r="F995" s="15" t="inlineStr">
        <is>
          <t>Chemplast Sanmar Limited</t>
        </is>
      </c>
      <c r="G995" s="15" t="inlineStr">
        <is>
          <t>IPO launched</t>
        </is>
      </c>
      <c r="H995" s="15" t="inlineStr">
        <is>
          <t>Mainboard</t>
        </is>
      </c>
      <c r="I995" s="16" t="n">
        <v>44418</v>
      </c>
      <c r="J995" s="16" t="n">
        <v>44420</v>
      </c>
      <c r="K995" s="16" t="n">
        <v>44432</v>
      </c>
      <c r="L995" s="17" t="n">
        <v>3850</v>
      </c>
      <c r="M995" s="17" t="n">
        <v>1300</v>
      </c>
      <c r="N995" s="17" t="n">
        <v>2550</v>
      </c>
      <c r="O995" s="15" t="inlineStr">
        <is>
          <t>Final issue (ipoplatform)</t>
        </is>
      </c>
      <c r="P995" s="15" t="n"/>
      <c r="Q995" s="18" t="inlineStr">
        <is>
          <t>https://www.sebi.gov.in/sebi_data/attachdocs/may-2021/1620030645369.pdf</t>
        </is>
      </c>
      <c r="R995" s="18" t="inlineStr">
        <is>
          <t>https://www.sebi.gov.in/filings/public-issues/may-2021/chemplast-sanmar-limited_50032.html</t>
        </is>
      </c>
      <c r="S995" s="15" t="n"/>
      <c r="T995" s="15" t="inlineStr">
        <is>
          <t>SEBI filing link</t>
        </is>
      </c>
      <c r="U995" s="15" t="inlineStr">
        <is>
          <t>Chemplast Sanmar Limited</t>
        </is>
      </c>
      <c r="V995" s="15" t="n"/>
      <c r="W995" s="15" t="n"/>
      <c r="X995" s="15" t="n"/>
      <c r="Y995" s="15" t="n"/>
      <c r="Z995" s="15" t="n"/>
      <c r="AA995" s="15" t="n"/>
      <c r="AB995" s="15" t="n"/>
    </row>
    <row r="996" ht="15" customHeight="1" s="12">
      <c r="A996" s="14" t="n">
        <v>995</v>
      </c>
      <c r="B996" s="16" t="n">
        <v>44314</v>
      </c>
      <c r="C996" s="15" t="n">
        <v>2021</v>
      </c>
      <c r="D996" s="15" t="inlineStr">
        <is>
          <t>Zomato Limited</t>
        </is>
      </c>
      <c r="E996" s="15" t="inlineStr">
        <is>
          <t>DRHP</t>
        </is>
      </c>
      <c r="F996" s="15" t="inlineStr">
        <is>
          <t>Zomato Limited - DRHP</t>
        </is>
      </c>
      <c r="G996" s="15" t="inlineStr">
        <is>
          <t>IPO launched</t>
        </is>
      </c>
      <c r="H996" s="15" t="inlineStr">
        <is>
          <t>Mainboard</t>
        </is>
      </c>
      <c r="I996" s="16" t="n">
        <v>44391</v>
      </c>
      <c r="J996" s="16" t="n">
        <v>44393</v>
      </c>
      <c r="K996" s="16" t="n">
        <v>44400</v>
      </c>
      <c r="L996" s="17" t="n">
        <v>9375</v>
      </c>
      <c r="M996" s="17" t="n">
        <v>9000</v>
      </c>
      <c r="N996" s="17" t="n">
        <v>375</v>
      </c>
      <c r="O996" s="15" t="inlineStr">
        <is>
          <t>Final issue (ipoplatform)</t>
        </is>
      </c>
      <c r="P996" s="15" t="n"/>
      <c r="Q996" s="18" t="inlineStr">
        <is>
          <t>https://www.sebi.gov.in/sebi_data/attachdocs/apr-2021/1619584567739.pdf</t>
        </is>
      </c>
      <c r="R996" s="18" t="inlineStr">
        <is>
          <t>https://www.sebi.gov.in/filings/public-issues/apr-2021/zomato-limited-drhp_49956.html</t>
        </is>
      </c>
      <c r="S996" s="15" t="n"/>
      <c r="T996" s="15" t="inlineStr">
        <is>
          <t>SEBI filing link</t>
        </is>
      </c>
      <c r="U996" s="15" t="inlineStr">
        <is>
          <t>Zomato Limited</t>
        </is>
      </c>
      <c r="V996" s="15" t="n"/>
      <c r="W996" s="15" t="n"/>
      <c r="X996" s="15" t="n"/>
      <c r="Y996" s="15" t="n"/>
      <c r="Z996" s="15" t="n"/>
      <c r="AA996" s="15" t="n"/>
      <c r="AB996" s="15" t="n"/>
    </row>
    <row r="997" ht="15" customHeight="1" s="12">
      <c r="A997" s="14" t="n">
        <v>996</v>
      </c>
      <c r="B997" s="16" t="n">
        <v>44306</v>
      </c>
      <c r="C997" s="15" t="n">
        <v>2021</v>
      </c>
      <c r="D997" s="15" t="inlineStr">
        <is>
          <t>Aditya Birla Sun Life AMC Limited</t>
        </is>
      </c>
      <c r="E997" s="15" t="inlineStr">
        <is>
          <t>DRHP</t>
        </is>
      </c>
      <c r="F997" s="15" t="inlineStr">
        <is>
          <t>Aditya Birla Sun Life AMC Limited</t>
        </is>
      </c>
      <c r="G997" s="15" t="inlineStr">
        <is>
          <t>IPO launched</t>
        </is>
      </c>
      <c r="H997" s="15" t="inlineStr">
        <is>
          <t>Mainboard</t>
        </is>
      </c>
      <c r="I997" s="16" t="n">
        <v>44468</v>
      </c>
      <c r="J997" s="16" t="n">
        <v>44470</v>
      </c>
      <c r="K997" s="16" t="n">
        <v>44480</v>
      </c>
      <c r="L997" s="17" t="n">
        <v>2768.26</v>
      </c>
      <c r="M997" s="17" t="n">
        <v>2768.26</v>
      </c>
      <c r="N997" s="17" t="n">
        <v>0</v>
      </c>
      <c r="O997" s="15" t="inlineStr">
        <is>
          <t>Final issue (ipoplatform)</t>
        </is>
      </c>
      <c r="P997" s="15" t="n"/>
      <c r="Q997" s="18" t="inlineStr">
        <is>
          <t>https://www.sebi.gov.in/sebi_data/attachdocs/apr-2021/1618900186387.PDF</t>
        </is>
      </c>
      <c r="R997" s="18" t="inlineStr">
        <is>
          <t>https://www.sebi.gov.in/filings/public-issues/apr-2021/aditya-birla-sun-life-amc-limited_49880.html</t>
        </is>
      </c>
      <c r="S997" s="15" t="n"/>
      <c r="T997" s="15" t="inlineStr">
        <is>
          <t>SEBI filing link</t>
        </is>
      </c>
      <c r="U997" s="15" t="inlineStr">
        <is>
          <t>Aditya Birla Sun Life AMC Limited</t>
        </is>
      </c>
      <c r="V997" s="15" t="n"/>
      <c r="W997" s="15" t="n"/>
      <c r="X997" s="15" t="n"/>
      <c r="Y997" s="15" t="n"/>
      <c r="Z997" s="15" t="n"/>
      <c r="AA997" s="15" t="n"/>
      <c r="AB997" s="15" t="n"/>
    </row>
    <row r="998" ht="15" customHeight="1" s="12">
      <c r="A998" s="14" t="n">
        <v>997</v>
      </c>
      <c r="B998" s="16" t="n">
        <v>44305</v>
      </c>
      <c r="C998" s="15" t="n">
        <v>2021</v>
      </c>
      <c r="D998" s="15" t="inlineStr">
        <is>
          <t>Glenmark Life Sciences Limited</t>
        </is>
      </c>
      <c r="E998" s="15" t="inlineStr">
        <is>
          <t>DRHP</t>
        </is>
      </c>
      <c r="F998" s="15" t="inlineStr">
        <is>
          <t>Glenmark Life Sciences Limited</t>
        </is>
      </c>
      <c r="G998" s="15" t="inlineStr">
        <is>
          <t>IPO launched</t>
        </is>
      </c>
      <c r="H998" s="15" t="inlineStr">
        <is>
          <t>Mainboard</t>
        </is>
      </c>
      <c r="I998" s="16" t="n">
        <v>44404</v>
      </c>
      <c r="J998" s="16" t="n">
        <v>44406</v>
      </c>
      <c r="K998" s="16" t="n">
        <v>44414</v>
      </c>
      <c r="L998" s="17" t="n">
        <v>1513.6</v>
      </c>
      <c r="M998" s="17" t="n">
        <v>1513.6</v>
      </c>
      <c r="N998" s="17" t="n">
        <v>0</v>
      </c>
      <c r="O998" s="15" t="inlineStr">
        <is>
          <t>Final issue (ipoplatform)</t>
        </is>
      </c>
      <c r="P998" s="15" t="n"/>
      <c r="Q998" s="18" t="inlineStr">
        <is>
          <t>https://www.sebi.gov.in/sebi_data/attachdocs/apr-2021/1618814754067.pdf</t>
        </is>
      </c>
      <c r="R998" s="18" t="inlineStr">
        <is>
          <t>https://www.sebi.gov.in/filings/public-issues/apr-2021/glenmark-life-sciences-limited_49859.html</t>
        </is>
      </c>
      <c r="S998" s="15" t="n"/>
      <c r="T998" s="15" t="inlineStr">
        <is>
          <t>SEBI filing link</t>
        </is>
      </c>
      <c r="U998" s="15" t="inlineStr">
        <is>
          <t>Glenmark Life Sciences Limited</t>
        </is>
      </c>
      <c r="V998" s="15" t="n"/>
      <c r="W998" s="15" t="n"/>
      <c r="X998" s="15" t="n"/>
      <c r="Y998" s="15" t="n"/>
      <c r="Z998" s="15" t="n"/>
      <c r="AA998" s="15" t="n"/>
      <c r="AB998" s="15" t="n"/>
    </row>
    <row r="999" ht="15" customHeight="1" s="12">
      <c r="A999" s="14" t="n">
        <v>998</v>
      </c>
      <c r="B999" s="16" t="n">
        <v>44299</v>
      </c>
      <c r="C999" s="15" t="n">
        <v>2021</v>
      </c>
      <c r="D999" s="15" t="inlineStr">
        <is>
          <t>G R Infraprojects Limited</t>
        </is>
      </c>
      <c r="E999" s="15" t="inlineStr">
        <is>
          <t>DRHP</t>
        </is>
      </c>
      <c r="F999" s="15" t="inlineStr">
        <is>
          <t>G R Infraprojects Limited - Draft Red Herring Prospectus</t>
        </is>
      </c>
      <c r="G999" s="15" t="inlineStr">
        <is>
          <t>IPO launched</t>
        </is>
      </c>
      <c r="H999" s="15" t="inlineStr">
        <is>
          <t>Mainboard</t>
        </is>
      </c>
      <c r="I999" s="16" t="n">
        <v>44384</v>
      </c>
      <c r="J999" s="16" t="n">
        <v>44386</v>
      </c>
      <c r="K999" s="16" t="n">
        <v>44396</v>
      </c>
      <c r="L999" s="17" t="n">
        <v>963.28</v>
      </c>
      <c r="M999" s="17" t="n">
        <v>963.28</v>
      </c>
      <c r="N999" s="17" t="n">
        <v>0</v>
      </c>
      <c r="O999" s="15" t="inlineStr">
        <is>
          <t>Final issue (ipoplatform)</t>
        </is>
      </c>
      <c r="P999" s="15" t="n"/>
      <c r="Q999" s="18" t="inlineStr">
        <is>
          <t>https://www.sebi.gov.in/sebi_data/attachdocs/apr-2021/1618569865941.pdf</t>
        </is>
      </c>
      <c r="R999" s="18" t="inlineStr">
        <is>
          <t>https://www.sebi.gov.in/filings/public-issues/apr-2021/g-r-infraprojects-limited-draft-red-herring-prospectus_49840.html</t>
        </is>
      </c>
      <c r="S999" s="15" t="n"/>
      <c r="T999" s="15" t="inlineStr">
        <is>
          <t>Company name + date window</t>
        </is>
      </c>
      <c r="U999" s="15" t="inlineStr">
        <is>
          <t>G R Infraprojects Limited</t>
        </is>
      </c>
      <c r="V999" s="15" t="n"/>
      <c r="W999" s="15" t="n"/>
      <c r="X999" s="15" t="n"/>
      <c r="Y999" s="15" t="n"/>
      <c r="Z999" s="15" t="n"/>
      <c r="AA999" s="15" t="n"/>
      <c r="AB999" s="15" t="n"/>
    </row>
    <row r="1000" ht="15" customHeight="1" s="12">
      <c r="A1000" s="14" t="n">
        <v>999</v>
      </c>
      <c r="B1000" s="16" t="n">
        <v>44298</v>
      </c>
      <c r="C1000" s="15" t="n">
        <v>2021</v>
      </c>
      <c r="D1000" s="15" t="inlineStr">
        <is>
          <t>Shriram Properties Limited</t>
        </is>
      </c>
      <c r="E1000" s="15" t="inlineStr">
        <is>
          <t>DRHP</t>
        </is>
      </c>
      <c r="F1000" s="15" t="inlineStr">
        <is>
          <t>Shriram Properties Limited</t>
        </is>
      </c>
      <c r="G1000" s="15" t="inlineStr">
        <is>
          <t>IPO launched</t>
        </is>
      </c>
      <c r="H1000" s="15" t="inlineStr">
        <is>
          <t>Mainboard</t>
        </is>
      </c>
      <c r="I1000" s="16" t="n">
        <v>44538</v>
      </c>
      <c r="J1000" s="16" t="n">
        <v>44540</v>
      </c>
      <c r="K1000" s="16" t="n">
        <v>44550</v>
      </c>
      <c r="L1000" s="17" t="n">
        <v>600</v>
      </c>
      <c r="M1000" s="17" t="n">
        <v>250</v>
      </c>
      <c r="N1000" s="17" t="n">
        <v>350</v>
      </c>
      <c r="O1000" s="15" t="inlineStr">
        <is>
          <t>Final issue (ipoplatform)</t>
        </is>
      </c>
      <c r="P1000" s="15" t="n"/>
      <c r="Q1000" s="18" t="inlineStr">
        <is>
          <t>https://www.sebi.gov.in/sebi_data/attachdocs/apr-2023/1681818993862.pdf</t>
        </is>
      </c>
      <c r="R1000" s="18" t="inlineStr">
        <is>
          <t>https://www.sebi.gov.in/filings/public-issues/apr-2021/shriram-properties-limited_49810.html</t>
        </is>
      </c>
      <c r="S1000" s="15" t="n"/>
      <c r="T1000" s="15" t="inlineStr">
        <is>
          <t>SEBI filing link</t>
        </is>
      </c>
      <c r="U1000" s="15" t="inlineStr">
        <is>
          <t>Shriram Properties Limited</t>
        </is>
      </c>
      <c r="V1000" s="15" t="n"/>
      <c r="W1000" s="15" t="n"/>
      <c r="X1000" s="15" t="n"/>
      <c r="Y1000" s="15" t="n"/>
      <c r="Z1000" s="15" t="n"/>
      <c r="AA1000" s="15" t="n"/>
      <c r="AB1000" s="15" t="n"/>
    </row>
    <row r="1001" ht="15" customHeight="1" s="12">
      <c r="A1001" s="14" t="n">
        <v>1000</v>
      </c>
      <c r="B1001" s="16" t="n">
        <v>44293</v>
      </c>
      <c r="C1001" s="15" t="n">
        <v>2021</v>
      </c>
      <c r="D1001" s="15" t="inlineStr">
        <is>
          <t>Clean Science and Technology Limited</t>
        </is>
      </c>
      <c r="E1001" s="15" t="inlineStr">
        <is>
          <t>DRHP</t>
        </is>
      </c>
      <c r="F1001" s="15" t="inlineStr">
        <is>
          <t>Clean Science and Technology Limited - DRHP</t>
        </is>
      </c>
      <c r="G1001" s="15" t="inlineStr">
        <is>
          <t>IPO launched</t>
        </is>
      </c>
      <c r="H1001" s="15" t="inlineStr">
        <is>
          <t>Mainboard</t>
        </is>
      </c>
      <c r="I1001" s="16" t="n">
        <v>44384</v>
      </c>
      <c r="J1001" s="16" t="n">
        <v>44386</v>
      </c>
      <c r="K1001" s="16" t="n">
        <v>44396</v>
      </c>
      <c r="L1001" s="17" t="n">
        <v>1546.62</v>
      </c>
      <c r="M1001" s="17" t="n">
        <v>1546.62</v>
      </c>
      <c r="N1001" s="17" t="n">
        <v>0</v>
      </c>
      <c r="O1001" s="15" t="inlineStr">
        <is>
          <t>Final issue (ipoplatform)</t>
        </is>
      </c>
      <c r="P1001" s="15" t="n"/>
      <c r="Q1001" s="18" t="inlineStr">
        <is>
          <t>https://www.sebi.gov.in/sebi_data/attachdocs/apr-2023/1681818593843.pdf</t>
        </is>
      </c>
      <c r="R1001" s="18" t="inlineStr">
        <is>
          <t>https://www.sebi.gov.in/filings/public-issues/apr-2021/clean-science-and-technology-limited-drhp_49777.html</t>
        </is>
      </c>
      <c r="S1001" s="15" t="n"/>
      <c r="T1001" s="15" t="inlineStr">
        <is>
          <t>SEBI filing link</t>
        </is>
      </c>
      <c r="U1001" s="15" t="inlineStr">
        <is>
          <t>Clean Science and Technology Limited</t>
        </is>
      </c>
      <c r="V1001" s="15" t="n"/>
      <c r="W1001" s="15" t="n"/>
      <c r="X1001" s="15" t="n"/>
      <c r="Y1001" s="15" t="n"/>
      <c r="Z1001" s="15" t="n"/>
      <c r="AA1001" s="15" t="n"/>
      <c r="AB1001" s="15" t="n"/>
    </row>
    <row r="1002" ht="15" customHeight="1" s="12">
      <c r="A1002" s="14" t="n">
        <v>1001</v>
      </c>
      <c r="B1002" s="16" t="n">
        <v>44291</v>
      </c>
      <c r="C1002" s="15" t="n">
        <v>2021</v>
      </c>
      <c r="D1002" s="15" t="inlineStr">
        <is>
          <t>Tatva Chintan Pharma</t>
        </is>
      </c>
      <c r="E1002" s="15" t="inlineStr">
        <is>
          <t>DRHP</t>
        </is>
      </c>
      <c r="F1002" s="15" t="inlineStr">
        <is>
          <t>Tatva Chintan Pharma-DRHP</t>
        </is>
      </c>
      <c r="G1002" s="15" t="inlineStr">
        <is>
          <t>IPO launched</t>
        </is>
      </c>
      <c r="H1002" s="15" t="inlineStr">
        <is>
          <t>Mainboard</t>
        </is>
      </c>
      <c r="I1002" s="16" t="n">
        <v>44393</v>
      </c>
      <c r="J1002" s="16" t="n">
        <v>44397</v>
      </c>
      <c r="K1002" s="16" t="n">
        <v>44406</v>
      </c>
      <c r="L1002" s="17" t="n">
        <v>500</v>
      </c>
      <c r="M1002" s="17" t="n">
        <v>225</v>
      </c>
      <c r="N1002" s="17" t="n">
        <v>275</v>
      </c>
      <c r="O1002" s="15" t="inlineStr">
        <is>
          <t>Final issue (ipoplatform)</t>
        </is>
      </c>
      <c r="P1002" s="15" t="n"/>
      <c r="Q1002" s="18" t="inlineStr">
        <is>
          <t>https://www.sebi.gov.in/sebi_data/attachdocs/may-2023/1683095701736.pdf</t>
        </is>
      </c>
      <c r="R1002" s="18" t="inlineStr">
        <is>
          <t>https://www.sebi.gov.in/filings/public-issues/apr-2021/tatva-chintan-pharma-drhp_49757.html</t>
        </is>
      </c>
      <c r="S1002" s="15" t="n"/>
      <c r="T1002" s="15" t="inlineStr">
        <is>
          <t>SEBI filing link</t>
        </is>
      </c>
      <c r="U1002" s="15" t="inlineStr">
        <is>
          <t>Tatva Chintan Pharma Chem Limited</t>
        </is>
      </c>
      <c r="V1002" s="15" t="n"/>
      <c r="W1002" s="15" t="n"/>
      <c r="X1002" s="15" t="n"/>
      <c r="Y1002" s="15" t="n"/>
      <c r="Z1002" s="15" t="n"/>
      <c r="AA1002" s="15" t="n"/>
      <c r="AB1002" s="15" t="n"/>
    </row>
    <row r="1003" ht="15" customHeight="1" s="12">
      <c r="A1003" s="14" t="n">
        <v>1002</v>
      </c>
      <c r="B1003" s="16" t="n">
        <v>44287</v>
      </c>
      <c r="C1003" s="15" t="n">
        <v>2021</v>
      </c>
      <c r="D1003" s="15" t="inlineStr">
        <is>
          <t>V-Marc India Limited</t>
        </is>
      </c>
      <c r="E1003" s="15" t="inlineStr">
        <is>
          <t>DRHP</t>
        </is>
      </c>
      <c r="F1003" s="15" t="inlineStr">
        <is>
          <t>V-Marc India Limited - SME IPO – DRHP</t>
        </is>
      </c>
      <c r="G1003" s="15" t="inlineStr">
        <is>
          <t>IPO launched</t>
        </is>
      </c>
      <c r="H1003" s="15" t="inlineStr">
        <is>
          <t>SME</t>
        </is>
      </c>
      <c r="I1003" s="16" t="n">
        <v>44280</v>
      </c>
      <c r="J1003" s="16" t="n">
        <v>44286</v>
      </c>
      <c r="K1003" s="16" t="n">
        <v>44295</v>
      </c>
      <c r="L1003" s="17" t="n">
        <v>23.4</v>
      </c>
      <c r="M1003" s="17" t="n">
        <v>23.4</v>
      </c>
      <c r="N1003" s="17" t="n">
        <v>0</v>
      </c>
      <c r="O1003" s="15" t="inlineStr">
        <is>
          <t>Final issue (ipoplatform)</t>
        </is>
      </c>
      <c r="P1003" s="15" t="n"/>
      <c r="Q1003" s="18" t="inlineStr">
        <is>
          <t>https://www.sebi.gov.in/sebi_data/attachdocs/apr-2021/1617948141178.pdf</t>
        </is>
      </c>
      <c r="R1003" s="18" t="inlineStr">
        <is>
          <t>https://www.sebi.gov.in/filings/public-issues/apr-2021/v-marc-india-limited-sme-ipo-drhp_49796.html</t>
        </is>
      </c>
      <c r="S1003" s="15" t="n"/>
      <c r="T1003" s="15" t="inlineStr">
        <is>
          <t>SEBI filing link</t>
        </is>
      </c>
      <c r="U1003" s="15" t="inlineStr">
        <is>
          <t>V-Marc India Limited</t>
        </is>
      </c>
      <c r="V1003" s="15" t="n"/>
      <c r="W1003" s="15" t="n"/>
      <c r="X1003" s="15" t="n"/>
      <c r="Y1003" s="15" t="n"/>
      <c r="Z1003" s="15" t="n"/>
      <c r="AA1003" s="15" t="n"/>
      <c r="AB1003" s="15" t="n"/>
    </row>
    <row r="1004" ht="15" customHeight="1" s="12">
      <c r="A1004" s="14" t="n">
        <v>1003</v>
      </c>
      <c r="B1004" s="16" t="n">
        <v>44287</v>
      </c>
      <c r="C1004" s="15" t="n">
        <v>2021</v>
      </c>
      <c r="D1004" s="15" t="inlineStr">
        <is>
          <t>Jana Small Finance Bank Limited</t>
        </is>
      </c>
      <c r="E1004" s="15" t="inlineStr">
        <is>
          <t>DRHP</t>
        </is>
      </c>
      <c r="F1004" s="15" t="inlineStr">
        <is>
          <t>Jana Small Finance Bank Limited</t>
        </is>
      </c>
      <c r="G1004" s="15" t="inlineStr">
        <is>
          <t>No launched IPO found</t>
        </is>
      </c>
      <c r="H1004" s="15" t="n"/>
      <c r="I1004" s="16" t="n"/>
      <c r="J1004" s="16" t="n"/>
      <c r="K1004" s="16" t="n"/>
      <c r="L1004" s="17" t="n"/>
      <c r="M1004" s="17" t="n"/>
      <c r="N1004" s="17" t="n"/>
      <c r="O1004" s="15" t="n"/>
      <c r="P1004" s="15" t="n"/>
      <c r="Q1004" s="18" t="inlineStr">
        <is>
          <t>https://www.sebi.gov.in/sebi_data/attachdocs/apr-2021/1617255348598.pdf</t>
        </is>
      </c>
      <c r="R1004" s="18" t="inlineStr">
        <is>
          <t>https://www.sebi.gov.in/filings/public-issues/apr-2021/jana-small-finance-bank-limited_49730.html</t>
        </is>
      </c>
      <c r="S1004" s="15" t="n"/>
      <c r="T1004" s="15" t="n"/>
      <c r="U1004" s="15" t="n"/>
      <c r="V1004" s="15" t="inlineStr">
        <is>
          <t>Same-name IPO opened 07-Feb-2024 — outside 2 years of this filing, so not linked</t>
        </is>
      </c>
      <c r="W1004" s="19" t="n">
        <v>45329</v>
      </c>
      <c r="X1004" s="19" t="n">
        <v>45331</v>
      </c>
      <c r="Y1004" s="19" t="n">
        <v>45336</v>
      </c>
      <c r="Z1004" s="20" t="inlineStr">
        <is>
          <t>Issue opened</t>
        </is>
      </c>
      <c r="AA1004" s="15" t="inlineStr">
        <is>
          <t>Matched on chittorgarh.com</t>
        </is>
      </c>
      <c r="AB1004" s="18" t="inlineStr">
        <is>
          <t>https://www.chittorgarh.com/ipo/jana-sfb-ipo/1640/</t>
        </is>
      </c>
    </row>
    <row r="1005" ht="15" customHeight="1" s="12">
      <c r="A1005" s="14" t="n">
        <v>1004</v>
      </c>
      <c r="B1005" s="16" t="n">
        <v>44285</v>
      </c>
      <c r="C1005" s="15" t="n">
        <v>2021</v>
      </c>
      <c r="D1005" s="15" t="inlineStr">
        <is>
          <t>Maks Energy Solutions India Limited</t>
        </is>
      </c>
      <c r="E1005" s="15" t="inlineStr">
        <is>
          <t>DRHP</t>
        </is>
      </c>
      <c r="F1005" s="15" t="inlineStr">
        <is>
          <t>Maks Energy Solutions India Limited</t>
        </is>
      </c>
      <c r="G1005" s="15" t="inlineStr">
        <is>
          <t>IPO launched</t>
        </is>
      </c>
      <c r="H1005" s="15" t="inlineStr">
        <is>
          <t>SME</t>
        </is>
      </c>
      <c r="I1005" s="16" t="n">
        <v>44820</v>
      </c>
      <c r="J1005" s="16" t="n">
        <v>44824</v>
      </c>
      <c r="K1005" s="16" t="n">
        <v>44832</v>
      </c>
      <c r="L1005" s="17" t="n">
        <v>4</v>
      </c>
      <c r="M1005" s="17" t="n">
        <v>4</v>
      </c>
      <c r="N1005" s="17" t="n">
        <v>0</v>
      </c>
      <c r="O1005" s="15" t="inlineStr">
        <is>
          <t>Final issue (ipoplatform)</t>
        </is>
      </c>
      <c r="P1005" s="15" t="n"/>
      <c r="Q1005" s="18" t="inlineStr">
        <is>
          <t>https://www.sebi.gov.in/sebi_data/attachdocs/mar-2021/1617099157053.pdf</t>
        </is>
      </c>
      <c r="R1005" s="18" t="inlineStr">
        <is>
          <t>https://www.sebi.gov.in/filings/public-issues/mar-2021/maks-energy-solutions-india-limited_49688.html</t>
        </is>
      </c>
      <c r="S1005" s="15" t="n"/>
      <c r="T1005" s="15" t="inlineStr">
        <is>
          <t>SEBI filing link</t>
        </is>
      </c>
      <c r="U1005" s="15" t="inlineStr">
        <is>
          <t>Maks Energy Solutions India Limited</t>
        </is>
      </c>
      <c r="V1005" s="15" t="n"/>
      <c r="W1005" s="15" t="n"/>
      <c r="X1005" s="15" t="n"/>
      <c r="Y1005" s="15" t="n"/>
      <c r="Z1005" s="15" t="n"/>
      <c r="AA1005" s="15" t="n"/>
      <c r="AB1005" s="15" t="n"/>
    </row>
    <row r="1006" ht="15" customHeight="1" s="12">
      <c r="A1006" s="14" t="n">
        <v>1005</v>
      </c>
      <c r="B1006" s="16" t="n">
        <v>44273</v>
      </c>
      <c r="C1006" s="15" t="n">
        <v>2021</v>
      </c>
      <c r="D1006" s="15" t="inlineStr">
        <is>
          <t>Exxaro Tiles Limited</t>
        </is>
      </c>
      <c r="E1006" s="15" t="inlineStr">
        <is>
          <t>DRHP</t>
        </is>
      </c>
      <c r="F1006" s="15" t="inlineStr">
        <is>
          <t>Exxaro Tiles Limited-DRHP</t>
        </is>
      </c>
      <c r="G1006" s="15" t="inlineStr">
        <is>
          <t>IPO launched</t>
        </is>
      </c>
      <c r="H1006" s="15" t="inlineStr">
        <is>
          <t>Mainboard</t>
        </is>
      </c>
      <c r="I1006" s="16" t="n">
        <v>44412</v>
      </c>
      <c r="J1006" s="16" t="n">
        <v>44414</v>
      </c>
      <c r="K1006" s="16" t="n">
        <v>44424</v>
      </c>
      <c r="L1006" s="17" t="n">
        <v>161.09</v>
      </c>
      <c r="M1006" s="17" t="n">
        <v>134.23</v>
      </c>
      <c r="N1006" s="17" t="n">
        <v>26.86</v>
      </c>
      <c r="O1006" s="15" t="inlineStr">
        <is>
          <t>Final issue (ipoplatform)</t>
        </is>
      </c>
      <c r="P1006" s="15" t="n"/>
      <c r="Q1006" s="18" t="inlineStr">
        <is>
          <t>https://www.sebi.gov.in/sebi_data/attachdocs/mar-2021/1616042080442.pdf</t>
        </is>
      </c>
      <c r="R1006" s="18" t="inlineStr">
        <is>
          <t>https://www.sebi.gov.in/filings/public-issues/mar-2021/exxaro-tiles-limited-drhp_49534.html</t>
        </is>
      </c>
      <c r="S1006" s="15" t="n"/>
      <c r="T1006" s="15" t="inlineStr">
        <is>
          <t>SEBI filing link</t>
        </is>
      </c>
      <c r="U1006" s="15" t="inlineStr">
        <is>
          <t>Exxaro Tiles Limited</t>
        </is>
      </c>
      <c r="V1006" s="15" t="n"/>
      <c r="W1006" s="15" t="n"/>
      <c r="X1006" s="15" t="n"/>
      <c r="Y1006" s="15" t="n"/>
      <c r="Z1006" s="15" t="n"/>
      <c r="AA1006" s="15" t="n"/>
      <c r="AB1006" s="15" t="n"/>
    </row>
    <row r="1007" ht="15" customHeight="1" s="12">
      <c r="A1007" s="14" t="n">
        <v>1006</v>
      </c>
      <c r="B1007" s="16" t="n">
        <v>44272</v>
      </c>
      <c r="C1007" s="15" t="n">
        <v>2021</v>
      </c>
      <c r="D1007" s="15" t="inlineStr">
        <is>
          <t>Rolex Rings Limited</t>
        </is>
      </c>
      <c r="E1007" s="15" t="inlineStr">
        <is>
          <t>DRHP</t>
        </is>
      </c>
      <c r="F1007" s="15" t="inlineStr">
        <is>
          <t>Rolex Rings Limited - DRHP</t>
        </is>
      </c>
      <c r="G1007" s="15" t="inlineStr">
        <is>
          <t>IPO launched</t>
        </is>
      </c>
      <c r="H1007" s="15" t="inlineStr">
        <is>
          <t>Mainboard</t>
        </is>
      </c>
      <c r="I1007" s="16" t="n">
        <v>44405</v>
      </c>
      <c r="J1007" s="16" t="n">
        <v>44407</v>
      </c>
      <c r="K1007" s="16" t="n">
        <v>44417</v>
      </c>
      <c r="L1007" s="17" t="n">
        <v>731</v>
      </c>
      <c r="M1007" s="17" t="n">
        <v>731</v>
      </c>
      <c r="N1007" s="17" t="n">
        <v>0</v>
      </c>
      <c r="O1007" s="15" t="inlineStr">
        <is>
          <t>Final issue (ipoplatform)</t>
        </is>
      </c>
      <c r="P1007" s="15" t="n"/>
      <c r="Q1007" s="18" t="inlineStr">
        <is>
          <t>https://www.sebi.gov.in/sebi_data/attachdocs/apr-2023/1681710560649.pdf</t>
        </is>
      </c>
      <c r="R1007" s="18" t="inlineStr">
        <is>
          <t>https://www.sebi.gov.in/filings/public-issues/mar-2021/rolex-rings-limited-drhp_49544.html</t>
        </is>
      </c>
      <c r="S1007" s="15" t="n"/>
      <c r="T1007" s="15" t="inlineStr">
        <is>
          <t>SEBI filing link</t>
        </is>
      </c>
      <c r="U1007" s="15" t="inlineStr">
        <is>
          <t>Rolex Rings Limited</t>
        </is>
      </c>
      <c r="V1007" s="15" t="n"/>
      <c r="W1007" s="15" t="n"/>
      <c r="X1007" s="15" t="n"/>
      <c r="Y1007" s="15" t="n"/>
      <c r="Z1007" s="15" t="n"/>
      <c r="AA1007" s="15" t="n"/>
      <c r="AB1007" s="15" t="n"/>
    </row>
    <row r="1008" ht="15" customHeight="1" s="12">
      <c r="A1008" s="14" t="n">
        <v>1007</v>
      </c>
      <c r="B1008" s="16" t="n">
        <v>44264</v>
      </c>
      <c r="C1008" s="15" t="n">
        <v>2021</v>
      </c>
      <c r="D1008" s="15" t="inlineStr">
        <is>
          <t>Paras Defence and Space Technologies Limited</t>
        </is>
      </c>
      <c r="E1008" s="15" t="inlineStr">
        <is>
          <t>DRHP</t>
        </is>
      </c>
      <c r="F1008" s="15" t="inlineStr">
        <is>
          <t>Paras Defence and Space Technologies Limited</t>
        </is>
      </c>
      <c r="G1008" s="15" t="inlineStr">
        <is>
          <t>IPO launched</t>
        </is>
      </c>
      <c r="H1008" s="15" t="inlineStr">
        <is>
          <t>Mainboard</t>
        </is>
      </c>
      <c r="I1008" s="16" t="n">
        <v>44460</v>
      </c>
      <c r="J1008" s="16" t="n">
        <v>44462</v>
      </c>
      <c r="K1008" s="16" t="n">
        <v>44470</v>
      </c>
      <c r="L1008" s="17" t="n">
        <v>170.78</v>
      </c>
      <c r="M1008" s="17" t="n">
        <v>170.78</v>
      </c>
      <c r="N1008" s="17" t="n">
        <v>0</v>
      </c>
      <c r="O1008" s="15" t="inlineStr">
        <is>
          <t>Final issue (ipoplatform)</t>
        </is>
      </c>
      <c r="P1008" s="15" t="n"/>
      <c r="Q1008" s="18" t="inlineStr">
        <is>
          <t>https://www.sebi.gov.in/sebi_data/attachdocs/jun-2023/1687843934119.pdf</t>
        </is>
      </c>
      <c r="R1008" s="18" t="inlineStr">
        <is>
          <t>https://www.sebi.gov.in/filings/public-issues/mar-2021/paras-defence-and-space-technologies-limited_49418.html</t>
        </is>
      </c>
      <c r="S1008" s="15" t="n"/>
      <c r="T1008" s="15" t="inlineStr">
        <is>
          <t>SEBI filing link</t>
        </is>
      </c>
      <c r="U1008" s="15" t="inlineStr">
        <is>
          <t>Paras Defence And Space Technologies Limited</t>
        </is>
      </c>
      <c r="V1008" s="15" t="n"/>
      <c r="W1008" s="15" t="n"/>
      <c r="X1008" s="15" t="n"/>
      <c r="Y1008" s="15" t="n"/>
      <c r="Z1008" s="15" t="n"/>
      <c r="AA1008" s="15" t="n"/>
      <c r="AB1008" s="15" t="n"/>
    </row>
    <row r="1009" ht="15" customHeight="1" s="12">
      <c r="A1009" s="14" t="n">
        <v>1008</v>
      </c>
      <c r="B1009" s="16" t="n">
        <v>44263</v>
      </c>
      <c r="C1009" s="15" t="n">
        <v>2021</v>
      </c>
      <c r="D1009" s="15" t="inlineStr">
        <is>
          <t>Montecarlo Limited</t>
        </is>
      </c>
      <c r="E1009" s="15" t="inlineStr">
        <is>
          <t>Notice</t>
        </is>
      </c>
      <c r="F1009" s="15" t="inlineStr">
        <is>
          <t>Montecarlo Limited - Update in the objects of the issue</t>
        </is>
      </c>
      <c r="G1009" s="15" t="inlineStr">
        <is>
          <t>No launched IPO found</t>
        </is>
      </c>
      <c r="H1009" s="15" t="n"/>
      <c r="I1009" s="16" t="n"/>
      <c r="J1009" s="16" t="n"/>
      <c r="K1009" s="16" t="n"/>
      <c r="L1009" s="17" t="n"/>
      <c r="M1009" s="17" t="n"/>
      <c r="N1009" s="17" t="n"/>
      <c r="O1009" s="15" t="n"/>
      <c r="P1009" s="15" t="n"/>
      <c r="Q1009" s="18" t="inlineStr">
        <is>
          <t>https://www.sebi.gov.in/sebi_data/attachdocs/mar-2021/1615177612049.pdf</t>
        </is>
      </c>
      <c r="R1009" s="18" t="inlineStr">
        <is>
          <t>https://www.sebi.gov.in/filings/public-issues/mar-2021/montecarlo-limited-update-in-the-objects-of-the-issue_49411.html</t>
        </is>
      </c>
      <c r="S1009" s="15" t="n"/>
      <c r="T1009" s="15" t="n"/>
      <c r="U1009" s="15" t="n"/>
      <c r="V1009" s="15" t="n"/>
      <c r="W1009" s="16" t="n"/>
      <c r="X1009" s="16" t="n"/>
      <c r="Y1009" s="16" t="n"/>
      <c r="Z1009" s="15" t="inlineStr">
        <is>
          <t>No issue found</t>
        </is>
      </c>
      <c r="AA1009" s="15" t="inlineStr">
        <is>
          <t>SEBI nod Aug 2018; planned 2021 IPO not released. Monte Carlo Fashions (2014) is different.</t>
        </is>
      </c>
      <c r="AB1009" s="18" t="inlineStr">
        <is>
          <t>https://www.motilaloswal.com/learning-centre/2021/4/montecarlo-limited-ipo-montecarlo-limited-ipo-date-share-price-and-news</t>
        </is>
      </c>
    </row>
    <row r="1010" ht="15" customHeight="1" s="12">
      <c r="A1010" s="14" t="n">
        <v>1009</v>
      </c>
      <c r="B1010" s="16" t="n">
        <v>44260</v>
      </c>
      <c r="C1010" s="15" t="n">
        <v>2021</v>
      </c>
      <c r="D1010" s="15" t="inlineStr">
        <is>
          <t>Utkarsh Small Finance Bank Limited</t>
        </is>
      </c>
      <c r="E1010" s="15" t="inlineStr">
        <is>
          <t>DRHP</t>
        </is>
      </c>
      <c r="F1010" s="15" t="inlineStr">
        <is>
          <t>Utkarsh Small Finance Bank Limited - DRHP</t>
        </is>
      </c>
      <c r="G1010" s="15" t="inlineStr">
        <is>
          <t>No launched IPO found</t>
        </is>
      </c>
      <c r="H1010" s="15" t="n"/>
      <c r="I1010" s="16" t="n"/>
      <c r="J1010" s="16" t="n"/>
      <c r="K1010" s="16" t="n"/>
      <c r="L1010" s="17" t="n"/>
      <c r="M1010" s="17" t="n"/>
      <c r="N1010" s="17" t="n"/>
      <c r="O1010" s="15" t="n"/>
      <c r="P1010" s="15" t="n"/>
      <c r="Q1010" s="18" t="inlineStr">
        <is>
          <t>https://www.sebi.gov.in/sebi_data/attachdocs/mar-2021/1614924914132.pdf</t>
        </is>
      </c>
      <c r="R1010" s="18" t="inlineStr">
        <is>
          <t>https://www.sebi.gov.in/filings/public-issues/mar-2021/utkarsh-small-finance-bank-limited-drhp_49398.html</t>
        </is>
      </c>
      <c r="S1010" s="15" t="n"/>
      <c r="T1010" s="15" t="n"/>
      <c r="U1010" s="15" t="n"/>
      <c r="V1010" s="15" t="inlineStr">
        <is>
          <t>Same-name IPO opened 12-Jul-2023 — outside 2 years of this filing, so not linked</t>
        </is>
      </c>
      <c r="W1010" s="19" t="n">
        <v>45119</v>
      </c>
      <c r="X1010" s="19" t="n">
        <v>45121</v>
      </c>
      <c r="Y1010" s="19" t="n">
        <v>45128</v>
      </c>
      <c r="Z1010" s="20" t="inlineStr">
        <is>
          <t>Issue opened</t>
        </is>
      </c>
      <c r="AA1010" s="15" t="inlineStr">
        <is>
          <t>Matched on chittorgarh.com</t>
        </is>
      </c>
      <c r="AB1010" s="18" t="inlineStr">
        <is>
          <t>https://www.chittorgarh.com/ipo/utkarsh-small-finance-bank-ipo/1456/</t>
        </is>
      </c>
    </row>
    <row r="1011" ht="15" customHeight="1" s="12">
      <c r="A1011" s="14" t="n">
        <v>1010</v>
      </c>
      <c r="B1011" s="16" t="n">
        <v>44253</v>
      </c>
      <c r="C1011" s="15" t="n">
        <v>2021</v>
      </c>
      <c r="D1011" s="15" t="inlineStr">
        <is>
          <t>Krishna Institute of Medical Sciences Limited</t>
        </is>
      </c>
      <c r="E1011" s="15" t="inlineStr">
        <is>
          <t>DRHP</t>
        </is>
      </c>
      <c r="F1011" s="15" t="inlineStr">
        <is>
          <t>Krishna Institute of Medical Sciences Limited - DRHP</t>
        </is>
      </c>
      <c r="G1011" s="15" t="inlineStr">
        <is>
          <t>IPO launched</t>
        </is>
      </c>
      <c r="H1011" s="15" t="inlineStr">
        <is>
          <t>Mainboard</t>
        </is>
      </c>
      <c r="I1011" s="16" t="n">
        <v>44363</v>
      </c>
      <c r="J1011" s="16" t="n">
        <v>44365</v>
      </c>
      <c r="K1011" s="16" t="n">
        <v>44375</v>
      </c>
      <c r="L1011" s="17" t="n">
        <v>2143.74</v>
      </c>
      <c r="M1011" s="17" t="n">
        <v>200</v>
      </c>
      <c r="N1011" s="17" t="n">
        <v>1943.74</v>
      </c>
      <c r="O1011" s="15" t="inlineStr">
        <is>
          <t>Final issue (ipoplatform)</t>
        </is>
      </c>
      <c r="P1011" s="15" t="n"/>
      <c r="Q1011" s="18" t="inlineStr">
        <is>
          <t>https://www.sebi.gov.in/sebi_data/attachdocs/mar-2021/1614565972050.pdf</t>
        </is>
      </c>
      <c r="R1011" s="18" t="inlineStr">
        <is>
          <t>https://www.sebi.gov.in/filings/public-issues/feb-2021/krishna-institute-of-medical-sciences-limited-drhp_49322.html</t>
        </is>
      </c>
      <c r="S1011" s="15" t="n"/>
      <c r="T1011" s="15" t="inlineStr">
        <is>
          <t>SEBI filing link</t>
        </is>
      </c>
      <c r="U1011" s="15" t="inlineStr">
        <is>
          <t>Krishna Institute of Medical Sciences Limited</t>
        </is>
      </c>
      <c r="V1011" s="15" t="n"/>
      <c r="W1011" s="15" t="n"/>
      <c r="X1011" s="15" t="n"/>
      <c r="Y1011" s="15" t="n"/>
      <c r="Z1011" s="15" t="n"/>
      <c r="AA1011" s="15" t="n"/>
      <c r="AB1011" s="15" t="n"/>
    </row>
    <row r="1012" ht="15" customHeight="1" s="12">
      <c r="A1012" s="14" t="n">
        <v>1011</v>
      </c>
      <c r="B1012" s="16" t="n">
        <v>44253</v>
      </c>
      <c r="C1012" s="15" t="n">
        <v>2021</v>
      </c>
      <c r="D1012" s="15" t="inlineStr">
        <is>
          <t>Shyam Metalics and Energy Limited</t>
        </is>
      </c>
      <c r="E1012" s="15" t="inlineStr">
        <is>
          <t>DRHP</t>
        </is>
      </c>
      <c r="F1012" s="15" t="inlineStr">
        <is>
          <t>Shyam Metalics and Energy Limited</t>
        </is>
      </c>
      <c r="G1012" s="15" t="inlineStr">
        <is>
          <t>IPO launched</t>
        </is>
      </c>
      <c r="H1012" s="15" t="inlineStr">
        <is>
          <t>Mainboard</t>
        </is>
      </c>
      <c r="I1012" s="16" t="n">
        <v>44361</v>
      </c>
      <c r="J1012" s="16" t="n">
        <v>44363</v>
      </c>
      <c r="K1012" s="16" t="n">
        <v>44371</v>
      </c>
      <c r="L1012" s="17" t="n">
        <v>909</v>
      </c>
      <c r="M1012" s="17" t="n">
        <v>657</v>
      </c>
      <c r="N1012" s="17" t="n">
        <v>252</v>
      </c>
      <c r="O1012" s="15" t="inlineStr">
        <is>
          <t>Final issue (ipoplatform)</t>
        </is>
      </c>
      <c r="P1012" s="15" t="n"/>
      <c r="Q1012" s="18" t="inlineStr">
        <is>
          <t>https://www.sebi.gov.in/sebi_data/attachdocs/may-2023/1683086405416.pdf</t>
        </is>
      </c>
      <c r="R1012" s="18" t="inlineStr">
        <is>
          <t>https://www.sebi.gov.in/filings/public-issues/feb-2021/shyam-metalics-and-energy-limited_49305.html</t>
        </is>
      </c>
      <c r="S1012" s="15" t="n"/>
      <c r="T1012" s="15" t="inlineStr">
        <is>
          <t>SEBI filing link</t>
        </is>
      </c>
      <c r="U1012" s="15" t="inlineStr">
        <is>
          <t>Shyam Metalics and Energy Limited</t>
        </is>
      </c>
      <c r="V1012" s="15" t="n"/>
      <c r="W1012" s="15" t="n"/>
      <c r="X1012" s="15" t="n"/>
      <c r="Y1012" s="15" t="n"/>
      <c r="Z1012" s="15" t="n"/>
      <c r="AA1012" s="15" t="n"/>
      <c r="AB1012" s="15" t="n"/>
    </row>
    <row r="1013" ht="15" customHeight="1" s="12">
      <c r="A1013" s="14" t="n">
        <v>1012</v>
      </c>
      <c r="B1013" s="16" t="n">
        <v>44251</v>
      </c>
      <c r="C1013" s="15" t="n">
        <v>2021</v>
      </c>
      <c r="D1013" s="15" t="inlineStr">
        <is>
          <t>SONA BLW PRECISION FORGINGS LIMITED</t>
        </is>
      </c>
      <c r="E1013" s="15" t="inlineStr">
        <is>
          <t>DRHP</t>
        </is>
      </c>
      <c r="F1013" s="15" t="inlineStr">
        <is>
          <t>SONA BLW PRECISION FORGINGS LIMITED</t>
        </is>
      </c>
      <c r="G1013" s="15" t="inlineStr">
        <is>
          <t>IPO launched</t>
        </is>
      </c>
      <c r="H1013" s="15" t="inlineStr">
        <is>
          <t>Mainboard</t>
        </is>
      </c>
      <c r="I1013" s="16" t="n">
        <v>44361</v>
      </c>
      <c r="J1013" s="16" t="n">
        <v>44363</v>
      </c>
      <c r="K1013" s="16" t="n">
        <v>44371</v>
      </c>
      <c r="L1013" s="17" t="n">
        <v>5550</v>
      </c>
      <c r="M1013" s="17" t="n">
        <v>300</v>
      </c>
      <c r="N1013" s="17" t="n">
        <v>5250</v>
      </c>
      <c r="O1013" s="15" t="inlineStr">
        <is>
          <t>Final issue (ipoplatform)</t>
        </is>
      </c>
      <c r="P1013" s="15" t="n"/>
      <c r="Q1013" s="18" t="inlineStr">
        <is>
          <t>https://www.sebi.gov.in/sebi_data/attachdocs/feb-2021/1614163178341.pdf</t>
        </is>
      </c>
      <c r="R1013" s="18" t="inlineStr">
        <is>
          <t>https://www.sebi.gov.in/filings/public-issues/feb-2021/sona-blw-precision-forgings-limited_49256.html</t>
        </is>
      </c>
      <c r="S1013" s="15" t="n"/>
      <c r="T1013" s="15" t="inlineStr">
        <is>
          <t>SEBI filing link</t>
        </is>
      </c>
      <c r="U1013" s="15" t="inlineStr">
        <is>
          <t>Sona BLW Precision Forgings Limited</t>
        </is>
      </c>
      <c r="V1013" s="15" t="n"/>
      <c r="W1013" s="15" t="n"/>
      <c r="X1013" s="15" t="n"/>
      <c r="Y1013" s="15" t="n"/>
      <c r="Z1013" s="15" t="n"/>
      <c r="AA1013" s="15" t="n"/>
      <c r="AB1013" s="15" t="n"/>
    </row>
    <row r="1014" ht="15" customHeight="1" s="12">
      <c r="A1014" s="14" t="n">
        <v>1013</v>
      </c>
      <c r="B1014" s="16" t="n">
        <v>44250</v>
      </c>
      <c r="C1014" s="15" t="n">
        <v>2021</v>
      </c>
      <c r="D1014" s="15" t="inlineStr">
        <is>
          <t>Aadhar Housing Finance Limited</t>
        </is>
      </c>
      <c r="E1014" s="15" t="inlineStr">
        <is>
          <t>Corrigendum</t>
        </is>
      </c>
      <c r="F1014" s="15" t="inlineStr">
        <is>
          <t>Aadhar Housing Finance Limited - Corrigendum</t>
        </is>
      </c>
      <c r="G1014" s="15" t="inlineStr">
        <is>
          <t>No launched IPO found</t>
        </is>
      </c>
      <c r="H1014" s="15" t="n"/>
      <c r="I1014" s="16" t="n"/>
      <c r="J1014" s="16" t="n"/>
      <c r="K1014" s="16" t="n"/>
      <c r="L1014" s="17" t="n"/>
      <c r="M1014" s="17" t="n"/>
      <c r="N1014" s="17" t="n"/>
      <c r="O1014" s="15" t="n"/>
      <c r="P1014" s="15" t="n"/>
      <c r="Q1014" s="18" t="inlineStr">
        <is>
          <t>https://www.sebi.gov.in/sebi_data/attachdocs/feb-2021/1614062386224.pdf</t>
        </is>
      </c>
      <c r="R1014" s="18" t="inlineStr">
        <is>
          <t>https://www.sebi.gov.in/filings/public-issues/feb-2021/aadhar-housing-finance-limited-corrigendum_49228.html</t>
        </is>
      </c>
      <c r="S1014" s="15" t="n"/>
      <c r="T1014" s="15" t="n"/>
      <c r="U1014" s="15" t="n"/>
      <c r="V1014" s="15" t="inlineStr">
        <is>
          <t>Same-name IPO opened 08-May-2024 — outside 2 years of this filing, so not linked</t>
        </is>
      </c>
      <c r="W1014" s="25" t="n">
        <v>45420</v>
      </c>
      <c r="X1014" s="25" t="n">
        <v>45422</v>
      </c>
      <c r="Y1014" s="25" t="n">
        <v>45427</v>
      </c>
      <c r="Z1014" s="26" t="inlineStr">
        <is>
          <t>Later IPO — not from this draft</t>
        </is>
      </c>
      <c r="AA1014" s="15" t="inlineStr">
        <is>
          <t>IPO opened over 3 years after Feb 2021 last filing (likely fresh DRHP).</t>
        </is>
      </c>
      <c r="AB1014" s="18" t="inlineStr">
        <is>
          <t>https://www.chittorgarh.com/ipo/aadhar-housing-finance-ipo/1717/</t>
        </is>
      </c>
    </row>
    <row r="1015" ht="15" customHeight="1" s="12">
      <c r="A1015" s="14" t="n">
        <v>1014</v>
      </c>
      <c r="B1015" s="16" t="n">
        <v>44244</v>
      </c>
      <c r="C1015" s="15" t="n">
        <v>2021</v>
      </c>
      <c r="D1015" s="15" t="inlineStr">
        <is>
          <t>Macrotech Developers Limited</t>
        </is>
      </c>
      <c r="E1015" s="15" t="inlineStr">
        <is>
          <t>DRHP</t>
        </is>
      </c>
      <c r="F1015" s="15" t="inlineStr">
        <is>
          <t>Macrotech Developers Limited</t>
        </is>
      </c>
      <c r="G1015" s="15" t="inlineStr">
        <is>
          <t>IPO launched</t>
        </is>
      </c>
      <c r="H1015" s="15" t="inlineStr">
        <is>
          <t>Mainboard</t>
        </is>
      </c>
      <c r="I1015" s="16" t="n">
        <v>44293</v>
      </c>
      <c r="J1015" s="16" t="n">
        <v>44295</v>
      </c>
      <c r="K1015" s="16" t="n">
        <v>44305</v>
      </c>
      <c r="L1015" s="17" t="n">
        <v>2500</v>
      </c>
      <c r="M1015" s="17" t="n">
        <v>2500</v>
      </c>
      <c r="N1015" s="17" t="n">
        <v>0</v>
      </c>
      <c r="O1015" s="15" t="inlineStr">
        <is>
          <t>Final issue (ipoplatform)</t>
        </is>
      </c>
      <c r="P1015" s="15" t="n"/>
      <c r="Q1015" s="18" t="inlineStr">
        <is>
          <t>https://www.sebi.gov.in/sebi_data/attachdocs/apr-2023/1681818049692.pdf</t>
        </is>
      </c>
      <c r="R1015" s="18" t="inlineStr">
        <is>
          <t>https://www.sebi.gov.in/filings/public-issues/feb-2021/macrotech-developers-limited_49172.html</t>
        </is>
      </c>
      <c r="S1015" s="15" t="n"/>
      <c r="T1015" s="15" t="inlineStr">
        <is>
          <t>SEBI filing link</t>
        </is>
      </c>
      <c r="U1015" s="15" t="inlineStr">
        <is>
          <t>Macrotech Developers Limited</t>
        </is>
      </c>
      <c r="V1015" s="15" t="n"/>
      <c r="W1015" s="15" t="n"/>
      <c r="X1015" s="15" t="n"/>
      <c r="Y1015" s="15" t="n"/>
      <c r="Z1015" s="15" t="n"/>
      <c r="AA1015" s="15" t="n"/>
      <c r="AB1015" s="15" t="n"/>
    </row>
    <row r="1016" ht="15" customHeight="1" s="12">
      <c r="A1016" s="14" t="n">
        <v>1015</v>
      </c>
      <c r="B1016" s="16" t="n">
        <v>44242</v>
      </c>
      <c r="C1016" s="15" t="n">
        <v>2021</v>
      </c>
      <c r="D1016" s="15" t="inlineStr">
        <is>
          <t>Dodla Dairy Limited</t>
        </is>
      </c>
      <c r="E1016" s="15" t="inlineStr">
        <is>
          <t>DRHP</t>
        </is>
      </c>
      <c r="F1016" s="15" t="inlineStr">
        <is>
          <t>Dodla Dairy Limited -DRHP</t>
        </is>
      </c>
      <c r="G1016" s="15" t="inlineStr">
        <is>
          <t>IPO launched</t>
        </is>
      </c>
      <c r="H1016" s="15" t="inlineStr">
        <is>
          <t>Mainboard</t>
        </is>
      </c>
      <c r="I1016" s="16" t="n">
        <v>44363</v>
      </c>
      <c r="J1016" s="16" t="n">
        <v>44365</v>
      </c>
      <c r="K1016" s="16" t="n">
        <v>44375</v>
      </c>
      <c r="L1016" s="17" t="n">
        <v>520.1799999999999</v>
      </c>
      <c r="M1016" s="17" t="n">
        <v>50</v>
      </c>
      <c r="N1016" s="17" t="n">
        <v>470.18</v>
      </c>
      <c r="O1016" s="15" t="inlineStr">
        <is>
          <t>Final issue (ipoplatform)</t>
        </is>
      </c>
      <c r="P1016" s="15" t="n"/>
      <c r="Q1016" s="18" t="inlineStr">
        <is>
          <t>https://www.sebi.gov.in/sebi_data/attachdocs/may-2023/1683611315129.pdf</t>
        </is>
      </c>
      <c r="R1016" s="18" t="inlineStr">
        <is>
          <t>https://www.sebi.gov.in/filings/public-issues/feb-2021/dodla-dairy-limited-drhp_49197.html</t>
        </is>
      </c>
      <c r="S1016" s="15" t="n"/>
      <c r="T1016" s="15" t="inlineStr">
        <is>
          <t>SEBI filing link</t>
        </is>
      </c>
      <c r="U1016" s="15" t="inlineStr">
        <is>
          <t>Dodla Dairy Limited</t>
        </is>
      </c>
      <c r="V1016" s="15" t="n"/>
      <c r="W1016" s="15" t="n"/>
      <c r="X1016" s="15" t="n"/>
      <c r="Y1016" s="15" t="n"/>
      <c r="Z1016" s="15" t="n"/>
      <c r="AA1016" s="15" t="n"/>
      <c r="AB1016" s="15" t="n"/>
    </row>
    <row r="1017" ht="15" customHeight="1" s="12">
      <c r="A1017" s="14" t="n">
        <v>1016</v>
      </c>
      <c r="B1017" s="16" t="n">
        <v>44242</v>
      </c>
      <c r="C1017" s="15" t="n">
        <v>2021</v>
      </c>
      <c r="D1017" s="15" t="inlineStr">
        <is>
          <t>Arohan Financial Services Limited</t>
        </is>
      </c>
      <c r="E1017" s="15" t="inlineStr">
        <is>
          <t>DRHP</t>
        </is>
      </c>
      <c r="F1017" s="15" t="inlineStr">
        <is>
          <t>Arohan Financial Services Limited</t>
        </is>
      </c>
      <c r="G1017" s="15" t="inlineStr">
        <is>
          <t>No launched IPO found</t>
        </is>
      </c>
      <c r="H1017" s="15" t="n"/>
      <c r="I1017" s="16" t="n"/>
      <c r="J1017" s="16" t="n"/>
      <c r="K1017" s="16" t="n"/>
      <c r="L1017" s="17" t="n"/>
      <c r="M1017" s="17" t="n"/>
      <c r="N1017" s="17" t="n"/>
      <c r="O1017" s="15" t="n"/>
      <c r="P1017" s="15" t="n"/>
      <c r="Q1017" s="18" t="inlineStr">
        <is>
          <t>https://www.sebi.gov.in/sebi_data/attachdocs/feb-2021/1613373596700.pdf</t>
        </is>
      </c>
      <c r="R1017" s="18" t="inlineStr">
        <is>
          <t>https://www.sebi.gov.in/filings/public-issues/feb-2021/arohan-financial-services-limited_49148.html</t>
        </is>
      </c>
      <c r="S1017" s="15" t="n"/>
      <c r="T1017" s="15" t="n"/>
      <c r="U1017" s="15" t="n"/>
      <c r="V1017" s="15" t="n"/>
      <c r="W1017" s="16" t="n"/>
      <c r="X1017" s="16" t="n"/>
      <c r="Y1017" s="16" t="n"/>
      <c r="Z1017" s="15" t="inlineStr">
        <is>
          <t>No issue found</t>
        </is>
      </c>
      <c r="AA1017" s="15" t="inlineStr">
        <is>
          <t>Refiled DRHP May-2026; dates not announced</t>
        </is>
      </c>
      <c r="AB1017" s="18" t="inlineStr">
        <is>
          <t>https://www.chittorgarh.com/ipo/arohan-financial-services-ipo/3135/</t>
        </is>
      </c>
    </row>
    <row r="1018" ht="15" customHeight="1" s="12">
      <c r="A1018" s="14" t="n">
        <v>1017</v>
      </c>
      <c r="B1018" s="16" t="n">
        <v>44242</v>
      </c>
      <c r="C1018" s="15" t="n">
        <v>2021</v>
      </c>
      <c r="D1018" s="15" t="inlineStr">
        <is>
          <t>Seven Islands Shipping Limited</t>
        </is>
      </c>
      <c r="E1018" s="15" t="inlineStr">
        <is>
          <t>DRHP</t>
        </is>
      </c>
      <c r="F1018" s="15" t="inlineStr">
        <is>
          <t>Seven Islands Shipping Limited - DRHP</t>
        </is>
      </c>
      <c r="G1018" s="15" t="inlineStr">
        <is>
          <t>No launched IPO found</t>
        </is>
      </c>
      <c r="H1018" s="15" t="n"/>
      <c r="I1018" s="16" t="n"/>
      <c r="J1018" s="16" t="n"/>
      <c r="K1018" s="16" t="n"/>
      <c r="L1018" s="17" t="n"/>
      <c r="M1018" s="17" t="n"/>
      <c r="N1018" s="17" t="n"/>
      <c r="O1018" s="15" t="n"/>
      <c r="P1018" s="15" t="n"/>
      <c r="Q1018" s="18" t="inlineStr">
        <is>
          <t>https://www.sebi.gov.in/sebi_data/attachdocs/may-2023/1684478290179.pdf</t>
        </is>
      </c>
      <c r="R1018" s="18" t="inlineStr">
        <is>
          <t>https://www.sebi.gov.in/filings/public-issues/feb-2021/seven-islands-shipping-limited-drhp_49146.html</t>
        </is>
      </c>
      <c r="S1018" s="15" t="n"/>
      <c r="T1018" s="15" t="n"/>
      <c r="U1018" s="15" t="n"/>
      <c r="V1018" s="15" t="n"/>
      <c r="W1018" s="16" t="n"/>
      <c r="X1018" s="16" t="n"/>
      <c r="Y1018" s="16" t="n"/>
      <c r="Z1018" s="15" t="inlineStr">
        <is>
          <t>No issue found</t>
        </is>
      </c>
      <c r="AA1018" s="15" t="inlineStr">
        <is>
          <t>Business Standard lists the company but shows no issue dates; web search limit reached</t>
        </is>
      </c>
      <c r="AB1018" s="18" t="inlineStr">
        <is>
          <t>https://www.business-standard.com/markets/ipo/seven-islands-shipping-ltd-ipo-38967</t>
        </is>
      </c>
    </row>
    <row r="1019" ht="15" customHeight="1" s="12">
      <c r="A1019" s="14" t="n">
        <v>1018</v>
      </c>
      <c r="B1019" s="16" t="n">
        <v>44238</v>
      </c>
      <c r="C1019" s="15" t="n">
        <v>2021</v>
      </c>
      <c r="D1019" s="15" t="inlineStr">
        <is>
          <t>India Pesticides Limited</t>
        </is>
      </c>
      <c r="E1019" s="15" t="inlineStr">
        <is>
          <t>DRHP</t>
        </is>
      </c>
      <c r="F1019" s="15" t="inlineStr">
        <is>
          <t>India Pesticides Limited - DRHP</t>
        </is>
      </c>
      <c r="G1019" s="15" t="inlineStr">
        <is>
          <t>IPO launched</t>
        </is>
      </c>
      <c r="H1019" s="15" t="inlineStr">
        <is>
          <t>Mainboard</t>
        </is>
      </c>
      <c r="I1019" s="16" t="n">
        <v>44370</v>
      </c>
      <c r="J1019" s="16" t="n">
        <v>44372</v>
      </c>
      <c r="K1019" s="16" t="n">
        <v>44382</v>
      </c>
      <c r="L1019" s="17" t="n">
        <v>800</v>
      </c>
      <c r="M1019" s="17" t="n">
        <v>100</v>
      </c>
      <c r="N1019" s="17" t="n">
        <v>700</v>
      </c>
      <c r="O1019" s="15" t="inlineStr">
        <is>
          <t>Final issue (ipoplatform)</t>
        </is>
      </c>
      <c r="P1019" s="15" t="n"/>
      <c r="Q1019" s="18" t="inlineStr">
        <is>
          <t>https://www.sebi.gov.in/sebi_data/attachdocs/apr-2023/1681360369818.pdf</t>
        </is>
      </c>
      <c r="R1019" s="18" t="inlineStr">
        <is>
          <t>https://www.sebi.gov.in/filings/public-issues/feb-2021/india-pesticides-limited-drhp_49103.html</t>
        </is>
      </c>
      <c r="S1019" s="15" t="n"/>
      <c r="T1019" s="15" t="inlineStr">
        <is>
          <t>SEBI filing link</t>
        </is>
      </c>
      <c r="U1019" s="15" t="inlineStr">
        <is>
          <t>India Pesticides Limited</t>
        </is>
      </c>
      <c r="V1019" s="15" t="n"/>
      <c r="W1019" s="15" t="n"/>
      <c r="X1019" s="15" t="n"/>
      <c r="Y1019" s="15" t="n"/>
      <c r="Z1019" s="15" t="n"/>
      <c r="AA1019" s="15" t="n"/>
      <c r="AB1019" s="15" t="n"/>
    </row>
    <row r="1020" ht="15" customHeight="1" s="12">
      <c r="A1020" s="14" t="n">
        <v>1019</v>
      </c>
      <c r="B1020" s="16" t="n">
        <v>44236</v>
      </c>
      <c r="C1020" s="15" t="n">
        <v>2021</v>
      </c>
      <c r="D1020" s="15" t="inlineStr">
        <is>
          <t>Suryoday Small Finance Bank Limited</t>
        </is>
      </c>
      <c r="E1020" s="15" t="inlineStr">
        <is>
          <t>Addendum</t>
        </is>
      </c>
      <c r="F1020" s="15" t="inlineStr">
        <is>
          <t>Suryoday Small Finance Bank Limited - Addendum to DRHP</t>
        </is>
      </c>
      <c r="G1020" s="15" t="inlineStr">
        <is>
          <t>IPO launched</t>
        </is>
      </c>
      <c r="H1020" s="15" t="inlineStr">
        <is>
          <t>Mainboard</t>
        </is>
      </c>
      <c r="I1020" s="16" t="n">
        <v>44272</v>
      </c>
      <c r="J1020" s="16" t="n">
        <v>44274</v>
      </c>
      <c r="K1020" s="16" t="n">
        <v>44281</v>
      </c>
      <c r="L1020" s="17" t="n">
        <v>582.34</v>
      </c>
      <c r="M1020" s="17" t="n">
        <v>248.58</v>
      </c>
      <c r="N1020" s="17" t="n">
        <v>333.76</v>
      </c>
      <c r="O1020" s="15" t="inlineStr">
        <is>
          <t>Final issue (ipoplatform)</t>
        </is>
      </c>
      <c r="P1020" s="15" t="n"/>
      <c r="Q1020" s="18" t="inlineStr">
        <is>
          <t>https://www.sebi.gov.in/sebi_data/attachdocs/feb-2021/1612849058075.pdf</t>
        </is>
      </c>
      <c r="R1020" s="18" t="inlineStr">
        <is>
          <t>https://www.sebi.gov.in/filings/public-issues/feb-2021/suryoday-small-finance-bank-limited-addendum-to-drhp_49054.html</t>
        </is>
      </c>
      <c r="S1020" s="15" t="n"/>
      <c r="T1020" s="15" t="inlineStr">
        <is>
          <t>Company name + date window</t>
        </is>
      </c>
      <c r="U1020" s="15" t="inlineStr">
        <is>
          <t>Suryoday Small Finance Bank Limited</t>
        </is>
      </c>
      <c r="V1020" s="15" t="n"/>
      <c r="W1020" s="15" t="n"/>
      <c r="X1020" s="15" t="n"/>
      <c r="Y1020" s="15" t="n"/>
      <c r="Z1020" s="15" t="n"/>
      <c r="AA1020" s="15" t="n"/>
      <c r="AB1020" s="15" t="n"/>
    </row>
    <row r="1021" ht="15" customHeight="1" s="12">
      <c r="A1021" s="14" t="n">
        <v>1020</v>
      </c>
      <c r="B1021" s="16" t="n">
        <v>44231</v>
      </c>
      <c r="C1021" s="15" t="n">
        <v>2021</v>
      </c>
      <c r="D1021" s="15" t="inlineStr">
        <is>
          <t>Ashapuri Gold Ornament Limited</t>
        </is>
      </c>
      <c r="E1021" s="15" t="inlineStr">
        <is>
          <t>DRHP</t>
        </is>
      </c>
      <c r="F1021" s="15" t="inlineStr">
        <is>
          <t>Ashapuri Gold Ornament Limited</t>
        </is>
      </c>
      <c r="G1021" s="15" t="inlineStr">
        <is>
          <t>IPO launched</t>
        </is>
      </c>
      <c r="H1021" s="15" t="inlineStr">
        <is>
          <t>SME</t>
        </is>
      </c>
      <c r="I1021" s="16" t="n">
        <v>44258</v>
      </c>
      <c r="J1021" s="16" t="n">
        <v>44263</v>
      </c>
      <c r="K1021" s="16" t="n">
        <v>44272</v>
      </c>
      <c r="L1021" s="17" t="n">
        <v>30.02</v>
      </c>
      <c r="M1021" s="17" t="n">
        <v>30.02</v>
      </c>
      <c r="N1021" s="17" t="n">
        <v>0</v>
      </c>
      <c r="O1021" s="15" t="inlineStr">
        <is>
          <t>Final issue (ipoplatform)</t>
        </is>
      </c>
      <c r="P1021" s="15" t="n"/>
      <c r="Q1021" s="18" t="inlineStr">
        <is>
          <t>https://www.sebi.gov.in/sebi_data/attachdocs/feb-2021/1612440230653.pdf</t>
        </is>
      </c>
      <c r="R1021" s="18" t="inlineStr">
        <is>
          <t>https://www.sebi.gov.in/filings/public-issues/feb-2021/ashapuri-gold-ornament-limited_49013.html</t>
        </is>
      </c>
      <c r="S1021" s="15" t="n"/>
      <c r="T1021" s="15" t="inlineStr">
        <is>
          <t>Company name + date window</t>
        </is>
      </c>
      <c r="U1021" s="15" t="inlineStr">
        <is>
          <t>Ashapuri Gold Ornament Limited</t>
        </is>
      </c>
      <c r="V1021" s="15" t="n"/>
      <c r="W1021" s="15" t="n"/>
      <c r="X1021" s="15" t="n"/>
      <c r="Y1021" s="15" t="n"/>
      <c r="Z1021" s="15" t="n"/>
      <c r="AA1021" s="15" t="n"/>
      <c r="AB1021" s="15" t="n"/>
    </row>
    <row r="1022" ht="15" customHeight="1" s="12">
      <c r="A1022" s="14" t="n">
        <v>1021</v>
      </c>
      <c r="B1022" s="16" t="n">
        <v>44221</v>
      </c>
      <c r="C1022" s="15" t="n">
        <v>2021</v>
      </c>
      <c r="D1022" s="15" t="inlineStr">
        <is>
          <t>Aadhar Housing Finance Limited</t>
        </is>
      </c>
      <c r="E1022" s="15" t="inlineStr">
        <is>
          <t>DRHP</t>
        </is>
      </c>
      <c r="F1022" s="15" t="inlineStr">
        <is>
          <t>Aadhar Housing Finance Limited</t>
        </is>
      </c>
      <c r="G1022" s="15" t="inlineStr">
        <is>
          <t>No launched IPO found</t>
        </is>
      </c>
      <c r="H1022" s="15" t="n"/>
      <c r="I1022" s="16" t="n"/>
      <c r="J1022" s="16" t="n"/>
      <c r="K1022" s="16" t="n"/>
      <c r="L1022" s="17" t="n"/>
      <c r="M1022" s="17" t="n"/>
      <c r="N1022" s="17" t="n"/>
      <c r="O1022" s="15" t="n"/>
      <c r="P1022" s="15" t="n"/>
      <c r="Q1022" s="18" t="inlineStr">
        <is>
          <t>https://www.sebi.gov.in/sebi_data/attachdocs/jan-2021/1611557799393.pdf</t>
        </is>
      </c>
      <c r="R1022" s="18" t="inlineStr">
        <is>
          <t>https://www.sebi.gov.in/filings/public-issues/jan-2021/aadhar-housing-finance-limited_48869.html</t>
        </is>
      </c>
      <c r="S1022" s="15" t="n"/>
      <c r="T1022" s="15" t="n"/>
      <c r="U1022" s="15" t="n"/>
      <c r="V1022" s="15" t="inlineStr">
        <is>
          <t>Same-name IPO opened 08-May-2024 — outside 2 years of this filing, so not linked</t>
        </is>
      </c>
      <c r="W1022" s="25" t="n">
        <v>45420</v>
      </c>
      <c r="X1022" s="25" t="n">
        <v>45422</v>
      </c>
      <c r="Y1022" s="25" t="n">
        <v>45427</v>
      </c>
      <c r="Z1022" s="26" t="inlineStr">
        <is>
          <t>Later IPO — not from this draft</t>
        </is>
      </c>
      <c r="AA1022" s="15" t="inlineStr">
        <is>
          <t>IPO opened over 3 years after Feb 2021 last filing (likely fresh DRHP).</t>
        </is>
      </c>
      <c r="AB1022" s="18" t="inlineStr">
        <is>
          <t>https://www.chittorgarh.com/ipo/aadhar-housing-finance-ipo/1717/</t>
        </is>
      </c>
    </row>
    <row r="1023" ht="15" customHeight="1" s="12">
      <c r="A1023" s="14" t="n">
        <v>1022</v>
      </c>
      <c r="B1023" s="16" t="n">
        <v>44216</v>
      </c>
      <c r="C1023" s="15" t="n">
        <v>2021</v>
      </c>
      <c r="D1023" s="15" t="inlineStr">
        <is>
          <t>Nazara Technologies Limited</t>
        </is>
      </c>
      <c r="E1023" s="15" t="inlineStr">
        <is>
          <t>DRHP</t>
        </is>
      </c>
      <c r="F1023" s="15" t="inlineStr">
        <is>
          <t>Nazara Technologies Limited</t>
        </is>
      </c>
      <c r="G1023" s="15" t="inlineStr">
        <is>
          <t>IPO launched</t>
        </is>
      </c>
      <c r="H1023" s="15" t="inlineStr">
        <is>
          <t>Mainboard</t>
        </is>
      </c>
      <c r="I1023" s="16" t="n">
        <v>44272</v>
      </c>
      <c r="J1023" s="16" t="n">
        <v>44274</v>
      </c>
      <c r="K1023" s="16" t="n">
        <v>44285</v>
      </c>
      <c r="L1023" s="17" t="n">
        <v>582.91</v>
      </c>
      <c r="M1023" s="17" t="n">
        <v>582.91</v>
      </c>
      <c r="N1023" s="17" t="n">
        <v>0</v>
      </c>
      <c r="O1023" s="15" t="inlineStr">
        <is>
          <t>Final issue (ipoplatform)</t>
        </is>
      </c>
      <c r="P1023" s="15" t="n"/>
      <c r="Q1023" s="18" t="inlineStr">
        <is>
          <t>https://www.sebi.gov.in/sebi_data/attachdocs/may-2023/1684484450159.pdf</t>
        </is>
      </c>
      <c r="R1023" s="18" t="inlineStr">
        <is>
          <t>https://www.sebi.gov.in/filings/public-issues/jan-2021/nazara-technologies-limited_48816.html</t>
        </is>
      </c>
      <c r="S1023" s="15" t="n"/>
      <c r="T1023" s="15" t="inlineStr">
        <is>
          <t>Company name + date window</t>
        </is>
      </c>
      <c r="U1023" s="15" t="inlineStr">
        <is>
          <t>Nazara Technologies Limited</t>
        </is>
      </c>
      <c r="V1023" s="15" t="n"/>
      <c r="W1023" s="15" t="n"/>
      <c r="X1023" s="15" t="n"/>
      <c r="Y1023" s="15" t="n"/>
      <c r="Z1023" s="15" t="n"/>
      <c r="AA1023" s="15" t="n"/>
      <c r="AB1023" s="15" t="n"/>
    </row>
    <row r="1024" ht="15" customHeight="1" s="12">
      <c r="A1024" s="14" t="n">
        <v>1023</v>
      </c>
      <c r="B1024" s="16" t="n">
        <v>44209</v>
      </c>
      <c r="C1024" s="15" t="n">
        <v>2021</v>
      </c>
      <c r="D1024" s="15" t="inlineStr">
        <is>
          <t>Addendum II- Stove Kraft Limited</t>
        </is>
      </c>
      <c r="E1024" s="15" t="inlineStr">
        <is>
          <t>Addendum</t>
        </is>
      </c>
      <c r="F1024" s="15" t="inlineStr">
        <is>
          <t>Addendum II- Stove Kraft Limited</t>
        </is>
      </c>
      <c r="G1024" s="15" t="inlineStr">
        <is>
          <t>No launched IPO found</t>
        </is>
      </c>
      <c r="H1024" s="15" t="n"/>
      <c r="I1024" s="16" t="n"/>
      <c r="J1024" s="16" t="n"/>
      <c r="K1024" s="16" t="n"/>
      <c r="L1024" s="17" t="n"/>
      <c r="M1024" s="17" t="n"/>
      <c r="N1024" s="17" t="n"/>
      <c r="O1024" s="15" t="n"/>
      <c r="P1024" s="15" t="n"/>
      <c r="Q1024" s="18" t="inlineStr">
        <is>
          <t>https://www.sebi.gov.in/sebi_data/attachdocs/jan-2021/1610540459702.pdf</t>
        </is>
      </c>
      <c r="R1024" s="18" t="inlineStr">
        <is>
          <t>https://www.sebi.gov.in/filings/public-issues/jan-2021/addendum-ii-stove-kraft-limited_48753.html</t>
        </is>
      </c>
      <c r="S1024" s="15" t="n"/>
      <c r="T1024" s="15" t="n"/>
      <c r="U1024" s="15" t="n"/>
      <c r="V1024" s="15" t="n"/>
      <c r="W1024" s="19" t="n">
        <v>44221</v>
      </c>
      <c r="X1024" s="19" t="n">
        <v>44224</v>
      </c>
      <c r="Y1024" s="19" t="n">
        <v>44232</v>
      </c>
      <c r="Z1024" s="20" t="inlineStr">
        <is>
          <t>Issue opened</t>
        </is>
      </c>
      <c r="AA1024" s="15" t="inlineStr">
        <is>
          <t>Matched on chittorgarh.com</t>
        </is>
      </c>
      <c r="AB1024" s="18" t="inlineStr">
        <is>
          <t>https://www.chittorgarh.com/ipo/stove-kraft-ipo/1081/</t>
        </is>
      </c>
    </row>
    <row r="1025" ht="15" customHeight="1" s="12">
      <c r="A1025" s="14" t="n">
        <v>1024</v>
      </c>
      <c r="B1025" s="16" t="n">
        <v>44189</v>
      </c>
      <c r="C1025" s="15" t="n">
        <v>2020</v>
      </c>
      <c r="D1025" s="15" t="inlineStr">
        <is>
          <t>Anupam Rasayan India Limited</t>
        </is>
      </c>
      <c r="E1025" s="15" t="inlineStr">
        <is>
          <t>DRHP</t>
        </is>
      </c>
      <c r="F1025" s="15" t="inlineStr">
        <is>
          <t>Anupam Rasayan India Limited</t>
        </is>
      </c>
      <c r="G1025" s="15" t="inlineStr">
        <is>
          <t>IPO launched</t>
        </is>
      </c>
      <c r="H1025" s="15" t="inlineStr">
        <is>
          <t>Mainboard</t>
        </is>
      </c>
      <c r="I1025" s="16" t="n">
        <v>44267</v>
      </c>
      <c r="J1025" s="16" t="n">
        <v>44267</v>
      </c>
      <c r="K1025" s="16" t="n">
        <v>44279</v>
      </c>
      <c r="L1025" s="17" t="n">
        <v>760</v>
      </c>
      <c r="M1025" s="17" t="n">
        <v>760</v>
      </c>
      <c r="N1025" s="17" t="n">
        <v>0</v>
      </c>
      <c r="O1025" s="15" t="inlineStr">
        <is>
          <t>Final issue (ipoplatform)</t>
        </is>
      </c>
      <c r="P1025" s="15" t="n"/>
      <c r="Q1025" s="18" t="inlineStr">
        <is>
          <t>https://www.sebi.gov.in/sebi_data/attachdocs/apr-2023/1681360837560.pdf</t>
        </is>
      </c>
      <c r="R1025" s="18" t="inlineStr">
        <is>
          <t>https://www.sebi.gov.in/filings/public-issues/dec-2020/anupam-rasayan-india-limited_48559.html</t>
        </is>
      </c>
      <c r="S1025" s="15" t="n"/>
      <c r="T1025" s="15" t="inlineStr">
        <is>
          <t>SEBI filing link</t>
        </is>
      </c>
      <c r="U1025" s="15" t="inlineStr">
        <is>
          <t>Anupam Rasayan India Limited</t>
        </is>
      </c>
      <c r="V1025" s="15" t="n"/>
      <c r="W1025" s="15" t="n"/>
      <c r="X1025" s="15" t="n"/>
      <c r="Y1025" s="15" t="n"/>
      <c r="Z1025" s="15" t="n"/>
      <c r="AA1025" s="15" t="n"/>
      <c r="AB1025" s="15" t="n"/>
    </row>
    <row r="1026" ht="15" customHeight="1" s="12">
      <c r="A1026" s="14" t="n">
        <v>1025</v>
      </c>
      <c r="B1026" s="16" t="n">
        <v>44186</v>
      </c>
      <c r="C1026" s="15" t="n">
        <v>2020</v>
      </c>
      <c r="D1026" s="15" t="inlineStr">
        <is>
          <t>MTAR Technologies Limited</t>
        </is>
      </c>
      <c r="E1026" s="15" t="inlineStr">
        <is>
          <t>DRHP</t>
        </is>
      </c>
      <c r="F1026" s="15" t="inlineStr">
        <is>
          <t>MTAR Technologies Limited</t>
        </is>
      </c>
      <c r="G1026" s="15" t="inlineStr">
        <is>
          <t>IPO launched</t>
        </is>
      </c>
      <c r="H1026" s="15" t="inlineStr">
        <is>
          <t>Mainboard</t>
        </is>
      </c>
      <c r="I1026" s="16" t="n">
        <v>44258</v>
      </c>
      <c r="J1026" s="16" t="n">
        <v>44260</v>
      </c>
      <c r="K1026" s="16" t="n">
        <v>44270</v>
      </c>
      <c r="L1026" s="17" t="n">
        <v>596.41</v>
      </c>
      <c r="M1026" s="17" t="n">
        <v>123.52</v>
      </c>
      <c r="N1026" s="17" t="n">
        <v>472.89</v>
      </c>
      <c r="O1026" s="15" t="inlineStr">
        <is>
          <t>Final issue (ipoplatform)</t>
        </is>
      </c>
      <c r="P1026" s="15" t="n"/>
      <c r="Q1026" s="18" t="inlineStr">
        <is>
          <t>https://www.sebi.gov.in/sebi_data/attachdocs/may-2023/1684480191283.pdf</t>
        </is>
      </c>
      <c r="R1026" s="18" t="inlineStr">
        <is>
          <t>https://www.sebi.gov.in/filings/public-issues/dec-2020/mtar-technologies-limited_48488.html</t>
        </is>
      </c>
      <c r="S1026" s="15" t="n"/>
      <c r="T1026" s="15" t="inlineStr">
        <is>
          <t>SEBI filing link</t>
        </is>
      </c>
      <c r="U1026" s="15" t="inlineStr">
        <is>
          <t>MTAR Technologies Limited</t>
        </is>
      </c>
      <c r="V1026" s="15" t="n"/>
      <c r="W1026" s="15" t="n"/>
      <c r="X1026" s="15" t="n"/>
      <c r="Y1026" s="15" t="n"/>
      <c r="Z1026" s="15" t="n"/>
      <c r="AA1026" s="15" t="n"/>
      <c r="AB1026" s="15" t="n"/>
    </row>
    <row r="1027" ht="15" customHeight="1" s="12">
      <c r="A1027" s="14" t="n">
        <v>1026</v>
      </c>
      <c r="B1027" s="16" t="n">
        <v>44181</v>
      </c>
      <c r="C1027" s="15" t="n">
        <v>2020</v>
      </c>
      <c r="D1027" s="15" t="inlineStr">
        <is>
          <t>Craftsman Automation Limited</t>
        </is>
      </c>
      <c r="E1027" s="15" t="inlineStr">
        <is>
          <t>DRHP</t>
        </is>
      </c>
      <c r="F1027" s="15" t="inlineStr">
        <is>
          <t>Craftsman Automation Limited</t>
        </is>
      </c>
      <c r="G1027" s="15" t="inlineStr">
        <is>
          <t>IPO launched</t>
        </is>
      </c>
      <c r="H1027" s="15" t="inlineStr">
        <is>
          <t>Mainboard</t>
        </is>
      </c>
      <c r="I1027" s="16" t="n">
        <v>44270</v>
      </c>
      <c r="J1027" s="16" t="n">
        <v>44272</v>
      </c>
      <c r="K1027" s="16" t="n">
        <v>44280</v>
      </c>
      <c r="L1027" s="17" t="n">
        <v>823.7</v>
      </c>
      <c r="M1027" s="17" t="n">
        <v>150</v>
      </c>
      <c r="N1027" s="17" t="n">
        <v>673.7</v>
      </c>
      <c r="O1027" s="15" t="inlineStr">
        <is>
          <t>Final issue (ipoplatform)</t>
        </is>
      </c>
      <c r="P1027" s="15" t="n"/>
      <c r="Q1027" s="18" t="inlineStr">
        <is>
          <t>https://www.sebi.gov.in/sebi_data/attachdocs/apr-2023/1681361130856.PDF</t>
        </is>
      </c>
      <c r="R1027" s="18" t="inlineStr">
        <is>
          <t>https://www.sebi.gov.in/filings/public-issues/dec-2020/craftsman-automation-limited_48450.html</t>
        </is>
      </c>
      <c r="S1027" s="15" t="n"/>
      <c r="T1027" s="15" t="inlineStr">
        <is>
          <t>SEBI filing link</t>
        </is>
      </c>
      <c r="U1027" s="15" t="inlineStr">
        <is>
          <t>Craftsman Automation Limited</t>
        </is>
      </c>
      <c r="V1027" s="15" t="n"/>
      <c r="W1027" s="15" t="n"/>
      <c r="X1027" s="15" t="n"/>
      <c r="Y1027" s="15" t="n"/>
      <c r="Z1027" s="15" t="n"/>
      <c r="AA1027" s="15" t="n"/>
      <c r="AB1027" s="15" t="n"/>
    </row>
    <row r="1028" ht="15" customHeight="1" s="12">
      <c r="A1028" s="14" t="n">
        <v>1027</v>
      </c>
      <c r="B1028" s="16" t="n">
        <v>44180</v>
      </c>
      <c r="C1028" s="15" t="n">
        <v>2020</v>
      </c>
      <c r="D1028" s="15" t="inlineStr">
        <is>
          <t>Laxmi Organic Industries Limited</t>
        </is>
      </c>
      <c r="E1028" s="15" t="inlineStr">
        <is>
          <t>DRHP</t>
        </is>
      </c>
      <c r="F1028" s="15" t="inlineStr">
        <is>
          <t>Laxmi Organic Industries Limited - DRHP</t>
        </is>
      </c>
      <c r="G1028" s="15" t="inlineStr">
        <is>
          <t>IPO launched</t>
        </is>
      </c>
      <c r="H1028" s="15" t="inlineStr">
        <is>
          <t>Mainboard</t>
        </is>
      </c>
      <c r="I1028" s="16" t="n">
        <v>44270</v>
      </c>
      <c r="J1028" s="16" t="n">
        <v>44272</v>
      </c>
      <c r="K1028" s="16" t="n">
        <v>44280</v>
      </c>
      <c r="L1028" s="17" t="n">
        <v>600</v>
      </c>
      <c r="M1028" s="17" t="n">
        <v>300</v>
      </c>
      <c r="N1028" s="17" t="n">
        <v>300</v>
      </c>
      <c r="O1028" s="15" t="inlineStr">
        <is>
          <t>Final issue (ipoplatform)</t>
        </is>
      </c>
      <c r="P1028" s="15" t="n"/>
      <c r="Q1028" s="18" t="inlineStr">
        <is>
          <t>https://www.sebi.gov.in/sebi_data/attachdocs/apr-2023/1681361684845.pdf</t>
        </is>
      </c>
      <c r="R1028" s="18" t="inlineStr">
        <is>
          <t>https://www.sebi.gov.in/filings/public-issues/dec-2020/laxmi-organic-industries-limited-drhp_48448.html</t>
        </is>
      </c>
      <c r="S1028" s="15" t="n"/>
      <c r="T1028" s="15" t="inlineStr">
        <is>
          <t>SEBI filing link</t>
        </is>
      </c>
      <c r="U1028" s="15" t="inlineStr">
        <is>
          <t>Laxmi Organic Industries Limited</t>
        </is>
      </c>
      <c r="V1028" s="15" t="n"/>
      <c r="W1028" s="15" t="n"/>
      <c r="X1028" s="15" t="n"/>
      <c r="Y1028" s="15" t="n"/>
      <c r="Z1028" s="15" t="n"/>
      <c r="AA1028" s="15" t="n"/>
      <c r="AB1028" s="15" t="n"/>
    </row>
    <row r="1029" ht="15" customHeight="1" s="12">
      <c r="A1029" s="14" t="n">
        <v>1028</v>
      </c>
      <c r="B1029" s="16" t="n">
        <v>44166</v>
      </c>
      <c r="C1029" s="15" t="n">
        <v>2020</v>
      </c>
      <c r="D1029" s="15" t="inlineStr">
        <is>
          <t>ESAF Small Finance Bank Limited</t>
        </is>
      </c>
      <c r="E1029" s="15" t="inlineStr">
        <is>
          <t>Addendum</t>
        </is>
      </c>
      <c r="F1029" s="15" t="inlineStr">
        <is>
          <t>ESAF Small Finance Bank Limited - Addendum to DRHP</t>
        </is>
      </c>
      <c r="G1029" s="15" t="inlineStr">
        <is>
          <t>No launched IPO found</t>
        </is>
      </c>
      <c r="H1029" s="15" t="n"/>
      <c r="I1029" s="16" t="n"/>
      <c r="J1029" s="16" t="n"/>
      <c r="K1029" s="16" t="n"/>
      <c r="L1029" s="17" t="n"/>
      <c r="M1029" s="17" t="n"/>
      <c r="N1029" s="17" t="n"/>
      <c r="O1029" s="15" t="n"/>
      <c r="P1029" s="15" t="n"/>
      <c r="Q1029" s="18" t="inlineStr">
        <is>
          <t>https://www.sebi.gov.in/sebi_data/attachdocs/dec-2020/1606806251037.pdf</t>
        </is>
      </c>
      <c r="R1029" s="18" t="inlineStr">
        <is>
          <t>https://www.sebi.gov.in/filings/public-issues/dec-2020/esaf-small-finance-bank-limited-addendum-to-drhp_48320.html</t>
        </is>
      </c>
      <c r="S1029" s="15" t="n"/>
      <c r="T1029" s="15" t="n"/>
      <c r="U1029" s="15" t="n"/>
      <c r="V1029" s="15" t="inlineStr">
        <is>
          <t>Same-name IPO opened 03-Nov-2023 — outside 2 years of this filing, so not linked</t>
        </is>
      </c>
      <c r="W1029" s="19" t="n">
        <v>45233</v>
      </c>
      <c r="X1029" s="19" t="n">
        <v>45237</v>
      </c>
      <c r="Y1029" s="19" t="n">
        <v>45240</v>
      </c>
      <c r="Z1029" s="20" t="inlineStr">
        <is>
          <t>Issue opened</t>
        </is>
      </c>
      <c r="AA1029" s="15" t="inlineStr">
        <is>
          <t>Matched on chittorgarh.com</t>
        </is>
      </c>
      <c r="AB1029" s="18" t="inlineStr">
        <is>
          <t>https://www.chittorgarh.com/ipo/esaf-small-finance-bank-ipo/1553/</t>
        </is>
      </c>
    </row>
    <row r="1030" ht="15" customHeight="1" s="12">
      <c r="A1030" s="14" t="n">
        <v>1029</v>
      </c>
      <c r="B1030" s="16" t="n">
        <v>44162</v>
      </c>
      <c r="C1030" s="15" t="n">
        <v>2020</v>
      </c>
      <c r="D1030" s="15" t="inlineStr">
        <is>
          <t>Home First Finance Company India Ltd</t>
        </is>
      </c>
      <c r="E1030" s="15" t="inlineStr">
        <is>
          <t>Addendum</t>
        </is>
      </c>
      <c r="F1030" s="15" t="inlineStr">
        <is>
          <t>Home First Finance Company India Ltd. - Addendum</t>
        </is>
      </c>
      <c r="G1030" s="15" t="inlineStr">
        <is>
          <t>IPO launched</t>
        </is>
      </c>
      <c r="H1030" s="15" t="inlineStr">
        <is>
          <t>Mainboard</t>
        </is>
      </c>
      <c r="I1030" s="16" t="n">
        <v>44217</v>
      </c>
      <c r="J1030" s="16" t="n">
        <v>44221</v>
      </c>
      <c r="K1030" s="16" t="n">
        <v>44230</v>
      </c>
      <c r="L1030" s="17" t="n">
        <v>1153.72</v>
      </c>
      <c r="M1030" s="17" t="n">
        <v>265</v>
      </c>
      <c r="N1030" s="17" t="n">
        <v>888.72</v>
      </c>
      <c r="O1030" s="15" t="inlineStr">
        <is>
          <t>Final issue (ipoplatform)</t>
        </is>
      </c>
      <c r="P1030" s="15" t="n"/>
      <c r="Q1030" s="18" t="inlineStr">
        <is>
          <t>https://www.sebi.gov.in/sebi_data/attachdocs/nov-2020/1606456332643.pdf</t>
        </is>
      </c>
      <c r="R1030" s="18" t="inlineStr">
        <is>
          <t>https://www.sebi.gov.in/filings/public-issues/nov-2020/home-first-finance-company-india-ltd-addendum_48295.html</t>
        </is>
      </c>
      <c r="S1030" s="15" t="n"/>
      <c r="T1030" s="15" t="inlineStr">
        <is>
          <t>Company name + date window</t>
        </is>
      </c>
      <c r="U1030" s="15" t="inlineStr">
        <is>
          <t>Home First Finance Company India Limited</t>
        </is>
      </c>
      <c r="V1030" s="15" t="n"/>
      <c r="W1030" s="15" t="n"/>
      <c r="X1030" s="15" t="n"/>
      <c r="Y1030" s="15" t="n"/>
      <c r="Z1030" s="15" t="n"/>
      <c r="AA1030" s="15" t="n"/>
      <c r="AB1030" s="15" t="n"/>
    </row>
    <row r="1031" ht="15" customHeight="1" s="12">
      <c r="A1031" s="14" t="n">
        <v>1030</v>
      </c>
      <c r="B1031" s="16" t="n">
        <v>44156</v>
      </c>
      <c r="C1031" s="15" t="n">
        <v>2020</v>
      </c>
      <c r="D1031" s="15" t="inlineStr">
        <is>
          <t>Stove Kraft Ltd</t>
        </is>
      </c>
      <c r="E1031" s="15" t="inlineStr">
        <is>
          <t>Addendum</t>
        </is>
      </c>
      <c r="F1031" s="15" t="inlineStr">
        <is>
          <t>Stove Kraft Ltd. - Addendum to DRHP</t>
        </is>
      </c>
      <c r="G1031" s="15" t="inlineStr">
        <is>
          <t>IPO launched</t>
        </is>
      </c>
      <c r="H1031" s="15" t="inlineStr">
        <is>
          <t>Mainboard</t>
        </is>
      </c>
      <c r="I1031" s="16" t="n">
        <v>44221</v>
      </c>
      <c r="J1031" s="16" t="n">
        <v>44224</v>
      </c>
      <c r="K1031" s="16" t="n">
        <v>44232</v>
      </c>
      <c r="L1031" s="17" t="n">
        <v>412.63</v>
      </c>
      <c r="M1031" s="17" t="n">
        <v>412.63</v>
      </c>
      <c r="N1031" s="17" t="n">
        <v>0</v>
      </c>
      <c r="O1031" s="15" t="inlineStr">
        <is>
          <t>Final issue (ipoplatform)</t>
        </is>
      </c>
      <c r="P1031" s="15" t="n"/>
      <c r="Q1031" s="18" t="inlineStr">
        <is>
          <t>https://www.sebi.gov.in/sebi_data/attachdocs/nov-2020/1606125030670.pdf</t>
        </is>
      </c>
      <c r="R1031" s="18" t="inlineStr">
        <is>
          <t>https://www.sebi.gov.in/filings/public-issues/nov-2020/stove-kraft-ltd-addendum-to-drhp_48233.html</t>
        </is>
      </c>
      <c r="S1031" s="15" t="n"/>
      <c r="T1031" s="15" t="inlineStr">
        <is>
          <t>Company name + date window</t>
        </is>
      </c>
      <c r="U1031" s="15" t="inlineStr">
        <is>
          <t>Stove Kraft Limited</t>
        </is>
      </c>
      <c r="V1031" s="15" t="n"/>
      <c r="W1031" s="15" t="n"/>
      <c r="X1031" s="15" t="n"/>
      <c r="Y1031" s="15" t="n"/>
      <c r="Z1031" s="15" t="n"/>
      <c r="AA1031" s="15" t="n"/>
      <c r="AB1031" s="15" t="n"/>
    </row>
    <row r="1032" ht="15" customHeight="1" s="12">
      <c r="A1032" s="14" t="n">
        <v>1031</v>
      </c>
      <c r="B1032" s="16" t="n">
        <v>44148</v>
      </c>
      <c r="C1032" s="15" t="n">
        <v>2020</v>
      </c>
      <c r="D1032" s="15" t="inlineStr">
        <is>
          <t>Nureca Limited</t>
        </is>
      </c>
      <c r="E1032" s="15" t="inlineStr">
        <is>
          <t>DRHP</t>
        </is>
      </c>
      <c r="F1032" s="15" t="inlineStr">
        <is>
          <t>Nureca Limited</t>
        </is>
      </c>
      <c r="G1032" s="15" t="inlineStr">
        <is>
          <t>IPO launched</t>
        </is>
      </c>
      <c r="H1032" s="15" t="inlineStr">
        <is>
          <t>Mainboard</t>
        </is>
      </c>
      <c r="I1032" s="16" t="n">
        <v>44242</v>
      </c>
      <c r="J1032" s="16" t="n">
        <v>44244</v>
      </c>
      <c r="K1032" s="16" t="n">
        <v>44252</v>
      </c>
      <c r="L1032" s="17" t="n">
        <v>100</v>
      </c>
      <c r="M1032" s="17" t="n">
        <v>100</v>
      </c>
      <c r="N1032" s="17" t="n">
        <v>0</v>
      </c>
      <c r="O1032" s="15" t="inlineStr">
        <is>
          <t>Final issue (ipoplatform)</t>
        </is>
      </c>
      <c r="P1032" s="15" t="n"/>
      <c r="Q1032" s="18" t="inlineStr">
        <is>
          <t>https://www.sebi.gov.in/sebi_data/attachdocs/apr-2023/1681727502176.pdf</t>
        </is>
      </c>
      <c r="R1032" s="18" t="inlineStr">
        <is>
          <t>https://www.sebi.gov.in/filings/public-issues/nov-2020/nureca-limited_48168.html</t>
        </is>
      </c>
      <c r="S1032" s="15" t="n"/>
      <c r="T1032" s="15" t="inlineStr">
        <is>
          <t>SEBI filing link</t>
        </is>
      </c>
      <c r="U1032" s="15" t="inlineStr">
        <is>
          <t>Nureca Limited</t>
        </is>
      </c>
      <c r="V1032" s="15" t="n"/>
      <c r="W1032" s="15" t="n"/>
      <c r="X1032" s="15" t="n"/>
      <c r="Y1032" s="15" t="n"/>
      <c r="Z1032" s="15" t="n"/>
      <c r="AA1032" s="15" t="n"/>
      <c r="AB1032" s="15" t="n"/>
    </row>
    <row r="1033" ht="15" customHeight="1" s="12">
      <c r="A1033" s="14" t="n">
        <v>1032</v>
      </c>
      <c r="B1033" s="16" t="n">
        <v>44148</v>
      </c>
      <c r="C1033" s="15" t="n">
        <v>2020</v>
      </c>
      <c r="D1033" s="15" t="inlineStr">
        <is>
          <t>Indigo Paints Limited</t>
        </is>
      </c>
      <c r="E1033" s="15" t="inlineStr">
        <is>
          <t>DRHP</t>
        </is>
      </c>
      <c r="F1033" s="15" t="inlineStr">
        <is>
          <t>Indigo Paints Limited - DRHP</t>
        </is>
      </c>
      <c r="G1033" s="15" t="inlineStr">
        <is>
          <t>IPO launched</t>
        </is>
      </c>
      <c r="H1033" s="15" t="inlineStr">
        <is>
          <t>Mainboard</t>
        </is>
      </c>
      <c r="I1033" s="16" t="n">
        <v>44216</v>
      </c>
      <c r="J1033" s="16" t="n">
        <v>44218</v>
      </c>
      <c r="K1033" s="16" t="n">
        <v>44229</v>
      </c>
      <c r="L1033" s="17" t="n">
        <v>1176</v>
      </c>
      <c r="M1033" s="17" t="n">
        <v>1176</v>
      </c>
      <c r="N1033" s="17" t="n">
        <v>0</v>
      </c>
      <c r="O1033" s="15" t="inlineStr">
        <is>
          <t>Final issue (ipoplatform)</t>
        </is>
      </c>
      <c r="P1033" s="15" t="n"/>
      <c r="Q1033" s="18" t="inlineStr">
        <is>
          <t>https://www.sebi.gov.in/sebi_data/attachdocs/nov-2020/1605244575800.pdf</t>
        </is>
      </c>
      <c r="R1033" s="18" t="inlineStr">
        <is>
          <t>https://www.sebi.gov.in/filings/public-issues/nov-2020/indigo-paints-limited-drhp_48167.html</t>
        </is>
      </c>
      <c r="S1033" s="15" t="n"/>
      <c r="T1033" s="15" t="inlineStr">
        <is>
          <t>SEBI filing link</t>
        </is>
      </c>
      <c r="U1033" s="15" t="inlineStr">
        <is>
          <t>Indigo Paints Limited</t>
        </is>
      </c>
      <c r="V1033" s="15" t="n"/>
      <c r="W1033" s="15" t="n"/>
      <c r="X1033" s="15" t="n"/>
      <c r="Y1033" s="15" t="n"/>
      <c r="Z1033" s="15" t="n"/>
      <c r="AA1033" s="15" t="n"/>
      <c r="AB1033" s="15" t="n"/>
    </row>
    <row r="1034" ht="15" customHeight="1" s="12">
      <c r="A1034" s="14" t="n">
        <v>1033</v>
      </c>
      <c r="B1034" s="16" t="n">
        <v>44126</v>
      </c>
      <c r="C1034" s="15" t="n">
        <v>2020</v>
      </c>
      <c r="D1034" s="15" t="inlineStr">
        <is>
          <t>Burger King India Ltd</t>
        </is>
      </c>
      <c r="E1034" s="15" t="inlineStr">
        <is>
          <t>Addendum</t>
        </is>
      </c>
      <c r="F1034" s="15" t="inlineStr">
        <is>
          <t>Burger King India Ltd. - Addendum to DRHP</t>
        </is>
      </c>
      <c r="G1034" s="15" t="inlineStr">
        <is>
          <t>IPO launched</t>
        </is>
      </c>
      <c r="H1034" s="15" t="inlineStr">
        <is>
          <t>Mainboard</t>
        </is>
      </c>
      <c r="I1034" s="16" t="n">
        <v>44167</v>
      </c>
      <c r="J1034" s="16" t="n">
        <v>44169</v>
      </c>
      <c r="K1034" s="16" t="n">
        <v>44179</v>
      </c>
      <c r="L1034" s="17" t="n">
        <v>810</v>
      </c>
      <c r="M1034" s="17" t="n">
        <v>450</v>
      </c>
      <c r="N1034" s="17" t="n">
        <v>360</v>
      </c>
      <c r="O1034" s="15" t="inlineStr">
        <is>
          <t>Final issue (ipoplatform)</t>
        </is>
      </c>
      <c r="P1034" s="15" t="n"/>
      <c r="Q1034" s="18" t="inlineStr">
        <is>
          <t>https://www.sebi.gov.in/sebi_data/attachdocs/oct-2020/1603351828724.pdf</t>
        </is>
      </c>
      <c r="R1034" s="18" t="inlineStr">
        <is>
          <t>https://www.sebi.gov.in/filings/public-issues/oct-2020/burger-king-india-ltd-addendum-to-drhp_47935.html</t>
        </is>
      </c>
      <c r="S1034" s="15" t="n"/>
      <c r="T1034" s="15" t="inlineStr">
        <is>
          <t>Company name + date window</t>
        </is>
      </c>
      <c r="U1034" s="15" t="inlineStr">
        <is>
          <t>Burger King India Limited</t>
        </is>
      </c>
      <c r="V1034" s="15" t="n"/>
      <c r="W1034" s="15" t="n"/>
      <c r="X1034" s="15" t="n"/>
      <c r="Y1034" s="15" t="n"/>
      <c r="Z1034" s="15" t="n"/>
      <c r="AA1034" s="15" t="n"/>
      <c r="AB1034" s="15" t="n"/>
    </row>
    <row r="1035" ht="15" customHeight="1" s="12">
      <c r="A1035" s="14" t="n">
        <v>1034</v>
      </c>
      <c r="B1035" s="16" t="n">
        <v>44124</v>
      </c>
      <c r="C1035" s="15" t="n">
        <v>2020</v>
      </c>
      <c r="D1035" s="15" t="inlineStr">
        <is>
          <t>Mrs. Bectors Food Specialities Limited</t>
        </is>
      </c>
      <c r="E1035" s="15" t="inlineStr">
        <is>
          <t>DRHP</t>
        </is>
      </c>
      <c r="F1035" s="15" t="inlineStr">
        <is>
          <t>Mrs. Bectors Food Specialities Limited - DRHP</t>
        </is>
      </c>
      <c r="G1035" s="15" t="inlineStr">
        <is>
          <t>IPO launched</t>
        </is>
      </c>
      <c r="H1035" s="15" t="inlineStr">
        <is>
          <t>Mainboard</t>
        </is>
      </c>
      <c r="I1035" s="16" t="n">
        <v>44180</v>
      </c>
      <c r="J1035" s="16" t="n">
        <v>44182</v>
      </c>
      <c r="K1035" s="16" t="n">
        <v>44189</v>
      </c>
      <c r="L1035" s="17" t="n">
        <v>540.54</v>
      </c>
      <c r="M1035" s="17" t="n">
        <v>40.54</v>
      </c>
      <c r="N1035" s="17" t="n">
        <v>500</v>
      </c>
      <c r="O1035" s="15" t="inlineStr">
        <is>
          <t>Final issue (ipoplatform)</t>
        </is>
      </c>
      <c r="P1035" s="15" t="n"/>
      <c r="Q1035" s="18" t="inlineStr">
        <is>
          <t>https://www.sebi.gov.in/sebi_data/attachdocs/apr-2023/1681729763578.pdf</t>
        </is>
      </c>
      <c r="R1035" s="18" t="inlineStr">
        <is>
          <t>https://www.sebi.gov.in/filings/public-issues/oct-2020/mrs-bectors-food-specialities-limited-drhp_47901.html</t>
        </is>
      </c>
      <c r="S1035" s="15" t="n"/>
      <c r="T1035" s="15" t="inlineStr">
        <is>
          <t>SEBI filing link</t>
        </is>
      </c>
      <c r="U1035" s="15" t="inlineStr">
        <is>
          <t>Mrs. Bectors Food Specialities Limited</t>
        </is>
      </c>
      <c r="V1035" s="15" t="n"/>
      <c r="W1035" s="15" t="n"/>
      <c r="X1035" s="15" t="n"/>
      <c r="Y1035" s="15" t="n"/>
      <c r="Z1035" s="15" t="n"/>
      <c r="AA1035" s="15" t="n"/>
      <c r="AB1035" s="15" t="n"/>
    </row>
    <row r="1036" ht="15" customHeight="1" s="12">
      <c r="A1036" s="14" t="n">
        <v>1035</v>
      </c>
      <c r="B1036" s="16" t="n">
        <v>44105</v>
      </c>
      <c r="C1036" s="15" t="n">
        <v>2020</v>
      </c>
      <c r="D1036" s="15" t="inlineStr">
        <is>
          <t>Suryoday Small Finance Bank Limited</t>
        </is>
      </c>
      <c r="E1036" s="15" t="inlineStr">
        <is>
          <t>DRHP</t>
        </is>
      </c>
      <c r="F1036" s="15" t="inlineStr">
        <is>
          <t>Suryoday Small Finance Bank Limited</t>
        </is>
      </c>
      <c r="G1036" s="15" t="inlineStr">
        <is>
          <t>IPO launched</t>
        </is>
      </c>
      <c r="H1036" s="15" t="inlineStr">
        <is>
          <t>Mainboard</t>
        </is>
      </c>
      <c r="I1036" s="16" t="n">
        <v>44272</v>
      </c>
      <c r="J1036" s="16" t="n">
        <v>44274</v>
      </c>
      <c r="K1036" s="16" t="n">
        <v>44281</v>
      </c>
      <c r="L1036" s="17" t="n">
        <v>582.34</v>
      </c>
      <c r="M1036" s="17" t="n">
        <v>248.58</v>
      </c>
      <c r="N1036" s="17" t="n">
        <v>333.76</v>
      </c>
      <c r="O1036" s="15" t="inlineStr">
        <is>
          <t>Final issue (ipoplatform)</t>
        </is>
      </c>
      <c r="P1036" s="15" t="n"/>
      <c r="Q1036" s="18" t="inlineStr">
        <is>
          <t>https://www.sebi.gov.in/sebi_data/attachdocs/apr-2023/1681362096079.pdf</t>
        </is>
      </c>
      <c r="R1036" s="18" t="inlineStr">
        <is>
          <t>https://www.sebi.gov.in/filings/public-issues/oct-2020/suryoday-small-finance-bank-limited_47774.html</t>
        </is>
      </c>
      <c r="S1036" s="15" t="n"/>
      <c r="T1036" s="15" t="inlineStr">
        <is>
          <t>SEBI filing link</t>
        </is>
      </c>
      <c r="U1036" s="15" t="inlineStr">
        <is>
          <t>Suryoday Small Finance Bank Limited</t>
        </is>
      </c>
      <c r="V1036" s="15" t="n"/>
      <c r="W1036" s="15" t="n"/>
      <c r="X1036" s="15" t="n"/>
      <c r="Y1036" s="15" t="n"/>
      <c r="Z1036" s="15" t="n"/>
      <c r="AA1036" s="15" t="n"/>
      <c r="AB1036" s="15" t="n"/>
    </row>
    <row r="1037" ht="15" customHeight="1" s="12">
      <c r="A1037" s="14" t="n">
        <v>1036</v>
      </c>
      <c r="B1037" s="16" t="n">
        <v>44103</v>
      </c>
      <c r="C1037" s="15" t="n">
        <v>2020</v>
      </c>
      <c r="D1037" s="15" t="inlineStr">
        <is>
          <t>RailTel Corporation of India Limited</t>
        </is>
      </c>
      <c r="E1037" s="15" t="inlineStr">
        <is>
          <t>DRHP</t>
        </is>
      </c>
      <c r="F1037" s="15" t="inlineStr">
        <is>
          <t>RailTel Corporation of India Limited - Draft Red Herring Prospectus</t>
        </is>
      </c>
      <c r="G1037" s="15" t="inlineStr">
        <is>
          <t>IPO launched</t>
        </is>
      </c>
      <c r="H1037" s="15" t="inlineStr">
        <is>
          <t>Mainboard</t>
        </is>
      </c>
      <c r="I1037" s="16" t="n">
        <v>44243</v>
      </c>
      <c r="J1037" s="16" t="n">
        <v>44245</v>
      </c>
      <c r="K1037" s="16" t="n">
        <v>44253</v>
      </c>
      <c r="L1037" s="17" t="n">
        <v>819.24</v>
      </c>
      <c r="M1037" s="17" t="n">
        <v>819.24</v>
      </c>
      <c r="N1037" s="17" t="n">
        <v>0</v>
      </c>
      <c r="O1037" s="15" t="inlineStr">
        <is>
          <t>Final issue (ipoplatform)</t>
        </is>
      </c>
      <c r="P1037" s="15" t="n"/>
      <c r="Q1037" s="18" t="inlineStr">
        <is>
          <t>https://www.sebi.gov.in/sebi_data/attachdocs/oct-2020/1601887225837.pdf</t>
        </is>
      </c>
      <c r="R1037" s="18" t="inlineStr">
        <is>
          <t>https://www.sebi.gov.in/filings/public-issues/sep-2020/railtel-corporation-of-india-limited-draft-red-herring-prospectus_47788.html</t>
        </is>
      </c>
      <c r="S1037" s="15" t="n"/>
      <c r="T1037" s="15" t="inlineStr">
        <is>
          <t>SEBI filing link</t>
        </is>
      </c>
      <c r="U1037" s="15" t="inlineStr">
        <is>
          <t>RailTel Corporation of India Limited</t>
        </is>
      </c>
      <c r="V1037" s="15" t="n"/>
      <c r="W1037" s="15" t="n"/>
      <c r="X1037" s="15" t="n"/>
      <c r="Y1037" s="15" t="n"/>
      <c r="Z1037" s="15" t="n"/>
      <c r="AA1037" s="15" t="n"/>
      <c r="AB1037" s="15" t="n"/>
    </row>
    <row r="1038" ht="15" customHeight="1" s="12">
      <c r="A1038" s="14" t="n">
        <v>1037</v>
      </c>
      <c r="B1038" s="16" t="n">
        <v>44103</v>
      </c>
      <c r="C1038" s="15" t="n">
        <v>2020</v>
      </c>
      <c r="D1038" s="15" t="inlineStr">
        <is>
          <t>Antony Waste Handling Cell Ltd</t>
        </is>
      </c>
      <c r="E1038" s="15" t="inlineStr">
        <is>
          <t>DRHP</t>
        </is>
      </c>
      <c r="F1038" s="15" t="inlineStr">
        <is>
          <t>Antony Waste Handling Cell Ltd.</t>
        </is>
      </c>
      <c r="G1038" s="15" t="inlineStr">
        <is>
          <t>IPO launched</t>
        </is>
      </c>
      <c r="H1038" s="15" t="inlineStr">
        <is>
          <t>Mainboard</t>
        </is>
      </c>
      <c r="I1038" s="16" t="n">
        <v>44186</v>
      </c>
      <c r="J1038" s="16" t="n">
        <v>44188</v>
      </c>
      <c r="K1038" s="16" t="n">
        <v>44197</v>
      </c>
      <c r="L1038" s="17" t="n">
        <v>300</v>
      </c>
      <c r="M1038" s="17" t="n">
        <v>215</v>
      </c>
      <c r="N1038" s="17" t="n">
        <v>85</v>
      </c>
      <c r="O1038" s="15" t="inlineStr">
        <is>
          <t>Final issue (ipoplatform)</t>
        </is>
      </c>
      <c r="P1038" s="15" t="n"/>
      <c r="Q1038" s="18" t="inlineStr">
        <is>
          <t>https://www.sebi.gov.in/sebi_data/attachdocs/apr-2023/1681707416612.pdf</t>
        </is>
      </c>
      <c r="R1038" s="18" t="inlineStr">
        <is>
          <t>https://www.sebi.gov.in/filings/public-issues/sep-2020/antony-waste-handling-cell-ltd-_47784.html</t>
        </is>
      </c>
      <c r="S1038" s="15" t="n"/>
      <c r="T1038" s="15" t="inlineStr">
        <is>
          <t>SEBI filing link</t>
        </is>
      </c>
      <c r="U1038" s="15" t="inlineStr">
        <is>
          <t>Antony Waste Handling Cell Limited</t>
        </is>
      </c>
      <c r="V1038" s="15" t="n"/>
      <c r="W1038" s="15" t="n"/>
      <c r="X1038" s="15" t="n"/>
      <c r="Y1038" s="15" t="n"/>
      <c r="Z1038" s="15" t="n"/>
      <c r="AA1038" s="15" t="n"/>
      <c r="AB1038" s="15" t="n"/>
    </row>
    <row r="1039" ht="15" customHeight="1" s="12">
      <c r="A1039" s="14" t="n">
        <v>1038</v>
      </c>
      <c r="B1039" s="16" t="n">
        <v>44103</v>
      </c>
      <c r="C1039" s="15" t="n">
        <v>2020</v>
      </c>
      <c r="D1039" s="15" t="inlineStr">
        <is>
          <t>Heranba Industries Limited</t>
        </is>
      </c>
      <c r="E1039" s="15" t="inlineStr">
        <is>
          <t>DRHP</t>
        </is>
      </c>
      <c r="F1039" s="15" t="inlineStr">
        <is>
          <t>Heranba Industries Limited</t>
        </is>
      </c>
      <c r="G1039" s="15" t="inlineStr">
        <is>
          <t>IPO launched</t>
        </is>
      </c>
      <c r="H1039" s="15" t="inlineStr">
        <is>
          <t>Mainboard</t>
        </is>
      </c>
      <c r="I1039" s="16" t="n">
        <v>44250</v>
      </c>
      <c r="J1039" s="16" t="n">
        <v>44252</v>
      </c>
      <c r="K1039" s="16" t="n">
        <v>44260</v>
      </c>
      <c r="L1039" s="17" t="n">
        <v>625.24</v>
      </c>
      <c r="M1039" s="17" t="n">
        <v>625.24</v>
      </c>
      <c r="N1039" s="17" t="n">
        <v>0</v>
      </c>
      <c r="O1039" s="15" t="inlineStr">
        <is>
          <t>Final issue (ipoplatform)</t>
        </is>
      </c>
      <c r="P1039" s="15" t="n"/>
      <c r="Q1039" s="18" t="inlineStr">
        <is>
          <t>https://www.sebi.gov.in/sebi_data/attachdocs/oct-2020/1601561683347.pdf</t>
        </is>
      </c>
      <c r="R1039" s="18" t="inlineStr">
        <is>
          <t>https://www.sebi.gov.in/filings/public-issues/sep-2020/heranba-industries-limited_47782.html</t>
        </is>
      </c>
      <c r="S1039" s="15" t="n"/>
      <c r="T1039" s="15" t="inlineStr">
        <is>
          <t>SEBI filing link</t>
        </is>
      </c>
      <c r="U1039" s="15" t="inlineStr">
        <is>
          <t>Heranba Industries Limited</t>
        </is>
      </c>
      <c r="V1039" s="15" t="n"/>
      <c r="W1039" s="15" t="n"/>
      <c r="X1039" s="15" t="n"/>
      <c r="Y1039" s="15" t="n"/>
      <c r="Z1039" s="15" t="n"/>
      <c r="AA1039" s="15" t="n"/>
      <c r="AB1039" s="15" t="n"/>
    </row>
    <row r="1040" ht="15" customHeight="1" s="12">
      <c r="A1040" s="14" t="n">
        <v>1039</v>
      </c>
      <c r="B1040" s="16" t="n">
        <v>44102</v>
      </c>
      <c r="C1040" s="15" t="n">
        <v>2020</v>
      </c>
      <c r="D1040" s="15" t="inlineStr">
        <is>
          <t>Sigachi Industries Limited</t>
        </is>
      </c>
      <c r="E1040" s="15" t="inlineStr">
        <is>
          <t>DRHP</t>
        </is>
      </c>
      <c r="F1040" s="15" t="inlineStr">
        <is>
          <t>Sigachi Industries Limited</t>
        </is>
      </c>
      <c r="G1040" s="15" t="inlineStr">
        <is>
          <t>IPO launched</t>
        </is>
      </c>
      <c r="H1040" s="15" t="inlineStr">
        <is>
          <t>Mainboard</t>
        </is>
      </c>
      <c r="I1040" s="16" t="n">
        <v>44501</v>
      </c>
      <c r="J1040" s="16" t="n">
        <v>44503</v>
      </c>
      <c r="K1040" s="16" t="n">
        <v>44515</v>
      </c>
      <c r="L1040" s="17" t="n">
        <v>125.43</v>
      </c>
      <c r="M1040" s="17" t="n">
        <v>125.43</v>
      </c>
      <c r="N1040" s="17" t="n">
        <v>0</v>
      </c>
      <c r="O1040" s="15" t="inlineStr">
        <is>
          <t>Final issue (ipoplatform)</t>
        </is>
      </c>
      <c r="P1040" s="15" t="n"/>
      <c r="Q1040" s="18" t="inlineStr">
        <is>
          <t>https://www.sebi.gov.in/sebi_data/attachdocs/sep-2020/1601287570698.pdf</t>
        </is>
      </c>
      <c r="R1040" s="18" t="inlineStr">
        <is>
          <t>https://www.sebi.gov.in/filings/public-issues/sep-2020/sigachi-industries-limited_47691.html</t>
        </is>
      </c>
      <c r="S1040" s="15" t="n"/>
      <c r="T1040" s="15" t="inlineStr">
        <is>
          <t>SEBI filing link</t>
        </is>
      </c>
      <c r="U1040" s="15" t="inlineStr">
        <is>
          <t>Sigachi Industries Limited</t>
        </is>
      </c>
      <c r="V1040" s="15" t="n"/>
      <c r="W1040" s="15" t="n"/>
      <c r="X1040" s="15" t="n"/>
      <c r="Y1040" s="15" t="n"/>
      <c r="Z1040" s="15" t="n"/>
      <c r="AA1040" s="15" t="n"/>
      <c r="AB1040" s="15" t="n"/>
    </row>
    <row r="1041" ht="15" customHeight="1" s="12">
      <c r="A1041" s="14" t="n">
        <v>1040</v>
      </c>
      <c r="B1041" s="16" t="n">
        <v>44099</v>
      </c>
      <c r="C1041" s="15" t="n">
        <v>2020</v>
      </c>
      <c r="D1041" s="15" t="inlineStr">
        <is>
          <t>Equitas Small Finance Bank</t>
        </is>
      </c>
      <c r="E1041" s="15" t="inlineStr">
        <is>
          <t>Addendum</t>
        </is>
      </c>
      <c r="F1041" s="15" t="inlineStr">
        <is>
          <t>Equitas Small Finance Bank - Addendum to DRHP</t>
        </is>
      </c>
      <c r="G1041" s="15" t="inlineStr">
        <is>
          <t>IPO launched</t>
        </is>
      </c>
      <c r="H1041" s="15" t="inlineStr">
        <is>
          <t>Mainboard</t>
        </is>
      </c>
      <c r="I1041" s="16" t="n">
        <v>44124</v>
      </c>
      <c r="J1041" s="16" t="n">
        <v>44126</v>
      </c>
      <c r="K1041" s="16" t="n">
        <v>44137</v>
      </c>
      <c r="L1041" s="17" t="n">
        <v>517.6</v>
      </c>
      <c r="M1041" s="17" t="n">
        <v>517.6</v>
      </c>
      <c r="N1041" s="17" t="n">
        <v>0</v>
      </c>
      <c r="O1041" s="15" t="inlineStr">
        <is>
          <t>Final issue (ipoplatform)</t>
        </is>
      </c>
      <c r="P1041" s="15" t="n"/>
      <c r="Q1041" s="18" t="inlineStr">
        <is>
          <t>https://www.sebi.gov.in/sebi_data/attachdocs/sep-2020/1601009157778.pdf</t>
        </is>
      </c>
      <c r="R1041" s="18" t="inlineStr">
        <is>
          <t>https://www.sebi.gov.in/filings/public-issues/sep-2020/equitas-small-finance-bank-addendum-to-drhp_47659.html</t>
        </is>
      </c>
      <c r="S1041" s="15" t="n"/>
      <c r="T1041" s="15" t="inlineStr">
        <is>
          <t>Company name + date window</t>
        </is>
      </c>
      <c r="U1041" s="15" t="inlineStr">
        <is>
          <t>Equitas Small Finance Bank Limited</t>
        </is>
      </c>
      <c r="V1041" s="15" t="n"/>
      <c r="W1041" s="15" t="n"/>
      <c r="X1041" s="15" t="n"/>
      <c r="Y1041" s="15" t="n"/>
      <c r="Z1041" s="15" t="n"/>
      <c r="AA1041" s="15" t="n"/>
      <c r="AB1041" s="15" t="n"/>
    </row>
    <row r="1042" ht="15" customHeight="1" s="12">
      <c r="A1042" s="14" t="n">
        <v>1041</v>
      </c>
      <c r="B1042" s="16" t="n">
        <v>44081</v>
      </c>
      <c r="C1042" s="15" t="n">
        <v>2020</v>
      </c>
      <c r="D1042" s="15" t="inlineStr">
        <is>
          <t>Mazagon Dock Shipbuilders Limited</t>
        </is>
      </c>
      <c r="E1042" s="15" t="inlineStr">
        <is>
          <t>Addendum</t>
        </is>
      </c>
      <c r="F1042" s="15" t="inlineStr">
        <is>
          <t>Mazagon Dock Shipbuilders Limited - Addendum to the DRHP</t>
        </is>
      </c>
      <c r="G1042" s="15" t="inlineStr">
        <is>
          <t>IPO launched</t>
        </is>
      </c>
      <c r="H1042" s="15" t="inlineStr">
        <is>
          <t>Mainboard</t>
        </is>
      </c>
      <c r="I1042" s="16" t="n">
        <v>44103</v>
      </c>
      <c r="J1042" s="16" t="n">
        <v>44105</v>
      </c>
      <c r="K1042" s="16" t="n">
        <v>44116</v>
      </c>
      <c r="L1042" s="17" t="n">
        <v>443.69</v>
      </c>
      <c r="M1042" s="17" t="n">
        <v>443.69</v>
      </c>
      <c r="N1042" s="17" t="n">
        <v>0</v>
      </c>
      <c r="O1042" s="15" t="inlineStr">
        <is>
          <t>Final issue (ipoplatform)</t>
        </is>
      </c>
      <c r="P1042" s="15" t="n"/>
      <c r="Q1042" s="18" t="inlineStr">
        <is>
          <t>https://www.sebi.gov.in/sebi_data/attachdocs/sep-2020/1599454014113.pdf</t>
        </is>
      </c>
      <c r="R1042" s="18" t="inlineStr">
        <is>
          <t>https://www.sebi.gov.in/filings/public-issues/sep-2020/mazagon-dock-shipbuilders-limited-addendum-to-the-drhp_47497.html</t>
        </is>
      </c>
      <c r="S1042" s="15" t="n"/>
      <c r="T1042" s="15" t="inlineStr">
        <is>
          <t>Company name + date window</t>
        </is>
      </c>
      <c r="U1042" s="15" t="inlineStr">
        <is>
          <t>Mazagon Dock Shipbuilders Limited</t>
        </is>
      </c>
      <c r="V1042" s="15" t="n"/>
      <c r="W1042" s="15" t="n"/>
      <c r="X1042" s="15" t="n"/>
      <c r="Y1042" s="15" t="n"/>
      <c r="Z1042" s="15" t="n"/>
      <c r="AA1042" s="15" t="n"/>
      <c r="AB1042" s="15" t="n"/>
    </row>
    <row r="1043" ht="15" customHeight="1" s="12">
      <c r="A1043" s="14" t="n">
        <v>1042</v>
      </c>
      <c r="B1043" s="16" t="n">
        <v>44068</v>
      </c>
      <c r="C1043" s="15" t="n">
        <v>2020</v>
      </c>
      <c r="D1043" s="15" t="inlineStr">
        <is>
          <t>Kalyan Jewellers India Limited</t>
        </is>
      </c>
      <c r="E1043" s="15" t="inlineStr">
        <is>
          <t>DRHP</t>
        </is>
      </c>
      <c r="F1043" s="15" t="inlineStr">
        <is>
          <t>Kalyan Jewellers India Limited</t>
        </is>
      </c>
      <c r="G1043" s="15" t="inlineStr">
        <is>
          <t>IPO launched</t>
        </is>
      </c>
      <c r="H1043" s="15" t="inlineStr">
        <is>
          <t>Mainboard</t>
        </is>
      </c>
      <c r="I1043" s="16" t="n">
        <v>44271</v>
      </c>
      <c r="J1043" s="16" t="n">
        <v>44273</v>
      </c>
      <c r="K1043" s="16" t="n">
        <v>44281</v>
      </c>
      <c r="L1043" s="17" t="n">
        <v>1175</v>
      </c>
      <c r="M1043" s="17" t="n">
        <v>800</v>
      </c>
      <c r="N1043" s="17" t="n">
        <v>375</v>
      </c>
      <c r="O1043" s="15" t="inlineStr">
        <is>
          <t>Final issue (ipoplatform)</t>
        </is>
      </c>
      <c r="P1043" s="15" t="n"/>
      <c r="Q1043" s="18" t="inlineStr">
        <is>
          <t>https://www.sebi.gov.in/sebi_data/attachdocs/apr-2023/1681362731759.pdf</t>
        </is>
      </c>
      <c r="R1043" s="18" t="inlineStr">
        <is>
          <t>https://www.sebi.gov.in/filings/public-issues/aug-2020/kalyan-jewellers-india-limited_47390.html</t>
        </is>
      </c>
      <c r="S1043" s="15" t="n"/>
      <c r="T1043" s="15" t="inlineStr">
        <is>
          <t>SEBI filing link</t>
        </is>
      </c>
      <c r="U1043" s="15" t="inlineStr">
        <is>
          <t>Kalyan Jewellers India Limited</t>
        </is>
      </c>
      <c r="V1043" s="15" t="n"/>
      <c r="W1043" s="15" t="n"/>
      <c r="X1043" s="15" t="n"/>
      <c r="Y1043" s="15" t="n"/>
      <c r="Z1043" s="15" t="n"/>
      <c r="AA1043" s="15" t="n"/>
      <c r="AB1043" s="15" t="n"/>
    </row>
    <row r="1044" ht="15" customHeight="1" s="12">
      <c r="A1044" s="14" t="n">
        <v>1043</v>
      </c>
      <c r="B1044" s="16" t="n">
        <v>44022</v>
      </c>
      <c r="C1044" s="15" t="n">
        <v>2020</v>
      </c>
      <c r="D1044" s="15" t="inlineStr">
        <is>
          <t>Gland Pharma Limited</t>
        </is>
      </c>
      <c r="E1044" s="15" t="inlineStr">
        <is>
          <t>DRHP</t>
        </is>
      </c>
      <c r="F1044" s="15" t="inlineStr">
        <is>
          <t>Gland Pharma Limited</t>
        </is>
      </c>
      <c r="G1044" s="15" t="inlineStr">
        <is>
          <t>IPO launched</t>
        </is>
      </c>
      <c r="H1044" s="15" t="inlineStr">
        <is>
          <t>Mainboard</t>
        </is>
      </c>
      <c r="I1044" s="16" t="n">
        <v>44144</v>
      </c>
      <c r="J1044" s="16" t="n">
        <v>44146</v>
      </c>
      <c r="K1044" s="16" t="n">
        <v>44155</v>
      </c>
      <c r="L1044" s="17" t="n">
        <v>6479.55</v>
      </c>
      <c r="M1044" s="17" t="n">
        <v>1250</v>
      </c>
      <c r="N1044" s="17" t="n">
        <v>5229.55</v>
      </c>
      <c r="O1044" s="15" t="inlineStr">
        <is>
          <t>Final issue (ipoplatform)</t>
        </is>
      </c>
      <c r="P1044" s="15" t="n"/>
      <c r="Q1044" s="18" t="inlineStr">
        <is>
          <t>https://www.sebi.gov.in/sebi_data/attachdocs/jul-2020/1594448799112.pdf</t>
        </is>
      </c>
      <c r="R1044" s="18" t="inlineStr">
        <is>
          <t>https://www.sebi.gov.in/filings/public-issues/jul-2020/gland-pharma-limited_47048.html</t>
        </is>
      </c>
      <c r="S1044" s="15" t="n"/>
      <c r="T1044" s="15" t="inlineStr">
        <is>
          <t>SEBI filing link</t>
        </is>
      </c>
      <c r="U1044" s="15" t="inlineStr">
        <is>
          <t>Gland Pharma Limited</t>
        </is>
      </c>
      <c r="V1044" s="15" t="n"/>
      <c r="W1044" s="15" t="n"/>
      <c r="X1044" s="15" t="n"/>
      <c r="Y1044" s="15" t="n"/>
      <c r="Z1044" s="15" t="n"/>
      <c r="AA1044" s="15" t="n"/>
      <c r="AB1044" s="15" t="n"/>
    </row>
    <row r="1045" ht="15" customHeight="1" s="12">
      <c r="A1045" s="14" t="n">
        <v>1044</v>
      </c>
      <c r="B1045" s="16" t="n">
        <v>43992</v>
      </c>
      <c r="C1045" s="15" t="n">
        <v>2020</v>
      </c>
      <c r="D1045" s="15" t="inlineStr">
        <is>
          <t>Happiest Minds Technologies Limited</t>
        </is>
      </c>
      <c r="E1045" s="15" t="inlineStr">
        <is>
          <t>DRHP</t>
        </is>
      </c>
      <c r="F1045" s="15" t="inlineStr">
        <is>
          <t>Happiest Minds Technologies Limited</t>
        </is>
      </c>
      <c r="G1045" s="15" t="inlineStr">
        <is>
          <t>IPO launched</t>
        </is>
      </c>
      <c r="H1045" s="15" t="inlineStr">
        <is>
          <t>Mainboard</t>
        </is>
      </c>
      <c r="I1045" s="16" t="n">
        <v>44081</v>
      </c>
      <c r="J1045" s="16" t="n">
        <v>44083</v>
      </c>
      <c r="K1045" s="16" t="n">
        <v>44091</v>
      </c>
      <c r="L1045" s="17" t="n">
        <v>702.02</v>
      </c>
      <c r="M1045" s="17" t="n">
        <v>110</v>
      </c>
      <c r="N1045" s="17" t="n">
        <v>592.02</v>
      </c>
      <c r="O1045" s="15" t="inlineStr">
        <is>
          <t>Final issue (ipoplatform)</t>
        </is>
      </c>
      <c r="P1045" s="15" t="n"/>
      <c r="Q1045" s="18" t="inlineStr">
        <is>
          <t>https://www.sebi.gov.in/sebi_data/attachdocs/may-2023/1684485212884.pdf</t>
        </is>
      </c>
      <c r="R1045" s="18" t="inlineStr">
        <is>
          <t>https://www.sebi.gov.in/filings/public-issues/jun-2020/happiest-minds-technologies-limited_46843.html</t>
        </is>
      </c>
      <c r="S1045" s="15" t="n"/>
      <c r="T1045" s="15" t="inlineStr">
        <is>
          <t>SEBI filing link</t>
        </is>
      </c>
      <c r="U1045" s="15" t="inlineStr">
        <is>
          <t>Happiest Minds Technologies Limited</t>
        </is>
      </c>
      <c r="V1045" s="15" t="n"/>
      <c r="W1045" s="15" t="n"/>
      <c r="X1045" s="15" t="n"/>
      <c r="Y1045" s="15" t="n"/>
      <c r="Z1045" s="15" t="n"/>
      <c r="AA1045" s="15" t="n"/>
      <c r="AB1045" s="15" t="n"/>
    </row>
    <row r="1046" ht="15" customHeight="1" s="12">
      <c r="A1046" s="14" t="n">
        <v>1045</v>
      </c>
      <c r="B1046" s="16" t="n">
        <v>43984</v>
      </c>
      <c r="C1046" s="15" t="n">
        <v>2020</v>
      </c>
      <c r="D1046" s="15" t="inlineStr">
        <is>
          <t>Jaikumar Constructions Ltd</t>
        </is>
      </c>
      <c r="E1046" s="15" t="inlineStr">
        <is>
          <t>DRHP</t>
        </is>
      </c>
      <c r="F1046" s="15" t="inlineStr">
        <is>
          <t>Jaikumar Constructions Ltd. - DRHP</t>
        </is>
      </c>
      <c r="G1046" s="15" t="inlineStr">
        <is>
          <t>No launched IPO found</t>
        </is>
      </c>
      <c r="H1046" s="15" t="n"/>
      <c r="I1046" s="16" t="n"/>
      <c r="J1046" s="16" t="n"/>
      <c r="K1046" s="16" t="n"/>
      <c r="L1046" s="17" t="n"/>
      <c r="M1046" s="17" t="n"/>
      <c r="N1046" s="17" t="n"/>
      <c r="O1046" s="15" t="n"/>
      <c r="P1046" s="15" t="n"/>
      <c r="Q1046" s="18" t="inlineStr">
        <is>
          <t>https://www.sebi.gov.in/sebi_data/attachdocs/jun-2020/1591341524067.pdf</t>
        </is>
      </c>
      <c r="R1046" s="18" t="inlineStr">
        <is>
          <t>https://www.sebi.gov.in/filings/public-issues/jun-2020/jaikumar-constructions-ltd-drhp_46774.html</t>
        </is>
      </c>
      <c r="S1046" s="15" t="n"/>
      <c r="T1046" s="15" t="n"/>
      <c r="U1046" s="15" t="n"/>
      <c r="V1046" s="15" t="n"/>
      <c r="W1046" s="16" t="n"/>
      <c r="X1046" s="16" t="n"/>
      <c r="Y1046" s="16" t="n"/>
      <c r="Z1046" s="15" t="inlineStr">
        <is>
          <t>No issue found</t>
        </is>
      </c>
      <c r="AA1046" s="15" t="inlineStr">
        <is>
          <t>Dates not announced; listed only as upcoming.</t>
        </is>
      </c>
      <c r="AB1046" s="18" t="inlineStr">
        <is>
          <t>https://www.5paisa.com/ipo/jaikumar-constructions-ltd-ipo</t>
        </is>
      </c>
    </row>
    <row r="1047" ht="15" customHeight="1" s="12">
      <c r="A1047" s="14" t="n">
        <v>1046</v>
      </c>
      <c r="B1047" s="16" t="n">
        <v>43955</v>
      </c>
      <c r="C1047" s="15" t="n">
        <v>2020</v>
      </c>
      <c r="D1047" s="15" t="inlineStr">
        <is>
          <t>KSOLVES INDIA LIMITED</t>
        </is>
      </c>
      <c r="E1047" s="15" t="inlineStr">
        <is>
          <t>DRHP</t>
        </is>
      </c>
      <c r="F1047" s="15" t="inlineStr">
        <is>
          <t>KSOLVES INDIA LIMITED</t>
        </is>
      </c>
      <c r="G1047" s="15" t="inlineStr">
        <is>
          <t>IPO launched</t>
        </is>
      </c>
      <c r="H1047" s="15" t="inlineStr">
        <is>
          <t>SME</t>
        </is>
      </c>
      <c r="I1047" s="16" t="n">
        <v>44005</v>
      </c>
      <c r="J1047" s="16" t="n">
        <v>44008</v>
      </c>
      <c r="K1047" s="16" t="n">
        <v>44018</v>
      </c>
      <c r="L1047" s="17" t="n">
        <v>4.02</v>
      </c>
      <c r="M1047" s="17" t="n">
        <v>4.02</v>
      </c>
      <c r="N1047" s="17" t="n">
        <v>0</v>
      </c>
      <c r="O1047" s="15" t="inlineStr">
        <is>
          <t>Final issue (ipoplatform)</t>
        </is>
      </c>
      <c r="P1047" s="15" t="n"/>
      <c r="Q1047" s="18" t="inlineStr">
        <is>
          <t>https://www.sebi.gov.in/sebi_data/attachdocs/may-2020/1588567958454.pdf</t>
        </is>
      </c>
      <c r="R1047" s="18" t="inlineStr">
        <is>
          <t>https://www.sebi.gov.in/filings/public-issues/may-2020/ksolves-india-limited_46644.html</t>
        </is>
      </c>
      <c r="S1047" s="15" t="n"/>
      <c r="T1047" s="15" t="inlineStr">
        <is>
          <t>SEBI filing link</t>
        </is>
      </c>
      <c r="U1047" s="15" t="inlineStr">
        <is>
          <t>Ksolves India Limited</t>
        </is>
      </c>
      <c r="V1047" s="15" t="n"/>
      <c r="W1047" s="15" t="n"/>
      <c r="X1047" s="15" t="n"/>
      <c r="Y1047" s="15" t="n"/>
      <c r="Z1047" s="15" t="n"/>
      <c r="AA1047" s="15" t="n"/>
      <c r="AB1047" s="15" t="n"/>
    </row>
    <row r="1048" ht="15" customHeight="1" s="12">
      <c r="A1048" s="14" t="n">
        <v>1047</v>
      </c>
      <c r="B1048" s="16" t="n">
        <v>43917</v>
      </c>
      <c r="C1048" s="15" t="n">
        <v>2020</v>
      </c>
      <c r="D1048" s="15" t="inlineStr">
        <is>
          <t>Easing of Operational Procedure - Division of Issues and Listing - CFD</t>
        </is>
      </c>
      <c r="E1048" s="15" t="inlineStr">
        <is>
          <t>Other</t>
        </is>
      </c>
      <c r="F1048" s="15" t="inlineStr">
        <is>
          <t>Easing of Operational Procedure - Division of Issues and Listing - CFD</t>
        </is>
      </c>
      <c r="G1048" s="15" t="inlineStr">
        <is>
          <t>Not an offer document</t>
        </is>
      </c>
      <c r="H1048" s="15" t="n"/>
      <c r="I1048" s="16" t="n"/>
      <c r="J1048" s="16" t="n"/>
      <c r="K1048" s="16" t="n"/>
      <c r="L1048" s="17" t="n"/>
      <c r="M1048" s="17" t="n"/>
      <c r="N1048" s="17" t="n"/>
      <c r="O1048" s="15" t="n"/>
      <c r="P1048" s="15" t="n"/>
      <c r="Q1048" s="18" t="inlineStr">
        <is>
          <t>https://www.sebi.gov.in/sebi_data/attachdocs/mar-2020/1585303778620.pdf</t>
        </is>
      </c>
      <c r="R1048" s="18" t="inlineStr">
        <is>
          <t>https://www.sebi.gov.in/filings/public-issues/mar-2020/easing-of-operational-procedure-division-of-issues-and-listing-cfd_46443.html</t>
        </is>
      </c>
      <c r="S1048" s="15" t="n"/>
      <c r="T1048" s="15" t="n"/>
      <c r="U1048" s="15" t="n"/>
      <c r="V1048" s="15" t="n"/>
      <c r="W1048" s="16" t="n"/>
      <c r="X1048" s="16" t="n"/>
      <c r="Y1048" s="16" t="n"/>
      <c r="Z1048" s="15" t="inlineStr">
        <is>
          <t>Not an offer document</t>
        </is>
      </c>
      <c r="AA1048" s="15" t="inlineStr">
        <is>
          <t>SEBI entry is not an issuer draft</t>
        </is>
      </c>
      <c r="AB1048" s="15" t="n"/>
    </row>
    <row r="1049" ht="15" customHeight="1" s="12">
      <c r="A1049" s="14" t="n">
        <v>1048</v>
      </c>
      <c r="B1049" s="16" t="n">
        <v>43881</v>
      </c>
      <c r="C1049" s="15" t="n">
        <v>2020</v>
      </c>
      <c r="D1049" s="15" t="inlineStr">
        <is>
          <t>Barbeque Nation Hospitality Limited</t>
        </is>
      </c>
      <c r="E1049" s="15" t="inlineStr">
        <is>
          <t>DRHP</t>
        </is>
      </c>
      <c r="F1049" s="15" t="inlineStr">
        <is>
          <t>Barbeque Nation Hospitality Limited</t>
        </is>
      </c>
      <c r="G1049" s="15" t="inlineStr">
        <is>
          <t>IPO launched</t>
        </is>
      </c>
      <c r="H1049" s="15" t="inlineStr">
        <is>
          <t>Mainboard</t>
        </is>
      </c>
      <c r="I1049" s="16" t="n">
        <v>44279</v>
      </c>
      <c r="J1049" s="16" t="n">
        <v>44281</v>
      </c>
      <c r="K1049" s="16" t="n">
        <v>44293</v>
      </c>
      <c r="L1049" s="17" t="n">
        <v>452.87</v>
      </c>
      <c r="M1049" s="17" t="n">
        <v>452.87</v>
      </c>
      <c r="N1049" s="17" t="n">
        <v>0</v>
      </c>
      <c r="O1049" s="15" t="inlineStr">
        <is>
          <t>Final issue (ipoplatform)</t>
        </is>
      </c>
      <c r="P1049" s="15" t="n"/>
      <c r="Q1049" s="18" t="inlineStr">
        <is>
          <t>https://www.sebi.gov.in/sebi_data/attachdocs/feb-2020/1582197103291.PDF</t>
        </is>
      </c>
      <c r="R1049" s="18" t="inlineStr">
        <is>
          <t>https://www.sebi.gov.in/filings/public-issues/feb-2020/barbeque-nation-hospitality-limited_46043.html</t>
        </is>
      </c>
      <c r="S1049" s="15" t="n"/>
      <c r="T1049" s="15" t="inlineStr">
        <is>
          <t>SEBI filing link</t>
        </is>
      </c>
      <c r="U1049" s="15" t="inlineStr">
        <is>
          <t>Barbeque Nation Hospitality Limited</t>
        </is>
      </c>
      <c r="V1049" s="15" t="n"/>
      <c r="W1049" s="15" t="n"/>
      <c r="X1049" s="15" t="n"/>
      <c r="Y1049" s="15" t="n"/>
      <c r="Z1049" s="15" t="n"/>
      <c r="AA1049" s="15" t="n"/>
      <c r="AB1049" s="15" t="n"/>
    </row>
    <row r="1050" ht="15" customHeight="1" s="12">
      <c r="A1050" s="14" t="n">
        <v>1049</v>
      </c>
      <c r="B1050" s="16" t="n">
        <v>43873</v>
      </c>
      <c r="C1050" s="15" t="n">
        <v>2020</v>
      </c>
      <c r="D1050" s="15" t="inlineStr">
        <is>
          <t>NATIONAL COMMODITY &amp; DERIVATIVES EXCHANGE LIMITED</t>
        </is>
      </c>
      <c r="E1050" s="15" t="inlineStr">
        <is>
          <t>DRHP</t>
        </is>
      </c>
      <c r="F1050" s="15" t="inlineStr">
        <is>
          <t>NATIONAL COMMODITY &amp; DERIVATIVES EXCHANGE LIMITED</t>
        </is>
      </c>
      <c r="G1050" s="15" t="inlineStr">
        <is>
          <t>No launched IPO found</t>
        </is>
      </c>
      <c r="H1050" s="15" t="n"/>
      <c r="I1050" s="16" t="n"/>
      <c r="J1050" s="16" t="n"/>
      <c r="K1050" s="16" t="n"/>
      <c r="L1050" s="17" t="n"/>
      <c r="M1050" s="17" t="n"/>
      <c r="N1050" s="17" t="n"/>
      <c r="O1050" s="15" t="n"/>
      <c r="P1050" s="15" t="n"/>
      <c r="Q1050" s="18" t="inlineStr">
        <is>
          <t>https://www.sebi.gov.in/sebi_data/attachdocs/feb-2020/1581516794147.pdf</t>
        </is>
      </c>
      <c r="R1050" s="18" t="inlineStr">
        <is>
          <t>https://www.sebi.gov.in/filings/public-issues/feb-2020/national-commodity-and-derivatives-exchange-limited_45970.html</t>
        </is>
      </c>
      <c r="S1050" s="15" t="n"/>
      <c r="T1050" s="15" t="n"/>
      <c r="U1050" s="15" t="n"/>
      <c r="V1050" s="15" t="n"/>
      <c r="W1050" s="16" t="n"/>
      <c r="X1050" s="16" t="n"/>
      <c r="Y1050" s="16" t="n"/>
      <c r="Z1050" s="15" t="inlineStr">
        <is>
          <t>No issue found</t>
        </is>
      </c>
      <c r="AA1050" s="15" t="inlineStr">
        <is>
          <t>SEBI approval 2020 but no IPO dates announced.</t>
        </is>
      </c>
      <c r="AB1050" s="18" t="inlineStr">
        <is>
          <t>https://top10stockbroker.com/ipo-review/ncdex-ipo/</t>
        </is>
      </c>
    </row>
    <row r="1051" ht="15" customHeight="1" s="12">
      <c r="A1051" s="14" t="n">
        <v>1050</v>
      </c>
      <c r="B1051" s="16" t="n">
        <v>43864</v>
      </c>
      <c r="C1051" s="15" t="n">
        <v>2020</v>
      </c>
      <c r="D1051" s="15" t="inlineStr">
        <is>
          <t>Stove Kraft Limited</t>
        </is>
      </c>
      <c r="E1051" s="15" t="inlineStr">
        <is>
          <t>DRHP</t>
        </is>
      </c>
      <c r="F1051" s="15" t="inlineStr">
        <is>
          <t>Stove Kraft Limited</t>
        </is>
      </c>
      <c r="G1051" s="15" t="inlineStr">
        <is>
          <t>IPO launched</t>
        </is>
      </c>
      <c r="H1051" s="15" t="inlineStr">
        <is>
          <t>Mainboard</t>
        </is>
      </c>
      <c r="I1051" s="16" t="n">
        <v>44221</v>
      </c>
      <c r="J1051" s="16" t="n">
        <v>44224</v>
      </c>
      <c r="K1051" s="16" t="n">
        <v>44232</v>
      </c>
      <c r="L1051" s="17" t="n">
        <v>412.63</v>
      </c>
      <c r="M1051" s="17" t="n">
        <v>412.63</v>
      </c>
      <c r="N1051" s="17" t="n">
        <v>0</v>
      </c>
      <c r="O1051" s="15" t="inlineStr">
        <is>
          <t>Final issue (ipoplatform)</t>
        </is>
      </c>
      <c r="P1051" s="15" t="n"/>
      <c r="Q1051" s="18" t="inlineStr">
        <is>
          <t>https://www.sebi.gov.in/sebi_data/attachdocs/jun-2023/1687844257165.pdf</t>
        </is>
      </c>
      <c r="R1051" s="18" t="inlineStr">
        <is>
          <t>https://www.sebi.gov.in/filings/public-issues/feb-2020/stove-kraft-limited_45894.html</t>
        </is>
      </c>
      <c r="S1051" s="15" t="n"/>
      <c r="T1051" s="15" t="inlineStr">
        <is>
          <t>SEBI filing link</t>
        </is>
      </c>
      <c r="U1051" s="15" t="inlineStr">
        <is>
          <t>Stove Kraft Limited</t>
        </is>
      </c>
      <c r="V1051" s="15" t="n"/>
      <c r="W1051" s="15" t="n"/>
      <c r="X1051" s="15" t="n"/>
      <c r="Y1051" s="15" t="n"/>
      <c r="Z1051" s="15" t="n"/>
      <c r="AA1051" s="15" t="n"/>
      <c r="AB1051" s="15" t="n"/>
    </row>
    <row r="1052" ht="15" customHeight="1" s="12">
      <c r="A1052" s="14" t="n">
        <v>1051</v>
      </c>
      <c r="B1052" s="16" t="n">
        <v>43850</v>
      </c>
      <c r="C1052" s="15" t="n">
        <v>2020</v>
      </c>
      <c r="D1052" s="15" t="inlineStr">
        <is>
          <t>INDIAN RAILWAY FINANCE CORPORATION LIMITED</t>
        </is>
      </c>
      <c r="E1052" s="15" t="inlineStr">
        <is>
          <t>DRHP</t>
        </is>
      </c>
      <c r="F1052" s="15" t="inlineStr">
        <is>
          <t>INDIAN RAILWAY FINANCE CORPORATION LIMITED</t>
        </is>
      </c>
      <c r="G1052" s="15" t="inlineStr">
        <is>
          <t>IPO launched</t>
        </is>
      </c>
      <c r="H1052" s="15" t="inlineStr">
        <is>
          <t>Mainboard</t>
        </is>
      </c>
      <c r="I1052" s="16" t="n">
        <v>44214</v>
      </c>
      <c r="J1052" s="16" t="n">
        <v>44216</v>
      </c>
      <c r="K1052" s="16" t="n">
        <v>44225</v>
      </c>
      <c r="L1052" s="17" t="n">
        <v>4633.38</v>
      </c>
      <c r="M1052" s="17" t="n">
        <v>4633.38</v>
      </c>
      <c r="N1052" s="17" t="n">
        <v>0</v>
      </c>
      <c r="O1052" s="15" t="inlineStr">
        <is>
          <t>Final issue (ipoplatform)</t>
        </is>
      </c>
      <c r="P1052" s="15" t="n"/>
      <c r="Q1052" s="18" t="inlineStr">
        <is>
          <t>https://www.sebi.gov.in/sebi_data/attachdocs/jan-2020/1579667742592.pdf</t>
        </is>
      </c>
      <c r="R1052" s="18" t="inlineStr">
        <is>
          <t>https://www.sebi.gov.in/filings/public-issues/jan-2020/indian-railway-finance-corporation-limited_45739.html</t>
        </is>
      </c>
      <c r="S1052" s="15" t="n"/>
      <c r="T1052" s="15" t="inlineStr">
        <is>
          <t>SEBI filing link</t>
        </is>
      </c>
      <c r="U1052" s="15" t="inlineStr">
        <is>
          <t>Indian Railway Finance Corporation Limited</t>
        </is>
      </c>
      <c r="V1052" s="15" t="n"/>
      <c r="W1052" s="15" t="n"/>
      <c r="X1052" s="15" t="n"/>
      <c r="Y1052" s="15" t="n"/>
      <c r="Z1052" s="15" t="n"/>
      <c r="AA1052" s="15" t="n"/>
      <c r="AB1052" s="15" t="n"/>
    </row>
    <row r="1053" ht="15" customHeight="1" s="12">
      <c r="A1053" s="14" t="n">
        <v>1052</v>
      </c>
      <c r="B1053" s="16" t="n">
        <v>43843</v>
      </c>
      <c r="C1053" s="15" t="n">
        <v>2020</v>
      </c>
      <c r="D1053" s="15" t="inlineStr">
        <is>
          <t>Likhitha Infrastructure Limited</t>
        </is>
      </c>
      <c r="E1053" s="15" t="inlineStr">
        <is>
          <t>DRHP</t>
        </is>
      </c>
      <c r="F1053" s="15" t="inlineStr">
        <is>
          <t>Likhitha Infrastructure Limited</t>
        </is>
      </c>
      <c r="G1053" s="15" t="inlineStr">
        <is>
          <t>IPO launched</t>
        </is>
      </c>
      <c r="H1053" s="15" t="inlineStr">
        <is>
          <t>Mainboard</t>
        </is>
      </c>
      <c r="I1053" s="16" t="n">
        <v>44103</v>
      </c>
      <c r="J1053" s="16" t="n">
        <v>44111</v>
      </c>
      <c r="K1053" s="16" t="n">
        <v>44119</v>
      </c>
      <c r="L1053" s="17" t="n">
        <v>61.2</v>
      </c>
      <c r="M1053" s="17" t="n">
        <v>61.2</v>
      </c>
      <c r="N1053" s="17" t="n">
        <v>0</v>
      </c>
      <c r="O1053" s="15" t="inlineStr">
        <is>
          <t>Final issue (ipoplatform)</t>
        </is>
      </c>
      <c r="P1053" s="15" t="n"/>
      <c r="Q1053" s="18" t="inlineStr">
        <is>
          <t>https://www.sebi.gov.in/sebi_data/attachdocs/jan-2020/1578913939132.pdf</t>
        </is>
      </c>
      <c r="R1053" s="18" t="inlineStr">
        <is>
          <t>https://www.sebi.gov.in/filings/public-issues/jan-2020/likhitha-infrastructure-limited_45651.html</t>
        </is>
      </c>
      <c r="S1053" s="15" t="n"/>
      <c r="T1053" s="15" t="inlineStr">
        <is>
          <t>SEBI filing link</t>
        </is>
      </c>
      <c r="U1053" s="15" t="inlineStr">
        <is>
          <t>Likhitha Infrastructure Limited</t>
        </is>
      </c>
      <c r="V1053" s="15" t="n"/>
      <c r="W1053" s="15" t="n"/>
      <c r="X1053" s="15" t="n"/>
      <c r="Y1053" s="15" t="n"/>
      <c r="Z1053" s="15" t="n"/>
      <c r="AA1053" s="15" t="n"/>
      <c r="AB1053" s="15" t="n"/>
    </row>
    <row r="1054" ht="15" customHeight="1" s="12">
      <c r="A1054" s="14" t="n">
        <v>1053</v>
      </c>
      <c r="B1054" s="16" t="n">
        <v>43839</v>
      </c>
      <c r="C1054" s="15" t="n">
        <v>2020</v>
      </c>
      <c r="D1054" s="15" t="inlineStr">
        <is>
          <t>COMPUTER AGE MANAGEMENT SERVICES LIMITED</t>
        </is>
      </c>
      <c r="E1054" s="15" t="inlineStr">
        <is>
          <t>DRHP</t>
        </is>
      </c>
      <c r="F1054" s="15" t="inlineStr">
        <is>
          <t>COMPUTER AGE MANAGEMENT SERVICES LIMITED</t>
        </is>
      </c>
      <c r="G1054" s="15" t="inlineStr">
        <is>
          <t>IPO launched</t>
        </is>
      </c>
      <c r="H1054" s="15" t="inlineStr">
        <is>
          <t>Mainboard</t>
        </is>
      </c>
      <c r="I1054" s="16" t="n">
        <v>44095</v>
      </c>
      <c r="J1054" s="16" t="n">
        <v>44097</v>
      </c>
      <c r="K1054" s="16" t="n">
        <v>44105</v>
      </c>
      <c r="L1054" s="17" t="n">
        <v>2244.33</v>
      </c>
      <c r="M1054" s="17" t="n">
        <v>2244.33</v>
      </c>
      <c r="N1054" s="17" t="n">
        <v>0</v>
      </c>
      <c r="O1054" s="15" t="inlineStr">
        <is>
          <t>Final issue (ipoplatform)</t>
        </is>
      </c>
      <c r="P1054" s="15" t="n"/>
      <c r="Q1054" s="18" t="inlineStr">
        <is>
          <t>https://www.sebi.gov.in/sebi_data/attachdocs/jan-2020/1578660547821.pdf</t>
        </is>
      </c>
      <c r="R1054" s="18" t="inlineStr">
        <is>
          <t>https://www.sebi.gov.in/filings/public-issues/jan-2020/computer-age-management-services-limited_45631.html</t>
        </is>
      </c>
      <c r="S1054" s="15" t="n"/>
      <c r="T1054" s="15" t="inlineStr">
        <is>
          <t>SEBI filing link</t>
        </is>
      </c>
      <c r="U1054" s="15" t="inlineStr">
        <is>
          <t>Computer Age Management Services Limited</t>
        </is>
      </c>
      <c r="V1054" s="15" t="n"/>
      <c r="W1054" s="15" t="n"/>
      <c r="X1054" s="15" t="n"/>
      <c r="Y1054" s="15" t="n"/>
      <c r="Z1054" s="15" t="n"/>
      <c r="AA1054" s="15" t="n"/>
      <c r="AB1054" s="15" t="n"/>
    </row>
    <row r="1055" ht="15" customHeight="1" s="12">
      <c r="A1055" s="14" t="n">
        <v>1054</v>
      </c>
      <c r="B1055" s="16" t="n">
        <v>43836</v>
      </c>
      <c r="C1055" s="15" t="n">
        <v>2020</v>
      </c>
      <c r="D1055" s="15" t="inlineStr">
        <is>
          <t>ESAF Small Finance Bank Limited</t>
        </is>
      </c>
      <c r="E1055" s="15" t="inlineStr">
        <is>
          <t>DRHP</t>
        </is>
      </c>
      <c r="F1055" s="15" t="inlineStr">
        <is>
          <t>ESAF Small Finance Bank Limited</t>
        </is>
      </c>
      <c r="G1055" s="15" t="inlineStr">
        <is>
          <t>No launched IPO found</t>
        </is>
      </c>
      <c r="H1055" s="15" t="n"/>
      <c r="I1055" s="16" t="n"/>
      <c r="J1055" s="16" t="n"/>
      <c r="K1055" s="16" t="n"/>
      <c r="L1055" s="17" t="n"/>
      <c r="M1055" s="17" t="n"/>
      <c r="N1055" s="17" t="n"/>
      <c r="O1055" s="15" t="n"/>
      <c r="P1055" s="15" t="n"/>
      <c r="Q1055" s="18" t="inlineStr">
        <is>
          <t>https://www.sebi.gov.in/sebi_data/attachdocs/apr-2023/1681364502739.pdf</t>
        </is>
      </c>
      <c r="R1055" s="18" t="inlineStr">
        <is>
          <t>https://www.sebi.gov.in/filings/public-issues/jan-2020/esaf-small-finance-bank-limited_45604.html</t>
        </is>
      </c>
      <c r="S1055" s="15" t="n"/>
      <c r="T1055" s="15" t="n"/>
      <c r="U1055" s="15" t="n"/>
      <c r="V1055" s="15" t="inlineStr">
        <is>
          <t>Same-name IPO opened 03-Nov-2023 — outside 2 years of this filing, so not linked</t>
        </is>
      </c>
      <c r="W1055" s="25" t="n">
        <v>45233</v>
      </c>
      <c r="X1055" s="25" t="n">
        <v>45237</v>
      </c>
      <c r="Y1055" s="25" t="n">
        <v>45240</v>
      </c>
      <c r="Z1055" s="26" t="inlineStr">
        <is>
          <t>Later IPO — not from this draft</t>
        </is>
      </c>
      <c r="AA1055" s="15" t="inlineStr">
        <is>
          <t>IPO opened over 3 years after Jan 2020 filing; sources differ on listing (Nov 10 vs 16).</t>
        </is>
      </c>
      <c r="AB1055" s="18" t="inlineStr">
        <is>
          <t>https://www.chittorgarh.com/ipo/esaf-small-finance-bank-ipo/1553/</t>
        </is>
      </c>
    </row>
    <row r="1056" ht="15" customHeight="1" s="12">
      <c r="A1056" s="14" t="n">
        <v>1055</v>
      </c>
      <c r="B1056" s="16" t="n">
        <v>43832</v>
      </c>
      <c r="C1056" s="15" t="n">
        <v>2020</v>
      </c>
      <c r="D1056" s="15" t="inlineStr">
        <is>
          <t>APEEJAY SURRENDRA PARK HOTELS LIMITED</t>
        </is>
      </c>
      <c r="E1056" s="15" t="inlineStr">
        <is>
          <t>DRHP</t>
        </is>
      </c>
      <c r="F1056" s="15" t="inlineStr">
        <is>
          <t>APEEJAY SURRENDRA PARK HOTELS LIMITED</t>
        </is>
      </c>
      <c r="G1056" s="15" t="inlineStr">
        <is>
          <t>No launched IPO found</t>
        </is>
      </c>
      <c r="H1056" s="15" t="n"/>
      <c r="I1056" s="16" t="n"/>
      <c r="J1056" s="16" t="n"/>
      <c r="K1056" s="16" t="n"/>
      <c r="L1056" s="17" t="n"/>
      <c r="M1056" s="17" t="n"/>
      <c r="N1056" s="17" t="n"/>
      <c r="O1056" s="15" t="n"/>
      <c r="P1056" s="15" t="n"/>
      <c r="Q1056" s="18" t="inlineStr">
        <is>
          <t>https://www.sebi.gov.in/sebi_data/attachdocs/may-2023/1683610619410.pdf</t>
        </is>
      </c>
      <c r="R1056" s="18" t="inlineStr">
        <is>
          <t>https://www.sebi.gov.in/filings/public-issues/jan-2020/apeejay-surrendra-park-hotels-limited_45539.html</t>
        </is>
      </c>
      <c r="S1056" s="15" t="n"/>
      <c r="T1056" s="15" t="n"/>
      <c r="U1056" s="15" t="n"/>
      <c r="V1056" s="15" t="inlineStr">
        <is>
          <t>Same-name IPO opened 05-Feb-2024 — outside 2 years of this filing, so not linked</t>
        </is>
      </c>
      <c r="W1056" s="25" t="n">
        <v>45327</v>
      </c>
      <c r="X1056" s="25" t="n">
        <v>45329</v>
      </c>
      <c r="Y1056" s="25" t="n">
        <v>45334</v>
      </c>
      <c r="Z1056" s="26" t="inlineStr">
        <is>
          <t>Later IPO — not from this draft</t>
        </is>
      </c>
      <c r="AA1056" s="15" t="inlineStr">
        <is>
          <t>IPO opened over 3 years after Jan 2020 filing (likely fresh DRHP).</t>
        </is>
      </c>
      <c r="AB1056" s="18" t="inlineStr">
        <is>
          <t>https://www.chittorgarh.com/ipo/apeejay-surrendra-park-ipo/1635/</t>
        </is>
      </c>
    </row>
    <row r="1057" ht="15" customHeight="1" s="12">
      <c r="A1057" s="14" t="n">
        <v>1056</v>
      </c>
      <c r="B1057" s="16" t="n">
        <v>43825</v>
      </c>
      <c r="C1057" s="15" t="n">
        <v>2019</v>
      </c>
      <c r="D1057" s="15" t="inlineStr">
        <is>
          <t>RO Jewels Limited</t>
        </is>
      </c>
      <c r="E1057" s="15" t="inlineStr">
        <is>
          <t>DRHP</t>
        </is>
      </c>
      <c r="F1057" s="15" t="inlineStr">
        <is>
          <t>RO Jewels Limited</t>
        </is>
      </c>
      <c r="G1057" s="15" t="inlineStr">
        <is>
          <t>IPO launched</t>
        </is>
      </c>
      <c r="H1057" s="15" t="inlineStr">
        <is>
          <t>SME</t>
        </is>
      </c>
      <c r="I1057" s="16" t="n">
        <v>43902</v>
      </c>
      <c r="J1057" s="16" t="n">
        <v>43907</v>
      </c>
      <c r="K1057" s="16" t="n">
        <v>43915</v>
      </c>
      <c r="L1057" s="17" t="n">
        <v>4.91</v>
      </c>
      <c r="M1057" s="17" t="n">
        <v>4.91</v>
      </c>
      <c r="N1057" s="17" t="n">
        <v>0</v>
      </c>
      <c r="O1057" s="15" t="inlineStr">
        <is>
          <t>Final issue (ipoplatform)</t>
        </is>
      </c>
      <c r="P1057" s="15" t="n"/>
      <c r="Q1057" s="18" t="inlineStr">
        <is>
          <t>https://www.sebi.gov.in/sebi_data/attachdocs/jan-2020/1577871159537.pdf</t>
        </is>
      </c>
      <c r="R1057" s="18" t="inlineStr">
        <is>
          <t>https://www.sebi.gov.in/filings/public-issues/dec-2019/ro-jewels-limited_45518.html</t>
        </is>
      </c>
      <c r="S1057" s="15" t="n"/>
      <c r="T1057" s="15" t="inlineStr">
        <is>
          <t>SEBI filing link</t>
        </is>
      </c>
      <c r="U1057" s="15" t="inlineStr">
        <is>
          <t>RO Jewels Ltd</t>
        </is>
      </c>
      <c r="V1057" s="15" t="n"/>
      <c r="W1057" s="15" t="n"/>
      <c r="X1057" s="15" t="n"/>
      <c r="Y1057" s="15" t="n"/>
      <c r="Z1057" s="15" t="n"/>
      <c r="AA1057" s="15" t="n"/>
      <c r="AB1057" s="15" t="n"/>
    </row>
    <row r="1058" ht="15" customHeight="1" s="12">
      <c r="A1058" s="14" t="n">
        <v>1057</v>
      </c>
      <c r="B1058" s="16" t="n">
        <v>43819</v>
      </c>
      <c r="C1058" s="15" t="n">
        <v>2019</v>
      </c>
      <c r="D1058" s="15" t="inlineStr">
        <is>
          <t>Rossari Biotech limited</t>
        </is>
      </c>
      <c r="E1058" s="15" t="inlineStr">
        <is>
          <t>DRHP</t>
        </is>
      </c>
      <c r="F1058" s="15" t="inlineStr">
        <is>
          <t>Rossari Biotech limited</t>
        </is>
      </c>
      <c r="G1058" s="15" t="inlineStr">
        <is>
          <t>IPO launched</t>
        </is>
      </c>
      <c r="H1058" s="15" t="inlineStr">
        <is>
          <t>Mainboard</t>
        </is>
      </c>
      <c r="I1058" s="16" t="n">
        <v>44025</v>
      </c>
      <c r="J1058" s="16" t="n">
        <v>44027</v>
      </c>
      <c r="K1058" s="16" t="n">
        <v>44035</v>
      </c>
      <c r="L1058" s="17" t="n">
        <v>496.49</v>
      </c>
      <c r="M1058" s="17" t="n">
        <v>496.49</v>
      </c>
      <c r="N1058" s="17" t="n">
        <v>0</v>
      </c>
      <c r="O1058" s="15" t="inlineStr">
        <is>
          <t>Final issue (ipoplatform)</t>
        </is>
      </c>
      <c r="P1058" s="15" t="n"/>
      <c r="Q1058" s="18" t="inlineStr">
        <is>
          <t>https://www.sebi.gov.in/sebi_data/attachdocs/apr-2023/1681365034384.pdf</t>
        </is>
      </c>
      <c r="R1058" s="18" t="inlineStr">
        <is>
          <t>https://www.sebi.gov.in/filings/public-issues/dec-2019/rossari-biotech-limited_45405.html</t>
        </is>
      </c>
      <c r="S1058" s="15" t="n"/>
      <c r="T1058" s="15" t="inlineStr">
        <is>
          <t>SEBI filing link</t>
        </is>
      </c>
      <c r="U1058" s="15" t="inlineStr">
        <is>
          <t>Rossari Biotech Limited</t>
        </is>
      </c>
      <c r="V1058" s="15" t="n"/>
      <c r="W1058" s="15" t="n"/>
      <c r="X1058" s="15" t="n"/>
      <c r="Y1058" s="15" t="n"/>
      <c r="Z1058" s="15" t="n"/>
      <c r="AA1058" s="15" t="n"/>
      <c r="AB1058" s="15" t="n"/>
    </row>
    <row r="1059" ht="15" customHeight="1" s="12">
      <c r="A1059" s="14" t="n">
        <v>1058</v>
      </c>
      <c r="B1059" s="16" t="n">
        <v>43818</v>
      </c>
      <c r="C1059" s="15" t="n">
        <v>2019</v>
      </c>
      <c r="D1059" s="15" t="inlineStr">
        <is>
          <t>UTI Asset Management Company Limited</t>
        </is>
      </c>
      <c r="E1059" s="15" t="inlineStr">
        <is>
          <t>DRHP</t>
        </is>
      </c>
      <c r="F1059" s="15" t="inlineStr">
        <is>
          <t>UTI Asset Management Company Limited</t>
        </is>
      </c>
      <c r="G1059" s="15" t="inlineStr">
        <is>
          <t>IPO launched</t>
        </is>
      </c>
      <c r="H1059" s="15" t="inlineStr">
        <is>
          <t>Mainboard</t>
        </is>
      </c>
      <c r="I1059" s="16" t="n">
        <v>44103</v>
      </c>
      <c r="J1059" s="16" t="n">
        <v>44105</v>
      </c>
      <c r="K1059" s="16" t="n">
        <v>44116</v>
      </c>
      <c r="L1059" s="17" t="n">
        <v>2159.88</v>
      </c>
      <c r="M1059" s="17" t="n">
        <v>2159.88</v>
      </c>
      <c r="N1059" s="17" t="n">
        <v>0</v>
      </c>
      <c r="O1059" s="15" t="inlineStr">
        <is>
          <t>Final issue (ipoplatform)</t>
        </is>
      </c>
      <c r="P1059" s="15" t="n"/>
      <c r="Q1059" s="18" t="inlineStr">
        <is>
          <t>https://www.sebi.gov.in/sebi_data/attachdocs/dec-2019/1577109330084.pdf</t>
        </is>
      </c>
      <c r="R1059" s="18" t="inlineStr">
        <is>
          <t>https://www.sebi.gov.in/filings/public-issues/dec-2019/uti-asset-management-company-limited_45426.html</t>
        </is>
      </c>
      <c r="S1059" s="15" t="n"/>
      <c r="T1059" s="15" t="inlineStr">
        <is>
          <t>SEBI filing link</t>
        </is>
      </c>
      <c r="U1059" s="15" t="inlineStr">
        <is>
          <t>UTI Asset Management Company Limited</t>
        </is>
      </c>
      <c r="V1059" s="15" t="n"/>
      <c r="W1059" s="15" t="n"/>
      <c r="X1059" s="15" t="n"/>
      <c r="Y1059" s="15" t="n"/>
      <c r="Z1059" s="15" t="n"/>
      <c r="AA1059" s="15" t="n"/>
      <c r="AB1059" s="15" t="n"/>
    </row>
    <row r="1060" ht="15" customHeight="1" s="12">
      <c r="A1060" s="14" t="n">
        <v>1059</v>
      </c>
      <c r="B1060" s="16" t="n">
        <v>43817</v>
      </c>
      <c r="C1060" s="15" t="n">
        <v>2019</v>
      </c>
      <c r="D1060" s="15" t="inlineStr">
        <is>
          <t>Equitas Small Finance Bank Limited</t>
        </is>
      </c>
      <c r="E1060" s="15" t="inlineStr">
        <is>
          <t>DRHP</t>
        </is>
      </c>
      <c r="F1060" s="15" t="inlineStr">
        <is>
          <t>Equitas Small Finance Bank Limited</t>
        </is>
      </c>
      <c r="G1060" s="15" t="inlineStr">
        <is>
          <t>IPO launched</t>
        </is>
      </c>
      <c r="H1060" s="15" t="inlineStr">
        <is>
          <t>Mainboard</t>
        </is>
      </c>
      <c r="I1060" s="16" t="n">
        <v>44124</v>
      </c>
      <c r="J1060" s="16" t="n">
        <v>44126</v>
      </c>
      <c r="K1060" s="16" t="n">
        <v>44137</v>
      </c>
      <c r="L1060" s="17" t="n">
        <v>517.6</v>
      </c>
      <c r="M1060" s="17" t="n">
        <v>517.6</v>
      </c>
      <c r="N1060" s="17" t="n">
        <v>0</v>
      </c>
      <c r="O1060" s="15" t="inlineStr">
        <is>
          <t>Final issue (ipoplatform)</t>
        </is>
      </c>
      <c r="P1060" s="15" t="n"/>
      <c r="Q1060" s="18" t="inlineStr">
        <is>
          <t>https://www.sebi.gov.in/sebi_data/attachdocs/dec-2019/1576647333973.pdf</t>
        </is>
      </c>
      <c r="R1060" s="18" t="inlineStr">
        <is>
          <t>https://www.sebi.gov.in/filings/public-issues/dec-2019/equitas-small-finance-bank-limited_45353.html</t>
        </is>
      </c>
      <c r="S1060" s="15" t="n"/>
      <c r="T1060" s="15" t="inlineStr">
        <is>
          <t>SEBI filing link</t>
        </is>
      </c>
      <c r="U1060" s="15" t="inlineStr">
        <is>
          <t>Equitas Small Finance Bank Limited</t>
        </is>
      </c>
      <c r="V1060" s="15" t="n"/>
      <c r="W1060" s="15" t="n"/>
      <c r="X1060" s="15" t="n"/>
      <c r="Y1060" s="15" t="n"/>
      <c r="Z1060" s="15" t="n"/>
      <c r="AA1060" s="15" t="n"/>
      <c r="AB1060" s="15" t="n"/>
    </row>
    <row r="1061" ht="15" customHeight="1" s="12">
      <c r="A1061" s="14" t="n">
        <v>1060</v>
      </c>
      <c r="B1061" s="16" t="n">
        <v>43816</v>
      </c>
      <c r="C1061" s="15" t="n">
        <v>2019</v>
      </c>
      <c r="D1061" s="15" t="inlineStr">
        <is>
          <t>ICL ORGANIC DAIRY PRODUCTS LIMITED</t>
        </is>
      </c>
      <c r="E1061" s="15" t="inlineStr">
        <is>
          <t>DRHP</t>
        </is>
      </c>
      <c r="F1061" s="15" t="inlineStr">
        <is>
          <t>ICL ORGANIC DAIRY PRODUCTS LIMITED</t>
        </is>
      </c>
      <c r="G1061" s="15" t="inlineStr">
        <is>
          <t>IPO launched</t>
        </is>
      </c>
      <c r="H1061" s="15" t="inlineStr">
        <is>
          <t>SME</t>
        </is>
      </c>
      <c r="I1061" s="16" t="n">
        <v>43861</v>
      </c>
      <c r="J1061" s="16" t="n">
        <v>43868</v>
      </c>
      <c r="K1061" s="16" t="n">
        <v>43878</v>
      </c>
      <c r="L1061" s="17" t="n">
        <v>4.08</v>
      </c>
      <c r="M1061" s="17" t="n">
        <v>4.08</v>
      </c>
      <c r="N1061" s="17" t="n">
        <v>0</v>
      </c>
      <c r="O1061" s="15" t="inlineStr">
        <is>
          <t>Final issue (ipoplatform)</t>
        </is>
      </c>
      <c r="P1061" s="15" t="n"/>
      <c r="Q1061" s="18" t="inlineStr">
        <is>
          <t>https://www.sebi.gov.in/sebi_data/attachdocs/apr-2023/1681125913749.pdf</t>
        </is>
      </c>
      <c r="R1061" s="18" t="inlineStr">
        <is>
          <t>https://www.sebi.gov.in/filings/public-issues/dec-2019/icl-organic-dairy-products-limited_45336.html</t>
        </is>
      </c>
      <c r="S1061" s="15" t="n"/>
      <c r="T1061" s="15" t="inlineStr">
        <is>
          <t>Company name + date window</t>
        </is>
      </c>
      <c r="U1061" s="15" t="inlineStr">
        <is>
          <t>ICL Organic Dairy Products Limited</t>
        </is>
      </c>
      <c r="V1061" s="15" t="n"/>
      <c r="W1061" s="15" t="n"/>
      <c r="X1061" s="15" t="n"/>
      <c r="Y1061" s="15" t="n"/>
      <c r="Z1061" s="15" t="n"/>
      <c r="AA1061" s="15" t="n"/>
      <c r="AB1061" s="15" t="n"/>
    </row>
    <row r="1062" ht="15" customHeight="1" s="12">
      <c r="A1062" s="14" t="n">
        <v>1061</v>
      </c>
      <c r="B1062" s="16" t="n">
        <v>43812</v>
      </c>
      <c r="C1062" s="15" t="n">
        <v>2019</v>
      </c>
      <c r="D1062" s="15" t="inlineStr">
        <is>
          <t>Madhav Copper Limited</t>
        </is>
      </c>
      <c r="E1062" s="15" t="inlineStr">
        <is>
          <t>DRHP</t>
        </is>
      </c>
      <c r="F1062" s="15" t="inlineStr">
        <is>
          <t>Madhav Copper Limited</t>
        </is>
      </c>
      <c r="G1062" s="15" t="inlineStr">
        <is>
          <t>IPO launched</t>
        </is>
      </c>
      <c r="H1062" s="15" t="inlineStr">
        <is>
          <t>SME</t>
        </is>
      </c>
      <c r="I1062" s="16" t="n">
        <v>43857</v>
      </c>
      <c r="J1062" s="16" t="n">
        <v>43860</v>
      </c>
      <c r="K1062" s="16" t="n">
        <v>43867</v>
      </c>
      <c r="L1062" s="17" t="n">
        <v>25.5</v>
      </c>
      <c r="M1062" s="17" t="n">
        <v>25.5</v>
      </c>
      <c r="N1062" s="17" t="n">
        <v>0</v>
      </c>
      <c r="O1062" s="15" t="inlineStr">
        <is>
          <t>Final issue (ipoplatform)</t>
        </is>
      </c>
      <c r="P1062" s="15" t="n"/>
      <c r="Q1062" s="18" t="inlineStr">
        <is>
          <t>https://www.sebi.gov.in/sebi_data/attachdocs/dec-2019/1576817027159.PDF</t>
        </is>
      </c>
      <c r="R1062" s="18" t="inlineStr">
        <is>
          <t>https://www.sebi.gov.in/filings/public-issues/dec-2019/madhav-copper-limited_45393.html</t>
        </is>
      </c>
      <c r="S1062" s="15" t="n"/>
      <c r="T1062" s="15" t="inlineStr">
        <is>
          <t>Company name (close spelling) + date window</t>
        </is>
      </c>
      <c r="U1062" s="15" t="inlineStr">
        <is>
          <t>Madhav Copper Limited - FPO</t>
        </is>
      </c>
      <c r="V1062" s="15" t="n"/>
      <c r="W1062" s="15" t="n"/>
      <c r="X1062" s="15" t="n"/>
      <c r="Y1062" s="15" t="n"/>
      <c r="Z1062" s="15" t="n"/>
      <c r="AA1062" s="15" t="n"/>
      <c r="AB1062" s="15" t="n"/>
    </row>
    <row r="1063" ht="15" customHeight="1" s="12">
      <c r="A1063" s="14" t="n">
        <v>1062</v>
      </c>
      <c r="B1063" s="16" t="n">
        <v>43812</v>
      </c>
      <c r="C1063" s="15" t="n">
        <v>2019</v>
      </c>
      <c r="D1063" s="15" t="inlineStr">
        <is>
          <t>Easy Trip Planners Limited</t>
        </is>
      </c>
      <c r="E1063" s="15" t="inlineStr">
        <is>
          <t>DRHP</t>
        </is>
      </c>
      <c r="F1063" s="15" t="inlineStr">
        <is>
          <t>Easy Trip Planners Limited</t>
        </is>
      </c>
      <c r="G1063" s="15" t="inlineStr">
        <is>
          <t>IPO launched</t>
        </is>
      </c>
      <c r="H1063" s="15" t="inlineStr">
        <is>
          <t>Mainboard</t>
        </is>
      </c>
      <c r="I1063" s="16" t="n">
        <v>44263</v>
      </c>
      <c r="J1063" s="16" t="n">
        <v>44265</v>
      </c>
      <c r="K1063" s="16" t="n">
        <v>44274</v>
      </c>
      <c r="L1063" s="17" t="n">
        <v>510</v>
      </c>
      <c r="M1063" s="17" t="n">
        <v>510</v>
      </c>
      <c r="N1063" s="17" t="n">
        <v>0</v>
      </c>
      <c r="O1063" s="15" t="inlineStr">
        <is>
          <t>Final issue (ipoplatform)</t>
        </is>
      </c>
      <c r="P1063" s="15" t="n"/>
      <c r="Q1063" s="18" t="inlineStr">
        <is>
          <t>https://www.sebi.gov.in/sebi_data/attachdocs/apr-2023/1681212063911.pdf</t>
        </is>
      </c>
      <c r="R1063" s="18" t="inlineStr">
        <is>
          <t>https://www.sebi.gov.in/filings/public-issues/dec-2019/easy-trip-planners-limited_45323.html</t>
        </is>
      </c>
      <c r="S1063" s="15" t="n"/>
      <c r="T1063" s="15" t="inlineStr">
        <is>
          <t>SEBI filing link</t>
        </is>
      </c>
      <c r="U1063" s="15" t="inlineStr">
        <is>
          <t>Easy Trip Planners Limited</t>
        </is>
      </c>
      <c r="V1063" s="15" t="n"/>
      <c r="W1063" s="15" t="n"/>
      <c r="X1063" s="15" t="n"/>
      <c r="Y1063" s="15" t="n"/>
      <c r="Z1063" s="15" t="n"/>
      <c r="AA1063" s="15" t="n"/>
      <c r="AB1063" s="15" t="n"/>
    </row>
    <row r="1064" ht="15" customHeight="1" s="12">
      <c r="A1064" s="14" t="n">
        <v>1063</v>
      </c>
      <c r="B1064" s="16" t="n">
        <v>43801</v>
      </c>
      <c r="C1064" s="15" t="n">
        <v>2019</v>
      </c>
      <c r="D1064" s="15" t="inlineStr">
        <is>
          <t>Home First Finance Company India Limited</t>
        </is>
      </c>
      <c r="E1064" s="15" t="inlineStr">
        <is>
          <t>DRHP</t>
        </is>
      </c>
      <c r="F1064" s="15" t="inlineStr">
        <is>
          <t>Home First Finance Company India Limited</t>
        </is>
      </c>
      <c r="G1064" s="15" t="inlineStr">
        <is>
          <t>IPO launched</t>
        </is>
      </c>
      <c r="H1064" s="15" t="inlineStr">
        <is>
          <t>Mainboard</t>
        </is>
      </c>
      <c r="I1064" s="16" t="n">
        <v>44217</v>
      </c>
      <c r="J1064" s="16" t="n">
        <v>44221</v>
      </c>
      <c r="K1064" s="16" t="n">
        <v>44230</v>
      </c>
      <c r="L1064" s="17" t="n">
        <v>1153.72</v>
      </c>
      <c r="M1064" s="17" t="n">
        <v>265</v>
      </c>
      <c r="N1064" s="17" t="n">
        <v>888.72</v>
      </c>
      <c r="O1064" s="15" t="inlineStr">
        <is>
          <t>Final issue (ipoplatform)</t>
        </is>
      </c>
      <c r="P1064" s="15" t="n"/>
      <c r="Q1064" s="18" t="inlineStr">
        <is>
          <t>https://www.sebi.gov.in/sebi_data/attachdocs/dec-2019/1575274673139.pdf</t>
        </is>
      </c>
      <c r="R1064" s="18" t="inlineStr">
        <is>
          <t>https://www.sebi.gov.in/filings/public-issues/dec-2019/home-first-finance-company-india-limited_45165.html</t>
        </is>
      </c>
      <c r="S1064" s="15" t="n"/>
      <c r="T1064" s="15" t="inlineStr">
        <is>
          <t>SEBI filing link</t>
        </is>
      </c>
      <c r="U1064" s="15" t="inlineStr">
        <is>
          <t>Home First Finance Company India Limited</t>
        </is>
      </c>
      <c r="V1064" s="15" t="n"/>
      <c r="W1064" s="15" t="n"/>
      <c r="X1064" s="15" t="n"/>
      <c r="Y1064" s="15" t="n"/>
      <c r="Z1064" s="15" t="n"/>
      <c r="AA1064" s="15" t="n"/>
      <c r="AB1064" s="15" t="n"/>
    </row>
    <row r="1065" ht="15" customHeight="1" s="12">
      <c r="A1065" s="14" t="n">
        <v>1064</v>
      </c>
      <c r="B1065" s="16" t="n">
        <v>43801</v>
      </c>
      <c r="C1065" s="15" t="n">
        <v>2019</v>
      </c>
      <c r="D1065" s="15" t="inlineStr">
        <is>
          <t>SBI Cards and Payment Services Limited</t>
        </is>
      </c>
      <c r="E1065" s="15" t="inlineStr">
        <is>
          <t>DRHP</t>
        </is>
      </c>
      <c r="F1065" s="15" t="inlineStr">
        <is>
          <t>SBI Cards and Payment Services Limited</t>
        </is>
      </c>
      <c r="G1065" s="15" t="inlineStr">
        <is>
          <t>IPO launched</t>
        </is>
      </c>
      <c r="H1065" s="15" t="inlineStr">
        <is>
          <t>Mainboard</t>
        </is>
      </c>
      <c r="I1065" s="16" t="n">
        <v>43892</v>
      </c>
      <c r="J1065" s="16" t="n">
        <v>43895</v>
      </c>
      <c r="K1065" s="16" t="n">
        <v>43906</v>
      </c>
      <c r="L1065" s="17" t="n">
        <v>10354.77</v>
      </c>
      <c r="M1065" s="17" t="n">
        <v>500</v>
      </c>
      <c r="N1065" s="17" t="n">
        <v>9854.77</v>
      </c>
      <c r="O1065" s="15" t="inlineStr">
        <is>
          <t>Final issue (ipoplatform)</t>
        </is>
      </c>
      <c r="P1065" s="15" t="n"/>
      <c r="Q1065" s="18" t="inlineStr">
        <is>
          <t>https://www.sebi.gov.in/sebi_data/attachdocs/dec-2019/1575268925170.PDF</t>
        </is>
      </c>
      <c r="R1065" s="18" t="inlineStr">
        <is>
          <t>https://www.sebi.gov.in/filings/public-issues/dec-2019/sbi-cards-and-payment-services-limited_45160.html</t>
        </is>
      </c>
      <c r="S1065" s="15" t="n"/>
      <c r="T1065" s="15" t="inlineStr">
        <is>
          <t>SEBI filing link</t>
        </is>
      </c>
      <c r="U1065" s="15" t="inlineStr">
        <is>
          <t>SBI Cards and Payment Services Limited</t>
        </is>
      </c>
      <c r="V1065" s="15" t="n"/>
      <c r="W1065" s="15" t="n"/>
      <c r="X1065" s="15" t="n"/>
      <c r="Y1065" s="15" t="n"/>
      <c r="Z1065" s="15" t="n"/>
      <c r="AA1065" s="15" t="n"/>
      <c r="AB1065" s="15" t="n"/>
    </row>
    <row r="1066" ht="15" customHeight="1" s="12">
      <c r="A1066" s="14" t="n">
        <v>1065</v>
      </c>
      <c r="B1066" s="16" t="n">
        <v>43789</v>
      </c>
      <c r="C1066" s="15" t="n">
        <v>2019</v>
      </c>
      <c r="D1066" s="15" t="inlineStr">
        <is>
          <t>PURANIK BUILDERS LIMITED</t>
        </is>
      </c>
      <c r="E1066" s="15" t="inlineStr">
        <is>
          <t>DRHP</t>
        </is>
      </c>
      <c r="F1066" s="15" t="inlineStr">
        <is>
          <t>PURANIK BUILDERS LIMITED</t>
        </is>
      </c>
      <c r="G1066" s="15" t="inlineStr">
        <is>
          <t>No launched IPO found</t>
        </is>
      </c>
      <c r="H1066" s="15" t="n"/>
      <c r="I1066" s="16" t="n"/>
      <c r="J1066" s="16" t="n"/>
      <c r="K1066" s="16" t="n"/>
      <c r="L1066" s="17" t="n"/>
      <c r="M1066" s="17" t="n"/>
      <c r="N1066" s="17" t="n"/>
      <c r="O1066" s="15" t="n"/>
      <c r="P1066" s="15" t="n"/>
      <c r="Q1066" s="18" t="inlineStr">
        <is>
          <t>https://www.sebi.gov.in/sebi_data/attachdocs/may-2023/1684477803458.pdf</t>
        </is>
      </c>
      <c r="R1066" s="18" t="inlineStr">
        <is>
          <t>https://www.sebi.gov.in/filings/public-issues/nov-2019/puranik-builders-limited_45050.html</t>
        </is>
      </c>
      <c r="S1066" s="15" t="n"/>
      <c r="T1066" s="15" t="n"/>
      <c r="U1066" s="15" t="n"/>
      <c r="V1066" s="15" t="n"/>
      <c r="W1066" s="16" t="n"/>
      <c r="X1066" s="16" t="n"/>
      <c r="Y1066" s="16" t="n"/>
      <c r="Z1066" s="15" t="inlineStr">
        <is>
          <t>No issue found</t>
        </is>
      </c>
      <c r="AA1066" s="15" t="inlineStr">
        <is>
          <t>Business Standard lists the company but shows no issue dates; web search limit reached</t>
        </is>
      </c>
      <c r="AB1066" s="18" t="inlineStr">
        <is>
          <t>https://www.business-standard.com/markets/ipo/puranik-builders-ltd-ipo-66783</t>
        </is>
      </c>
    </row>
    <row r="1067" ht="15" customHeight="1" s="12">
      <c r="A1067" s="14" t="n">
        <v>1066</v>
      </c>
      <c r="B1067" s="16" t="n">
        <v>43774</v>
      </c>
      <c r="C1067" s="15" t="n">
        <v>2019</v>
      </c>
      <c r="D1067" s="15" t="inlineStr">
        <is>
          <t>BURGER KING INDIA LIMITED</t>
        </is>
      </c>
      <c r="E1067" s="15" t="inlineStr">
        <is>
          <t>DRHP</t>
        </is>
      </c>
      <c r="F1067" s="15" t="inlineStr">
        <is>
          <t>BURGER KING INDIA LIMITED</t>
        </is>
      </c>
      <c r="G1067" s="15" t="inlineStr">
        <is>
          <t>IPO launched</t>
        </is>
      </c>
      <c r="H1067" s="15" t="inlineStr">
        <is>
          <t>Mainboard</t>
        </is>
      </c>
      <c r="I1067" s="16" t="n">
        <v>44167</v>
      </c>
      <c r="J1067" s="16" t="n">
        <v>44169</v>
      </c>
      <c r="K1067" s="16" t="n">
        <v>44179</v>
      </c>
      <c r="L1067" s="17" t="n">
        <v>810</v>
      </c>
      <c r="M1067" s="17" t="n">
        <v>450</v>
      </c>
      <c r="N1067" s="17" t="n">
        <v>360</v>
      </c>
      <c r="O1067" s="15" t="inlineStr">
        <is>
          <t>Final issue (ipoplatform)</t>
        </is>
      </c>
      <c r="P1067" s="15" t="n"/>
      <c r="Q1067" s="18" t="inlineStr">
        <is>
          <t>https://www.sebi.gov.in/sebi_data/attachdocs/nov-2019/1573013898727.pdf</t>
        </is>
      </c>
      <c r="R1067" s="18" t="inlineStr">
        <is>
          <t>https://www.sebi.gov.in/filings/public-issues/nov-2019/burger-king-india-limited_44876.html</t>
        </is>
      </c>
      <c r="S1067" s="15" t="n"/>
      <c r="T1067" s="15" t="inlineStr">
        <is>
          <t>SEBI filing link</t>
        </is>
      </c>
      <c r="U1067" s="15" t="inlineStr">
        <is>
          <t>Burger King India Limited</t>
        </is>
      </c>
      <c r="V1067" s="15" t="n"/>
      <c r="W1067" s="15" t="n"/>
      <c r="X1067" s="15" t="n"/>
      <c r="Y1067" s="15" t="n"/>
      <c r="Z1067" s="15" t="n"/>
      <c r="AA1067" s="15" t="n"/>
      <c r="AB1067" s="15" t="n"/>
    </row>
    <row r="1068" ht="15" customHeight="1" s="12">
      <c r="A1068" s="14" t="n">
        <v>1067</v>
      </c>
      <c r="B1068" s="16" t="n">
        <v>43768</v>
      </c>
      <c r="C1068" s="15" t="n">
        <v>2019</v>
      </c>
      <c r="D1068" s="15" t="inlineStr">
        <is>
          <t>Mangalam Global Enterprise Limited</t>
        </is>
      </c>
      <c r="E1068" s="15" t="inlineStr">
        <is>
          <t>DRHP</t>
        </is>
      </c>
      <c r="F1068" s="15" t="inlineStr">
        <is>
          <t>Mangalam Global Enterprise Limited</t>
        </is>
      </c>
      <c r="G1068" s="15" t="inlineStr">
        <is>
          <t>IPO launched</t>
        </is>
      </c>
      <c r="H1068" s="15" t="inlineStr">
        <is>
          <t>SME</t>
        </is>
      </c>
      <c r="I1068" s="16" t="n">
        <v>43784</v>
      </c>
      <c r="J1068" s="16" t="n">
        <v>43789</v>
      </c>
      <c r="K1068" s="16" t="n">
        <v>43796</v>
      </c>
      <c r="L1068" s="17" t="n">
        <v>21.57</v>
      </c>
      <c r="M1068" s="17" t="n">
        <v>21.57</v>
      </c>
      <c r="N1068" s="17" t="n">
        <v>0</v>
      </c>
      <c r="O1068" s="15" t="inlineStr">
        <is>
          <t>Final issue (ipoplatform)</t>
        </is>
      </c>
      <c r="P1068" s="15" t="n"/>
      <c r="Q1068" s="18" t="inlineStr">
        <is>
          <t>https://www.sebi.gov.in/sebi_data/attachdocs/oct-2019/1572410055177.pdf</t>
        </is>
      </c>
      <c r="R1068" s="18" t="inlineStr">
        <is>
          <t>https://www.sebi.gov.in/filings/public-issues/oct-2019/mangalam-global-enterprise-limited_44795.html</t>
        </is>
      </c>
      <c r="S1068" s="15" t="n"/>
      <c r="T1068" s="15" t="inlineStr">
        <is>
          <t>Company name + date window</t>
        </is>
      </c>
      <c r="U1068" s="15" t="inlineStr">
        <is>
          <t>Mangalam Global Enterprise Limited</t>
        </is>
      </c>
      <c r="V1068" s="15" t="n"/>
      <c r="W1068" s="15" t="n"/>
      <c r="X1068" s="15" t="n"/>
      <c r="Y1068" s="15" t="n"/>
      <c r="Z1068" s="15" t="n"/>
      <c r="AA1068" s="15" t="n"/>
      <c r="AB1068" s="15" t="n"/>
    </row>
    <row r="1069" ht="15" customHeight="1" s="12">
      <c r="A1069" s="14" t="n">
        <v>1068</v>
      </c>
      <c r="B1069" s="16" t="n">
        <v>43763</v>
      </c>
      <c r="C1069" s="15" t="n">
        <v>2019</v>
      </c>
      <c r="D1069" s="15" t="inlineStr">
        <is>
          <t>Bonlon Industries Limited</t>
        </is>
      </c>
      <c r="E1069" s="15" t="inlineStr">
        <is>
          <t>DRHP</t>
        </is>
      </c>
      <c r="F1069" s="15" t="inlineStr">
        <is>
          <t>Bonlon Industries Limited</t>
        </is>
      </c>
      <c r="G1069" s="15" t="inlineStr">
        <is>
          <t>IPO launched</t>
        </is>
      </c>
      <c r="H1069" s="15" t="inlineStr">
        <is>
          <t>SME</t>
        </is>
      </c>
      <c r="I1069" s="16" t="n">
        <v>44012</v>
      </c>
      <c r="J1069" s="16" t="n">
        <v>44015</v>
      </c>
      <c r="K1069" s="16" t="n">
        <v>44025</v>
      </c>
      <c r="L1069" s="17" t="n">
        <v>10.52</v>
      </c>
      <c r="M1069" s="17" t="n">
        <v>10.52</v>
      </c>
      <c r="N1069" s="17" t="n">
        <v>0</v>
      </c>
      <c r="O1069" s="15" t="inlineStr">
        <is>
          <t>Final issue (ipoplatform)</t>
        </is>
      </c>
      <c r="P1069" s="15" t="n"/>
      <c r="Q1069" s="18" t="inlineStr">
        <is>
          <t>https://www.sebi.gov.in/sebi_data/attachdocs/oct-2019/1572002560483.pdf</t>
        </is>
      </c>
      <c r="R1069" s="18" t="inlineStr">
        <is>
          <t>https://www.sebi.gov.in/filings/public-issues/oct-2019/bonlon-industries-limited_44778.html</t>
        </is>
      </c>
      <c r="S1069" s="15" t="n"/>
      <c r="T1069" s="15" t="inlineStr">
        <is>
          <t>SEBI filing link</t>
        </is>
      </c>
      <c r="U1069" s="15" t="inlineStr">
        <is>
          <t>Bonlon Industries Limited</t>
        </is>
      </c>
      <c r="V1069" s="15" t="n"/>
      <c r="W1069" s="15" t="n"/>
      <c r="X1069" s="15" t="n"/>
      <c r="Y1069" s="15" t="n"/>
      <c r="Z1069" s="15" t="n"/>
      <c r="AA1069" s="15" t="n"/>
      <c r="AB1069" s="15" t="n"/>
    </row>
    <row r="1070" ht="15" customHeight="1" s="12">
      <c r="A1070" s="14" t="n">
        <v>1069</v>
      </c>
      <c r="B1070" s="16" t="n">
        <v>43762</v>
      </c>
      <c r="C1070" s="15" t="n">
        <v>2019</v>
      </c>
      <c r="D1070" s="15" t="inlineStr">
        <is>
          <t>Ramsons Food Products Limited</t>
        </is>
      </c>
      <c r="E1070" s="15" t="inlineStr">
        <is>
          <t>DRHP</t>
        </is>
      </c>
      <c r="F1070" s="15" t="inlineStr">
        <is>
          <t>Ramsons Food Products Limited</t>
        </is>
      </c>
      <c r="G1070" s="15" t="inlineStr">
        <is>
          <t>No launched IPO found</t>
        </is>
      </c>
      <c r="H1070" s="15" t="n"/>
      <c r="I1070" s="16" t="n"/>
      <c r="J1070" s="16" t="n"/>
      <c r="K1070" s="16" t="n"/>
      <c r="L1070" s="17" t="n"/>
      <c r="M1070" s="17" t="n"/>
      <c r="N1070" s="17" t="n"/>
      <c r="O1070" s="15" t="n"/>
      <c r="P1070" s="15" t="n"/>
      <c r="Q1070" s="18" t="inlineStr">
        <is>
          <t>https://www.sebi.gov.in/sebi_data/attachdocs/oct-2019/1571917589761.PDF</t>
        </is>
      </c>
      <c r="R1070" s="18" t="inlineStr">
        <is>
          <t>https://www.sebi.gov.in/filings/public-issues/oct-2019/ramsons-food-products-limited_44753.html</t>
        </is>
      </c>
      <c r="S1070" s="15" t="n"/>
      <c r="T1070" s="15" t="n"/>
      <c r="U1070" s="15" t="n"/>
      <c r="V1070" s="15" t="n"/>
      <c r="W1070" s="16" t="n"/>
      <c r="X1070" s="16" t="n"/>
      <c r="Y1070" s="16" t="n"/>
      <c r="Z1070" s="15" t="inlineStr">
        <is>
          <t>No issue found</t>
        </is>
      </c>
      <c r="AA1070" s="15" t="inlineStr">
        <is>
          <t>Ramsons Food Limited shown unlisted; no IPO found.</t>
        </is>
      </c>
      <c r="AB1070" s="15" t="n"/>
    </row>
    <row r="1071" ht="15" customHeight="1" s="12">
      <c r="A1071" s="14" t="n">
        <v>1070</v>
      </c>
      <c r="B1071" s="16" t="n">
        <v>43760</v>
      </c>
      <c r="C1071" s="15" t="n">
        <v>2019</v>
      </c>
      <c r="D1071" s="15" t="inlineStr">
        <is>
          <t>RAINBOW CROP HEALTH LIMITED</t>
        </is>
      </c>
      <c r="E1071" s="15" t="inlineStr">
        <is>
          <t>DRHP</t>
        </is>
      </c>
      <c r="F1071" s="15" t="inlineStr">
        <is>
          <t>RAINBOW CROP HEALTH LIMITED</t>
        </is>
      </c>
      <c r="G1071" s="15" t="inlineStr">
        <is>
          <t>No launched IPO found</t>
        </is>
      </c>
      <c r="H1071" s="15" t="n"/>
      <c r="I1071" s="16" t="n"/>
      <c r="J1071" s="16" t="n"/>
      <c r="K1071" s="16" t="n"/>
      <c r="L1071" s="17" t="n"/>
      <c r="M1071" s="17" t="n"/>
      <c r="N1071" s="17" t="n"/>
      <c r="O1071" s="15" t="n"/>
      <c r="P1071" s="15" t="n"/>
      <c r="Q1071" s="18" t="inlineStr">
        <is>
          <t>https://www.sebi.gov.in/sebi_data/attachdocs/oct-2019/1571745925606.PDF</t>
        </is>
      </c>
      <c r="R1071" s="18" t="inlineStr">
        <is>
          <t>https://www.sebi.gov.in/filings/public-issues/oct-2019/rainbow-crop-health-limited_44714.html</t>
        </is>
      </c>
      <c r="S1071" s="15" t="n"/>
      <c r="T1071" s="15" t="n"/>
      <c r="U1071" s="15" t="n"/>
      <c r="V1071" s="15" t="n"/>
      <c r="W1071" s="16" t="n"/>
      <c r="X1071" s="16" t="n"/>
      <c r="Y1071" s="16" t="n"/>
      <c r="Z1071" s="15" t="inlineStr">
        <is>
          <t>No issue found</t>
        </is>
      </c>
      <c r="AA1071" s="15" t="inlineStr">
        <is>
          <t>Dates not known; Rainbow Children's Medicare is a different company.</t>
        </is>
      </c>
      <c r="AB1071" s="18" t="inlineStr">
        <is>
          <t>https://www.business-standard.com/markets/ipo/rainbow-crop-health-ltd-ipo-74559</t>
        </is>
      </c>
    </row>
    <row r="1072" ht="15" customHeight="1" s="12">
      <c r="A1072" s="14" t="n">
        <v>1071</v>
      </c>
      <c r="B1072" s="16" t="n">
        <v>43742</v>
      </c>
      <c r="C1072" s="15" t="n">
        <v>2019</v>
      </c>
      <c r="D1072" s="15" t="inlineStr">
        <is>
          <t>Nilshikhaa Projects Ltd</t>
        </is>
      </c>
      <c r="E1072" s="15" t="inlineStr">
        <is>
          <t>DRHP</t>
        </is>
      </c>
      <c r="F1072" s="15" t="inlineStr">
        <is>
          <t>Nilshikhaa Projects Ltd.</t>
        </is>
      </c>
      <c r="G1072" s="15" t="inlineStr">
        <is>
          <t>No launched IPO found</t>
        </is>
      </c>
      <c r="H1072" s="15" t="n"/>
      <c r="I1072" s="16" t="n"/>
      <c r="J1072" s="16" t="n"/>
      <c r="K1072" s="16" t="n"/>
      <c r="L1072" s="17" t="n"/>
      <c r="M1072" s="17" t="n"/>
      <c r="N1072" s="17" t="n"/>
      <c r="O1072" s="15" t="n"/>
      <c r="P1072" s="15" t="n"/>
      <c r="Q1072" s="18" t="inlineStr">
        <is>
          <t>https://www.sebi.gov.in/sebi_data/attachdocs/oct-2019/1570183901946.pdf</t>
        </is>
      </c>
      <c r="R1072" s="18" t="inlineStr">
        <is>
          <t>https://www.sebi.gov.in/filings/public-issues/oct-2019/nilshikhaa-projects-ltd-_44577.html</t>
        </is>
      </c>
      <c r="S1072" s="15" t="n"/>
      <c r="T1072" s="15" t="n"/>
      <c r="U1072" s="15" t="n"/>
      <c r="V1072" s="15" t="n"/>
      <c r="W1072" s="16" t="n"/>
      <c r="X1072" s="16" t="n"/>
      <c r="Y1072" s="16" t="n"/>
      <c r="Z1072" s="15" t="inlineStr">
        <is>
          <t>No issue found</t>
        </is>
      </c>
      <c r="AA1072" s="15" t="inlineStr">
        <is>
          <t>Listed as unlisted; no IPO found.</t>
        </is>
      </c>
      <c r="AB1072" s="18" t="inlineStr">
        <is>
          <t>https://www.business-standard.com/markets/ipo/nilshikhaa-projects-ltd-ipo-74561</t>
        </is>
      </c>
    </row>
    <row r="1073" ht="15" customHeight="1" s="12">
      <c r="A1073" s="14" t="n">
        <v>1072</v>
      </c>
      <c r="B1073" s="16" t="n">
        <v>43742</v>
      </c>
      <c r="C1073" s="15" t="n">
        <v>2019</v>
      </c>
      <c r="D1073" s="15" t="inlineStr">
        <is>
          <t>Zircar Refractories Ltd</t>
        </is>
      </c>
      <c r="E1073" s="15" t="inlineStr">
        <is>
          <t>DRHP</t>
        </is>
      </c>
      <c r="F1073" s="15" t="inlineStr">
        <is>
          <t>Zircar Refractories Ltd.</t>
        </is>
      </c>
      <c r="G1073" s="15" t="inlineStr">
        <is>
          <t>No launched IPO found</t>
        </is>
      </c>
      <c r="H1073" s="15" t="n"/>
      <c r="I1073" s="16" t="n"/>
      <c r="J1073" s="16" t="n"/>
      <c r="K1073" s="16" t="n"/>
      <c r="L1073" s="17" t="n"/>
      <c r="M1073" s="17" t="n"/>
      <c r="N1073" s="17" t="n"/>
      <c r="O1073" s="15" t="n"/>
      <c r="P1073" s="15" t="n"/>
      <c r="Q1073" s="18" t="inlineStr">
        <is>
          <t>https://www.sebi.gov.in/sebi_data/attachdocs/oct-2019/1570183832734.pdf</t>
        </is>
      </c>
      <c r="R1073" s="18" t="inlineStr">
        <is>
          <t>https://www.sebi.gov.in/filings/public-issues/oct-2019/zircar-refractories-ltd-_44576.html</t>
        </is>
      </c>
      <c r="S1073" s="15" t="n"/>
      <c r="T1073" s="15" t="n"/>
      <c r="U1073" s="15" t="n"/>
      <c r="V1073" s="15" t="n"/>
      <c r="W1073" s="16" t="n"/>
      <c r="X1073" s="16" t="n"/>
      <c r="Y1073" s="16" t="n"/>
      <c r="Z1073" s="15" t="inlineStr">
        <is>
          <t>No issue found</t>
        </is>
      </c>
      <c r="AA1073" s="15" t="inlineStr">
        <is>
          <t>Company shown unlisted; no IPO dates found.</t>
        </is>
      </c>
      <c r="AB1073" s="18" t="inlineStr">
        <is>
          <t>https://www.business-standard.com/markets/ipo/zircar-refractories-ltd-ipo-74560</t>
        </is>
      </c>
    </row>
    <row r="1074" ht="15" customHeight="1" s="12">
      <c r="A1074" s="14" t="n">
        <v>1073</v>
      </c>
      <c r="B1074" s="16" t="n">
        <v>43741</v>
      </c>
      <c r="C1074" s="15" t="n">
        <v>2019</v>
      </c>
      <c r="D1074" s="15" t="inlineStr">
        <is>
          <t>ROUTE MOBILE LIMITED</t>
        </is>
      </c>
      <c r="E1074" s="15" t="inlineStr">
        <is>
          <t>DRHP</t>
        </is>
      </c>
      <c r="F1074" s="15" t="inlineStr">
        <is>
          <t>ROUTE MOBILE LIMITED</t>
        </is>
      </c>
      <c r="G1074" s="15" t="inlineStr">
        <is>
          <t>IPO launched</t>
        </is>
      </c>
      <c r="H1074" s="15" t="inlineStr">
        <is>
          <t>Mainboard</t>
        </is>
      </c>
      <c r="I1074" s="16" t="n">
        <v>44083</v>
      </c>
      <c r="J1074" s="16" t="n">
        <v>44085</v>
      </c>
      <c r="K1074" s="16" t="n">
        <v>44095</v>
      </c>
      <c r="L1074" s="17" t="n">
        <v>600</v>
      </c>
      <c r="M1074" s="17" t="n">
        <v>240</v>
      </c>
      <c r="N1074" s="17" t="n">
        <v>360</v>
      </c>
      <c r="O1074" s="15" t="inlineStr">
        <is>
          <t>Final issue (ipoplatform)</t>
        </is>
      </c>
      <c r="P1074" s="15" t="n"/>
      <c r="Q1074" s="18" t="inlineStr">
        <is>
          <t>https://www.sebi.gov.in/sebi_data/attachdocs/may-2023/1683095174184.pdf</t>
        </is>
      </c>
      <c r="R1074" s="18" t="inlineStr">
        <is>
          <t>https://www.sebi.gov.in/filings/public-issues/oct-2019/route-mobile-limited_44646.html</t>
        </is>
      </c>
      <c r="S1074" s="15" t="n"/>
      <c r="T1074" s="15" t="inlineStr">
        <is>
          <t>SEBI filing link</t>
        </is>
      </c>
      <c r="U1074" s="15" t="inlineStr">
        <is>
          <t>Route Mobile Limited</t>
        </is>
      </c>
      <c r="V1074" s="15" t="n"/>
      <c r="W1074" s="15" t="n"/>
      <c r="X1074" s="15" t="n"/>
      <c r="Y1074" s="15" t="n"/>
      <c r="Z1074" s="15" t="n"/>
      <c r="AA1074" s="15" t="n"/>
      <c r="AB1074" s="15" t="n"/>
    </row>
    <row r="1075" ht="15" customHeight="1" s="12">
      <c r="A1075" s="14" t="n">
        <v>1074</v>
      </c>
      <c r="B1075" s="16" t="n">
        <v>43739</v>
      </c>
      <c r="C1075" s="15" t="n">
        <v>2019</v>
      </c>
      <c r="D1075" s="15" t="inlineStr">
        <is>
          <t>Mukesh Trends Life Style Limited</t>
        </is>
      </c>
      <c r="E1075" s="15" t="inlineStr">
        <is>
          <t>DRHP</t>
        </is>
      </c>
      <c r="F1075" s="15" t="inlineStr">
        <is>
          <t>Mukesh Trends Life Style Limited</t>
        </is>
      </c>
      <c r="G1075" s="15" t="inlineStr">
        <is>
          <t>No launched IPO found</t>
        </is>
      </c>
      <c r="H1075" s="15" t="n"/>
      <c r="I1075" s="16" t="n"/>
      <c r="J1075" s="16" t="n"/>
      <c r="K1075" s="16" t="n"/>
      <c r="L1075" s="17" t="n"/>
      <c r="M1075" s="17" t="n"/>
      <c r="N1075" s="17" t="n"/>
      <c r="O1075" s="15" t="n"/>
      <c r="P1075" s="15" t="n"/>
      <c r="Q1075" s="18" t="inlineStr">
        <is>
          <t>https://www.sebi.gov.in/sebi_data/attachdocs/oct-2019/1569921982503.pdf</t>
        </is>
      </c>
      <c r="R1075" s="18" t="inlineStr">
        <is>
          <t>https://www.sebi.gov.in/filings/public-issues/oct-2019/mukesh-trends-life-style-limited_44548.html</t>
        </is>
      </c>
      <c r="S1075" s="15" t="n"/>
      <c r="T1075" s="15" t="n"/>
      <c r="U1075" s="15" t="n"/>
      <c r="V1075" s="15" t="n"/>
      <c r="W1075" s="16" t="n"/>
      <c r="X1075" s="16" t="n"/>
      <c r="Y1075" s="16" t="n"/>
      <c r="Z1075" s="15" t="inlineStr">
        <is>
          <t>No issue found</t>
        </is>
      </c>
      <c r="AA1075" s="15" t="inlineStr">
        <is>
          <t>Dates NA; no IPO found.</t>
        </is>
      </c>
      <c r="AB1075" s="18" t="inlineStr">
        <is>
          <t>https://www.business-standard.com/markets/ipo/mukesh-trends-lifestyle-ltd-ipo-74553</t>
        </is>
      </c>
    </row>
    <row r="1076" ht="15" customHeight="1" s="12">
      <c r="A1076" s="14" t="n">
        <v>1075</v>
      </c>
      <c r="B1076" s="16" t="n">
        <v>43738</v>
      </c>
      <c r="C1076" s="15" t="n">
        <v>2019</v>
      </c>
      <c r="D1076" s="15" t="inlineStr">
        <is>
          <t>Montecarlo Limited</t>
        </is>
      </c>
      <c r="E1076" s="15" t="inlineStr">
        <is>
          <t>DRHP</t>
        </is>
      </c>
      <c r="F1076" s="15" t="inlineStr">
        <is>
          <t>Montecarlo Limited</t>
        </is>
      </c>
      <c r="G1076" s="15" t="inlineStr">
        <is>
          <t>No launched IPO found</t>
        </is>
      </c>
      <c r="H1076" s="15" t="n"/>
      <c r="I1076" s="16" t="n"/>
      <c r="J1076" s="16" t="n"/>
      <c r="K1076" s="16" t="n"/>
      <c r="L1076" s="17" t="n"/>
      <c r="M1076" s="17" t="n"/>
      <c r="N1076" s="17" t="n"/>
      <c r="O1076" s="15" t="n"/>
      <c r="P1076" s="15" t="n"/>
      <c r="Q1076" s="18" t="inlineStr">
        <is>
          <t>https://www.sebi.gov.in/sebi_data/attachdocs/may-2023/1684477400672.pdf</t>
        </is>
      </c>
      <c r="R1076" s="18" t="inlineStr">
        <is>
          <t>https://www.sebi.gov.in/filings/public-issues/sep-2019/montecarlo-limited_44529.html</t>
        </is>
      </c>
      <c r="S1076" s="15" t="n"/>
      <c r="T1076" s="15" t="n"/>
      <c r="U1076" s="15" t="n"/>
      <c r="V1076" s="15" t="n"/>
      <c r="W1076" s="16" t="n"/>
      <c r="X1076" s="16" t="n"/>
      <c r="Y1076" s="16" t="n"/>
      <c r="Z1076" s="15" t="inlineStr">
        <is>
          <t>No issue found</t>
        </is>
      </c>
      <c r="AA1076" s="15" t="inlineStr">
        <is>
          <t>SEBI nod Aug 2018; planned 2021 IPO not released. Monte Carlo Fashions (2014) is different.</t>
        </is>
      </c>
      <c r="AB1076" s="18" t="inlineStr">
        <is>
          <t>https://www.motilaloswal.com/learning-centre/2021/4/montecarlo-limited-ipo-montecarlo-limited-ipo-date-share-price-and-news</t>
        </is>
      </c>
    </row>
    <row r="1077" ht="15" customHeight="1" s="12">
      <c r="A1077" s="14" t="n">
        <v>1076</v>
      </c>
      <c r="B1077" s="16" t="n">
        <v>43732</v>
      </c>
      <c r="C1077" s="15" t="n">
        <v>2019</v>
      </c>
      <c r="D1077" s="15" t="inlineStr">
        <is>
          <t>SAMHI HOTELS LIMITED</t>
        </is>
      </c>
      <c r="E1077" s="15" t="inlineStr">
        <is>
          <t>DRHP</t>
        </is>
      </c>
      <c r="F1077" s="15" t="inlineStr">
        <is>
          <t>SAMHI HOTELS LIMITED</t>
        </is>
      </c>
      <c r="G1077" s="15" t="inlineStr">
        <is>
          <t>No launched IPO found</t>
        </is>
      </c>
      <c r="H1077" s="15" t="n"/>
      <c r="I1077" s="16" t="n"/>
      <c r="J1077" s="16" t="n"/>
      <c r="K1077" s="16" t="n"/>
      <c r="L1077" s="17" t="n"/>
      <c r="M1077" s="17" t="n"/>
      <c r="N1077" s="17" t="n"/>
      <c r="O1077" s="15" t="n"/>
      <c r="P1077" s="15" t="n"/>
      <c r="Q1077" s="18" t="inlineStr">
        <is>
          <t>https://www.sebi.gov.in/sebi_data/attachdocs/oct-2019/1570084748102.pdf</t>
        </is>
      </c>
      <c r="R1077" s="18" t="inlineStr">
        <is>
          <t>https://www.sebi.gov.in/filings/public-issues/sep-2019/samhi-hotels-limited_44561.html</t>
        </is>
      </c>
      <c r="S1077" s="15" t="n"/>
      <c r="T1077" s="15" t="n"/>
      <c r="U1077" s="15" t="n"/>
      <c r="V1077" s="15" t="inlineStr">
        <is>
          <t>Same-name IPO opened 14-Sep-2023 — outside 2 years of this filing, so not linked</t>
        </is>
      </c>
      <c r="W1077" s="25" t="n">
        <v>45183</v>
      </c>
      <c r="X1077" s="25" t="n">
        <v>45187</v>
      </c>
      <c r="Y1077" s="25" t="n">
        <v>45196</v>
      </c>
      <c r="Z1077" s="26" t="inlineStr">
        <is>
          <t>Later IPO — not from this draft</t>
        </is>
      </c>
      <c r="AA1077" s="15" t="inlineStr">
        <is>
          <t>IPO opened over 3 years after 2019 filing (likely fresh DRHP later).</t>
        </is>
      </c>
      <c r="AB1077" s="18" t="inlineStr">
        <is>
          <t>https://www.chittorgarh.com/ipo/samhi-hotels-ipo/1502/</t>
        </is>
      </c>
    </row>
    <row r="1078" ht="15" customHeight="1" s="12">
      <c r="A1078" s="14" t="n">
        <v>1077</v>
      </c>
      <c r="B1078" s="16" t="n">
        <v>43726</v>
      </c>
      <c r="C1078" s="15" t="n">
        <v>2019</v>
      </c>
      <c r="D1078" s="15" t="inlineStr">
        <is>
          <t>Gensol Engineering Limited</t>
        </is>
      </c>
      <c r="E1078" s="15" t="inlineStr">
        <is>
          <t>DRHP</t>
        </is>
      </c>
      <c r="F1078" s="15" t="inlineStr">
        <is>
          <t>Gensol Engineering Limited</t>
        </is>
      </c>
      <c r="G1078" s="15" t="inlineStr">
        <is>
          <t>IPO launched</t>
        </is>
      </c>
      <c r="H1078" s="15" t="inlineStr">
        <is>
          <t>SME</t>
        </is>
      </c>
      <c r="I1078" s="16" t="n">
        <v>43742</v>
      </c>
      <c r="J1078" s="16" t="n">
        <v>43748</v>
      </c>
      <c r="K1078" s="16" t="n">
        <v>43753</v>
      </c>
      <c r="L1078" s="17" t="n">
        <v>17.93</v>
      </c>
      <c r="M1078" s="17" t="n">
        <v>17.93</v>
      </c>
      <c r="N1078" s="17" t="n">
        <v>0</v>
      </c>
      <c r="O1078" s="15" t="inlineStr">
        <is>
          <t>Final issue (ipoplatform)</t>
        </is>
      </c>
      <c r="P1078" s="15" t="n"/>
      <c r="Q1078" s="18" t="inlineStr">
        <is>
          <t>https://www.sebi.gov.in/sebi_data/attachdocs/sep-2019/1568803208643.pdf</t>
        </is>
      </c>
      <c r="R1078" s="18" t="inlineStr">
        <is>
          <t>https://www.sebi.gov.in/filings/public-issues/sep-2019/gensol-engineering-limited_44284.html</t>
        </is>
      </c>
      <c r="S1078" s="15" t="n"/>
      <c r="T1078" s="15" t="inlineStr">
        <is>
          <t>SEBI filing link</t>
        </is>
      </c>
      <c r="U1078" s="15" t="inlineStr">
        <is>
          <t>Gensol Engineering Limited</t>
        </is>
      </c>
      <c r="V1078" s="15" t="n"/>
      <c r="W1078" s="15" t="n"/>
      <c r="X1078" s="15" t="n"/>
      <c r="Y1078" s="15" t="n"/>
      <c r="Z1078" s="15" t="n"/>
      <c r="AA1078" s="15" t="n"/>
      <c r="AB1078" s="15" t="n"/>
    </row>
    <row r="1079" ht="15" customHeight="1" s="12">
      <c r="A1079" s="14" t="n">
        <v>1078</v>
      </c>
      <c r="B1079" s="16" t="n">
        <v>43724</v>
      </c>
      <c r="C1079" s="15" t="n">
        <v>2019</v>
      </c>
      <c r="D1079" s="15" t="inlineStr">
        <is>
          <t>Unidrug Innovative Pharma Technologies Limited</t>
        </is>
      </c>
      <c r="E1079" s="15" t="inlineStr">
        <is>
          <t>DRHP</t>
        </is>
      </c>
      <c r="F1079" s="15" t="inlineStr">
        <is>
          <t>Unidrug Innovative Pharma Technologies Limited</t>
        </is>
      </c>
      <c r="G1079" s="15" t="inlineStr">
        <is>
          <t>No launched IPO found</t>
        </is>
      </c>
      <c r="H1079" s="15" t="n"/>
      <c r="I1079" s="16" t="n"/>
      <c r="J1079" s="16" t="n"/>
      <c r="K1079" s="16" t="n"/>
      <c r="L1079" s="17" t="n"/>
      <c r="M1079" s="17" t="n"/>
      <c r="N1079" s="17" t="n"/>
      <c r="O1079" s="15" t="n"/>
      <c r="P1079" s="15" t="n"/>
      <c r="Q1079" s="18" t="inlineStr">
        <is>
          <t>https://www.sebi.gov.in/sebi_data/attachdocs/oct-2019/1570163328439.pdf</t>
        </is>
      </c>
      <c r="R1079" s="18" t="inlineStr">
        <is>
          <t>https://www.sebi.gov.in/filings/public-issues/sep-2019/unidrug-innovative-pharma-technologies-limited_44566.html</t>
        </is>
      </c>
      <c r="S1079" s="15" t="n"/>
      <c r="T1079" s="15" t="n"/>
      <c r="U1079" s="15" t="n"/>
      <c r="V1079" s="15" t="n"/>
      <c r="W1079" s="16" t="n"/>
      <c r="X1079" s="16" t="n"/>
      <c r="Y1079" s="16" t="n"/>
      <c r="Z1079" s="15" t="inlineStr">
        <is>
          <t>No issue found</t>
        </is>
      </c>
      <c r="AA1079" s="15" t="inlineStr">
        <is>
          <t>Company unlisted; no IPO dates found.</t>
        </is>
      </c>
      <c r="AB1079" s="18" t="inlineStr">
        <is>
          <t>https://top10stockbroker.com/ipo-review/unidrug-innovative-pharma-ipo/</t>
        </is>
      </c>
    </row>
    <row r="1080" ht="15" customHeight="1" s="12">
      <c r="A1080" s="14" t="n">
        <v>1079</v>
      </c>
      <c r="B1080" s="16" t="n">
        <v>43698</v>
      </c>
      <c r="C1080" s="15" t="n">
        <v>2019</v>
      </c>
      <c r="D1080" s="15" t="inlineStr">
        <is>
          <t>INDIAN RAILWAY CATERING AND TOURISM CORPORATION LIMITED</t>
        </is>
      </c>
      <c r="E1080" s="15" t="inlineStr">
        <is>
          <t>DRHP</t>
        </is>
      </c>
      <c r="F1080" s="15" t="inlineStr">
        <is>
          <t>INDIAN RAILWAY CATERING AND TOURISM CORPORATION LIMITED</t>
        </is>
      </c>
      <c r="G1080" s="15" t="inlineStr">
        <is>
          <t>IPO launched</t>
        </is>
      </c>
      <c r="H1080" s="15" t="inlineStr">
        <is>
          <t>Mainboard</t>
        </is>
      </c>
      <c r="I1080" s="16" t="n">
        <v>43738</v>
      </c>
      <c r="J1080" s="16" t="n">
        <v>43741</v>
      </c>
      <c r="K1080" s="16" t="n">
        <v>43752</v>
      </c>
      <c r="L1080" s="17" t="n">
        <v>645.12</v>
      </c>
      <c r="M1080" s="17" t="n">
        <v>645.12</v>
      </c>
      <c r="N1080" s="17" t="n">
        <v>0</v>
      </c>
      <c r="O1080" s="15" t="inlineStr">
        <is>
          <t>Final issue (ipoplatform)</t>
        </is>
      </c>
      <c r="P1080" s="15" t="n"/>
      <c r="Q1080" s="18" t="inlineStr">
        <is>
          <t>https://www.sebi.gov.in/sebi_data/attachdocs/aug-2019/1566449751846.pdf</t>
        </is>
      </c>
      <c r="R1080" s="18" t="inlineStr">
        <is>
          <t>https://www.sebi.gov.in/filings/public-issues/aug-2019/indian-railway-catering-and-tourism-corporation-limited_43981.html</t>
        </is>
      </c>
      <c r="S1080" s="15" t="n"/>
      <c r="T1080" s="15" t="inlineStr">
        <is>
          <t>SEBI filing link</t>
        </is>
      </c>
      <c r="U1080" s="15" t="inlineStr">
        <is>
          <t>IRCTC Limited</t>
        </is>
      </c>
      <c r="V1080" s="15" t="n"/>
      <c r="W1080" s="15" t="n"/>
      <c r="X1080" s="15" t="n"/>
      <c r="Y1080" s="15" t="n"/>
      <c r="Z1080" s="15" t="n"/>
      <c r="AA1080" s="15" t="n"/>
      <c r="AB1080" s="15" t="n"/>
    </row>
    <row r="1081" ht="15" customHeight="1" s="12">
      <c r="A1081" s="14" t="n">
        <v>1080</v>
      </c>
      <c r="B1081" s="16" t="n">
        <v>43691</v>
      </c>
      <c r="C1081" s="15" t="n">
        <v>2019</v>
      </c>
      <c r="D1081" s="15" t="inlineStr">
        <is>
          <t>Ujjivan Small Finance Bank Limited</t>
        </is>
      </c>
      <c r="E1081" s="15" t="inlineStr">
        <is>
          <t>DRHP</t>
        </is>
      </c>
      <c r="F1081" s="15" t="inlineStr">
        <is>
          <t>Ujjivan Small Finance Bank Limited</t>
        </is>
      </c>
      <c r="G1081" s="15" t="inlineStr">
        <is>
          <t>IPO launched</t>
        </is>
      </c>
      <c r="H1081" s="15" t="inlineStr">
        <is>
          <t>Mainboard</t>
        </is>
      </c>
      <c r="I1081" s="16" t="n">
        <v>43801</v>
      </c>
      <c r="J1081" s="16" t="n">
        <v>43803</v>
      </c>
      <c r="K1081" s="16" t="n">
        <v>43811</v>
      </c>
      <c r="L1081" s="17" t="n">
        <v>750</v>
      </c>
      <c r="M1081" s="17" t="n">
        <v>750</v>
      </c>
      <c r="N1081" s="17" t="n">
        <v>0</v>
      </c>
      <c r="O1081" s="15" t="inlineStr">
        <is>
          <t>Final issue (ipoplatform)</t>
        </is>
      </c>
      <c r="P1081" s="15" t="n"/>
      <c r="Q1081" s="18" t="inlineStr">
        <is>
          <t>https://www.sebi.gov.in/sebi_data/attachdocs/aug-2019/1566450897703.PDF</t>
        </is>
      </c>
      <c r="R1081" s="18" t="inlineStr">
        <is>
          <t>https://www.sebi.gov.in/filings/public-issues/aug-2019/ujjivan-small-finance-bank-limited_43982.html</t>
        </is>
      </c>
      <c r="S1081" s="15" t="n"/>
      <c r="T1081" s="15" t="inlineStr">
        <is>
          <t>SEBI filing link</t>
        </is>
      </c>
      <c r="U1081" s="15" t="inlineStr">
        <is>
          <t>Ujjivan Small Finance Bank Limited</t>
        </is>
      </c>
      <c r="V1081" s="15" t="n"/>
      <c r="W1081" s="15" t="n"/>
      <c r="X1081" s="15" t="n"/>
      <c r="Y1081" s="15" t="n"/>
      <c r="Z1081" s="15" t="n"/>
      <c r="AA1081" s="15" t="n"/>
      <c r="AB1081" s="15" t="n"/>
    </row>
    <row r="1082" ht="15" customHeight="1" s="12">
      <c r="A1082" s="14" t="n">
        <v>1081</v>
      </c>
      <c r="B1082" s="16" t="n">
        <v>43686</v>
      </c>
      <c r="C1082" s="15" t="n">
        <v>2019</v>
      </c>
      <c r="D1082" s="15" t="inlineStr">
        <is>
          <t>CSB Bank Limited</t>
        </is>
      </c>
      <c r="E1082" s="15" t="inlineStr">
        <is>
          <t>DRHP</t>
        </is>
      </c>
      <c r="F1082" s="15" t="inlineStr">
        <is>
          <t>CSB Bank Limited</t>
        </is>
      </c>
      <c r="G1082" s="15" t="inlineStr">
        <is>
          <t>IPO launched</t>
        </is>
      </c>
      <c r="H1082" s="15" t="inlineStr">
        <is>
          <t>Mainboard</t>
        </is>
      </c>
      <c r="I1082" s="16" t="n">
        <v>43791</v>
      </c>
      <c r="J1082" s="16" t="n">
        <v>43795</v>
      </c>
      <c r="K1082" s="16" t="n">
        <v>43803</v>
      </c>
      <c r="L1082" s="17" t="n">
        <v>409.68</v>
      </c>
      <c r="M1082" s="17" t="n">
        <v>24</v>
      </c>
      <c r="N1082" s="17" t="n">
        <v>385.68</v>
      </c>
      <c r="O1082" s="15" t="inlineStr">
        <is>
          <t>Final issue (ipoplatform)</t>
        </is>
      </c>
      <c r="P1082" s="15" t="n"/>
      <c r="Q1082" s="18" t="inlineStr">
        <is>
          <t>https://www.sebi.gov.in/sebi_data/attachdocs/aug-2019/1565675210432.PDF</t>
        </is>
      </c>
      <c r="R1082" s="18" t="inlineStr">
        <is>
          <t>https://www.sebi.gov.in/filings/public-issues/aug-2019/csb-bank-limited_43872.html</t>
        </is>
      </c>
      <c r="S1082" s="15" t="n"/>
      <c r="T1082" s="15" t="inlineStr">
        <is>
          <t>SEBI filing link</t>
        </is>
      </c>
      <c r="U1082" s="15" t="inlineStr">
        <is>
          <t>CSB Bank Limited</t>
        </is>
      </c>
      <c r="V1082" s="15" t="n"/>
      <c r="W1082" s="15" t="n"/>
      <c r="X1082" s="15" t="n"/>
      <c r="Y1082" s="15" t="n"/>
      <c r="Z1082" s="15" t="n"/>
      <c r="AA1082" s="15" t="n"/>
      <c r="AB1082" s="15" t="n"/>
    </row>
    <row r="1083" ht="15" customHeight="1" s="12">
      <c r="A1083" s="14" t="n">
        <v>1082</v>
      </c>
      <c r="B1083" s="16" t="n">
        <v>43685</v>
      </c>
      <c r="C1083" s="15" t="n">
        <v>2019</v>
      </c>
      <c r="D1083" s="15" t="inlineStr">
        <is>
          <t>Chemcon Speciality Chemicals Ltd</t>
        </is>
      </c>
      <c r="E1083" s="15" t="inlineStr">
        <is>
          <t>DRHP</t>
        </is>
      </c>
      <c r="F1083" s="15" t="inlineStr">
        <is>
          <t>Chemcon Speciality Chemicals Ltd.</t>
        </is>
      </c>
      <c r="G1083" s="15" t="inlineStr">
        <is>
          <t>IPO launched</t>
        </is>
      </c>
      <c r="H1083" s="15" t="inlineStr">
        <is>
          <t>Mainboard</t>
        </is>
      </c>
      <c r="I1083" s="16" t="n">
        <v>44095</v>
      </c>
      <c r="J1083" s="16" t="n">
        <v>44097</v>
      </c>
      <c r="K1083" s="16" t="n">
        <v>44105</v>
      </c>
      <c r="L1083" s="17" t="n">
        <v>318</v>
      </c>
      <c r="M1083" s="17" t="n">
        <v>165</v>
      </c>
      <c r="N1083" s="17" t="n">
        <v>153</v>
      </c>
      <c r="O1083" s="15" t="inlineStr">
        <is>
          <t>Final issue (ipoplatform)</t>
        </is>
      </c>
      <c r="P1083" s="15" t="n"/>
      <c r="Q1083" s="18" t="inlineStr">
        <is>
          <t>https://www.sebi.gov.in/sebi_data/attachdocs/aug-2019/1565331596490.pdf</t>
        </is>
      </c>
      <c r="R1083" s="18" t="inlineStr">
        <is>
          <t>https://www.sebi.gov.in/filings/public-issues/aug-2019/chemcon-speciality-chemicals-ltd-_43860.html</t>
        </is>
      </c>
      <c r="S1083" s="15" t="n"/>
      <c r="T1083" s="15" t="inlineStr">
        <is>
          <t>SEBI filing link</t>
        </is>
      </c>
      <c r="U1083" s="15" t="inlineStr">
        <is>
          <t>Chemcon Speciality Chemicals Limited</t>
        </is>
      </c>
      <c r="V1083" s="15" t="n"/>
      <c r="W1083" s="15" t="n"/>
      <c r="X1083" s="15" t="n"/>
      <c r="Y1083" s="15" t="n"/>
      <c r="Z1083" s="15" t="n"/>
      <c r="AA1083" s="15" t="n"/>
      <c r="AB1083" s="15" t="n"/>
    </row>
    <row r="1084" ht="15" customHeight="1" s="12">
      <c r="A1084" s="14" t="n">
        <v>1083</v>
      </c>
      <c r="B1084" s="16" t="n">
        <v>43684</v>
      </c>
      <c r="C1084" s="15" t="n">
        <v>2019</v>
      </c>
      <c r="D1084" s="15" t="inlineStr">
        <is>
          <t>Mazagon Dock Shipbuilders Limited</t>
        </is>
      </c>
      <c r="E1084" s="15" t="inlineStr">
        <is>
          <t>DRHP</t>
        </is>
      </c>
      <c r="F1084" s="15" t="inlineStr">
        <is>
          <t>Mazagon Dock Shipbuilders Limited - DRHP</t>
        </is>
      </c>
      <c r="G1084" s="15" t="inlineStr">
        <is>
          <t>IPO launched</t>
        </is>
      </c>
      <c r="H1084" s="15" t="inlineStr">
        <is>
          <t>Mainboard</t>
        </is>
      </c>
      <c r="I1084" s="16" t="n">
        <v>44103</v>
      </c>
      <c r="J1084" s="16" t="n">
        <v>44105</v>
      </c>
      <c r="K1084" s="16" t="n">
        <v>44116</v>
      </c>
      <c r="L1084" s="17" t="n">
        <v>443.69</v>
      </c>
      <c r="M1084" s="17" t="n">
        <v>443.69</v>
      </c>
      <c r="N1084" s="17" t="n">
        <v>0</v>
      </c>
      <c r="O1084" s="15" t="inlineStr">
        <is>
          <t>Final issue (ipoplatform)</t>
        </is>
      </c>
      <c r="P1084" s="15" t="n"/>
      <c r="Q1084" s="18" t="inlineStr">
        <is>
          <t>https://www.sebi.gov.in/sebi_data/attachdocs/aug-2019/1565270005228.pdf</t>
        </is>
      </c>
      <c r="R1084" s="18" t="inlineStr">
        <is>
          <t>https://www.sebi.gov.in/filings/public-issues/aug-2019/mazagon-dock-shipbuilders-limited-drhp_43848.html</t>
        </is>
      </c>
      <c r="S1084" s="15" t="n"/>
      <c r="T1084" s="15" t="inlineStr">
        <is>
          <t>Company name + date window</t>
        </is>
      </c>
      <c r="U1084" s="15" t="inlineStr">
        <is>
          <t>Mazagon Dock Shipbuilders Limited</t>
        </is>
      </c>
      <c r="V1084" s="15" t="n"/>
      <c r="W1084" s="15" t="n"/>
      <c r="X1084" s="15" t="n"/>
      <c r="Y1084" s="15" t="n"/>
      <c r="Z1084" s="15" t="n"/>
      <c r="AA1084" s="15" t="n"/>
      <c r="AB1084" s="15" t="n"/>
    </row>
    <row r="1085" ht="15" customHeight="1" s="12">
      <c r="A1085" s="14" t="n">
        <v>1084</v>
      </c>
      <c r="B1085" s="16" t="n">
        <v>43677</v>
      </c>
      <c r="C1085" s="15" t="n">
        <v>2019</v>
      </c>
      <c r="D1085" s="15" t="inlineStr">
        <is>
          <t>Indian Renewable Energy Development Agency Limited</t>
        </is>
      </c>
      <c r="E1085" s="15" t="inlineStr">
        <is>
          <t>DRHP</t>
        </is>
      </c>
      <c r="F1085" s="15" t="inlineStr">
        <is>
          <t>Indian Renewable Energy Development Agency Limited</t>
        </is>
      </c>
      <c r="G1085" s="15" t="inlineStr">
        <is>
          <t>No launched IPO found</t>
        </is>
      </c>
      <c r="H1085" s="15" t="n"/>
      <c r="I1085" s="16" t="n"/>
      <c r="J1085" s="16" t="n"/>
      <c r="K1085" s="16" t="n"/>
      <c r="L1085" s="17" t="n"/>
      <c r="M1085" s="17" t="n"/>
      <c r="N1085" s="17" t="n"/>
      <c r="O1085" s="15" t="n"/>
      <c r="P1085" s="15" t="n"/>
      <c r="Q1085" s="18" t="inlineStr">
        <is>
          <t>https://www.sebi.gov.in/sebi_data/attachdocs/jul-2019/1564575726252.pdf</t>
        </is>
      </c>
      <c r="R1085" s="18" t="inlineStr">
        <is>
          <t>https://www.sebi.gov.in/filings/public-issues/jul-2019/indian-renewable-energy-development-agency-limited_43772.html</t>
        </is>
      </c>
      <c r="S1085" s="15" t="n"/>
      <c r="T1085" s="15" t="n"/>
      <c r="U1085" s="15" t="n"/>
      <c r="V1085" s="15" t="inlineStr">
        <is>
          <t>Same-name IPO opened 21-Nov-2023 — outside 2 years of this filing, so not linked</t>
        </is>
      </c>
      <c r="W1085" s="25" t="n">
        <v>45251</v>
      </c>
      <c r="X1085" s="25" t="n">
        <v>45253</v>
      </c>
      <c r="Y1085" s="25" t="n">
        <v>45259</v>
      </c>
      <c r="Z1085" s="26" t="inlineStr">
        <is>
          <t>Later IPO — not from this draft</t>
        </is>
      </c>
      <c r="AA1085" s="15" t="inlineStr">
        <is>
          <t>Opened 4.3 yrs after this filing, under a later draft</t>
        </is>
      </c>
      <c r="AB1085" s="18" t="inlineStr">
        <is>
          <t>https://www.business-standard.com/markets/ipo/indian-renewable-energy-development-agency-ipo-15550</t>
        </is>
      </c>
    </row>
    <row r="1086" ht="15" customHeight="1" s="12">
      <c r="A1086" s="14" t="n">
        <v>1085</v>
      </c>
      <c r="B1086" s="16" t="n">
        <v>43663</v>
      </c>
      <c r="C1086" s="15" t="n">
        <v>2019</v>
      </c>
      <c r="D1086" s="15" t="inlineStr">
        <is>
          <t>Wonder Fibromats Limited</t>
        </is>
      </c>
      <c r="E1086" s="15" t="inlineStr">
        <is>
          <t>DRHP</t>
        </is>
      </c>
      <c r="F1086" s="15" t="inlineStr">
        <is>
          <t>Wonder Fibromats Limited</t>
        </is>
      </c>
      <c r="G1086" s="15" t="inlineStr">
        <is>
          <t>IPO launched</t>
        </is>
      </c>
      <c r="H1086" s="15" t="inlineStr">
        <is>
          <t>SME</t>
        </is>
      </c>
      <c r="I1086" s="16" t="n">
        <v>43668</v>
      </c>
      <c r="J1086" s="16" t="n">
        <v>43675</v>
      </c>
      <c r="K1086" s="16" t="n">
        <v>43683</v>
      </c>
      <c r="L1086" s="17" t="n">
        <v>19.79</v>
      </c>
      <c r="M1086" s="17" t="n">
        <v>19.79</v>
      </c>
      <c r="N1086" s="17" t="n">
        <v>0</v>
      </c>
      <c r="O1086" s="15" t="inlineStr">
        <is>
          <t>Final issue (ipoplatform)</t>
        </is>
      </c>
      <c r="P1086" s="15" t="n"/>
      <c r="Q1086" s="18" t="inlineStr">
        <is>
          <t>https://www.sebi.gov.in/sebi_data/attachdocs/jul-2019/1563338426844.pdf</t>
        </is>
      </c>
      <c r="R1086" s="18" t="inlineStr">
        <is>
          <t>https://www.sebi.gov.in/filings/public-issues/jul-2019/wonder-fibromats-limited_43585.html</t>
        </is>
      </c>
      <c r="S1086" s="15" t="n"/>
      <c r="T1086" s="15" t="inlineStr">
        <is>
          <t>Company name + date window</t>
        </is>
      </c>
      <c r="U1086" s="15" t="inlineStr">
        <is>
          <t>Wonder Fibromats Limited</t>
        </is>
      </c>
      <c r="V1086" s="15" t="n"/>
      <c r="W1086" s="15" t="n"/>
      <c r="X1086" s="15" t="n"/>
      <c r="Y1086" s="15" t="n"/>
      <c r="Z1086" s="15" t="n"/>
      <c r="AA1086" s="15" t="n"/>
      <c r="AB1086" s="15" t="n"/>
    </row>
    <row r="1087" ht="15" customHeight="1" s="12">
      <c r="A1087" s="14" t="n">
        <v>1086</v>
      </c>
      <c r="B1087" s="16" t="n">
        <v>43620</v>
      </c>
      <c r="C1087" s="15" t="n">
        <v>2019</v>
      </c>
      <c r="D1087" s="15" t="inlineStr">
        <is>
          <t>Shyam Steel Industries Limited</t>
        </is>
      </c>
      <c r="E1087" s="15" t="inlineStr">
        <is>
          <t>DRHP</t>
        </is>
      </c>
      <c r="F1087" s="15" t="inlineStr">
        <is>
          <t>Shyam Steel Industries Limited</t>
        </is>
      </c>
      <c r="G1087" s="15" t="inlineStr">
        <is>
          <t>No launched IPO found</t>
        </is>
      </c>
      <c r="H1087" s="15" t="n"/>
      <c r="I1087" s="16" t="n"/>
      <c r="J1087" s="16" t="n"/>
      <c r="K1087" s="16" t="n"/>
      <c r="L1087" s="17" t="n"/>
      <c r="M1087" s="17" t="n"/>
      <c r="N1087" s="17" t="n"/>
      <c r="O1087" s="15" t="n"/>
      <c r="P1087" s="15" t="n"/>
      <c r="Q1087" s="18" t="inlineStr">
        <is>
          <t>https://www.sebi.gov.in/sebi_data/attachdocs/apr-2023/1681212317639.pdf</t>
        </is>
      </c>
      <c r="R1087" s="18" t="inlineStr">
        <is>
          <t>https://www.sebi.gov.in/filings/public-issues/jun-2019/shyam-steel-industries-limited_43188.html</t>
        </is>
      </c>
      <c r="S1087" s="15" t="n"/>
      <c r="T1087" s="15" t="n"/>
      <c r="U1087" s="15" t="n"/>
      <c r="V1087" s="15" t="n"/>
      <c r="W1087" s="16" t="n"/>
      <c r="X1087" s="16" t="n"/>
      <c r="Y1087" s="16" t="n"/>
      <c r="Z1087" s="15" t="inlineStr">
        <is>
          <t>No issue found</t>
        </is>
      </c>
      <c r="AA1087" s="15" t="inlineStr">
        <is>
          <t>IPO dates listed NA; Shyam Metalics is a different company.</t>
        </is>
      </c>
      <c r="AB1087" s="18" t="inlineStr">
        <is>
          <t>https://top10stockbroker.com/ipo-review/shyam-steel-industries-limited-ipo/</t>
        </is>
      </c>
    </row>
    <row r="1088" ht="15" customHeight="1" s="12">
      <c r="A1088" s="14" t="n">
        <v>1087</v>
      </c>
      <c r="B1088" s="16" t="n">
        <v>43587</v>
      </c>
      <c r="C1088" s="15" t="n">
        <v>2019</v>
      </c>
      <c r="D1088" s="15" t="inlineStr">
        <is>
          <t>SBC Exports Limited</t>
        </is>
      </c>
      <c r="E1088" s="15" t="inlineStr">
        <is>
          <t>DRHP</t>
        </is>
      </c>
      <c r="F1088" s="15" t="inlineStr">
        <is>
          <t>SBC Exports Limited</t>
        </is>
      </c>
      <c r="G1088" s="15" t="inlineStr">
        <is>
          <t>IPO launched</t>
        </is>
      </c>
      <c r="H1088" s="15" t="inlineStr">
        <is>
          <t>SME</t>
        </is>
      </c>
      <c r="I1088" s="16" t="n">
        <v>43640</v>
      </c>
      <c r="J1088" s="16" t="n">
        <v>43642</v>
      </c>
      <c r="K1088" s="16" t="n">
        <v>43650</v>
      </c>
      <c r="L1088" s="17" t="n">
        <v>6.56</v>
      </c>
      <c r="M1088" s="17" t="n">
        <v>6.56</v>
      </c>
      <c r="N1088" s="17" t="n">
        <v>0</v>
      </c>
      <c r="O1088" s="15" t="inlineStr">
        <is>
          <t>Final issue (ipoplatform)</t>
        </is>
      </c>
      <c r="P1088" s="15" t="n"/>
      <c r="Q1088" s="18" t="inlineStr">
        <is>
          <t>https://www.sebi.gov.in/sebi_data/attachdocs/may-2019/1556793606287.pdf</t>
        </is>
      </c>
      <c r="R1088" s="18" t="inlineStr">
        <is>
          <t>https://www.sebi.gov.in/filings/public-issues/may-2019/sbc-exports-limited_42903.html</t>
        </is>
      </c>
      <c r="S1088" s="15" t="n"/>
      <c r="T1088" s="15" t="inlineStr">
        <is>
          <t>SEBI filing link</t>
        </is>
      </c>
      <c r="U1088" s="15" t="inlineStr">
        <is>
          <t>SBC Exports Limited</t>
        </is>
      </c>
      <c r="V1088" s="15" t="n"/>
      <c r="W1088" s="15" t="n"/>
      <c r="X1088" s="15" t="n"/>
      <c r="Y1088" s="15" t="n"/>
      <c r="Z1088" s="15" t="n"/>
      <c r="AA1088" s="15" t="n"/>
      <c r="AB1088" s="15" t="n"/>
    </row>
    <row r="1089" ht="15" customHeight="1" s="12">
      <c r="A1089" s="14" t="n">
        <v>1088</v>
      </c>
      <c r="B1089" s="16" t="n">
        <v>43577</v>
      </c>
      <c r="C1089" s="15" t="n">
        <v>2019</v>
      </c>
      <c r="D1089" s="15" t="inlineStr">
        <is>
          <t>STERLING AND WILSON SOLAR LIMITED</t>
        </is>
      </c>
      <c r="E1089" s="15" t="inlineStr">
        <is>
          <t>DRHP</t>
        </is>
      </c>
      <c r="F1089" s="15" t="inlineStr">
        <is>
          <t>STERLING AND WILSON SOLAR LIMITED</t>
        </is>
      </c>
      <c r="G1089" s="15" t="inlineStr">
        <is>
          <t>IPO launched</t>
        </is>
      </c>
      <c r="H1089" s="15" t="inlineStr">
        <is>
          <t>Mainboard</t>
        </is>
      </c>
      <c r="I1089" s="16" t="n">
        <v>43683</v>
      </c>
      <c r="J1089" s="16" t="n">
        <v>43685</v>
      </c>
      <c r="K1089" s="16" t="n">
        <v>43697</v>
      </c>
      <c r="L1089" s="17" t="n">
        <v>3145.16</v>
      </c>
      <c r="M1089" s="17" t="n">
        <v>3145.16</v>
      </c>
      <c r="N1089" s="17" t="n">
        <v>0</v>
      </c>
      <c r="O1089" s="15" t="inlineStr">
        <is>
          <t>Final issue (ipoplatform)</t>
        </is>
      </c>
      <c r="P1089" s="15" t="n"/>
      <c r="Q1089" s="18" t="inlineStr">
        <is>
          <t>https://www.sebi.gov.in/sebi_data/attachdocs/may-2023/1683087698716.pdf</t>
        </is>
      </c>
      <c r="R1089" s="18" t="inlineStr">
        <is>
          <t>https://www.sebi.gov.in/filings/public-issues/apr-2019/sterling-and-wilson-solar-limited_42763.html</t>
        </is>
      </c>
      <c r="S1089" s="15" t="n"/>
      <c r="T1089" s="15" t="inlineStr">
        <is>
          <t>SEBI filing link</t>
        </is>
      </c>
      <c r="U1089" s="15" t="inlineStr">
        <is>
          <t>Sterling and Wilson Solar Limited</t>
        </is>
      </c>
      <c r="V1089" s="15" t="n"/>
      <c r="W1089" s="15" t="n"/>
      <c r="X1089" s="15" t="n"/>
      <c r="Y1089" s="15" t="n"/>
      <c r="Z1089" s="15" t="n"/>
      <c r="AA1089" s="15" t="n"/>
      <c r="AB1089" s="15" t="n"/>
    </row>
    <row r="1090" ht="15" customHeight="1" s="12">
      <c r="A1090" s="14" t="n">
        <v>1089</v>
      </c>
      <c r="B1090" s="16" t="n">
        <v>43563</v>
      </c>
      <c r="C1090" s="15" t="n">
        <v>2019</v>
      </c>
      <c r="D1090" s="15" t="inlineStr">
        <is>
          <t>Bajaj Energy Limited</t>
        </is>
      </c>
      <c r="E1090" s="15" t="inlineStr">
        <is>
          <t>DRHP</t>
        </is>
      </c>
      <c r="F1090" s="15" t="inlineStr">
        <is>
          <t>Bajaj Energy Limited</t>
        </is>
      </c>
      <c r="G1090" s="15" t="inlineStr">
        <is>
          <t>No launched IPO found</t>
        </is>
      </c>
      <c r="H1090" s="15" t="n"/>
      <c r="I1090" s="16" t="n"/>
      <c r="J1090" s="16" t="n"/>
      <c r="K1090" s="16" t="n"/>
      <c r="L1090" s="17" t="n"/>
      <c r="M1090" s="17" t="n"/>
      <c r="N1090" s="17" t="n"/>
      <c r="O1090" s="15" t="n"/>
      <c r="P1090" s="15" t="n"/>
      <c r="Q1090" s="18" t="inlineStr">
        <is>
          <t>https://www.sebi.gov.in/sebi_data/attachdocs/may-2023/1684477298748.pdf</t>
        </is>
      </c>
      <c r="R1090" s="18" t="inlineStr">
        <is>
          <t>https://www.sebi.gov.in/filings/public-issues/apr-2019/bajaj-energy-limited_42638.html</t>
        </is>
      </c>
      <c r="S1090" s="15" t="n"/>
      <c r="T1090" s="15" t="n"/>
      <c r="U1090" s="15" t="n"/>
      <c r="V1090" s="15" t="n"/>
      <c r="W1090" s="16" t="n"/>
      <c r="X1090" s="16" t="n"/>
      <c r="Y1090" s="16" t="n"/>
      <c r="Z1090" s="15" t="inlineStr">
        <is>
          <t>No issue found</t>
        </is>
      </c>
      <c r="AA1090" s="15" t="inlineStr">
        <is>
          <t>Business Standard lists the company but shows no issue dates; web search limit reached</t>
        </is>
      </c>
      <c r="AB1090" s="18" t="inlineStr">
        <is>
          <t>https://www.business-standard.com/markets/ipo/bajaj-energy-pvt-ltd-ipo-64836</t>
        </is>
      </c>
    </row>
    <row r="1091" ht="15" customHeight="1" s="12">
      <c r="A1091" s="14" t="n">
        <v>1090</v>
      </c>
      <c r="B1091" s="16" t="n">
        <v>43557</v>
      </c>
      <c r="C1091" s="15" t="n">
        <v>2019</v>
      </c>
      <c r="D1091" s="15" t="inlineStr">
        <is>
          <t>Annai Infra Developers Limited</t>
        </is>
      </c>
      <c r="E1091" s="15" t="inlineStr">
        <is>
          <t>DRHP</t>
        </is>
      </c>
      <c r="F1091" s="15" t="inlineStr">
        <is>
          <t>Annai Infra Developers Limited</t>
        </is>
      </c>
      <c r="G1091" s="15" t="inlineStr">
        <is>
          <t>No launched IPO found</t>
        </is>
      </c>
      <c r="H1091" s="15" t="n"/>
      <c r="I1091" s="16" t="n"/>
      <c r="J1091" s="16" t="n"/>
      <c r="K1091" s="16" t="n"/>
      <c r="L1091" s="17" t="n"/>
      <c r="M1091" s="17" t="n"/>
      <c r="N1091" s="17" t="n"/>
      <c r="O1091" s="15" t="n"/>
      <c r="P1091" s="15" t="n"/>
      <c r="Q1091" s="18" t="inlineStr">
        <is>
          <t>https://www.sebi.gov.in/sebi_data/attachdocs/apr-2019/1554175454973.pdf</t>
        </is>
      </c>
      <c r="R1091" s="18" t="inlineStr">
        <is>
          <t>https://www.sebi.gov.in/filings/public-issues/apr-2019/annai-infra-developers-limited_42585.html</t>
        </is>
      </c>
      <c r="S1091" s="15" t="n"/>
      <c r="T1091" s="15" t="n"/>
      <c r="U1091" s="15" t="n"/>
      <c r="V1091" s="15" t="n"/>
      <c r="W1091" s="16" t="n"/>
      <c r="X1091" s="16" t="n"/>
      <c r="Y1091" s="16" t="n"/>
      <c r="Z1091" s="15" t="inlineStr">
        <is>
          <t>No issue found</t>
        </is>
      </c>
      <c r="AA1091" s="15" t="inlineStr">
        <is>
          <t>Business Standard lists the company but shows no issue dates; web search limit reached</t>
        </is>
      </c>
      <c r="AB1091" s="18" t="inlineStr">
        <is>
          <t>https://www.business-standard.com/markets/ipo/annai-infra-developers-ltd-ipo-74055</t>
        </is>
      </c>
    </row>
    <row r="1092" ht="15" customHeight="1" s="12">
      <c r="A1092" s="14" t="n">
        <v>1091</v>
      </c>
      <c r="B1092" s="16" t="n">
        <v>43544</v>
      </c>
      <c r="C1092" s="15" t="n">
        <v>2019</v>
      </c>
      <c r="D1092" s="15" t="inlineStr">
        <is>
          <t>Satyasai Pressure Vessels Limited</t>
        </is>
      </c>
      <c r="E1092" s="15" t="inlineStr">
        <is>
          <t>DRHP</t>
        </is>
      </c>
      <c r="F1092" s="15" t="inlineStr">
        <is>
          <t>Satyasai Pressure Vessels Limited</t>
        </is>
      </c>
      <c r="G1092" s="15" t="inlineStr">
        <is>
          <t>No launched IPO found</t>
        </is>
      </c>
      <c r="H1092" s="15" t="n"/>
      <c r="I1092" s="16" t="n"/>
      <c r="J1092" s="16" t="n"/>
      <c r="K1092" s="16" t="n"/>
      <c r="L1092" s="17" t="n"/>
      <c r="M1092" s="17" t="n"/>
      <c r="N1092" s="17" t="n"/>
      <c r="O1092" s="15" t="n"/>
      <c r="P1092" s="15" t="n"/>
      <c r="Q1092" s="18" t="inlineStr">
        <is>
          <t>https://www.sebi.gov.in/sebi_data/attachdocs/mar-2019/1553064316857.pdf</t>
        </is>
      </c>
      <c r="R1092" s="18" t="inlineStr">
        <is>
          <t>https://www.sebi.gov.in/filings/public-issues/mar-2019/satyasai-pressure-vessels-limited_42423.html</t>
        </is>
      </c>
      <c r="S1092" s="15" t="n"/>
      <c r="T1092" s="15" t="n"/>
      <c r="U1092" s="15" t="n"/>
      <c r="V1092" s="15" t="n"/>
      <c r="W1092" s="16" t="n"/>
      <c r="X1092" s="16" t="n"/>
      <c r="Y1092" s="16" t="n"/>
      <c r="Z1092" s="15" t="inlineStr">
        <is>
          <t>No issue found</t>
        </is>
      </c>
      <c r="AA1092" s="15" t="inlineStr">
        <is>
          <t>Business Standard lists the company but shows no issue dates; web search limit reached</t>
        </is>
      </c>
      <c r="AB1092" s="18" t="inlineStr">
        <is>
          <t>https://www.business-standard.com/markets/ipo/satyasai-pressure-vessels-ltd-ipo-74026</t>
        </is>
      </c>
    </row>
    <row r="1093" ht="15" customHeight="1" s="12">
      <c r="A1093" s="14" t="n">
        <v>1092</v>
      </c>
      <c r="B1093" s="16" t="n">
        <v>43539</v>
      </c>
      <c r="C1093" s="15" t="n">
        <v>2019</v>
      </c>
      <c r="D1093" s="15" t="inlineStr">
        <is>
          <t>Powerica Limited</t>
        </is>
      </c>
      <c r="E1093" s="15" t="inlineStr">
        <is>
          <t>DRHP</t>
        </is>
      </c>
      <c r="F1093" s="15" t="inlineStr">
        <is>
          <t>Powerica Limited</t>
        </is>
      </c>
      <c r="G1093" s="15" t="inlineStr">
        <is>
          <t>No launched IPO found</t>
        </is>
      </c>
      <c r="H1093" s="15" t="n"/>
      <c r="I1093" s="16" t="n"/>
      <c r="J1093" s="16" t="n"/>
      <c r="K1093" s="16" t="n"/>
      <c r="L1093" s="17" t="n"/>
      <c r="M1093" s="17" t="n"/>
      <c r="N1093" s="17" t="n"/>
      <c r="O1093" s="15" t="n"/>
      <c r="P1093" s="15" t="n"/>
      <c r="Q1093" s="18" t="inlineStr">
        <is>
          <t>https://www.sebi.gov.in/sebi_data/attachdocs/may-2023/1683090960086.pdf</t>
        </is>
      </c>
      <c r="R1093" s="18" t="inlineStr">
        <is>
          <t>https://www.sebi.gov.in/filings/public-issues/mar-2019/powerica-limited_42371.html</t>
        </is>
      </c>
      <c r="S1093" s="15" t="n"/>
      <c r="T1093" s="15" t="n"/>
      <c r="U1093" s="15" t="n"/>
      <c r="V1093" s="15" t="inlineStr">
        <is>
          <t>Same-name IPO opened 24-Mar-2026 — outside 2 years of this filing, so not linked</t>
        </is>
      </c>
      <c r="W1093" s="25" t="n">
        <v>46105</v>
      </c>
      <c r="X1093" s="25" t="n">
        <v>46108</v>
      </c>
      <c r="Y1093" s="25" t="n">
        <v>46114</v>
      </c>
      <c r="Z1093" s="26" t="inlineStr">
        <is>
          <t>Later IPO — not from this draft</t>
        </is>
      </c>
      <c r="AA1093" s="15" t="inlineStr">
        <is>
          <t>Opened 7.0 yrs after this filing, under a later draft</t>
        </is>
      </c>
      <c r="AB1093" s="18" t="inlineStr">
        <is>
          <t>https://www.business-standard.com/markets/ipo/powerica-ltd-ipo-23308</t>
        </is>
      </c>
    </row>
    <row r="1094" ht="15" customHeight="1" s="12">
      <c r="A1094" s="14" t="n">
        <v>1093</v>
      </c>
      <c r="B1094" s="16" t="n">
        <v>43516</v>
      </c>
      <c r="C1094" s="15" t="n">
        <v>2019</v>
      </c>
      <c r="D1094" s="15" t="inlineStr">
        <is>
          <t>M K Roy &amp; Bros Projects Limited</t>
        </is>
      </c>
      <c r="E1094" s="15" t="inlineStr">
        <is>
          <t>DRHP</t>
        </is>
      </c>
      <c r="F1094" s="15" t="inlineStr">
        <is>
          <t>M K Roy &amp; Bros Projects Limited</t>
        </is>
      </c>
      <c r="G1094" s="15" t="inlineStr">
        <is>
          <t>No launched IPO found</t>
        </is>
      </c>
      <c r="H1094" s="15" t="n"/>
      <c r="I1094" s="16" t="n"/>
      <c r="J1094" s="16" t="n"/>
      <c r="K1094" s="16" t="n"/>
      <c r="L1094" s="17" t="n"/>
      <c r="M1094" s="17" t="n"/>
      <c r="N1094" s="17" t="n"/>
      <c r="O1094" s="15" t="n"/>
      <c r="P1094" s="15" t="n"/>
      <c r="Q1094" s="18" t="inlineStr">
        <is>
          <t>https://www.sebi.gov.in/sebi_data/attachdocs/feb-2019/1550719259598.pdf</t>
        </is>
      </c>
      <c r="R1094" s="18" t="inlineStr">
        <is>
          <t>https://www.sebi.gov.in/filings/public-issues/feb-2019/m-k-roy-and-bros-projects-limited_42102.html</t>
        </is>
      </c>
      <c r="S1094" s="15" t="n"/>
      <c r="T1094" s="15" t="n"/>
      <c r="U1094" s="15" t="n"/>
      <c r="V1094" s="15" t="n"/>
      <c r="W1094" s="16" t="n"/>
      <c r="X1094" s="16" t="n"/>
      <c r="Y1094" s="16" t="n"/>
      <c r="Z1094" s="15" t="inlineStr">
        <is>
          <t>No issue found</t>
        </is>
      </c>
      <c r="AA1094" s="15" t="inlineStr">
        <is>
          <t>Business Standard lists the company but shows no issue dates; web search limit reached</t>
        </is>
      </c>
      <c r="AB1094" s="18" t="inlineStr">
        <is>
          <t>https://www.business-standard.com/markets/ipo/m-k-roy-bros-projects-ipo-39913</t>
        </is>
      </c>
    </row>
    <row r="1095" ht="15" customHeight="1" s="12">
      <c r="A1095" s="14" t="n">
        <v>1094</v>
      </c>
      <c r="B1095" s="16" t="n">
        <v>43516</v>
      </c>
      <c r="C1095" s="15" t="n">
        <v>2019</v>
      </c>
      <c r="D1095" s="15" t="inlineStr">
        <is>
          <t>Mahip Industries Limited</t>
        </is>
      </c>
      <c r="E1095" s="15" t="inlineStr">
        <is>
          <t>DRHP</t>
        </is>
      </c>
      <c r="F1095" s="15" t="inlineStr">
        <is>
          <t>Mahip Industries Limited.</t>
        </is>
      </c>
      <c r="G1095" s="15" t="inlineStr">
        <is>
          <t>IPO launched</t>
        </is>
      </c>
      <c r="H1095" s="15" t="inlineStr">
        <is>
          <t>SME</t>
        </is>
      </c>
      <c r="I1095" s="16" t="n">
        <v>43522</v>
      </c>
      <c r="J1095" s="16" t="n">
        <v>43525</v>
      </c>
      <c r="K1095" s="16" t="n">
        <v>43536</v>
      </c>
      <c r="L1095" s="17" t="n">
        <v>16.63</v>
      </c>
      <c r="M1095" s="17" t="n">
        <v>16.63</v>
      </c>
      <c r="N1095" s="17" t="n">
        <v>0</v>
      </c>
      <c r="O1095" s="15" t="inlineStr">
        <is>
          <t>Final issue (ipoplatform)</t>
        </is>
      </c>
      <c r="P1095" s="15" t="n"/>
      <c r="Q1095" s="18" t="inlineStr">
        <is>
          <t>https://www.sebi.gov.in/sebi_data/attachdocs/apr-2023/1681124400398.pdf</t>
        </is>
      </c>
      <c r="R1095" s="18" t="inlineStr">
        <is>
          <t>https://www.sebi.gov.in/filings/public-issues/feb-2019/mahip-industries-limited-_42091.html</t>
        </is>
      </c>
      <c r="S1095" s="15" t="n"/>
      <c r="T1095" s="15" t="inlineStr">
        <is>
          <t>Company name + date window</t>
        </is>
      </c>
      <c r="U1095" s="15" t="inlineStr">
        <is>
          <t>Mahip Industries Limited</t>
        </is>
      </c>
      <c r="V1095" s="15" t="n"/>
      <c r="W1095" s="15" t="n"/>
      <c r="X1095" s="15" t="n"/>
      <c r="Y1095" s="15" t="n"/>
      <c r="Z1095" s="15" t="n"/>
      <c r="AA1095" s="15" t="n"/>
      <c r="AB1095" s="15" t="n"/>
    </row>
    <row r="1096" ht="15" customHeight="1" s="12">
      <c r="A1096" s="14" t="n">
        <v>1095</v>
      </c>
      <c r="B1096" s="16" t="n">
        <v>43509</v>
      </c>
      <c r="C1096" s="15" t="n">
        <v>2019</v>
      </c>
      <c r="D1096" s="15" t="inlineStr">
        <is>
          <t>RELIANCE GENERAL INSURANCE COMPANY LIMITED</t>
        </is>
      </c>
      <c r="E1096" s="15" t="inlineStr">
        <is>
          <t>DRHP</t>
        </is>
      </c>
      <c r="F1096" s="15" t="inlineStr">
        <is>
          <t>RELIANCE GENERAL INSURANCE COMPANY LIMITED</t>
        </is>
      </c>
      <c r="G1096" s="15" t="inlineStr">
        <is>
          <t>No launched IPO found</t>
        </is>
      </c>
      <c r="H1096" s="15" t="n"/>
      <c r="I1096" s="16" t="n"/>
      <c r="J1096" s="16" t="n"/>
      <c r="K1096" s="16" t="n"/>
      <c r="L1096" s="17" t="n"/>
      <c r="M1096" s="17" t="n"/>
      <c r="N1096" s="17" t="n"/>
      <c r="O1096" s="15" t="n"/>
      <c r="P1096" s="15" t="n"/>
      <c r="Q1096" s="18" t="inlineStr">
        <is>
          <t>https://www.sebi.gov.in/sebi_data/attachdocs/feb-2019/1550059208223_13.pdf</t>
        </is>
      </c>
      <c r="R1096" s="18" t="inlineStr">
        <is>
          <t>https://www.sebi.gov.in/filings/public-issues/feb-2019/reliance-general-insurance-company-limited_42061.html</t>
        </is>
      </c>
      <c r="S1096" s="15" t="n"/>
      <c r="T1096" s="15" t="n"/>
      <c r="U1096" s="15" t="n"/>
      <c r="V1096" s="15" t="n"/>
      <c r="W1096" s="16" t="n"/>
      <c r="X1096" s="16" t="n"/>
      <c r="Y1096" s="16" t="n"/>
      <c r="Z1096" s="15" t="inlineStr">
        <is>
          <t>Withdrawn / approval lapsed</t>
        </is>
      </c>
      <c r="AA1096" s="15" t="inlineStr">
        <is>
          <t>2017 DRHP not used; refiled Feb 2019, withdrawn by LM Oct 24 2019; never listed</t>
        </is>
      </c>
      <c r="AB1096" s="18" t="inlineStr">
        <is>
          <t>https://www.business-standard.com/article/pti-stories/reliance-general-insurance-scraps-ipo-plan-withdraw-offer-documents-119103000735_1.html</t>
        </is>
      </c>
    </row>
    <row r="1097" ht="15" customHeight="1" s="12">
      <c r="A1097" s="14" t="n">
        <v>1096</v>
      </c>
      <c r="B1097" s="16" t="n">
        <v>43509</v>
      </c>
      <c r="C1097" s="15" t="n">
        <v>2019</v>
      </c>
      <c r="D1097" s="15" t="inlineStr">
        <is>
          <t>Welpar Pharmbizz Limited</t>
        </is>
      </c>
      <c r="E1097" s="15" t="inlineStr">
        <is>
          <t>DRHP</t>
        </is>
      </c>
      <c r="F1097" s="15" t="inlineStr">
        <is>
          <t>Welpar Pharmbizz Limited</t>
        </is>
      </c>
      <c r="G1097" s="15" t="inlineStr">
        <is>
          <t>No launched IPO found</t>
        </is>
      </c>
      <c r="H1097" s="15" t="n"/>
      <c r="I1097" s="16" t="n"/>
      <c r="J1097" s="16" t="n"/>
      <c r="K1097" s="16" t="n"/>
      <c r="L1097" s="17" t="n"/>
      <c r="M1097" s="17" t="n"/>
      <c r="N1097" s="17" t="n"/>
      <c r="O1097" s="15" t="n"/>
      <c r="P1097" s="15" t="n"/>
      <c r="Q1097" s="18" t="inlineStr">
        <is>
          <t>https://www.sebi.gov.in/sebi_data/attachdocs/feb-2019/1550030004468.pdf</t>
        </is>
      </c>
      <c r="R1097" s="18" t="inlineStr">
        <is>
          <t>https://www.sebi.gov.in/filings/public-issues/feb-2019/welpar-pharmbizz-limited_42053.html</t>
        </is>
      </c>
      <c r="S1097" s="15" t="n"/>
      <c r="T1097" s="15" t="n"/>
      <c r="U1097" s="15" t="n"/>
      <c r="V1097" s="15" t="n"/>
      <c r="W1097" s="16" t="n"/>
      <c r="X1097" s="16" t="n"/>
      <c r="Y1097" s="16" t="n"/>
      <c r="Z1097" s="15" t="inlineStr">
        <is>
          <t>No issue found</t>
        </is>
      </c>
      <c r="AA1097" s="15" t="inlineStr">
        <is>
          <t>Business Standard lists the company but shows no issue dates; web search limit reached</t>
        </is>
      </c>
      <c r="AB1097" s="18" t="inlineStr">
        <is>
          <t>https://www.business-standard.com/markets/ipo/welpar-pharmbizz-ltd-ipo-74003</t>
        </is>
      </c>
    </row>
    <row r="1098" ht="15" customHeight="1" s="12">
      <c r="A1098" s="14" t="n">
        <v>1097</v>
      </c>
      <c r="B1098" s="16" t="n">
        <v>43502</v>
      </c>
      <c r="C1098" s="15" t="n">
        <v>2019</v>
      </c>
      <c r="D1098" s="15" t="inlineStr">
        <is>
          <t>Humming Bird Education Limited</t>
        </is>
      </c>
      <c r="E1098" s="15" t="inlineStr">
        <is>
          <t>DRHP</t>
        </is>
      </c>
      <c r="F1098" s="15" t="inlineStr">
        <is>
          <t>Humming Bird Education Limited</t>
        </is>
      </c>
      <c r="G1098" s="15" t="inlineStr">
        <is>
          <t>IPO launched</t>
        </is>
      </c>
      <c r="H1098" s="15" t="inlineStr">
        <is>
          <t>SME</t>
        </is>
      </c>
      <c r="I1098" s="16" t="n">
        <v>43539</v>
      </c>
      <c r="J1098" s="16" t="n">
        <v>43543</v>
      </c>
      <c r="K1098" s="16" t="n">
        <v>43552</v>
      </c>
      <c r="L1098" s="17" t="n">
        <v>2.15</v>
      </c>
      <c r="M1098" s="17" t="n">
        <v>2.15</v>
      </c>
      <c r="N1098" s="17" t="n">
        <v>0</v>
      </c>
      <c r="O1098" s="15" t="inlineStr">
        <is>
          <t>Final issue (ipoplatform)</t>
        </is>
      </c>
      <c r="P1098" s="15" t="n"/>
      <c r="Q1098" s="18" t="inlineStr">
        <is>
          <t>https://www.sebi.gov.in/sebi_data/attachdocs/feb-2019/1549426044617.pdf</t>
        </is>
      </c>
      <c r="R1098" s="18" t="inlineStr">
        <is>
          <t>https://www.sebi.gov.in/filings/public-issues/feb-2019/humming-bird-education-limited_41979.html</t>
        </is>
      </c>
      <c r="S1098" s="15" t="n"/>
      <c r="T1098" s="15" t="inlineStr">
        <is>
          <t>Company name + date window</t>
        </is>
      </c>
      <c r="U1098" s="15" t="inlineStr">
        <is>
          <t>Humming Bird Education Limited</t>
        </is>
      </c>
      <c r="V1098" s="15" t="n"/>
      <c r="W1098" s="15" t="n"/>
      <c r="X1098" s="15" t="n"/>
      <c r="Y1098" s="15" t="n"/>
      <c r="Z1098" s="15" t="n"/>
      <c r="AA1098" s="15" t="n"/>
      <c r="AB1098" s="15" t="n"/>
    </row>
    <row r="1099" ht="15" customHeight="1" s="12">
      <c r="A1099" s="14" t="n">
        <v>1098</v>
      </c>
      <c r="B1099" s="16" t="n">
        <v>43500</v>
      </c>
      <c r="C1099" s="15" t="n">
        <v>2019</v>
      </c>
      <c r="D1099" s="15" t="inlineStr">
        <is>
          <t>MSTC Limited</t>
        </is>
      </c>
      <c r="E1099" s="15" t="inlineStr">
        <is>
          <t>DRHP</t>
        </is>
      </c>
      <c r="F1099" s="15" t="inlineStr">
        <is>
          <t>MSTC Limited</t>
        </is>
      </c>
      <c r="G1099" s="15" t="inlineStr">
        <is>
          <t>IPO launched</t>
        </is>
      </c>
      <c r="H1099" s="15" t="inlineStr">
        <is>
          <t>Mainboard</t>
        </is>
      </c>
      <c r="I1099" s="16" t="n">
        <v>43537</v>
      </c>
      <c r="J1099" s="16" t="n">
        <v>43544</v>
      </c>
      <c r="K1099" s="16" t="n">
        <v>43553</v>
      </c>
      <c r="L1099" s="17" t="n">
        <v>212.04</v>
      </c>
      <c r="M1099" s="17" t="n">
        <v>212.04</v>
      </c>
      <c r="N1099" s="17" t="n">
        <v>0</v>
      </c>
      <c r="O1099" s="15" t="inlineStr">
        <is>
          <t>Final issue (ipoplatform)</t>
        </is>
      </c>
      <c r="P1099" s="15" t="n"/>
      <c r="Q1099" s="18" t="inlineStr">
        <is>
          <t>https://www.sebi.gov.in/sebi_data/attachdocs/feb-2019/1549274383844.pdf</t>
        </is>
      </c>
      <c r="R1099" s="18" t="inlineStr">
        <is>
          <t>https://www.sebi.gov.in/filings/public-issues/feb-2019/mstc-limited_41966.html</t>
        </is>
      </c>
      <c r="S1099" s="15" t="n"/>
      <c r="T1099" s="15" t="inlineStr">
        <is>
          <t>SEBI filing link</t>
        </is>
      </c>
      <c r="U1099" s="15" t="inlineStr">
        <is>
          <t>MSTC Limited</t>
        </is>
      </c>
      <c r="V1099" s="15" t="n"/>
      <c r="W1099" s="15" t="n"/>
      <c r="X1099" s="15" t="n"/>
      <c r="Y1099" s="15" t="n"/>
      <c r="Z1099" s="15" t="n"/>
      <c r="AA1099" s="15" t="n"/>
      <c r="AB1099" s="15" t="n"/>
    </row>
    <row r="1100" ht="15" customHeight="1" s="12">
      <c r="A1100" s="14" t="n">
        <v>1099</v>
      </c>
      <c r="B1100" s="16" t="n">
        <v>43494</v>
      </c>
      <c r="C1100" s="15" t="n">
        <v>2019</v>
      </c>
      <c r="D1100" s="15" t="inlineStr">
        <is>
          <t>Northern Spirits Limited</t>
        </is>
      </c>
      <c r="E1100" s="15" t="inlineStr">
        <is>
          <t>DRHP</t>
        </is>
      </c>
      <c r="F1100" s="15" t="inlineStr">
        <is>
          <t>Northern Spirits Limited</t>
        </is>
      </c>
      <c r="G1100" s="15" t="inlineStr">
        <is>
          <t>IPO launched</t>
        </is>
      </c>
      <c r="H1100" s="15" t="inlineStr">
        <is>
          <t>SME</t>
        </is>
      </c>
      <c r="I1100" s="16" t="n">
        <v>43546</v>
      </c>
      <c r="J1100" s="16" t="n">
        <v>43551</v>
      </c>
      <c r="K1100" s="16" t="n">
        <v>43559</v>
      </c>
      <c r="L1100" s="17" t="n">
        <v>18.5</v>
      </c>
      <c r="M1100" s="17" t="n">
        <v>18.5</v>
      </c>
      <c r="N1100" s="17" t="n">
        <v>0</v>
      </c>
      <c r="O1100" s="15" t="inlineStr">
        <is>
          <t>Final issue (ipoplatform)</t>
        </is>
      </c>
      <c r="P1100" s="15" t="n"/>
      <c r="Q1100" s="18" t="inlineStr">
        <is>
          <t>https://www.sebi.gov.in/sebi_data/attachdocs/apr-2023/1681124360045.pdf</t>
        </is>
      </c>
      <c r="R1100" s="18" t="inlineStr">
        <is>
          <t>https://www.sebi.gov.in/filings/public-issues/jan-2019/northern-spirits-limited_41863.html</t>
        </is>
      </c>
      <c r="S1100" s="15" t="n"/>
      <c r="T1100" s="15" t="inlineStr">
        <is>
          <t>Company name + date window</t>
        </is>
      </c>
      <c r="U1100" s="15" t="inlineStr">
        <is>
          <t>Northern Spirits Limited</t>
        </is>
      </c>
      <c r="V1100" s="15" t="n"/>
      <c r="W1100" s="15" t="n"/>
      <c r="X1100" s="15" t="n"/>
      <c r="Y1100" s="15" t="n"/>
      <c r="Z1100" s="15" t="n"/>
      <c r="AA1100" s="15" t="n"/>
      <c r="AB1100" s="15" t="n"/>
    </row>
    <row r="1101" ht="15" customHeight="1" s="12">
      <c r="A1101" s="14" t="n">
        <v>1100</v>
      </c>
      <c r="B1101" s="16" t="n">
        <v>43469</v>
      </c>
      <c r="C1101" s="15" t="n">
        <v>2019</v>
      </c>
      <c r="D1101" s="15" t="inlineStr">
        <is>
          <t>Kranti Industries Limited</t>
        </is>
      </c>
      <c r="E1101" s="15" t="inlineStr">
        <is>
          <t>DRHP</t>
        </is>
      </c>
      <c r="F1101" s="15" t="inlineStr">
        <is>
          <t>Kranti Industries Limited</t>
        </is>
      </c>
      <c r="G1101" s="15" t="inlineStr">
        <is>
          <t>IPO launched</t>
        </is>
      </c>
      <c r="H1101" s="15" t="inlineStr">
        <is>
          <t>SME</t>
        </is>
      </c>
      <c r="I1101" s="16" t="n">
        <v>43510</v>
      </c>
      <c r="J1101" s="16" t="n">
        <v>43516</v>
      </c>
      <c r="K1101" s="16" t="n">
        <v>43524</v>
      </c>
      <c r="L1101" s="17" t="n">
        <v>8.58</v>
      </c>
      <c r="M1101" s="17" t="n">
        <v>6.68</v>
      </c>
      <c r="N1101" s="17" t="n">
        <v>1.9</v>
      </c>
      <c r="O1101" s="15" t="inlineStr">
        <is>
          <t>Final issue (ipoplatform)</t>
        </is>
      </c>
      <c r="P1101" s="15" t="n"/>
      <c r="Q1101" s="18" t="inlineStr">
        <is>
          <t>https://www.sebi.gov.in/sebi_data/attachdocs/jan-2019/1546581784822.pdf</t>
        </is>
      </c>
      <c r="R1101" s="18" t="inlineStr">
        <is>
          <t>https://www.sebi.gov.in/filings/public-issues/jan-2019/kranti-industries-limited_41537.html</t>
        </is>
      </c>
      <c r="S1101" s="15" t="n"/>
      <c r="T1101" s="15" t="inlineStr">
        <is>
          <t>Company name + date window</t>
        </is>
      </c>
      <c r="U1101" s="15" t="inlineStr">
        <is>
          <t>Kranti Industries Limited</t>
        </is>
      </c>
      <c r="V1101" s="15" t="n"/>
      <c r="W1101" s="15" t="n"/>
      <c r="X1101" s="15" t="n"/>
      <c r="Y1101" s="15" t="n"/>
      <c r="Z1101" s="15" t="n"/>
      <c r="AA1101" s="15" t="n"/>
      <c r="AB1101" s="15" t="n"/>
    </row>
    <row r="1102" ht="15" customHeight="1" s="12">
      <c r="A1102" s="14" t="n">
        <v>1101</v>
      </c>
      <c r="B1102" s="16" t="n">
        <v>43467</v>
      </c>
      <c r="C1102" s="15" t="n">
        <v>2019</v>
      </c>
      <c r="D1102" s="15" t="inlineStr">
        <is>
          <t>Antony Waste Handling Cell Limited</t>
        </is>
      </c>
      <c r="E1102" s="15" t="inlineStr">
        <is>
          <t>DRHP</t>
        </is>
      </c>
      <c r="F1102" s="15" t="inlineStr">
        <is>
          <t>Antony Waste Handling Cell Limited</t>
        </is>
      </c>
      <c r="G1102" s="15" t="inlineStr">
        <is>
          <t>IPO launched</t>
        </is>
      </c>
      <c r="H1102" s="15" t="inlineStr">
        <is>
          <t>Mainboard</t>
        </is>
      </c>
      <c r="I1102" s="16" t="n">
        <v>44186</v>
      </c>
      <c r="J1102" s="16" t="n">
        <v>44188</v>
      </c>
      <c r="K1102" s="16" t="n">
        <v>44197</v>
      </c>
      <c r="L1102" s="17" t="n">
        <v>300</v>
      </c>
      <c r="M1102" s="17" t="n">
        <v>215</v>
      </c>
      <c r="N1102" s="17" t="n">
        <v>85</v>
      </c>
      <c r="O1102" s="15" t="inlineStr">
        <is>
          <t>Final issue (ipoplatform)</t>
        </is>
      </c>
      <c r="P1102" s="15" t="n"/>
      <c r="Q1102" s="18" t="inlineStr">
        <is>
          <t>https://www.sebi.gov.in/sebi_data/attachdocs/apr-2023/1681707020351.pdf</t>
        </is>
      </c>
      <c r="R1102" s="18" t="inlineStr">
        <is>
          <t>https://www.sebi.gov.in/filings/public-issues/jan-2019/antony-waste-handling-cell-limited_41518.html</t>
        </is>
      </c>
      <c r="S1102" s="15" t="n"/>
      <c r="T1102" s="15" t="inlineStr">
        <is>
          <t>Company name + date window</t>
        </is>
      </c>
      <c r="U1102" s="15" t="inlineStr">
        <is>
          <t>Antony Waste Handling Cell Limited</t>
        </is>
      </c>
      <c r="V1102" s="15" t="n"/>
      <c r="W1102" s="15" t="n"/>
      <c r="X1102" s="15" t="n"/>
      <c r="Y1102" s="15" t="n"/>
      <c r="Z1102" s="15" t="n"/>
      <c r="AA1102" s="15" t="n"/>
      <c r="AB1102" s="15" t="n"/>
    </row>
    <row r="1103" ht="15" customHeight="1" s="12">
      <c r="A1103" s="14" t="n">
        <v>1102</v>
      </c>
      <c r="B1103" s="16" t="n">
        <v>43461</v>
      </c>
      <c r="C1103" s="15" t="n">
        <v>2018</v>
      </c>
      <c r="D1103" s="15" t="inlineStr">
        <is>
          <t>Shriram Properties Limited</t>
        </is>
      </c>
      <c r="E1103" s="15" t="inlineStr">
        <is>
          <t>DRHP</t>
        </is>
      </c>
      <c r="F1103" s="15" t="inlineStr">
        <is>
          <t>Shriram Properties Limited</t>
        </is>
      </c>
      <c r="G1103" s="15" t="inlineStr">
        <is>
          <t>No launched IPO found</t>
        </is>
      </c>
      <c r="H1103" s="15" t="n"/>
      <c r="I1103" s="16" t="n"/>
      <c r="J1103" s="16" t="n"/>
      <c r="K1103" s="16" t="n"/>
      <c r="L1103" s="17" t="n"/>
      <c r="M1103" s="17" t="n"/>
      <c r="N1103" s="17" t="n"/>
      <c r="O1103" s="15" t="n"/>
      <c r="P1103" s="15" t="n"/>
      <c r="Q1103" s="18" t="inlineStr">
        <is>
          <t>https://www.sebi.gov.in/sebi_data/attachdocs/apr-2023/1681818971633.pdf</t>
        </is>
      </c>
      <c r="R1103" s="18" t="inlineStr">
        <is>
          <t>https://www.sebi.gov.in/filings/public-issues/dec-2018/shriram-properties-limited_41454.html</t>
        </is>
      </c>
      <c r="S1103" s="15" t="n"/>
      <c r="T1103" s="15" t="n"/>
      <c r="U1103" s="15" t="n"/>
      <c r="V1103" s="15" t="inlineStr">
        <is>
          <t>Same-name IPO opened 08-Dec-2021 — outside 2 years of this filing, so not linked</t>
        </is>
      </c>
      <c r="W1103" s="19" t="n">
        <v>44538</v>
      </c>
      <c r="X1103" s="19" t="n">
        <v>44540</v>
      </c>
      <c r="Y1103" s="19" t="n">
        <v>44550</v>
      </c>
      <c r="Z1103" s="20" t="inlineStr">
        <is>
          <t>Issue opened</t>
        </is>
      </c>
      <c r="AA1103" s="15" t="inlineStr">
        <is>
          <t>Matched on chittorgarh.com</t>
        </is>
      </c>
      <c r="AB1103" s="18" t="inlineStr">
        <is>
          <t>https://www.chittorgarh.com/ipo/shriram-properties-ipo/1191/</t>
        </is>
      </c>
    </row>
    <row r="1104" ht="15" customHeight="1" s="12">
      <c r="A1104" s="14" t="n">
        <v>1103</v>
      </c>
      <c r="B1104" s="16" t="n">
        <v>43441</v>
      </c>
      <c r="C1104" s="15" t="n">
        <v>2018</v>
      </c>
      <c r="D1104" s="15" t="inlineStr">
        <is>
          <t>Uniparts India Limited</t>
        </is>
      </c>
      <c r="E1104" s="15" t="inlineStr">
        <is>
          <t>DRHP</t>
        </is>
      </c>
      <c r="F1104" s="15" t="inlineStr">
        <is>
          <t>Uniparts India Limited</t>
        </is>
      </c>
      <c r="G1104" s="15" t="inlineStr">
        <is>
          <t>No launched IPO found</t>
        </is>
      </c>
      <c r="H1104" s="15" t="n"/>
      <c r="I1104" s="16" t="n"/>
      <c r="J1104" s="16" t="n"/>
      <c r="K1104" s="16" t="n"/>
      <c r="L1104" s="17" t="n"/>
      <c r="M1104" s="17" t="n"/>
      <c r="N1104" s="17" t="n"/>
      <c r="O1104" s="15" t="n"/>
      <c r="P1104" s="15" t="n"/>
      <c r="Q1104" s="18" t="inlineStr">
        <is>
          <t>https://www.sebi.gov.in/sebi_data/attachdocs/apr-2023/1681212442052.pdf</t>
        </is>
      </c>
      <c r="R1104" s="18" t="inlineStr">
        <is>
          <t>https://www.sebi.gov.in/filings/public-issues/dec-2018/uniparts-india-limited_41250.html</t>
        </is>
      </c>
      <c r="S1104" s="15" t="n"/>
      <c r="T1104" s="15" t="n"/>
      <c r="U1104" s="15" t="n"/>
      <c r="V1104" s="15" t="inlineStr">
        <is>
          <t>Same-name IPO opened 30-Nov-2022 — outside 2 years of this filing, so not linked</t>
        </is>
      </c>
      <c r="W1104" s="25" t="n">
        <v>44895</v>
      </c>
      <c r="X1104" s="25" t="n">
        <v>44897</v>
      </c>
      <c r="Y1104" s="25" t="n">
        <v>44907</v>
      </c>
      <c r="Z1104" s="26" t="inlineStr">
        <is>
          <t>Later IPO — not from this draft</t>
        </is>
      </c>
      <c r="AA1104" s="15" t="inlineStr">
        <is>
          <t>Opened 4.0 yrs after this filing, under a later draft</t>
        </is>
      </c>
      <c r="AB1104" s="18" t="inlineStr">
        <is>
          <t>https://www.business-standard.com/markets/ipo/uniparts-india-ltd-ipo-45939</t>
        </is>
      </c>
    </row>
    <row r="1105" ht="15" customHeight="1" s="12">
      <c r="A1105" s="14" t="n">
        <v>1104</v>
      </c>
      <c r="B1105" s="16" t="n">
        <v>43434</v>
      </c>
      <c r="C1105" s="15" t="n">
        <v>2018</v>
      </c>
      <c r="D1105" s="15" t="inlineStr">
        <is>
          <t>Coldex Limited</t>
        </is>
      </c>
      <c r="E1105" s="15" t="inlineStr">
        <is>
          <t>DRHP</t>
        </is>
      </c>
      <c r="F1105" s="15" t="inlineStr">
        <is>
          <t>Coldex Limited</t>
        </is>
      </c>
      <c r="G1105" s="15" t="inlineStr">
        <is>
          <t>No launched IPO found</t>
        </is>
      </c>
      <c r="H1105" s="15" t="n"/>
      <c r="I1105" s="16" t="n"/>
      <c r="J1105" s="16" t="n"/>
      <c r="K1105" s="16" t="n"/>
      <c r="L1105" s="17" t="n"/>
      <c r="M1105" s="17" t="n"/>
      <c r="N1105" s="17" t="n"/>
      <c r="O1105" s="15" t="n"/>
      <c r="P1105" s="15" t="n"/>
      <c r="Q1105" s="18" t="inlineStr">
        <is>
          <t>https://www.sebi.gov.in/sebi_data/attachdocs/nov-2018/1543549582524.pdf</t>
        </is>
      </c>
      <c r="R1105" s="18" t="inlineStr">
        <is>
          <t>https://www.sebi.gov.in/filings/public-issues/nov-2018/coldex-limited_41154.html</t>
        </is>
      </c>
      <c r="S1105" s="15" t="n"/>
      <c r="T1105" s="15" t="n"/>
      <c r="U1105" s="15" t="n"/>
      <c r="V1105" s="15" t="n"/>
      <c r="W1105" s="16" t="n"/>
      <c r="X1105" s="16" t="n"/>
      <c r="Y1105" s="16" t="n"/>
      <c r="Z1105" s="15" t="inlineStr">
        <is>
          <t>No issue found</t>
        </is>
      </c>
      <c r="AA1105" s="15" t="inlineStr">
        <is>
          <t>Business Standard lists the company but shows no issue dates; web search limit reached</t>
        </is>
      </c>
      <c r="AB1105" s="18" t="inlineStr">
        <is>
          <t>https://www.business-standard.com/markets/ipo/coldex-ltd-ipo-43826</t>
        </is>
      </c>
    </row>
    <row r="1106" ht="15" customHeight="1" s="12">
      <c r="A1106" s="14" t="n">
        <v>1105</v>
      </c>
      <c r="B1106" s="16" t="n">
        <v>43419</v>
      </c>
      <c r="C1106" s="15" t="n">
        <v>2018</v>
      </c>
      <c r="D1106" s="15" t="inlineStr">
        <is>
          <t>Penna Cement Industries Limited</t>
        </is>
      </c>
      <c r="E1106" s="15" t="inlineStr">
        <is>
          <t>DRHP</t>
        </is>
      </c>
      <c r="F1106" s="15" t="inlineStr">
        <is>
          <t>Penna Cement Industries Limited</t>
        </is>
      </c>
      <c r="G1106" s="15" t="inlineStr">
        <is>
          <t>No launched IPO found</t>
        </is>
      </c>
      <c r="H1106" s="15" t="n"/>
      <c r="I1106" s="16" t="n"/>
      <c r="J1106" s="16" t="n"/>
      <c r="K1106" s="16" t="n"/>
      <c r="L1106" s="17" t="n"/>
      <c r="M1106" s="17" t="n"/>
      <c r="N1106" s="17" t="n"/>
      <c r="O1106" s="15" t="n"/>
      <c r="P1106" s="15" t="n"/>
      <c r="Q1106" s="18" t="inlineStr">
        <is>
          <t>https://www.sebi.gov.in/sebi_data/attachdocs/nov-2018/1542278014804.pdf</t>
        </is>
      </c>
      <c r="R1106" s="18" t="inlineStr">
        <is>
          <t>https://www.sebi.gov.in/filings/public-issues/nov-2018/penna-cement-industries-limited_41004.html</t>
        </is>
      </c>
      <c r="S1106" s="15" t="n"/>
      <c r="T1106" s="15" t="n"/>
      <c r="U1106" s="15" t="n"/>
      <c r="V1106" s="15" t="n"/>
      <c r="W1106" s="16" t="n"/>
      <c r="X1106" s="16" t="n"/>
      <c r="Y1106" s="16" t="n"/>
      <c r="Z1106" s="15" t="inlineStr">
        <is>
          <t>No issue found</t>
        </is>
      </c>
      <c r="AA1106" s="15" t="inlineStr">
        <is>
          <t>Business Standard lists the company but shows no issue dates; web search limit reached</t>
        </is>
      </c>
      <c r="AB1106" s="18" t="inlineStr">
        <is>
          <t>https://www.business-standard.com/markets/ipo/penna-cement-indutries-ltd-ipo-25179</t>
        </is>
      </c>
    </row>
    <row r="1107" ht="15" customHeight="1" s="12">
      <c r="A1107" s="14" t="n">
        <v>1106</v>
      </c>
      <c r="B1107" s="16" t="n">
        <v>43409</v>
      </c>
      <c r="C1107" s="15" t="n">
        <v>2018</v>
      </c>
      <c r="D1107" s="15" t="inlineStr">
        <is>
          <t>Neogen Chemicals Limited</t>
        </is>
      </c>
      <c r="E1107" s="15" t="inlineStr">
        <is>
          <t>DRHP</t>
        </is>
      </c>
      <c r="F1107" s="15" t="inlineStr">
        <is>
          <t>Neogen Chemicals Limited</t>
        </is>
      </c>
      <c r="G1107" s="15" t="inlineStr">
        <is>
          <t>IPO launched</t>
        </is>
      </c>
      <c r="H1107" s="15" t="inlineStr">
        <is>
          <t>Mainboard</t>
        </is>
      </c>
      <c r="I1107" s="16" t="n">
        <v>43579</v>
      </c>
      <c r="J1107" s="16" t="n">
        <v>43581</v>
      </c>
      <c r="K1107" s="16" t="n">
        <v>43593</v>
      </c>
      <c r="L1107" s="17" t="n">
        <v>132.35</v>
      </c>
      <c r="M1107" s="17" t="n">
        <v>132.35</v>
      </c>
      <c r="N1107" s="17" t="n">
        <v>0</v>
      </c>
      <c r="O1107" s="15" t="inlineStr">
        <is>
          <t>Final issue (ipoplatform)</t>
        </is>
      </c>
      <c r="P1107" s="15" t="n"/>
      <c r="Q1107" s="18" t="inlineStr">
        <is>
          <t>https://www.sebi.gov.in/sebi_data/attachdocs/nov-2018/1541419209760_7.pdf</t>
        </is>
      </c>
      <c r="R1107" s="18" t="inlineStr">
        <is>
          <t>https://www.sebi.gov.in/filings/public-issues/nov-2018/neogen-chemicals-limited_40952.html</t>
        </is>
      </c>
      <c r="S1107" s="15" t="n"/>
      <c r="T1107" s="15" t="inlineStr">
        <is>
          <t>SEBI filing link</t>
        </is>
      </c>
      <c r="U1107" s="15" t="inlineStr">
        <is>
          <t>Neogen Chemicals Limited</t>
        </is>
      </c>
      <c r="V1107" s="15" t="n"/>
      <c r="W1107" s="15" t="n"/>
      <c r="X1107" s="15" t="n"/>
      <c r="Y1107" s="15" t="n"/>
      <c r="Z1107" s="15" t="n"/>
      <c r="AA1107" s="15" t="n"/>
      <c r="AB1107" s="15" t="n"/>
    </row>
    <row r="1108" ht="15" customHeight="1" s="12">
      <c r="A1108" s="14" t="n">
        <v>1107</v>
      </c>
      <c r="B1108" s="16" t="n">
        <v>43406</v>
      </c>
      <c r="C1108" s="15" t="n">
        <v>2018</v>
      </c>
      <c r="D1108" s="15" t="inlineStr">
        <is>
          <t>Polycab India Limited</t>
        </is>
      </c>
      <c r="E1108" s="15" t="inlineStr">
        <is>
          <t>DRHP</t>
        </is>
      </c>
      <c r="F1108" s="15" t="inlineStr">
        <is>
          <t>Polycab India Limited</t>
        </is>
      </c>
      <c r="G1108" s="15" t="inlineStr">
        <is>
          <t>IPO launched</t>
        </is>
      </c>
      <c r="H1108" s="15" t="inlineStr">
        <is>
          <t>Mainboard</t>
        </is>
      </c>
      <c r="I1108" s="16" t="n">
        <v>43560</v>
      </c>
      <c r="J1108" s="16" t="n">
        <v>43564</v>
      </c>
      <c r="K1108" s="16" t="n">
        <v>43571</v>
      </c>
      <c r="L1108" s="17" t="n">
        <v>1346</v>
      </c>
      <c r="M1108" s="17" t="n">
        <v>1346</v>
      </c>
      <c r="N1108" s="17" t="n">
        <v>0</v>
      </c>
      <c r="O1108" s="15" t="inlineStr">
        <is>
          <t>Final issue (ipoplatform)</t>
        </is>
      </c>
      <c r="P1108" s="15" t="n"/>
      <c r="Q1108" s="18" t="inlineStr">
        <is>
          <t>https://www.sebi.gov.in/sebi_data/attachdocs/nov-2018/1541160009196_6.pdf</t>
        </is>
      </c>
      <c r="R1108" s="18" t="inlineStr">
        <is>
          <t>https://www.sebi.gov.in/filings/public-issues/nov-2018/polycab-india-limited_40933.html</t>
        </is>
      </c>
      <c r="S1108" s="15" t="n"/>
      <c r="T1108" s="15" t="inlineStr">
        <is>
          <t>SEBI filing link</t>
        </is>
      </c>
      <c r="U1108" s="15" t="inlineStr">
        <is>
          <t>Polycab India Limited</t>
        </is>
      </c>
      <c r="V1108" s="15" t="inlineStr">
        <is>
          <t>Open date corrected from source value 2005-07-10 (contradicts source close/listing date)</t>
        </is>
      </c>
      <c r="W1108" s="15" t="n"/>
      <c r="X1108" s="15" t="n"/>
      <c r="Y1108" s="15" t="n"/>
      <c r="Z1108" s="15" t="n"/>
      <c r="AA1108" s="15" t="n"/>
      <c r="AB1108" s="15" t="n"/>
    </row>
    <row r="1109" ht="15" customHeight="1" s="12">
      <c r="A1109" s="14" t="n">
        <v>1108</v>
      </c>
      <c r="B1109" s="16" t="n">
        <v>43390</v>
      </c>
      <c r="C1109" s="15" t="n">
        <v>2018</v>
      </c>
      <c r="D1109" s="15" t="inlineStr">
        <is>
          <t>Prince Pipes and Fittings Limited</t>
        </is>
      </c>
      <c r="E1109" s="15" t="inlineStr">
        <is>
          <t>DRHP</t>
        </is>
      </c>
      <c r="F1109" s="15" t="inlineStr">
        <is>
          <t>Prince Pipes and Fittings Limited</t>
        </is>
      </c>
      <c r="G1109" s="15" t="inlineStr">
        <is>
          <t>IPO launched</t>
        </is>
      </c>
      <c r="H1109" s="15" t="inlineStr">
        <is>
          <t>Mainboard</t>
        </is>
      </c>
      <c r="I1109" s="16" t="n">
        <v>43817</v>
      </c>
      <c r="J1109" s="16" t="n">
        <v>43819</v>
      </c>
      <c r="K1109" s="16" t="n">
        <v>43829</v>
      </c>
      <c r="L1109" s="17" t="n">
        <v>500</v>
      </c>
      <c r="M1109" s="17" t="n">
        <v>250</v>
      </c>
      <c r="N1109" s="17" t="n">
        <v>250</v>
      </c>
      <c r="O1109" s="15" t="inlineStr">
        <is>
          <t>Final issue (ipoplatform)</t>
        </is>
      </c>
      <c r="P1109" s="15" t="n"/>
      <c r="Q1109" s="18" t="inlineStr">
        <is>
          <t>https://www.sebi.gov.in/sebi_data/attachdocs/oct-2018/1539777610868_5.pdf</t>
        </is>
      </c>
      <c r="R1109" s="18" t="inlineStr">
        <is>
          <t>https://www.sebi.gov.in/filings/public-issues/oct-2018/prince-pipes-and-fittings-limited_40754.html</t>
        </is>
      </c>
      <c r="S1109" s="15" t="n"/>
      <c r="T1109" s="15" t="inlineStr">
        <is>
          <t>SEBI filing link</t>
        </is>
      </c>
      <c r="U1109" s="15" t="inlineStr">
        <is>
          <t>Prince Pipes and Fittings Limited</t>
        </is>
      </c>
      <c r="V1109" s="15" t="n"/>
      <c r="W1109" s="15" t="n"/>
      <c r="X1109" s="15" t="n"/>
      <c r="Y1109" s="15" t="n"/>
      <c r="Z1109" s="15" t="n"/>
      <c r="AA1109" s="15" t="n"/>
      <c r="AB1109" s="15" t="n"/>
    </row>
    <row r="1110" ht="15" customHeight="1" s="12">
      <c r="A1110" s="14" t="n">
        <v>1109</v>
      </c>
      <c r="B1110" s="16" t="n">
        <v>43389</v>
      </c>
      <c r="C1110" s="15" t="n">
        <v>2018</v>
      </c>
      <c r="D1110" s="15" t="inlineStr">
        <is>
          <t>Narmada Bio-chem Limited</t>
        </is>
      </c>
      <c r="E1110" s="15" t="inlineStr">
        <is>
          <t>DRHP</t>
        </is>
      </c>
      <c r="F1110" s="15" t="inlineStr">
        <is>
          <t>Narmada Bio-chem Limited</t>
        </is>
      </c>
      <c r="G1110" s="15" t="inlineStr">
        <is>
          <t>No launched IPO found</t>
        </is>
      </c>
      <c r="H1110" s="15" t="n"/>
      <c r="I1110" s="16" t="n"/>
      <c r="J1110" s="16" t="n"/>
      <c r="K1110" s="16" t="n"/>
      <c r="L1110" s="17" t="n"/>
      <c r="M1110" s="17" t="n"/>
      <c r="N1110" s="17" t="n"/>
      <c r="O1110" s="15" t="n"/>
      <c r="P1110" s="15" t="n"/>
      <c r="Q1110" s="18" t="inlineStr">
        <is>
          <t>https://www.sebi.gov.in/sebi_data/attachdocs/oct-2018/1539666184545.pdf</t>
        </is>
      </c>
      <c r="R1110" s="18" t="inlineStr">
        <is>
          <t>https://www.sebi.gov.in/filings/public-issues/oct-2018/narmada-bio-chem-limited_40732.html</t>
        </is>
      </c>
      <c r="S1110" s="15" t="n"/>
      <c r="T1110" s="15" t="n"/>
      <c r="U1110" s="15" t="n"/>
      <c r="V1110" s="15" t="n"/>
      <c r="W1110" s="16" t="n"/>
      <c r="X1110" s="16" t="n"/>
      <c r="Y1110" s="16" t="n"/>
      <c r="Z1110" s="15" t="inlineStr">
        <is>
          <t>No issue found</t>
        </is>
      </c>
      <c r="AA1110" s="15" t="inlineStr">
        <is>
          <t>Business Standard lists the company but shows no issue dates; web search limit reached</t>
        </is>
      </c>
      <c r="AB1110" s="18" t="inlineStr">
        <is>
          <t>https://www.business-standard.com/markets/ipo/narmada-bio-chem-ltd-ipo-40265</t>
        </is>
      </c>
    </row>
    <row r="1111" ht="15" customHeight="1" s="12">
      <c r="A1111" s="14" t="n">
        <v>1110</v>
      </c>
      <c r="B1111" s="16" t="n">
        <v>43388</v>
      </c>
      <c r="C1111" s="15" t="n">
        <v>2018</v>
      </c>
      <c r="D1111" s="15" t="inlineStr">
        <is>
          <t>EMAMI CEMENT LIMITED</t>
        </is>
      </c>
      <c r="E1111" s="15" t="inlineStr">
        <is>
          <t>DRHP</t>
        </is>
      </c>
      <c r="F1111" s="15" t="inlineStr">
        <is>
          <t>EMAMI CEMENT LIMITED</t>
        </is>
      </c>
      <c r="G1111" s="15" t="inlineStr">
        <is>
          <t>No launched IPO found</t>
        </is>
      </c>
      <c r="H1111" s="15" t="n"/>
      <c r="I1111" s="16" t="n"/>
      <c r="J1111" s="16" t="n"/>
      <c r="K1111" s="16" t="n"/>
      <c r="L1111" s="17" t="n"/>
      <c r="M1111" s="17" t="n"/>
      <c r="N1111" s="17" t="n"/>
      <c r="O1111" s="15" t="n"/>
      <c r="P1111" s="15" t="n"/>
      <c r="Q1111" s="18" t="inlineStr">
        <is>
          <t>https://www.sebi.gov.in/sebi_data/attachdocs/oct-2018/1539578504153.pdf</t>
        </is>
      </c>
      <c r="R1111" s="18" t="inlineStr">
        <is>
          <t>https://www.sebi.gov.in/filings/public-issues/oct-2018/emami-cement-limited_40726.html</t>
        </is>
      </c>
      <c r="S1111" s="15" t="n"/>
      <c r="T1111" s="15" t="n"/>
      <c r="U1111" s="15" t="n"/>
      <c r="V1111" s="15" t="n"/>
      <c r="W1111" s="16" t="n"/>
      <c r="X1111" s="16" t="n"/>
      <c r="Y1111" s="16" t="n"/>
      <c r="Z1111" s="15" t="inlineStr">
        <is>
          <t>Withdrawn / approval lapsed</t>
        </is>
      </c>
      <c r="AA1111" s="15" t="inlineStr">
        <is>
          <t>SEBI nod May 2019 (valid to May 2020); IPO never launched, company sold to Nuvoco Vistas Jul 2020</t>
        </is>
      </c>
      <c r="AB1111" s="18" t="inlineStr">
        <is>
          <t>https://www.business-standard.com/article/markets/emami-cement-gets-sebi-approval-for-initial-public-offering-of-rs-1-000-cr-119052201460_1.html</t>
        </is>
      </c>
    </row>
    <row r="1112" ht="15" customHeight="1" s="12">
      <c r="A1112" s="14" t="n">
        <v>1111</v>
      </c>
      <c r="B1112" s="16" t="n">
        <v>43374</v>
      </c>
      <c r="C1112" s="15" t="n">
        <v>2018</v>
      </c>
      <c r="D1112" s="15" t="inlineStr">
        <is>
          <t>Heranba Industries Limited</t>
        </is>
      </c>
      <c r="E1112" s="15" t="inlineStr">
        <is>
          <t>DRHP</t>
        </is>
      </c>
      <c r="F1112" s="15" t="inlineStr">
        <is>
          <t>Heranba Industries Limited</t>
        </is>
      </c>
      <c r="G1112" s="15" t="inlineStr">
        <is>
          <t>No launched IPO found</t>
        </is>
      </c>
      <c r="H1112" s="15" t="n"/>
      <c r="I1112" s="16" t="n"/>
      <c r="J1112" s="16" t="n"/>
      <c r="K1112" s="16" t="n"/>
      <c r="L1112" s="17" t="n"/>
      <c r="M1112" s="17" t="n"/>
      <c r="N1112" s="17" t="n"/>
      <c r="O1112" s="15" t="n"/>
      <c r="P1112" s="15" t="n"/>
      <c r="Q1112" s="18" t="inlineStr">
        <is>
          <t>https://www.sebi.gov.in/sebi_data/attachdocs/oct-2018/1538393293334.pdf</t>
        </is>
      </c>
      <c r="R1112" s="18" t="inlineStr">
        <is>
          <t>https://www.sebi.gov.in/filings/public-issues/oct-2018/heranba-industries-limited_40572.html</t>
        </is>
      </c>
      <c r="S1112" s="15" t="n"/>
      <c r="T1112" s="15" t="n"/>
      <c r="U1112" s="15" t="n"/>
      <c r="V1112" s="15" t="inlineStr">
        <is>
          <t>Same-name IPO opened 23-Feb-2021 — outside 2 years of this filing, so not linked</t>
        </is>
      </c>
      <c r="W1112" s="19" t="n">
        <v>44250</v>
      </c>
      <c r="X1112" s="19" t="n">
        <v>44252</v>
      </c>
      <c r="Y1112" s="19" t="n">
        <v>44260</v>
      </c>
      <c r="Z1112" s="20" t="inlineStr">
        <is>
          <t>Issue opened</t>
        </is>
      </c>
      <c r="AA1112" s="15" t="inlineStr">
        <is>
          <t>Matched on chittorgarh.com</t>
        </is>
      </c>
      <c r="AB1112" s="18" t="inlineStr">
        <is>
          <t>https://www.chittorgarh.com/ipo/heranba-industries-ipo/1085/</t>
        </is>
      </c>
    </row>
    <row r="1113" ht="15" customHeight="1" s="12">
      <c r="A1113" s="14" t="n">
        <v>1112</v>
      </c>
      <c r="B1113" s="16" t="n">
        <v>43374</v>
      </c>
      <c r="C1113" s="15" t="n">
        <v>2018</v>
      </c>
      <c r="D1113" s="15" t="inlineStr">
        <is>
          <t>Chartered Speed Limited</t>
        </is>
      </c>
      <c r="E1113" s="15" t="inlineStr">
        <is>
          <t>DRHP</t>
        </is>
      </c>
      <c r="F1113" s="15" t="inlineStr">
        <is>
          <t>Chartered Speed Limited</t>
        </is>
      </c>
      <c r="G1113" s="15" t="inlineStr">
        <is>
          <t>No launched IPO found</t>
        </is>
      </c>
      <c r="H1113" s="15" t="n"/>
      <c r="I1113" s="16" t="n"/>
      <c r="J1113" s="16" t="n"/>
      <c r="K1113" s="16" t="n"/>
      <c r="L1113" s="17" t="n"/>
      <c r="M1113" s="17" t="n"/>
      <c r="N1113" s="17" t="n"/>
      <c r="O1113" s="15" t="n"/>
      <c r="P1113" s="15" t="n"/>
      <c r="Q1113" s="18" t="inlineStr">
        <is>
          <t>https://www.sebi.gov.in/sebi_data/attachdocs/oct-2018/1538393281700.pdf</t>
        </is>
      </c>
      <c r="R1113" s="18" t="inlineStr">
        <is>
          <t>https://www.sebi.gov.in/filings/public-issues/oct-2018/chartered-speed-limited_40571.html</t>
        </is>
      </c>
      <c r="S1113" s="15" t="n"/>
      <c r="T1113" s="15" t="n"/>
      <c r="U1113" s="15" t="n"/>
      <c r="V1113" s="15" t="n"/>
      <c r="W1113" s="16" t="n"/>
      <c r="X1113" s="16" t="n"/>
      <c r="Y1113" s="16" t="n"/>
      <c r="Z1113" s="15" t="inlineStr">
        <is>
          <t>No issue found</t>
        </is>
      </c>
      <c r="AA1113" s="15" t="inlineStr">
        <is>
          <t>SEBI nod 2-Jan-2026; Rs855 cr issue; dates not yet announced</t>
        </is>
      </c>
      <c r="AB1113" s="18" t="inlineStr">
        <is>
          <t>https://www.chittorgarh.com/ipo/chartered-speed-ipo/2596/</t>
        </is>
      </c>
    </row>
    <row r="1114" ht="15" customHeight="1" s="12">
      <c r="A1114" s="14" t="n">
        <v>1113</v>
      </c>
      <c r="B1114" s="16" t="n">
        <v>43371</v>
      </c>
      <c r="C1114" s="15" t="n">
        <v>2018</v>
      </c>
      <c r="D1114" s="15" t="inlineStr">
        <is>
          <t>NECCON POWER &amp; INFRA LIMITED</t>
        </is>
      </c>
      <c r="E1114" s="15" t="inlineStr">
        <is>
          <t>DRHP</t>
        </is>
      </c>
      <c r="F1114" s="15" t="inlineStr">
        <is>
          <t>NECCON POWER &amp; INFRA LIMITED</t>
        </is>
      </c>
      <c r="G1114" s="15" t="inlineStr">
        <is>
          <t>No launched IPO found</t>
        </is>
      </c>
      <c r="H1114" s="15" t="n"/>
      <c r="I1114" s="16" t="n"/>
      <c r="J1114" s="16" t="n"/>
      <c r="K1114" s="16" t="n"/>
      <c r="L1114" s="17" t="n"/>
      <c r="M1114" s="17" t="n"/>
      <c r="N1114" s="17" t="n"/>
      <c r="O1114" s="15" t="n"/>
      <c r="P1114" s="15" t="n"/>
      <c r="Q1114" s="18" t="inlineStr">
        <is>
          <t>https://www.sebi.gov.in/sebi_data/attachdocs/sep-2018/1538145015018.pdf</t>
        </is>
      </c>
      <c r="R1114" s="18" t="inlineStr">
        <is>
          <t>https://www.sebi.gov.in/filings/public-issues/sep-2018/neccon-power-and-infra-limited_40543.html</t>
        </is>
      </c>
      <c r="S1114" s="15" t="n"/>
      <c r="T1114" s="15" t="n"/>
      <c r="U1114" s="15" t="n"/>
      <c r="V1114" s="15" t="n"/>
      <c r="W1114" s="16" t="n"/>
      <c r="X1114" s="16" t="n"/>
      <c r="Y1114" s="16" t="n"/>
      <c r="Z1114" s="15" t="inlineStr">
        <is>
          <t>No issue found</t>
        </is>
      </c>
      <c r="AA1114" s="15" t="inlineStr">
        <is>
          <t>Business Standard lists the company but shows no issue dates; web search limit reached</t>
        </is>
      </c>
      <c r="AB1114" s="18" t="inlineStr">
        <is>
          <t>https://www.business-standard.com/markets/ipo/neccon-power-infra-ltd-ipo-29207</t>
        </is>
      </c>
    </row>
    <row r="1115" ht="15" customHeight="1" s="12">
      <c r="A1115" s="14" t="n">
        <v>1114</v>
      </c>
      <c r="B1115" s="16" t="n">
        <v>43371</v>
      </c>
      <c r="C1115" s="15" t="n">
        <v>2018</v>
      </c>
      <c r="D1115" s="15" t="inlineStr">
        <is>
          <t>STOVE KRAFT LIMITED</t>
        </is>
      </c>
      <c r="E1115" s="15" t="inlineStr">
        <is>
          <t>DRHP</t>
        </is>
      </c>
      <c r="F1115" s="15" t="inlineStr">
        <is>
          <t>STOVE KRAFT LIMITED</t>
        </is>
      </c>
      <c r="G1115" s="15" t="inlineStr">
        <is>
          <t>No launched IPO found</t>
        </is>
      </c>
      <c r="H1115" s="15" t="n"/>
      <c r="I1115" s="16" t="n"/>
      <c r="J1115" s="16" t="n"/>
      <c r="K1115" s="16" t="n"/>
      <c r="L1115" s="17" t="n"/>
      <c r="M1115" s="17" t="n"/>
      <c r="N1115" s="17" t="n"/>
      <c r="O1115" s="15" t="n"/>
      <c r="P1115" s="15" t="n"/>
      <c r="Q1115" s="18" t="inlineStr">
        <is>
          <t>https://www.sebi.gov.in/sebi_data/attachdocs/sep-2018/1538144892170.pdf</t>
        </is>
      </c>
      <c r="R1115" s="18" t="inlineStr">
        <is>
          <t>https://www.sebi.gov.in/filings/public-issues/sep-2018/stove-kraft-limited_40540.html</t>
        </is>
      </c>
      <c r="S1115" s="15" t="n"/>
      <c r="T1115" s="15" t="n"/>
      <c r="U1115" s="15" t="n"/>
      <c r="V1115" s="15" t="inlineStr">
        <is>
          <t>Same-name IPO opened 25-Jan-2021 — outside 2 years of this filing, so not linked</t>
        </is>
      </c>
      <c r="W1115" s="19" t="n">
        <v>44221</v>
      </c>
      <c r="X1115" s="19" t="n">
        <v>44224</v>
      </c>
      <c r="Y1115" s="19" t="n">
        <v>44232</v>
      </c>
      <c r="Z1115" s="20" t="inlineStr">
        <is>
          <t>Issue opened</t>
        </is>
      </c>
      <c r="AA1115" s="15" t="inlineStr">
        <is>
          <t>Matched on chittorgarh.com</t>
        </is>
      </c>
      <c r="AB1115" s="18" t="inlineStr">
        <is>
          <t>https://www.chittorgarh.com/ipo/stove-kraft-ipo/1081/</t>
        </is>
      </c>
    </row>
    <row r="1116" ht="15" customHeight="1" s="12">
      <c r="A1116" s="14" t="n">
        <v>1115</v>
      </c>
      <c r="B1116" s="16" t="n">
        <v>43371</v>
      </c>
      <c r="C1116" s="15" t="n">
        <v>2018</v>
      </c>
      <c r="D1116" s="15" t="inlineStr">
        <is>
          <t>Metropolis Healthcare Limited</t>
        </is>
      </c>
      <c r="E1116" s="15" t="inlineStr">
        <is>
          <t>DRHP</t>
        </is>
      </c>
      <c r="F1116" s="15" t="inlineStr">
        <is>
          <t>Metropolis Healthcare Limited</t>
        </is>
      </c>
      <c r="G1116" s="15" t="inlineStr">
        <is>
          <t>IPO launched</t>
        </is>
      </c>
      <c r="H1116" s="15" t="inlineStr">
        <is>
          <t>Mainboard</t>
        </is>
      </c>
      <c r="I1116" s="16" t="n">
        <v>43558</v>
      </c>
      <c r="J1116" s="16" t="n">
        <v>43560</v>
      </c>
      <c r="K1116" s="16" t="n">
        <v>43570</v>
      </c>
      <c r="L1116" s="17" t="n">
        <v>1204.29</v>
      </c>
      <c r="M1116" s="17" t="n">
        <v>1204.29</v>
      </c>
      <c r="N1116" s="17" t="n">
        <v>0</v>
      </c>
      <c r="O1116" s="15" t="inlineStr">
        <is>
          <t>Final issue (ipoplatform)</t>
        </is>
      </c>
      <c r="P1116" s="15" t="n"/>
      <c r="Q1116" s="18" t="inlineStr">
        <is>
          <t>https://www.sebi.gov.in/sebi_data/attachdocs/sep-2018/1538132305423.pdf</t>
        </is>
      </c>
      <c r="R1116" s="18" t="inlineStr">
        <is>
          <t>https://www.sebi.gov.in/filings/public-issues/sep-2018/metropolis-healthcare-limited_40520.html</t>
        </is>
      </c>
      <c r="S1116" s="15" t="n"/>
      <c r="T1116" s="15" t="inlineStr">
        <is>
          <t>SEBI filing link</t>
        </is>
      </c>
      <c r="U1116" s="15" t="inlineStr">
        <is>
          <t>Metropolis Healthcare Limited</t>
        </is>
      </c>
      <c r="V1116" s="15" t="n"/>
      <c r="W1116" s="15" t="n"/>
      <c r="X1116" s="15" t="n"/>
      <c r="Y1116" s="15" t="n"/>
      <c r="Z1116" s="15" t="n"/>
      <c r="AA1116" s="15" t="n"/>
      <c r="AB1116" s="15" t="n"/>
    </row>
    <row r="1117" ht="15" customHeight="1" s="12">
      <c r="A1117" s="14" t="n">
        <v>1116</v>
      </c>
      <c r="B1117" s="16" t="n">
        <v>43371</v>
      </c>
      <c r="C1117" s="15" t="n">
        <v>2018</v>
      </c>
      <c r="D1117" s="15" t="inlineStr">
        <is>
          <t>ITI Limited</t>
        </is>
      </c>
      <c r="E1117" s="15" t="inlineStr">
        <is>
          <t>DRHP</t>
        </is>
      </c>
      <c r="F1117" s="15" t="inlineStr">
        <is>
          <t>ITI Limited</t>
        </is>
      </c>
      <c r="G1117" s="15" t="inlineStr">
        <is>
          <t>No launched IPO found</t>
        </is>
      </c>
      <c r="H1117" s="15" t="n"/>
      <c r="I1117" s="16" t="n"/>
      <c r="J1117" s="16" t="n"/>
      <c r="K1117" s="16" t="n"/>
      <c r="L1117" s="17" t="n"/>
      <c r="M1117" s="17" t="n"/>
      <c r="N1117" s="17" t="n"/>
      <c r="O1117" s="15" t="n"/>
      <c r="P1117" s="15" t="n"/>
      <c r="Q1117" s="18" t="inlineStr">
        <is>
          <t>https://www.sebi.gov.in/sebi_data/attachdocs/sep-2018/1538127439555.pdf</t>
        </is>
      </c>
      <c r="R1117" s="18" t="inlineStr">
        <is>
          <t>https://www.sebi.gov.in/filings/public-issues/sep-2018/iti-limited_40510.html</t>
        </is>
      </c>
      <c r="S1117" s="15" t="n"/>
      <c r="T1117" s="15" t="n"/>
      <c r="U1117" s="15" t="n"/>
      <c r="V1117" s="15" t="n"/>
      <c r="W1117" s="19" t="n">
        <v>43854</v>
      </c>
      <c r="X1117" s="19" t="n">
        <v>43866</v>
      </c>
      <c r="Y1117" s="19" t="n"/>
      <c r="Z1117" s="20" t="inlineStr">
        <is>
          <t>Issue opened</t>
        </is>
      </c>
      <c r="AA1117" s="15" t="inlineStr">
        <is>
          <t>Rs1,386cr FPO opened, extended twice, then withdrawn on 0.6x subscription; no shares listed</t>
        </is>
      </c>
      <c r="AB1117" s="18" t="inlineStr">
        <is>
          <t>https://www.chittorgarh.com/ipo/iti-fpo/1034/</t>
        </is>
      </c>
    </row>
    <row r="1118" ht="15" customHeight="1" s="12">
      <c r="A1118" s="14" t="n">
        <v>1117</v>
      </c>
      <c r="B1118" s="16" t="n">
        <v>43371</v>
      </c>
      <c r="C1118" s="15" t="n">
        <v>2018</v>
      </c>
      <c r="D1118" s="15" t="inlineStr">
        <is>
          <t>Narmada Biochem Limited</t>
        </is>
      </c>
      <c r="E1118" s="15" t="inlineStr">
        <is>
          <t>DRHP</t>
        </is>
      </c>
      <c r="F1118" s="15" t="inlineStr">
        <is>
          <t>Narmada Biochem Limited</t>
        </is>
      </c>
      <c r="G1118" s="15" t="inlineStr">
        <is>
          <t>No launched IPO found</t>
        </is>
      </c>
      <c r="H1118" s="15" t="n"/>
      <c r="I1118" s="16" t="n"/>
      <c r="J1118" s="16" t="n"/>
      <c r="K1118" s="16" t="n"/>
      <c r="L1118" s="17" t="n"/>
      <c r="M1118" s="17" t="n"/>
      <c r="N1118" s="17" t="n"/>
      <c r="O1118" s="15" t="n"/>
      <c r="P1118" s="15" t="n"/>
      <c r="Q1118" s="18" t="inlineStr">
        <is>
          <t>https://www.sebi.gov.in/sebi_data/attachdocs/sep-2018/1538127118589.pdf</t>
        </is>
      </c>
      <c r="R1118" s="18" t="inlineStr">
        <is>
          <t>https://www.sebi.gov.in/filings/public-issues/sep-2018/narmada-biochem-limited_40508.html</t>
        </is>
      </c>
      <c r="S1118" s="15" t="n"/>
      <c r="T1118" s="15" t="n"/>
      <c r="U1118" s="15" t="n"/>
      <c r="V1118" s="15" t="n"/>
      <c r="W1118" s="16" t="n"/>
      <c r="X1118" s="16" t="n"/>
      <c r="Y1118" s="16" t="n"/>
      <c r="Z1118" s="15" t="inlineStr">
        <is>
          <t>No issue found</t>
        </is>
      </c>
      <c r="AA1118" s="15" t="inlineStr">
        <is>
          <t>Business Standard lists the company but shows no issue dates; web search limit reached</t>
        </is>
      </c>
      <c r="AB1118" s="18" t="inlineStr">
        <is>
          <t>https://www.business-standard.com/markets/ipo/narmada-bio-chem-ltd-ipo-40265</t>
        </is>
      </c>
    </row>
    <row r="1119" ht="15" customHeight="1" s="12">
      <c r="A1119" s="14" t="n">
        <v>1118</v>
      </c>
      <c r="B1119" s="16" t="n">
        <v>43370</v>
      </c>
      <c r="C1119" s="15" t="n">
        <v>2018</v>
      </c>
      <c r="D1119" s="15" t="inlineStr">
        <is>
          <t>Anand Rathi Wealth Services Limited</t>
        </is>
      </c>
      <c r="E1119" s="15" t="inlineStr">
        <is>
          <t>DRHP</t>
        </is>
      </c>
      <c r="F1119" s="15" t="inlineStr">
        <is>
          <t>Anand Rathi Wealth Services Limited</t>
        </is>
      </c>
      <c r="G1119" s="15" t="inlineStr">
        <is>
          <t>No launched IPO found</t>
        </is>
      </c>
      <c r="H1119" s="15" t="n"/>
      <c r="I1119" s="16" t="n"/>
      <c r="J1119" s="16" t="n"/>
      <c r="K1119" s="16" t="n"/>
      <c r="L1119" s="17" t="n"/>
      <c r="M1119" s="17" t="n"/>
      <c r="N1119" s="17" t="n"/>
      <c r="O1119" s="15" t="n"/>
      <c r="P1119" s="15" t="n"/>
      <c r="Q1119" s="18" t="inlineStr">
        <is>
          <t>https://www.sebi.gov.in/sebi_data/attachdocs/sep-2018/1538038940705_3.pdf</t>
        </is>
      </c>
      <c r="R1119" s="18" t="inlineStr">
        <is>
          <t>https://www.sebi.gov.in/filings/public-issues/sep-2018/anand-rathi-wealth-services-limited_40463.html</t>
        </is>
      </c>
      <c r="S1119" s="15" t="n"/>
      <c r="T1119" s="15" t="n"/>
      <c r="U1119" s="15" t="n"/>
      <c r="V1119" s="15" t="n"/>
      <c r="W1119" s="25" t="n">
        <v>44532</v>
      </c>
      <c r="X1119" s="25" t="n">
        <v>44536</v>
      </c>
      <c r="Y1119" s="25" t="n">
        <v>44544</v>
      </c>
      <c r="Z1119" s="26" t="inlineStr">
        <is>
          <t>Later IPO — not from this draft</t>
        </is>
      </c>
      <c r="AA1119" s="15" t="inlineStr">
        <is>
          <t>Opened 3.2 yrs after this filing, under a later draft; IPO as Anand Rathi Wealth Ltd (Rs659cr) under 2021 DRHP; &gt;3 yrs after 2018 filing</t>
        </is>
      </c>
      <c r="AB1119" s="18" t="inlineStr">
        <is>
          <t>https://www.chittorgarh.com/ipo/anand-rathi-ipo/1186/</t>
        </is>
      </c>
    </row>
    <row r="1120" ht="15" customHeight="1" s="12">
      <c r="A1120" s="14" t="n">
        <v>1119</v>
      </c>
      <c r="B1120" s="16" t="n">
        <v>43369</v>
      </c>
      <c r="C1120" s="15" t="n">
        <v>2018</v>
      </c>
      <c r="D1120" s="15" t="inlineStr">
        <is>
          <t>Zircon Technologies (India) Ltd</t>
        </is>
      </c>
      <c r="E1120" s="15" t="inlineStr">
        <is>
          <t>DRHP</t>
        </is>
      </c>
      <c r="F1120" s="15" t="inlineStr">
        <is>
          <t>Zircon Technologies (India) Ltd</t>
        </is>
      </c>
      <c r="G1120" s="15" t="inlineStr">
        <is>
          <t>No launched IPO found</t>
        </is>
      </c>
      <c r="H1120" s="15" t="n"/>
      <c r="I1120" s="16" t="n"/>
      <c r="J1120" s="16" t="n"/>
      <c r="K1120" s="16" t="n"/>
      <c r="L1120" s="17" t="n"/>
      <c r="M1120" s="17" t="n"/>
      <c r="N1120" s="17" t="n"/>
      <c r="O1120" s="15" t="n"/>
      <c r="P1120" s="15" t="n"/>
      <c r="Q1120" s="18" t="inlineStr">
        <is>
          <t>https://www.sebi.gov.in/sebi_data/attachdocs/sep-2018/1538047747515.pdf</t>
        </is>
      </c>
      <c r="R1120" s="18" t="inlineStr">
        <is>
          <t>https://www.sebi.gov.in/filings/public-issues/sep-2018/zircon-technologies-india-ltd_40442.html</t>
        </is>
      </c>
      <c r="S1120" s="15" t="n"/>
      <c r="T1120" s="15" t="n"/>
      <c r="U1120" s="15" t="n"/>
      <c r="V1120" s="15" t="n"/>
      <c r="W1120" s="16" t="n"/>
      <c r="X1120" s="16" t="n"/>
      <c r="Y1120" s="16" t="n"/>
      <c r="Z1120" s="15" t="inlineStr">
        <is>
          <t>No issue found</t>
        </is>
      </c>
      <c r="AA1120" s="15" t="inlineStr">
        <is>
          <t>Business Standard lists the company but shows no issue dates; web search limit reached</t>
        </is>
      </c>
      <c r="AB1120" s="18" t="inlineStr">
        <is>
          <t>https://www.business-standard.com/markets/ipo/zircon-technologies-india-ltd-ipo-73290</t>
        </is>
      </c>
    </row>
    <row r="1121" ht="15" customHeight="1" s="12">
      <c r="A1121" s="14" t="n">
        <v>1120</v>
      </c>
      <c r="B1121" s="16" t="n">
        <v>43367</v>
      </c>
      <c r="C1121" s="15" t="n">
        <v>2018</v>
      </c>
      <c r="D1121" s="15" t="inlineStr">
        <is>
          <t>FLAIR WRITING INDUSTRIES LIMITED</t>
        </is>
      </c>
      <c r="E1121" s="15" t="inlineStr">
        <is>
          <t>DRHP</t>
        </is>
      </c>
      <c r="F1121" s="15" t="inlineStr">
        <is>
          <t>FLAIR WRITING INDUSTRIES LIMITED</t>
        </is>
      </c>
      <c r="G1121" s="15" t="inlineStr">
        <is>
          <t>No launched IPO found</t>
        </is>
      </c>
      <c r="H1121" s="15" t="n"/>
      <c r="I1121" s="16" t="n"/>
      <c r="J1121" s="16" t="n"/>
      <c r="K1121" s="16" t="n"/>
      <c r="L1121" s="17" t="n"/>
      <c r="M1121" s="17" t="n"/>
      <c r="N1121" s="17" t="n"/>
      <c r="O1121" s="15" t="n"/>
      <c r="P1121" s="15" t="n"/>
      <c r="Q1121" s="18" t="inlineStr">
        <is>
          <t>https://www.sebi.gov.in/sebi_data/attachdocs/sep-2018/1538038940705_4.pdf</t>
        </is>
      </c>
      <c r="R1121" s="18" t="inlineStr">
        <is>
          <t>https://www.sebi.gov.in/filings/public-issues/sep-2018/flair-writing-industries-limited_40462.html</t>
        </is>
      </c>
      <c r="S1121" s="15" t="n"/>
      <c r="T1121" s="15" t="n"/>
      <c r="U1121" s="15" t="n"/>
      <c r="V1121" s="15" t="inlineStr">
        <is>
          <t>Same-name IPO opened 22-Nov-2023 — outside 2 years of this filing, so not linked</t>
        </is>
      </c>
      <c r="W1121" s="25" t="n">
        <v>45252</v>
      </c>
      <c r="X1121" s="25" t="n">
        <v>45254</v>
      </c>
      <c r="Y1121" s="25" t="n">
        <v>45261</v>
      </c>
      <c r="Z1121" s="26" t="inlineStr">
        <is>
          <t>Later IPO — not from this draft</t>
        </is>
      </c>
      <c r="AA1121" s="15" t="inlineStr">
        <is>
          <t>Opened 5.2 yrs after this filing, under a later draft</t>
        </is>
      </c>
      <c r="AB1121" s="18" t="inlineStr">
        <is>
          <t>https://www.business-standard.com/markets/ipo/flair-writing-industries-ltd-ipo-73283</t>
        </is>
      </c>
    </row>
    <row r="1122" ht="15" customHeight="1" s="12">
      <c r="A1122" s="14" t="n">
        <v>1121</v>
      </c>
      <c r="B1122" s="16" t="n">
        <v>43367</v>
      </c>
      <c r="C1122" s="15" t="n">
        <v>2018</v>
      </c>
      <c r="D1122" s="15" t="inlineStr">
        <is>
          <t>Inventia Healthcare Limited</t>
        </is>
      </c>
      <c r="E1122" s="15" t="inlineStr">
        <is>
          <t>DRHP</t>
        </is>
      </c>
      <c r="F1122" s="15" t="inlineStr">
        <is>
          <t>Inventia Healthcare Limited</t>
        </is>
      </c>
      <c r="G1122" s="15" t="inlineStr">
        <is>
          <t>No launched IPO found</t>
        </is>
      </c>
      <c r="H1122" s="15" t="n"/>
      <c r="I1122" s="16" t="n"/>
      <c r="J1122" s="16" t="n"/>
      <c r="K1122" s="16" t="n"/>
      <c r="L1122" s="17" t="n"/>
      <c r="M1122" s="17" t="n"/>
      <c r="N1122" s="17" t="n"/>
      <c r="O1122" s="15" t="n"/>
      <c r="P1122" s="15" t="n"/>
      <c r="Q1122" s="18" t="inlineStr">
        <is>
          <t>https://www.sebi.gov.in/sebi_data/attachdocs/sep-2018/1537761634122.pdf</t>
        </is>
      </c>
      <c r="R1122" s="18" t="inlineStr">
        <is>
          <t>https://www.sebi.gov.in/filings/public-issues/sep-2018/inventia-healthcare-limited_40414.html</t>
        </is>
      </c>
      <c r="S1122" s="15" t="n"/>
      <c r="T1122" s="15" t="n"/>
      <c r="U1122" s="15" t="n"/>
      <c r="V1122" s="15" t="n"/>
      <c r="W1122" s="16" t="n"/>
      <c r="X1122" s="16" t="n"/>
      <c r="Y1122" s="16" t="n"/>
      <c r="Z1122" s="15" t="inlineStr">
        <is>
          <t>No issue found</t>
        </is>
      </c>
      <c r="AA1122" s="15" t="inlineStr">
        <is>
          <t>Business Standard lists the company but shows no issue dates; web search limit reached</t>
        </is>
      </c>
      <c r="AB1122" s="18" t="inlineStr">
        <is>
          <t>https://www.business-standard.com/markets/ipo/inventia-healthcare-ltd-ipo-35923</t>
        </is>
      </c>
    </row>
    <row r="1123" ht="15" customHeight="1" s="12">
      <c r="A1123" s="14" t="n">
        <v>1122</v>
      </c>
      <c r="B1123" s="16" t="n">
        <v>43364</v>
      </c>
      <c r="C1123" s="15" t="n">
        <v>2018</v>
      </c>
      <c r="D1123" s="15" t="inlineStr">
        <is>
          <t>T &amp; T Infra Limited</t>
        </is>
      </c>
      <c r="E1123" s="15" t="inlineStr">
        <is>
          <t>DRHP</t>
        </is>
      </c>
      <c r="F1123" s="15" t="inlineStr">
        <is>
          <t>T &amp; T Infra Limited</t>
        </is>
      </c>
      <c r="G1123" s="15" t="inlineStr">
        <is>
          <t>No launched IPO found</t>
        </is>
      </c>
      <c r="H1123" s="15" t="n"/>
      <c r="I1123" s="16" t="n"/>
      <c r="J1123" s="16" t="n"/>
      <c r="K1123" s="16" t="n"/>
      <c r="L1123" s="17" t="n"/>
      <c r="M1123" s="17" t="n"/>
      <c r="N1123" s="17" t="n"/>
      <c r="O1123" s="15" t="n"/>
      <c r="P1123" s="15" t="n"/>
      <c r="Q1123" s="18" t="inlineStr">
        <is>
          <t>https://www.sebi.gov.in/sebi_data/attachdocs/sep-2018/1537525278696.pdf</t>
        </is>
      </c>
      <c r="R1123" s="18" t="inlineStr">
        <is>
          <t>https://www.sebi.gov.in/filings/public-issues/sep-2018/t-and-t-infra-limited_40398.html</t>
        </is>
      </c>
      <c r="S1123" s="15" t="n"/>
      <c r="T1123" s="15" t="n"/>
      <c r="U1123" s="15" t="n"/>
      <c r="V1123" s="15" t="n"/>
      <c r="W1123" s="16" t="n"/>
      <c r="X1123" s="16" t="n"/>
      <c r="Y1123" s="16" t="n"/>
      <c r="Z1123" s="15" t="inlineStr">
        <is>
          <t>No issue found</t>
        </is>
      </c>
      <c r="AA1123" s="15" t="inlineStr">
        <is>
          <t>Business Standard lists the company but shows no issue dates; web search limit reached</t>
        </is>
      </c>
      <c r="AB1123" s="18" t="inlineStr">
        <is>
          <t>https://www.business-standard.com/markets/ipo/t-t-infra-ltd-ipo-73280</t>
        </is>
      </c>
    </row>
    <row r="1124" ht="15" customHeight="1" s="12">
      <c r="A1124" s="14" t="n">
        <v>1123</v>
      </c>
      <c r="B1124" s="16" t="n">
        <v>43362</v>
      </c>
      <c r="C1124" s="15" t="n">
        <v>2018</v>
      </c>
      <c r="D1124" s="15" t="inlineStr">
        <is>
          <t>Shri Bajrang Power and Ispat Limited</t>
        </is>
      </c>
      <c r="E1124" s="15" t="inlineStr">
        <is>
          <t>DRHP</t>
        </is>
      </c>
      <c r="F1124" s="15" t="inlineStr">
        <is>
          <t>Shri Bajrang Power and Ispat Limited</t>
        </is>
      </c>
      <c r="G1124" s="15" t="inlineStr">
        <is>
          <t>No launched IPO found</t>
        </is>
      </c>
      <c r="H1124" s="15" t="n"/>
      <c r="I1124" s="16" t="n"/>
      <c r="J1124" s="16" t="n"/>
      <c r="K1124" s="16" t="n"/>
      <c r="L1124" s="17" t="n"/>
      <c r="M1124" s="17" t="n"/>
      <c r="N1124" s="17" t="n"/>
      <c r="O1124" s="15" t="n"/>
      <c r="P1124" s="15" t="n"/>
      <c r="Q1124" s="18" t="inlineStr">
        <is>
          <t>https://www.sebi.gov.in/sebi_data/attachdocs/sep-2018/1537360982747.pdf</t>
        </is>
      </c>
      <c r="R1124" s="18" t="inlineStr">
        <is>
          <t>https://www.sebi.gov.in/filings/public-issues/sep-2018/shri-bajrang-power-and-ispat-limited_40369.html</t>
        </is>
      </c>
      <c r="S1124" s="15" t="n"/>
      <c r="T1124" s="15" t="n"/>
      <c r="U1124" s="15" t="n"/>
      <c r="V1124" s="15" t="n"/>
      <c r="W1124" s="16" t="n"/>
      <c r="X1124" s="16" t="n"/>
      <c r="Y1124" s="16" t="n"/>
      <c r="Z1124" s="15" t="inlineStr">
        <is>
          <t>No issue found</t>
        </is>
      </c>
      <c r="AA1124" s="15" t="inlineStr">
        <is>
          <t>Business Standard lists the company but shows no issue dates; web search limit reached</t>
        </is>
      </c>
      <c r="AB1124" s="18" t="inlineStr">
        <is>
          <t>https://www.business-standard.com/markets/ipo/shri-bajrang-power-ispat-ltd-ipo-33671</t>
        </is>
      </c>
    </row>
    <row r="1125" ht="15" customHeight="1" s="12">
      <c r="A1125" s="14" t="n">
        <v>1124</v>
      </c>
      <c r="B1125" s="16" t="n">
        <v>43350</v>
      </c>
      <c r="C1125" s="15" t="n">
        <v>2018</v>
      </c>
      <c r="D1125" s="15" t="inlineStr">
        <is>
          <t>Angel Broking Limited</t>
        </is>
      </c>
      <c r="E1125" s="15" t="inlineStr">
        <is>
          <t>DRHP</t>
        </is>
      </c>
      <c r="F1125" s="15" t="inlineStr">
        <is>
          <t>Angel Broking Limited</t>
        </is>
      </c>
      <c r="G1125" s="15" t="inlineStr">
        <is>
          <t>IPO launched</t>
        </is>
      </c>
      <c r="H1125" s="15" t="inlineStr">
        <is>
          <t>Mainboard</t>
        </is>
      </c>
      <c r="I1125" s="16" t="n">
        <v>44096</v>
      </c>
      <c r="J1125" s="16" t="n">
        <v>44098</v>
      </c>
      <c r="K1125" s="16" t="n">
        <v>44109</v>
      </c>
      <c r="L1125" s="17" t="n">
        <v>600</v>
      </c>
      <c r="M1125" s="17" t="n">
        <v>300</v>
      </c>
      <c r="N1125" s="17" t="n">
        <v>300</v>
      </c>
      <c r="O1125" s="15" t="inlineStr">
        <is>
          <t>Final issue (ipoplatform)</t>
        </is>
      </c>
      <c r="P1125" s="15" t="n"/>
      <c r="Q1125" s="18" t="inlineStr">
        <is>
          <t>https://www.sebi.gov.in/sebi_data/attachdocs/sep-2018/1536302772232.pdf</t>
        </is>
      </c>
      <c r="R1125" s="18" t="inlineStr">
        <is>
          <t>https://www.sebi.gov.in/filings/public-issues/sep-2018/angel-broking-limited_40269.html</t>
        </is>
      </c>
      <c r="S1125" s="15" t="n"/>
      <c r="T1125" s="15" t="inlineStr">
        <is>
          <t>SEBI filing link</t>
        </is>
      </c>
      <c r="U1125" s="15" t="inlineStr">
        <is>
          <t>Angel One Limited</t>
        </is>
      </c>
      <c r="V1125" s="15" t="n"/>
      <c r="W1125" s="15" t="n"/>
      <c r="X1125" s="15" t="n"/>
      <c r="Y1125" s="15" t="n"/>
      <c r="Z1125" s="15" t="n"/>
      <c r="AA1125" s="15" t="n"/>
      <c r="AB1125" s="15" t="n"/>
    </row>
    <row r="1126" ht="15" customHeight="1" s="12">
      <c r="A1126" s="14" t="n">
        <v>1125</v>
      </c>
      <c r="B1126" s="16" t="n">
        <v>43341</v>
      </c>
      <c r="C1126" s="15" t="n">
        <v>2018</v>
      </c>
      <c r="D1126" s="15" t="inlineStr">
        <is>
          <t>Studds Accessories Limited</t>
        </is>
      </c>
      <c r="E1126" s="15" t="inlineStr">
        <is>
          <t>DRHP</t>
        </is>
      </c>
      <c r="F1126" s="15" t="inlineStr">
        <is>
          <t>Studds Accessories Limited</t>
        </is>
      </c>
      <c r="G1126" s="15" t="inlineStr">
        <is>
          <t>No launched IPO found</t>
        </is>
      </c>
      <c r="H1126" s="15" t="n"/>
      <c r="I1126" s="16" t="n"/>
      <c r="J1126" s="16" t="n"/>
      <c r="K1126" s="16" t="n"/>
      <c r="L1126" s="17" t="n"/>
      <c r="M1126" s="17" t="n"/>
      <c r="N1126" s="17" t="n"/>
      <c r="O1126" s="15" t="n"/>
      <c r="P1126" s="15" t="n"/>
      <c r="Q1126" s="18" t="inlineStr">
        <is>
          <t>https://www.sebi.gov.in/sebi_data/attachdocs/aug-2018/1535541224817.pdf</t>
        </is>
      </c>
      <c r="R1126" s="18" t="inlineStr">
        <is>
          <t>https://www.sebi.gov.in/filings/public-issues/aug-2018/studds-accessories-limited_40127.html</t>
        </is>
      </c>
      <c r="S1126" s="15" t="n"/>
      <c r="T1126" s="15" t="n"/>
      <c r="U1126" s="15" t="n"/>
      <c r="V1126" s="15" t="inlineStr">
        <is>
          <t>Same-name IPO opened 30-Oct-2025 — outside 2 years of this filing, so not linked</t>
        </is>
      </c>
      <c r="W1126" s="25" t="n">
        <v>45960</v>
      </c>
      <c r="X1126" s="25" t="n">
        <v>45964</v>
      </c>
      <c r="Y1126" s="25" t="n">
        <v>45968</v>
      </c>
      <c r="Z1126" s="26" t="inlineStr">
        <is>
          <t>Later IPO — not from this draft</t>
        </is>
      </c>
      <c r="AA1126" s="15" t="inlineStr">
        <is>
          <t>Opened 7.2 yrs after this filing, under a later draft</t>
        </is>
      </c>
      <c r="AB1126" s="18" t="inlineStr">
        <is>
          <t>https://www.business-standard.com/markets/ipo/studds-accessories-ltd-ipo-45910</t>
        </is>
      </c>
    </row>
    <row r="1127" ht="15" customHeight="1" s="12">
      <c r="A1127" s="14" t="n">
        <v>1126</v>
      </c>
      <c r="B1127" s="16" t="n">
        <v>43341</v>
      </c>
      <c r="C1127" s="15" t="n">
        <v>2018</v>
      </c>
      <c r="D1127" s="15" t="inlineStr">
        <is>
          <t>Xelpmoc Design and Tech Limited</t>
        </is>
      </c>
      <c r="E1127" s="15" t="inlineStr">
        <is>
          <t>DRHP</t>
        </is>
      </c>
      <c r="F1127" s="15" t="inlineStr">
        <is>
          <t>Xelpmoc Design and Tech Limited</t>
        </is>
      </c>
      <c r="G1127" s="15" t="inlineStr">
        <is>
          <t>IPO launched</t>
        </is>
      </c>
      <c r="H1127" s="15" t="inlineStr">
        <is>
          <t>Mainboard</t>
        </is>
      </c>
      <c r="I1127" s="16" t="n">
        <v>43488</v>
      </c>
      <c r="J1127" s="16" t="n">
        <v>43490</v>
      </c>
      <c r="K1127" s="16" t="n">
        <v>43500</v>
      </c>
      <c r="L1127" s="17" t="n">
        <v>23</v>
      </c>
      <c r="M1127" s="17" t="n">
        <v>23</v>
      </c>
      <c r="N1127" s="17" t="n">
        <v>0</v>
      </c>
      <c r="O1127" s="15" t="inlineStr">
        <is>
          <t>Final issue (ipoplatform)</t>
        </is>
      </c>
      <c r="P1127" s="15" t="n"/>
      <c r="Q1127" s="18" t="inlineStr">
        <is>
          <t>https://www.sebi.gov.in/sebi_data/attachdocs/aug-2018/1535533795754.pdf</t>
        </is>
      </c>
      <c r="R1127" s="18" t="inlineStr">
        <is>
          <t>https://www.sebi.gov.in/filings/public-issues/aug-2018/xelpmoc-design-and-tech-limited_40116.html</t>
        </is>
      </c>
      <c r="S1127" s="15" t="n"/>
      <c r="T1127" s="15" t="inlineStr">
        <is>
          <t>SEBI filing link</t>
        </is>
      </c>
      <c r="U1127" s="15" t="inlineStr">
        <is>
          <t>Xelpmoc Design and Tech Limited</t>
        </is>
      </c>
      <c r="V1127" s="15" t="n"/>
      <c r="W1127" s="15" t="n"/>
      <c r="X1127" s="15" t="n"/>
      <c r="Y1127" s="15" t="n"/>
      <c r="Z1127" s="15" t="n"/>
      <c r="AA1127" s="15" t="n"/>
      <c r="AB1127" s="15" t="n"/>
    </row>
    <row r="1128" ht="15" customHeight="1" s="12">
      <c r="A1128" s="14" t="n">
        <v>1127</v>
      </c>
      <c r="B1128" s="16" t="n">
        <v>43336</v>
      </c>
      <c r="C1128" s="15" t="n">
        <v>2018</v>
      </c>
      <c r="D1128" s="15" t="inlineStr">
        <is>
          <t>Senco Gold Limited</t>
        </is>
      </c>
      <c r="E1128" s="15" t="inlineStr">
        <is>
          <t>DRHP</t>
        </is>
      </c>
      <c r="F1128" s="15" t="inlineStr">
        <is>
          <t>Senco Gold Limited</t>
        </is>
      </c>
      <c r="G1128" s="15" t="inlineStr">
        <is>
          <t>No launched IPO found</t>
        </is>
      </c>
      <c r="H1128" s="15" t="n"/>
      <c r="I1128" s="16" t="n"/>
      <c r="J1128" s="16" t="n"/>
      <c r="K1128" s="16" t="n"/>
      <c r="L1128" s="17" t="n"/>
      <c r="M1128" s="17" t="n"/>
      <c r="N1128" s="17" t="n"/>
      <c r="O1128" s="15" t="n"/>
      <c r="P1128" s="15" t="n"/>
      <c r="Q1128" s="18" t="inlineStr">
        <is>
          <t>https://www.sebi.gov.in/sebi_data/attachdocs/aug-2018/1535105436108.pdf</t>
        </is>
      </c>
      <c r="R1128" s="18" t="inlineStr">
        <is>
          <t>https://www.sebi.gov.in/filings/public-issues/aug-2018/senco-gold-limited_40087.html</t>
        </is>
      </c>
      <c r="S1128" s="15" t="n"/>
      <c r="T1128" s="15" t="n"/>
      <c r="U1128" s="15" t="n"/>
      <c r="V1128" s="15" t="inlineStr">
        <is>
          <t>Same-name IPO opened 04-Jul-2023 — outside 2 years of this filing, so not linked</t>
        </is>
      </c>
      <c r="W1128" s="25" t="n">
        <v>45111</v>
      </c>
      <c r="X1128" s="25" t="n">
        <v>45113</v>
      </c>
      <c r="Y1128" s="25" t="n">
        <v>45121</v>
      </c>
      <c r="Z1128" s="26" t="inlineStr">
        <is>
          <t>Later IPO — not from this draft</t>
        </is>
      </c>
      <c r="AA1128" s="15" t="inlineStr">
        <is>
          <t>Opened 4.9 yrs after this filing, under a later draft</t>
        </is>
      </c>
      <c r="AB1128" s="18" t="inlineStr">
        <is>
          <t>https://www.business-standard.com/markets/ipo/senco-gold-ltd-ipo-33975</t>
        </is>
      </c>
    </row>
    <row r="1129" ht="15" customHeight="1" s="12">
      <c r="A1129" s="14" t="n">
        <v>1128</v>
      </c>
      <c r="B1129" s="16" t="n">
        <v>43336</v>
      </c>
      <c r="C1129" s="15" t="n">
        <v>2018</v>
      </c>
      <c r="D1129" s="15" t="inlineStr">
        <is>
          <t>AGS Transact Technologies Limited</t>
        </is>
      </c>
      <c r="E1129" s="15" t="inlineStr">
        <is>
          <t>DRHP</t>
        </is>
      </c>
      <c r="F1129" s="15" t="inlineStr">
        <is>
          <t>AGS Transact Technologies Limited</t>
        </is>
      </c>
      <c r="G1129" s="15" t="inlineStr">
        <is>
          <t>IPO launched</t>
        </is>
      </c>
      <c r="H1129" s="15" t="inlineStr">
        <is>
          <t>Mainboard</t>
        </is>
      </c>
      <c r="I1129" s="16" t="n">
        <v>44580</v>
      </c>
      <c r="J1129" s="16" t="n">
        <v>44582</v>
      </c>
      <c r="K1129" s="16" t="n">
        <v>44592</v>
      </c>
      <c r="L1129" s="17" t="n">
        <v>680</v>
      </c>
      <c r="M1129" s="17" t="n">
        <v>680</v>
      </c>
      <c r="N1129" s="17" t="n">
        <v>0</v>
      </c>
      <c r="O1129" s="15" t="inlineStr">
        <is>
          <t>Final issue (ipoplatform)</t>
        </is>
      </c>
      <c r="P1129" s="15" t="n"/>
      <c r="Q1129" s="18" t="inlineStr">
        <is>
          <t>https://www.sebi.gov.in/sebi_data/attachdocs/aug-2018/1535105305269.pdf</t>
        </is>
      </c>
      <c r="R1129" s="18" t="inlineStr">
        <is>
          <t>https://www.sebi.gov.in/filings/public-issues/aug-2018/ags-transact-technologies-limited_40086.html</t>
        </is>
      </c>
      <c r="S1129" s="15" t="n"/>
      <c r="T1129" s="15" t="inlineStr">
        <is>
          <t>SEBI filing link</t>
        </is>
      </c>
      <c r="U1129" s="15" t="inlineStr">
        <is>
          <t>AGS Transact Technologies Limited</t>
        </is>
      </c>
      <c r="V1129" s="15" t="n"/>
      <c r="W1129" s="15" t="n"/>
      <c r="X1129" s="15" t="n"/>
      <c r="Y1129" s="15" t="n"/>
      <c r="Z1129" s="15" t="n"/>
      <c r="AA1129" s="15" t="n"/>
      <c r="AB1129" s="15" t="n"/>
    </row>
    <row r="1130" ht="15" customHeight="1" s="12">
      <c r="A1130" s="14" t="n">
        <v>1129</v>
      </c>
      <c r="B1130" s="16" t="n">
        <v>43333</v>
      </c>
      <c r="C1130" s="15" t="n">
        <v>2018</v>
      </c>
      <c r="D1130" s="15" t="inlineStr">
        <is>
          <t>Harsha Engineers Limited</t>
        </is>
      </c>
      <c r="E1130" s="15" t="inlineStr">
        <is>
          <t>DRHP</t>
        </is>
      </c>
      <c r="F1130" s="15" t="inlineStr">
        <is>
          <t>Harsha Engineers Limited</t>
        </is>
      </c>
      <c r="G1130" s="15" t="inlineStr">
        <is>
          <t>No launched IPO found</t>
        </is>
      </c>
      <c r="H1130" s="15" t="n"/>
      <c r="I1130" s="16" t="n"/>
      <c r="J1130" s="16" t="n"/>
      <c r="K1130" s="16" t="n"/>
      <c r="L1130" s="17" t="n"/>
      <c r="M1130" s="17" t="n"/>
      <c r="N1130" s="17" t="n"/>
      <c r="O1130" s="15" t="n"/>
      <c r="P1130" s="15" t="n"/>
      <c r="Q1130" s="18" t="inlineStr">
        <is>
          <t>https://www.sebi.gov.in/sebi_data/attachdocs/aug-2018/1534850331129.pdf</t>
        </is>
      </c>
      <c r="R1130" s="18" t="inlineStr">
        <is>
          <t>https://www.sebi.gov.in/filings/public-issues/aug-2018/harsha-engineers-limited_40062.html</t>
        </is>
      </c>
      <c r="S1130" s="15" t="n"/>
      <c r="T1130" s="15" t="n"/>
      <c r="U1130" s="15" t="n"/>
      <c r="V1130" s="15" t="n"/>
      <c r="W1130" s="25" t="n">
        <v>44818</v>
      </c>
      <c r="X1130" s="25" t="n">
        <v>44820</v>
      </c>
      <c r="Y1130" s="25" t="n">
        <v>44830</v>
      </c>
      <c r="Z1130" s="26" t="inlineStr">
        <is>
          <t>Later IPO — not from this draft</t>
        </is>
      </c>
      <c r="AA1130" s="15" t="inlineStr">
        <is>
          <t>Opened 4.1 yrs after this filing, under a later draft</t>
        </is>
      </c>
      <c r="AB1130" s="18" t="inlineStr">
        <is>
          <t>https://www.chittorgarh.com/ipo/harsha-engineers-international-ipo/1283/</t>
        </is>
      </c>
    </row>
    <row r="1131" ht="15" customHeight="1" s="12">
      <c r="A1131" s="14" t="n">
        <v>1130</v>
      </c>
      <c r="B1131" s="16" t="n">
        <v>43332</v>
      </c>
      <c r="C1131" s="15" t="n">
        <v>2018</v>
      </c>
      <c r="D1131" s="15" t="inlineStr">
        <is>
          <t>Ami Organics Ltd</t>
        </is>
      </c>
      <c r="E1131" s="15" t="inlineStr">
        <is>
          <t>Corrigendum</t>
        </is>
      </c>
      <c r="F1131" s="15" t="inlineStr">
        <is>
          <t>Ami Organics Ltd - Corrigendum</t>
        </is>
      </c>
      <c r="G1131" s="15" t="inlineStr">
        <is>
          <t>No launched IPO found</t>
        </is>
      </c>
      <c r="H1131" s="15" t="n"/>
      <c r="I1131" s="16" t="n"/>
      <c r="J1131" s="16" t="n"/>
      <c r="K1131" s="16" t="n"/>
      <c r="L1131" s="17" t="n"/>
      <c r="M1131" s="17" t="n"/>
      <c r="N1131" s="17" t="n"/>
      <c r="O1131" s="15" t="n"/>
      <c r="P1131" s="15" t="n"/>
      <c r="Q1131" s="18" t="inlineStr">
        <is>
          <t>https://www.sebi.gov.in/sebi_data/attachdocs/aug-2018/1534745184141.pdf</t>
        </is>
      </c>
      <c r="R1131" s="18" t="inlineStr">
        <is>
          <t>https://www.sebi.gov.in/filings/public-issues/aug-2018/ami-organics-ltd-corrigendum_40017.html</t>
        </is>
      </c>
      <c r="S1131" s="15" t="n"/>
      <c r="T1131" s="15" t="n"/>
      <c r="U1131" s="15" t="n"/>
      <c r="V1131" s="15" t="inlineStr">
        <is>
          <t>Same-name IPO opened 01-Sep-2021 — outside 2 years of this filing, so not linked</t>
        </is>
      </c>
      <c r="W1131" s="25" t="n">
        <v>44440</v>
      </c>
      <c r="X1131" s="25" t="n">
        <v>44442</v>
      </c>
      <c r="Y1131" s="25" t="n">
        <v>44453</v>
      </c>
      <c r="Z1131" s="26" t="inlineStr">
        <is>
          <t>Later IPO — not from this draft</t>
        </is>
      </c>
      <c r="AA1131" s="15" t="inlineStr">
        <is>
          <t>Opened 3.0 yrs after this filing, under a later draft</t>
        </is>
      </c>
      <c r="AB1131" s="18" t="inlineStr">
        <is>
          <t>https://www.chittorgarh.com/ipo/ami-organics-ipo/1143/</t>
        </is>
      </c>
    </row>
    <row r="1132" ht="15" customHeight="1" s="12">
      <c r="A1132" s="14" t="n">
        <v>1131</v>
      </c>
      <c r="B1132" s="16" t="n">
        <v>43332</v>
      </c>
      <c r="C1132" s="15" t="n">
        <v>2018</v>
      </c>
      <c r="D1132" s="15" t="inlineStr">
        <is>
          <t>Mrs. Bectors Food Specialities Limited</t>
        </is>
      </c>
      <c r="E1132" s="15" t="inlineStr">
        <is>
          <t>DRHP</t>
        </is>
      </c>
      <c r="F1132" s="15" t="inlineStr">
        <is>
          <t>Mrs. Bectors Food Specialities Limited</t>
        </is>
      </c>
      <c r="G1132" s="15" t="inlineStr">
        <is>
          <t>No launched IPO found</t>
        </is>
      </c>
      <c r="H1132" s="15" t="n"/>
      <c r="I1132" s="16" t="n"/>
      <c r="J1132" s="16" t="n"/>
      <c r="K1132" s="16" t="n"/>
      <c r="L1132" s="17" t="n"/>
      <c r="M1132" s="17" t="n"/>
      <c r="N1132" s="17" t="n"/>
      <c r="O1132" s="15" t="n"/>
      <c r="P1132" s="15" t="n"/>
      <c r="Q1132" s="18" t="inlineStr">
        <is>
          <t>https://www.sebi.gov.in/sebi_data/attachdocs/aug-2018/1534742703611.pdf</t>
        </is>
      </c>
      <c r="R1132" s="18" t="inlineStr">
        <is>
          <t>https://www.sebi.gov.in/filings/public-issues/aug-2018/mrs-bectors-food-specialities-limited_40016.html</t>
        </is>
      </c>
      <c r="S1132" s="15" t="n"/>
      <c r="T1132" s="15" t="n"/>
      <c r="U1132" s="15" t="n"/>
      <c r="V1132" s="15" t="inlineStr">
        <is>
          <t>Same-name IPO opened 15-Dec-2020 — outside 2 years of this filing, so not linked</t>
        </is>
      </c>
      <c r="W1132" s="19" t="n">
        <v>44180</v>
      </c>
      <c r="X1132" s="19" t="n">
        <v>44182</v>
      </c>
      <c r="Y1132" s="19" t="n">
        <v>44189</v>
      </c>
      <c r="Z1132" s="20" t="inlineStr">
        <is>
          <t>Issue opened</t>
        </is>
      </c>
      <c r="AA1132" s="15" t="inlineStr">
        <is>
          <t>Matched on chittorgarh.com</t>
        </is>
      </c>
      <c r="AB1132" s="18" t="inlineStr">
        <is>
          <t>https://www.chittorgarh.com/ipo/mrs-bectors-food-ipo/1077/</t>
        </is>
      </c>
    </row>
    <row r="1133" ht="15" customHeight="1" s="12">
      <c r="A1133" s="14" t="n">
        <v>1132</v>
      </c>
      <c r="B1133" s="16" t="n">
        <v>43328</v>
      </c>
      <c r="C1133" s="15" t="n">
        <v>2018</v>
      </c>
      <c r="D1133" s="15" t="inlineStr">
        <is>
          <t>Sansera Engineering Limited</t>
        </is>
      </c>
      <c r="E1133" s="15" t="inlineStr">
        <is>
          <t>DRHP</t>
        </is>
      </c>
      <c r="F1133" s="15" t="inlineStr">
        <is>
          <t>Sansera Engineering Limited</t>
        </is>
      </c>
      <c r="G1133" s="15" t="inlineStr">
        <is>
          <t>No launched IPO found</t>
        </is>
      </c>
      <c r="H1133" s="15" t="n"/>
      <c r="I1133" s="16" t="n"/>
      <c r="J1133" s="16" t="n"/>
      <c r="K1133" s="16" t="n"/>
      <c r="L1133" s="17" t="n"/>
      <c r="M1133" s="17" t="n"/>
      <c r="N1133" s="17" t="n"/>
      <c r="O1133" s="15" t="n"/>
      <c r="P1133" s="15" t="n"/>
      <c r="Q1133" s="18" t="inlineStr">
        <is>
          <t>https://www.sebi.gov.in/sebi_data/attachdocs/may-2023/1683091276085.pdf</t>
        </is>
      </c>
      <c r="R1133" s="18" t="inlineStr">
        <is>
          <t>https://www.sebi.gov.in/filings/public-issues/aug-2018/sansera-engineering-limited_40005.html</t>
        </is>
      </c>
      <c r="S1133" s="15" t="n"/>
      <c r="T1133" s="15" t="n"/>
      <c r="U1133" s="15" t="n"/>
      <c r="V1133" s="15" t="inlineStr">
        <is>
          <t>Same-name IPO opened 14-Sep-2021 — outside 2 years of this filing, so not linked</t>
        </is>
      </c>
      <c r="W1133" s="25" t="n">
        <v>44453</v>
      </c>
      <c r="X1133" s="25" t="n">
        <v>44455</v>
      </c>
      <c r="Y1133" s="25" t="n">
        <v>44463</v>
      </c>
      <c r="Z1133" s="26" t="inlineStr">
        <is>
          <t>Later IPO — not from this draft</t>
        </is>
      </c>
      <c r="AA1133" s="15" t="inlineStr">
        <is>
          <t>Opened 3.1 yrs after this filing, under a later draft</t>
        </is>
      </c>
      <c r="AB1133" s="18" t="inlineStr">
        <is>
          <t>https://www.business-standard.com/markets/ipo/sansera-engineering-ltd-ipo-39378</t>
        </is>
      </c>
    </row>
    <row r="1134" ht="15" customHeight="1" s="12">
      <c r="A1134" s="14" t="n">
        <v>1133</v>
      </c>
      <c r="B1134" s="16" t="n">
        <v>43325</v>
      </c>
      <c r="C1134" s="15" t="n">
        <v>2018</v>
      </c>
      <c r="D1134" s="15" t="inlineStr">
        <is>
          <t>Nihilent Limited</t>
        </is>
      </c>
      <c r="E1134" s="15" t="inlineStr">
        <is>
          <t>DRHP</t>
        </is>
      </c>
      <c r="F1134" s="15" t="inlineStr">
        <is>
          <t>Nihilent Limited</t>
        </is>
      </c>
      <c r="G1134" s="15" t="inlineStr">
        <is>
          <t>No launched IPO found</t>
        </is>
      </c>
      <c r="H1134" s="15" t="n"/>
      <c r="I1134" s="16" t="n"/>
      <c r="J1134" s="16" t="n"/>
      <c r="K1134" s="16" t="n"/>
      <c r="L1134" s="17" t="n"/>
      <c r="M1134" s="17" t="n"/>
      <c r="N1134" s="17" t="n"/>
      <c r="O1134" s="15" t="n"/>
      <c r="P1134" s="15" t="n"/>
      <c r="Q1134" s="18" t="inlineStr">
        <is>
          <t>https://www.sebi.gov.in/sebi_data/attachdocs/aug-2018/1534149714106.pdf</t>
        </is>
      </c>
      <c r="R1134" s="18" t="inlineStr">
        <is>
          <t>https://www.sebi.gov.in/filings/public-issues/aug-2018/nihilent-limited_39956.html</t>
        </is>
      </c>
      <c r="S1134" s="15" t="n"/>
      <c r="T1134" s="15" t="n"/>
      <c r="U1134" s="15" t="n"/>
      <c r="V1134" s="15" t="n"/>
      <c r="W1134" s="16" t="n"/>
      <c r="X1134" s="16" t="n"/>
      <c r="Y1134" s="16" t="n"/>
      <c r="Z1134" s="15" t="inlineStr">
        <is>
          <t>No issue found</t>
        </is>
      </c>
      <c r="AA1134" s="15" t="inlineStr">
        <is>
          <t>Business Standard lists the company but shows no issue dates; web search limit reached</t>
        </is>
      </c>
      <c r="AB1134" s="18" t="inlineStr">
        <is>
          <t>https://www.business-standard.com/markets/ipo/nihilent-ltd-ipo-67375</t>
        </is>
      </c>
    </row>
    <row r="1135" ht="15" customHeight="1" s="12">
      <c r="A1135" s="14" t="n">
        <v>1134</v>
      </c>
      <c r="B1135" s="16" t="n">
        <v>43325</v>
      </c>
      <c r="C1135" s="15" t="n">
        <v>2018</v>
      </c>
      <c r="D1135" s="15" t="inlineStr">
        <is>
          <t>Dodla Dairy Limited</t>
        </is>
      </c>
      <c r="E1135" s="15" t="inlineStr">
        <is>
          <t>DRHP</t>
        </is>
      </c>
      <c r="F1135" s="15" t="inlineStr">
        <is>
          <t>Dodla Dairy Limited</t>
        </is>
      </c>
      <c r="G1135" s="15" t="inlineStr">
        <is>
          <t>No launched IPO found</t>
        </is>
      </c>
      <c r="H1135" s="15" t="n"/>
      <c r="I1135" s="16" t="n"/>
      <c r="J1135" s="16" t="n"/>
      <c r="K1135" s="16" t="n"/>
      <c r="L1135" s="17" t="n"/>
      <c r="M1135" s="17" t="n"/>
      <c r="N1135" s="17" t="n"/>
      <c r="O1135" s="15" t="n"/>
      <c r="P1135" s="15" t="n"/>
      <c r="Q1135" s="18" t="inlineStr">
        <is>
          <t>https://www.sebi.gov.in/sebi_data/attachdocs/aug-2018/1534134934789.pdf</t>
        </is>
      </c>
      <c r="R1135" s="18" t="inlineStr">
        <is>
          <t>https://www.sebi.gov.in/filings/public-issues/aug-2018/dodla-dairy-limited_39950.html</t>
        </is>
      </c>
      <c r="S1135" s="15" t="n"/>
      <c r="T1135" s="15" t="n"/>
      <c r="U1135" s="15" t="n"/>
      <c r="V1135" s="15" t="inlineStr">
        <is>
          <t>Same-name IPO opened 16-Jun-2021 — outside 2 years of this filing, so not linked</t>
        </is>
      </c>
      <c r="W1135" s="19" t="n">
        <v>44363</v>
      </c>
      <c r="X1135" s="19" t="n">
        <v>44365</v>
      </c>
      <c r="Y1135" s="19" t="n">
        <v>44375</v>
      </c>
      <c r="Z1135" s="20" t="inlineStr">
        <is>
          <t>Issue opened</t>
        </is>
      </c>
      <c r="AA1135" s="15" t="inlineStr">
        <is>
          <t>Matched on chittorgarh.com</t>
        </is>
      </c>
      <c r="AB1135" s="18" t="inlineStr">
        <is>
          <t>https://www.chittorgarh.com/ipo/dodla-dairy-ipo/1114/</t>
        </is>
      </c>
    </row>
    <row r="1136" ht="15" customHeight="1" s="12">
      <c r="A1136" s="14" t="n">
        <v>1135</v>
      </c>
      <c r="B1136" s="16" t="n">
        <v>43322</v>
      </c>
      <c r="C1136" s="15" t="n">
        <v>2018</v>
      </c>
      <c r="D1136" s="15" t="inlineStr">
        <is>
          <t>Shyam Metalics and Energy Limited</t>
        </is>
      </c>
      <c r="E1136" s="15" t="inlineStr">
        <is>
          <t>DRHP</t>
        </is>
      </c>
      <c r="F1136" s="15" t="inlineStr">
        <is>
          <t>Shyam Metalics and Energy Limited</t>
        </is>
      </c>
      <c r="G1136" s="15" t="inlineStr">
        <is>
          <t>No launched IPO found</t>
        </is>
      </c>
      <c r="H1136" s="15" t="n"/>
      <c r="I1136" s="16" t="n"/>
      <c r="J1136" s="16" t="n"/>
      <c r="K1136" s="16" t="n"/>
      <c r="L1136" s="17" t="n"/>
      <c r="M1136" s="17" t="n"/>
      <c r="N1136" s="17" t="n"/>
      <c r="O1136" s="15" t="n"/>
      <c r="P1136" s="15" t="n"/>
      <c r="Q1136" s="18" t="inlineStr">
        <is>
          <t>https://www.sebi.gov.in/sebi_data/attachdocs/aug-2018/1533882148112.pdf</t>
        </is>
      </c>
      <c r="R1136" s="18" t="inlineStr">
        <is>
          <t>https://www.sebi.gov.in/filings/public-issues/aug-2018/shyam-metalics-and-energy-limited_39899.html</t>
        </is>
      </c>
      <c r="S1136" s="15" t="n"/>
      <c r="T1136" s="15" t="n"/>
      <c r="U1136" s="15" t="n"/>
      <c r="V1136" s="15" t="inlineStr">
        <is>
          <t>Same-name IPO opened 14-Jun-2021 — outside 2 years of this filing, so not linked</t>
        </is>
      </c>
      <c r="W1136" s="19" t="n">
        <v>44361</v>
      </c>
      <c r="X1136" s="19" t="n">
        <v>44363</v>
      </c>
      <c r="Y1136" s="19" t="n">
        <v>44371</v>
      </c>
      <c r="Z1136" s="20" t="inlineStr">
        <is>
          <t>Issue opened</t>
        </is>
      </c>
      <c r="AA1136" s="15" t="inlineStr">
        <is>
          <t>Taken from same company, row 1012 of this sheet</t>
        </is>
      </c>
      <c r="AB1136" s="15" t="n"/>
    </row>
    <row r="1137" ht="15" customHeight="1" s="12">
      <c r="A1137" s="14" t="n">
        <v>1136</v>
      </c>
      <c r="B1137" s="16" t="n">
        <v>43321</v>
      </c>
      <c r="C1137" s="15" t="n">
        <v>2018</v>
      </c>
      <c r="D1137" s="15" t="inlineStr">
        <is>
          <t>ASK Investment Managers Limited</t>
        </is>
      </c>
      <c r="E1137" s="15" t="inlineStr">
        <is>
          <t>DRHP</t>
        </is>
      </c>
      <c r="F1137" s="15" t="inlineStr">
        <is>
          <t>ASK Investment Managers Limited</t>
        </is>
      </c>
      <c r="G1137" s="15" t="inlineStr">
        <is>
          <t>No launched IPO found</t>
        </is>
      </c>
      <c r="H1137" s="15" t="n"/>
      <c r="I1137" s="16" t="n"/>
      <c r="J1137" s="16" t="n"/>
      <c r="K1137" s="16" t="n"/>
      <c r="L1137" s="17" t="n"/>
      <c r="M1137" s="17" t="n"/>
      <c r="N1137" s="17" t="n"/>
      <c r="O1137" s="15" t="n"/>
      <c r="P1137" s="15" t="n"/>
      <c r="Q1137" s="18" t="inlineStr">
        <is>
          <t>https://www.sebi.gov.in/sebi_data/attachdocs/aug-2018/1533789168871.pdf</t>
        </is>
      </c>
      <c r="R1137" s="18" t="inlineStr">
        <is>
          <t>https://www.sebi.gov.in/filings/public-issues/aug-2018/ask-investment-managers-limited_39874.html</t>
        </is>
      </c>
      <c r="S1137" s="15" t="n"/>
      <c r="T1137" s="15" t="n"/>
      <c r="U1137" s="15" t="n"/>
      <c r="V1137" s="15" t="n"/>
      <c r="W1137" s="16" t="n"/>
      <c r="X1137" s="16" t="n"/>
      <c r="Y1137" s="16" t="n"/>
      <c r="Z1137" s="15" t="inlineStr">
        <is>
          <t>No issue found</t>
        </is>
      </c>
      <c r="AA1137" s="15" t="inlineStr">
        <is>
          <t>Business Standard lists the company but shows no issue dates; web search limit reached</t>
        </is>
      </c>
      <c r="AB1137" s="18" t="inlineStr">
        <is>
          <t>https://www.business-standard.com/markets/ipo/ask-investment-managers-ltd-ipo-64724</t>
        </is>
      </c>
    </row>
    <row r="1138" ht="15" customHeight="1" s="12">
      <c r="A1138" s="14" t="n">
        <v>1137</v>
      </c>
      <c r="B1138" s="16" t="n">
        <v>43312</v>
      </c>
      <c r="C1138" s="15" t="n">
        <v>2018</v>
      </c>
      <c r="D1138" s="15" t="inlineStr">
        <is>
          <t>PNB Metlife India Insurance Company Limited</t>
        </is>
      </c>
      <c r="E1138" s="15" t="inlineStr">
        <is>
          <t>DRHP</t>
        </is>
      </c>
      <c r="F1138" s="15" t="inlineStr">
        <is>
          <t>PNB Metlife India Insurance Company Limited</t>
        </is>
      </c>
      <c r="G1138" s="15" t="inlineStr">
        <is>
          <t>No launched IPO found</t>
        </is>
      </c>
      <c r="H1138" s="15" t="n"/>
      <c r="I1138" s="16" t="n"/>
      <c r="J1138" s="16" t="n"/>
      <c r="K1138" s="16" t="n"/>
      <c r="L1138" s="17" t="n"/>
      <c r="M1138" s="17" t="n"/>
      <c r="N1138" s="17" t="n"/>
      <c r="O1138" s="15" t="n"/>
      <c r="P1138" s="15" t="n"/>
      <c r="Q1138" s="18" t="inlineStr">
        <is>
          <t>https://www.sebi.gov.in/sebi_data/attachdocs/jul-2018/1533021999771.pdf</t>
        </is>
      </c>
      <c r="R1138" s="18" t="inlineStr">
        <is>
          <t>https://www.sebi.gov.in/filings/public-issues/jul-2018/pnb-metlife-india-insurance-company-limited_39756.html</t>
        </is>
      </c>
      <c r="S1138" s="15" t="n"/>
      <c r="T1138" s="15" t="n"/>
      <c r="U1138" s="15" t="n"/>
      <c r="V1138" s="15" t="n"/>
      <c r="W1138" s="16" t="n"/>
      <c r="X1138" s="16" t="n"/>
      <c r="Y1138" s="16" t="n"/>
      <c r="Z1138" s="15" t="inlineStr">
        <is>
          <t>No issue found</t>
        </is>
      </c>
      <c r="AA1138" s="15" t="inlineStr">
        <is>
          <t>Business Standard lists the company but shows no issue dates; web search limit reached</t>
        </is>
      </c>
      <c r="AB1138" s="18" t="inlineStr">
        <is>
          <t>https://www.business-standard.com/markets/ipo/pnb-metlife-india-insurance-company-ipo-28698</t>
        </is>
      </c>
    </row>
    <row r="1139" ht="15" customHeight="1" s="12">
      <c r="A1139" s="14" t="n">
        <v>1138</v>
      </c>
      <c r="B1139" s="16" t="n">
        <v>43312</v>
      </c>
      <c r="C1139" s="15" t="n">
        <v>2018</v>
      </c>
      <c r="D1139" s="15" t="inlineStr">
        <is>
          <t>Muthoot Microfin Limited</t>
        </is>
      </c>
      <c r="E1139" s="15" t="inlineStr">
        <is>
          <t>DRHP</t>
        </is>
      </c>
      <c r="F1139" s="15" t="inlineStr">
        <is>
          <t>Muthoot Microfin Limited</t>
        </is>
      </c>
      <c r="G1139" s="15" t="inlineStr">
        <is>
          <t>No launched IPO found</t>
        </is>
      </c>
      <c r="H1139" s="15" t="n"/>
      <c r="I1139" s="16" t="n"/>
      <c r="J1139" s="16" t="n"/>
      <c r="K1139" s="16" t="n"/>
      <c r="L1139" s="17" t="n"/>
      <c r="M1139" s="17" t="n"/>
      <c r="N1139" s="17" t="n"/>
      <c r="O1139" s="15" t="n"/>
      <c r="P1139" s="15" t="n"/>
      <c r="Q1139" s="18" t="inlineStr">
        <is>
          <t>https://www.sebi.gov.in/sebi_data/attachdocs/jul-2018/1533016080994.pdf</t>
        </is>
      </c>
      <c r="R1139" s="18" t="inlineStr">
        <is>
          <t>https://www.sebi.gov.in/filings/public-issues/jul-2018/muthoot-microfin-limited_39755.html</t>
        </is>
      </c>
      <c r="S1139" s="15" t="n"/>
      <c r="T1139" s="15" t="n"/>
      <c r="U1139" s="15" t="n"/>
      <c r="V1139" s="15" t="inlineStr">
        <is>
          <t>Same-name IPO opened 18-Dec-2023 — outside 2 years of this filing, so not linked</t>
        </is>
      </c>
      <c r="W1139" s="25" t="n">
        <v>45278</v>
      </c>
      <c r="X1139" s="25" t="n">
        <v>45280</v>
      </c>
      <c r="Y1139" s="25" t="n">
        <v>45286</v>
      </c>
      <c r="Z1139" s="26" t="inlineStr">
        <is>
          <t>Later IPO — not from this draft</t>
        </is>
      </c>
      <c r="AA1139" s="15" t="inlineStr">
        <is>
          <t>Opened 5.4 yrs after this filing, under a later draft</t>
        </is>
      </c>
      <c r="AB1139" s="18" t="inlineStr">
        <is>
          <t>https://www.business-standard.com/markets/ipo/muthoot-microfin-ltd-ipo-69580</t>
        </is>
      </c>
    </row>
    <row r="1140" ht="15" customHeight="1" s="12">
      <c r="A1140" s="14" t="n">
        <v>1139</v>
      </c>
      <c r="B1140" s="16" t="n">
        <v>43301</v>
      </c>
      <c r="C1140" s="15" t="n">
        <v>2018</v>
      </c>
      <c r="D1140" s="15" t="inlineStr">
        <is>
          <t>Aakash Educational Services Limited</t>
        </is>
      </c>
      <c r="E1140" s="15" t="inlineStr">
        <is>
          <t>DRHP</t>
        </is>
      </c>
      <c r="F1140" s="15" t="inlineStr">
        <is>
          <t>Aakash Educational Services Limited</t>
        </is>
      </c>
      <c r="G1140" s="15" t="inlineStr">
        <is>
          <t>No launched IPO found</t>
        </is>
      </c>
      <c r="H1140" s="15" t="n"/>
      <c r="I1140" s="16" t="n"/>
      <c r="J1140" s="16" t="n"/>
      <c r="K1140" s="16" t="n"/>
      <c r="L1140" s="17" t="n"/>
      <c r="M1140" s="17" t="n"/>
      <c r="N1140" s="17" t="n"/>
      <c r="O1140" s="15" t="n"/>
      <c r="P1140" s="15" t="n"/>
      <c r="Q1140" s="18" t="inlineStr">
        <is>
          <t>https://www.sebi.gov.in/sebi_data/attachdocs/jul-2018/1532085883820.pdf</t>
        </is>
      </c>
      <c r="R1140" s="18" t="inlineStr">
        <is>
          <t>https://www.sebi.gov.in/filings/public-issues/jul-2018/aakash-educational-services-limited_39646.html</t>
        </is>
      </c>
      <c r="S1140" s="15" t="n"/>
      <c r="T1140" s="15" t="n"/>
      <c r="U1140" s="15" t="n"/>
      <c r="V1140" s="15" t="n"/>
      <c r="W1140" s="16" t="n"/>
      <c r="X1140" s="16" t="n"/>
      <c r="Y1140" s="16" t="n"/>
      <c r="Z1140" s="15" t="inlineStr">
        <is>
          <t>No issue found</t>
        </is>
      </c>
      <c r="AA1140" s="15" t="inlineStr">
        <is>
          <t>Business Standard lists the company but shows no issue dates; web search limit reached</t>
        </is>
      </c>
      <c r="AB1140" s="18" t="inlineStr">
        <is>
          <t>https://www.business-standard.com/markets/ipo/aakash-educational-services-ltd-ipo-45932</t>
        </is>
      </c>
    </row>
    <row r="1141" ht="15" customHeight="1" s="12">
      <c r="A1141" s="14" t="n">
        <v>1140</v>
      </c>
      <c r="B1141" s="16" t="n">
        <v>43300</v>
      </c>
      <c r="C1141" s="15" t="n">
        <v>2018</v>
      </c>
      <c r="D1141" s="15" t="inlineStr">
        <is>
          <t>Affle India Llimited</t>
        </is>
      </c>
      <c r="E1141" s="15" t="inlineStr">
        <is>
          <t>DRHP</t>
        </is>
      </c>
      <c r="F1141" s="15" t="inlineStr">
        <is>
          <t>Affle India Llimited</t>
        </is>
      </c>
      <c r="G1141" s="15" t="inlineStr">
        <is>
          <t>IPO launched</t>
        </is>
      </c>
      <c r="H1141" s="15" t="inlineStr">
        <is>
          <t>Mainboard</t>
        </is>
      </c>
      <c r="I1141" s="16" t="n">
        <v>43675</v>
      </c>
      <c r="J1141" s="16" t="n">
        <v>43677</v>
      </c>
      <c r="K1141" s="16" t="n">
        <v>43685</v>
      </c>
      <c r="L1141" s="17" t="n">
        <v>459</v>
      </c>
      <c r="M1141" s="17" t="n">
        <v>459</v>
      </c>
      <c r="N1141" s="17" t="n">
        <v>0</v>
      </c>
      <c r="O1141" s="15" t="inlineStr">
        <is>
          <t>Final issue (ipoplatform)</t>
        </is>
      </c>
      <c r="P1141" s="15" t="n"/>
      <c r="Q1141" s="18" t="inlineStr">
        <is>
          <t>https://www.sebi.gov.in/sebi_data/attachdocs/jul-2018/1531992223336.pdf</t>
        </is>
      </c>
      <c r="R1141" s="18" t="inlineStr">
        <is>
          <t>https://www.sebi.gov.in/filings/public-issues/jul-2018/affle-india-llimited_39609.html</t>
        </is>
      </c>
      <c r="S1141" s="15" t="n"/>
      <c r="T1141" s="15" t="inlineStr">
        <is>
          <t>SEBI filing link</t>
        </is>
      </c>
      <c r="U1141" s="15" t="inlineStr">
        <is>
          <t>Affle (India) Limited</t>
        </is>
      </c>
      <c r="V1141" s="15" t="n"/>
      <c r="W1141" s="15" t="n"/>
      <c r="X1141" s="15" t="n"/>
      <c r="Y1141" s="15" t="n"/>
      <c r="Z1141" s="15" t="n"/>
      <c r="AA1141" s="15" t="n"/>
      <c r="AB1141" s="15" t="n"/>
    </row>
    <row r="1142" ht="15" customHeight="1" s="12">
      <c r="A1142" s="14" t="n">
        <v>1141</v>
      </c>
      <c r="B1142" s="16" t="n">
        <v>43293</v>
      </c>
      <c r="C1142" s="15" t="n">
        <v>2018</v>
      </c>
      <c r="D1142" s="15" t="inlineStr">
        <is>
          <t>Ami Organics Ltd</t>
        </is>
      </c>
      <c r="E1142" s="15" t="inlineStr">
        <is>
          <t>DRHP</t>
        </is>
      </c>
      <c r="F1142" s="15" t="inlineStr">
        <is>
          <t>Ami Organics Ltd</t>
        </is>
      </c>
      <c r="G1142" s="15" t="inlineStr">
        <is>
          <t>No launched IPO found</t>
        </is>
      </c>
      <c r="H1142" s="15" t="n"/>
      <c r="I1142" s="16" t="n"/>
      <c r="J1142" s="16" t="n"/>
      <c r="K1142" s="16" t="n"/>
      <c r="L1142" s="17" t="n"/>
      <c r="M1142" s="17" t="n"/>
      <c r="N1142" s="17" t="n"/>
      <c r="O1142" s="15" t="n"/>
      <c r="P1142" s="15" t="n"/>
      <c r="Q1142" s="18" t="inlineStr">
        <is>
          <t>https://www.sebi.gov.in/sebi_data/attachdocs/jul-2018/1531386592293.pdf</t>
        </is>
      </c>
      <c r="R1142" s="18" t="inlineStr">
        <is>
          <t>https://www.sebi.gov.in/filings/public-issues/jul-2018/ami-organics-ltd_39529.html</t>
        </is>
      </c>
      <c r="S1142" s="15" t="n"/>
      <c r="T1142" s="15" t="n"/>
      <c r="U1142" s="15" t="n"/>
      <c r="V1142" s="15" t="inlineStr">
        <is>
          <t>Same-name IPO opened 01-Sep-2021 — outside 2 years of this filing, so not linked</t>
        </is>
      </c>
      <c r="W1142" s="25" t="n">
        <v>44440</v>
      </c>
      <c r="X1142" s="25" t="n">
        <v>44442</v>
      </c>
      <c r="Y1142" s="25" t="n">
        <v>44453</v>
      </c>
      <c r="Z1142" s="26" t="inlineStr">
        <is>
          <t>Later IPO — not from this draft</t>
        </is>
      </c>
      <c r="AA1142" s="15" t="inlineStr">
        <is>
          <t>Opened 3.1 yrs after this filing, under a later draft</t>
        </is>
      </c>
      <c r="AB1142" s="18" t="inlineStr">
        <is>
          <t>https://www.chittorgarh.com/ipo/ami-organics-ipo/1143/</t>
        </is>
      </c>
    </row>
    <row r="1143" ht="15" customHeight="1" s="12">
      <c r="A1143" s="14" t="n">
        <v>1142</v>
      </c>
      <c r="B1143" s="16" t="n">
        <v>43287</v>
      </c>
      <c r="C1143" s="15" t="n">
        <v>2018</v>
      </c>
      <c r="D1143" s="15" t="inlineStr">
        <is>
          <t>Bharat Hotels Limited</t>
        </is>
      </c>
      <c r="E1143" s="15" t="inlineStr">
        <is>
          <t>DRHP</t>
        </is>
      </c>
      <c r="F1143" s="15" t="inlineStr">
        <is>
          <t>Bharat Hotels Limited</t>
        </is>
      </c>
      <c r="G1143" s="15" t="inlineStr">
        <is>
          <t>No launched IPO found</t>
        </is>
      </c>
      <c r="H1143" s="15" t="n"/>
      <c r="I1143" s="16" t="n"/>
      <c r="J1143" s="16" t="n"/>
      <c r="K1143" s="16" t="n"/>
      <c r="L1143" s="17" t="n"/>
      <c r="M1143" s="17" t="n"/>
      <c r="N1143" s="17" t="n"/>
      <c r="O1143" s="15" t="n"/>
      <c r="P1143" s="15" t="n"/>
      <c r="Q1143" s="18" t="inlineStr">
        <is>
          <t>https://www.sebi.gov.in/sebi_data/attachdocs/jul-2018/1530875881774.pdf</t>
        </is>
      </c>
      <c r="R1143" s="18" t="inlineStr">
        <is>
          <t>https://www.sebi.gov.in/filings/public-issues/jul-2018/bharat-hotels-limited_39465.html</t>
        </is>
      </c>
      <c r="S1143" s="15" t="n"/>
      <c r="T1143" s="15" t="n"/>
      <c r="U1143" s="15" t="n"/>
      <c r="V1143" s="15" t="n"/>
      <c r="W1143" s="16" t="n"/>
      <c r="X1143" s="16" t="n"/>
      <c r="Y1143" s="16" t="n"/>
      <c r="Z1143" s="15" t="inlineStr">
        <is>
          <t>No issue found</t>
        </is>
      </c>
      <c r="AA1143" s="15" t="inlineStr">
        <is>
          <t>Business Standard lists the company but shows no issue dates; web search limit reached</t>
        </is>
      </c>
      <c r="AB1143" s="18" t="inlineStr">
        <is>
          <t>https://www.business-standard.com/markets/ipo/bharat-hotels-ltd-ipo-1400</t>
        </is>
      </c>
    </row>
    <row r="1144" ht="15" customHeight="1" s="12">
      <c r="A1144" s="14" t="n">
        <v>1143</v>
      </c>
      <c r="B1144" s="16" t="n">
        <v>43287</v>
      </c>
      <c r="C1144" s="15" t="n">
        <v>2018</v>
      </c>
      <c r="D1144" s="15" t="inlineStr">
        <is>
          <t>Chalet Hotels Limited</t>
        </is>
      </c>
      <c r="E1144" s="15" t="inlineStr">
        <is>
          <t>DRHP</t>
        </is>
      </c>
      <c r="F1144" s="15" t="inlineStr">
        <is>
          <t>Chalet Hotels Limited</t>
        </is>
      </c>
      <c r="G1144" s="15" t="inlineStr">
        <is>
          <t>IPO launched</t>
        </is>
      </c>
      <c r="H1144" s="15" t="inlineStr">
        <is>
          <t>Mainboard</t>
        </is>
      </c>
      <c r="I1144" s="16" t="n">
        <v>43494</v>
      </c>
      <c r="J1144" s="16" t="n">
        <v>43496</v>
      </c>
      <c r="K1144" s="16" t="n">
        <v>43503</v>
      </c>
      <c r="L1144" s="17" t="n">
        <v>1641.18</v>
      </c>
      <c r="M1144" s="17" t="n">
        <v>1641.18</v>
      </c>
      <c r="N1144" s="17" t="n">
        <v>0</v>
      </c>
      <c r="O1144" s="15" t="inlineStr">
        <is>
          <t>Final issue (ipoplatform)</t>
        </is>
      </c>
      <c r="P1144" s="15" t="n"/>
      <c r="Q1144" s="18" t="inlineStr">
        <is>
          <t>https://www.sebi.gov.in/sebi_data/attachdocs/jul-2018/1530849126603.pdf</t>
        </is>
      </c>
      <c r="R1144" s="18" t="inlineStr">
        <is>
          <t>https://www.sebi.gov.in/filings/public-issues/jul-2018/chalet-hotels-limited_39457.html</t>
        </is>
      </c>
      <c r="S1144" s="15" t="n"/>
      <c r="T1144" s="15" t="inlineStr">
        <is>
          <t>Company name + date window</t>
        </is>
      </c>
      <c r="U1144" s="15" t="inlineStr">
        <is>
          <t>Chalet Hotels Limited</t>
        </is>
      </c>
      <c r="V1144" s="15" t="n"/>
      <c r="W1144" s="15" t="n"/>
      <c r="X1144" s="15" t="n"/>
      <c r="Y1144" s="15" t="n"/>
      <c r="Z1144" s="15" t="n"/>
      <c r="AA1144" s="15" t="n"/>
      <c r="AB1144" s="15" t="n"/>
    </row>
    <row r="1145" ht="15" customHeight="1" s="12">
      <c r="A1145" s="14" t="n">
        <v>1144</v>
      </c>
      <c r="B1145" s="16" t="n">
        <v>43283</v>
      </c>
      <c r="C1145" s="15" t="n">
        <v>2018</v>
      </c>
      <c r="D1145" s="15" t="inlineStr">
        <is>
          <t>Puranik Builders Ltd</t>
        </is>
      </c>
      <c r="E1145" s="15" t="inlineStr">
        <is>
          <t>DRHP</t>
        </is>
      </c>
      <c r="F1145" s="15" t="inlineStr">
        <is>
          <t>Puranik Builders Ltd.</t>
        </is>
      </c>
      <c r="G1145" s="15" t="inlineStr">
        <is>
          <t>No launched IPO found</t>
        </is>
      </c>
      <c r="H1145" s="15" t="n"/>
      <c r="I1145" s="16" t="n"/>
      <c r="J1145" s="16" t="n"/>
      <c r="K1145" s="16" t="n"/>
      <c r="L1145" s="17" t="n"/>
      <c r="M1145" s="17" t="n"/>
      <c r="N1145" s="17" t="n"/>
      <c r="O1145" s="15" t="n"/>
      <c r="P1145" s="15" t="n"/>
      <c r="Q1145" s="18" t="inlineStr">
        <is>
          <t>https://www.sebi.gov.in/sebi_data/attachdocs/jul-2018/1530528082162.pdf</t>
        </is>
      </c>
      <c r="R1145" s="18" t="inlineStr">
        <is>
          <t>https://www.sebi.gov.in/filings/public-issues/jul-2018/puranik-builders-ltd-_39411.html</t>
        </is>
      </c>
      <c r="S1145" s="15" t="n"/>
      <c r="T1145" s="15" t="n"/>
      <c r="U1145" s="15" t="n"/>
      <c r="V1145" s="15" t="n"/>
      <c r="W1145" s="16" t="n"/>
      <c r="X1145" s="16" t="n"/>
      <c r="Y1145" s="16" t="n"/>
      <c r="Z1145" s="15" t="inlineStr">
        <is>
          <t>No issue found</t>
        </is>
      </c>
      <c r="AA1145" s="15" t="inlineStr">
        <is>
          <t>Business Standard lists the company but shows no issue dates; web search limit reached</t>
        </is>
      </c>
      <c r="AB1145" s="18" t="inlineStr">
        <is>
          <t>https://www.business-standard.com/markets/ipo/puranik-builders-ltd-ipo-66783</t>
        </is>
      </c>
    </row>
    <row r="1146" ht="15" customHeight="1" s="12">
      <c r="A1146" s="14" t="n">
        <v>1145</v>
      </c>
      <c r="B1146" s="16" t="n">
        <v>43283</v>
      </c>
      <c r="C1146" s="15" t="n">
        <v>2018</v>
      </c>
      <c r="D1146" s="15" t="inlineStr">
        <is>
          <t>Milltec Machinery Limited</t>
        </is>
      </c>
      <c r="E1146" s="15" t="inlineStr">
        <is>
          <t>DRHP</t>
        </is>
      </c>
      <c r="F1146" s="15" t="inlineStr">
        <is>
          <t>Milltec Machinery Limited</t>
        </is>
      </c>
      <c r="G1146" s="15" t="inlineStr">
        <is>
          <t>No launched IPO found</t>
        </is>
      </c>
      <c r="H1146" s="15" t="n"/>
      <c r="I1146" s="16" t="n"/>
      <c r="J1146" s="16" t="n"/>
      <c r="K1146" s="16" t="n"/>
      <c r="L1146" s="17" t="n"/>
      <c r="M1146" s="17" t="n"/>
      <c r="N1146" s="17" t="n"/>
      <c r="O1146" s="15" t="n"/>
      <c r="P1146" s="15" t="n"/>
      <c r="Q1146" s="18" t="inlineStr">
        <is>
          <t>https://www.sebi.gov.in/sebi_data/attachdocs/jul-2018/1530527344318.pdf</t>
        </is>
      </c>
      <c r="R1146" s="18" t="inlineStr">
        <is>
          <t>https://www.sebi.gov.in/filings/public-issues/jul-2018/milltec-machinery-limited_39409.html</t>
        </is>
      </c>
      <c r="S1146" s="15" t="n"/>
      <c r="T1146" s="15" t="n"/>
      <c r="U1146" s="15" t="n"/>
      <c r="V1146" s="15" t="n"/>
      <c r="W1146" s="16" t="n"/>
      <c r="X1146" s="16" t="n"/>
      <c r="Y1146" s="16" t="n"/>
      <c r="Z1146" s="15" t="inlineStr">
        <is>
          <t>No issue found</t>
        </is>
      </c>
      <c r="AA1146" s="15" t="inlineStr">
        <is>
          <t>Business Standard lists the company but shows no issue dates; web search limit reached</t>
        </is>
      </c>
      <c r="AB1146" s="18" t="inlineStr">
        <is>
          <t>https://www.business-standard.com/markets/ipo/milltec-machinery-ltd-merged-ipo-73037</t>
        </is>
      </c>
    </row>
    <row r="1147" ht="15" customHeight="1" s="12">
      <c r="A1147" s="14" t="n">
        <v>1146</v>
      </c>
      <c r="B1147" s="16" t="n">
        <v>43280</v>
      </c>
      <c r="C1147" s="15" t="n">
        <v>2018</v>
      </c>
      <c r="D1147" s="15" t="inlineStr">
        <is>
          <t>Indiamart Intermesh Limited</t>
        </is>
      </c>
      <c r="E1147" s="15" t="inlineStr">
        <is>
          <t>DRHP</t>
        </is>
      </c>
      <c r="F1147" s="15" t="inlineStr">
        <is>
          <t>Indiamart Intermesh Limited</t>
        </is>
      </c>
      <c r="G1147" s="15" t="inlineStr">
        <is>
          <t>IPO launched</t>
        </is>
      </c>
      <c r="H1147" s="15" t="inlineStr">
        <is>
          <t>Mainboard</t>
        </is>
      </c>
      <c r="I1147" s="16" t="n">
        <v>43640</v>
      </c>
      <c r="J1147" s="16" t="n">
        <v>43642</v>
      </c>
      <c r="K1147" s="16" t="n">
        <v>43650</v>
      </c>
      <c r="L1147" s="17" t="n">
        <v>475.59</v>
      </c>
      <c r="M1147" s="17" t="n">
        <v>475.59</v>
      </c>
      <c r="N1147" s="17" t="n">
        <v>0</v>
      </c>
      <c r="O1147" s="15" t="inlineStr">
        <is>
          <t>Final issue (ipoplatform)</t>
        </is>
      </c>
      <c r="P1147" s="15" t="n"/>
      <c r="Q1147" s="18" t="inlineStr">
        <is>
          <t>https://www.sebi.gov.in/sebi_data/attachdocs/jul-2018/1530686922831.pdf</t>
        </is>
      </c>
      <c r="R1147" s="18" t="inlineStr">
        <is>
          <t>https://www.sebi.gov.in/filings/public-issues/jun-2018/indiamart-intermesh-limited_39432.html</t>
        </is>
      </c>
      <c r="S1147" s="15" t="n"/>
      <c r="T1147" s="15" t="inlineStr">
        <is>
          <t>SEBI filing link</t>
        </is>
      </c>
      <c r="U1147" s="15" t="inlineStr">
        <is>
          <t>IndiaMART InterMESH Limited</t>
        </is>
      </c>
      <c r="V1147" s="15" t="n"/>
      <c r="W1147" s="15" t="n"/>
      <c r="X1147" s="15" t="n"/>
      <c r="Y1147" s="15" t="n"/>
      <c r="Z1147" s="15" t="n"/>
      <c r="AA1147" s="15" t="n"/>
      <c r="AB1147" s="15" t="n"/>
    </row>
    <row r="1148" ht="15" customHeight="1" s="12">
      <c r="A1148" s="14" t="n">
        <v>1147</v>
      </c>
      <c r="B1148" s="16" t="n">
        <v>43279</v>
      </c>
      <c r="C1148" s="15" t="n">
        <v>2018</v>
      </c>
      <c r="D1148" s="15" t="inlineStr">
        <is>
          <t>Spandana Sphoorty Financial Limited</t>
        </is>
      </c>
      <c r="E1148" s="15" t="inlineStr">
        <is>
          <t>DRHP</t>
        </is>
      </c>
      <c r="F1148" s="15" t="inlineStr">
        <is>
          <t>Spandana Sphoorty Financial Limited</t>
        </is>
      </c>
      <c r="G1148" s="15" t="inlineStr">
        <is>
          <t>IPO launched</t>
        </is>
      </c>
      <c r="H1148" s="15" t="inlineStr">
        <is>
          <t>Mainboard</t>
        </is>
      </c>
      <c r="I1148" s="16" t="n">
        <v>43682</v>
      </c>
      <c r="J1148" s="16" t="n">
        <v>43684</v>
      </c>
      <c r="K1148" s="16" t="n">
        <v>43696</v>
      </c>
      <c r="L1148" s="17" t="n">
        <v>1202.34</v>
      </c>
      <c r="M1148" s="17" t="n">
        <v>1202.34</v>
      </c>
      <c r="N1148" s="17" t="n">
        <v>0</v>
      </c>
      <c r="O1148" s="15" t="inlineStr">
        <is>
          <t>Final issue (ipoplatform)</t>
        </is>
      </c>
      <c r="P1148" s="15" t="n"/>
      <c r="Q1148" s="18" t="inlineStr">
        <is>
          <t>https://www.sebi.gov.in/sebi_data/attachdocs/jun-2018/1530183981177.pdf</t>
        </is>
      </c>
      <c r="R1148" s="18" t="inlineStr">
        <is>
          <t>https://www.sebi.gov.in/filings/public-issues/jun-2018/spandana-sphoorty-financial-limited_39377.html</t>
        </is>
      </c>
      <c r="S1148" s="15" t="n"/>
      <c r="T1148" s="15" t="inlineStr">
        <is>
          <t>SEBI filing link</t>
        </is>
      </c>
      <c r="U1148" s="15" t="inlineStr">
        <is>
          <t>Spandana Sphoorty Financial Limited</t>
        </is>
      </c>
      <c r="V1148" s="15" t="n"/>
      <c r="W1148" s="15" t="n"/>
      <c r="X1148" s="15" t="n"/>
      <c r="Y1148" s="15" t="n"/>
      <c r="Z1148" s="15" t="n"/>
      <c r="AA1148" s="15" t="n"/>
      <c r="AB1148" s="15" t="n"/>
    </row>
    <row r="1149" ht="15" customHeight="1" s="12">
      <c r="A1149" s="14" t="n">
        <v>1148</v>
      </c>
      <c r="B1149" s="16" t="n">
        <v>43278</v>
      </c>
      <c r="C1149" s="15" t="n">
        <v>2018</v>
      </c>
      <c r="D1149" s="15" t="inlineStr">
        <is>
          <t>Penver Products Limited</t>
        </is>
      </c>
      <c r="E1149" s="15" t="inlineStr">
        <is>
          <t>DRHP</t>
        </is>
      </c>
      <c r="F1149" s="15" t="inlineStr">
        <is>
          <t>Penver Products Limited</t>
        </is>
      </c>
      <c r="G1149" s="15" t="inlineStr">
        <is>
          <t>No launched IPO found</t>
        </is>
      </c>
      <c r="H1149" s="15" t="n"/>
      <c r="I1149" s="16" t="n"/>
      <c r="J1149" s="16" t="n"/>
      <c r="K1149" s="16" t="n"/>
      <c r="L1149" s="17" t="n"/>
      <c r="M1149" s="17" t="n"/>
      <c r="N1149" s="17" t="n"/>
      <c r="O1149" s="15" t="n"/>
      <c r="P1149" s="15" t="n"/>
      <c r="Q1149" s="18" t="inlineStr">
        <is>
          <t>https://www.sebi.gov.in/sebi_data/attachdocs/jun-2018/1530091023242.pdf</t>
        </is>
      </c>
      <c r="R1149" s="18" t="inlineStr">
        <is>
          <t>https://www.sebi.gov.in/filings/public-issues/jun-2018/penver-products-limited_39363.html</t>
        </is>
      </c>
      <c r="S1149" s="15" t="n"/>
      <c r="T1149" s="15" t="n"/>
      <c r="U1149" s="15" t="n"/>
      <c r="V1149" s="15" t="n"/>
      <c r="W1149" s="16" t="n"/>
      <c r="X1149" s="16" t="n"/>
      <c r="Y1149" s="16" t="n"/>
      <c r="Z1149" s="15" t="inlineStr">
        <is>
          <t>No issue found</t>
        </is>
      </c>
      <c r="AA1149" s="15" t="inlineStr">
        <is>
          <t>Business Standard lists the company but shows no issue dates; web search limit reached</t>
        </is>
      </c>
      <c r="AB1149" s="18" t="inlineStr">
        <is>
          <t>https://www.business-standard.com/markets/ipo/penver-products-ltd-ipo-38058</t>
        </is>
      </c>
    </row>
    <row r="1150" ht="15" customHeight="1" s="12">
      <c r="A1150" s="14" t="n">
        <v>1149</v>
      </c>
      <c r="B1150" s="16" t="n">
        <v>43277</v>
      </c>
      <c r="C1150" s="15" t="n">
        <v>2018</v>
      </c>
      <c r="D1150" s="15" t="inlineStr">
        <is>
          <t>Aavas Financiers Limited</t>
        </is>
      </c>
      <c r="E1150" s="15" t="inlineStr">
        <is>
          <t>DRHP</t>
        </is>
      </c>
      <c r="F1150" s="15" t="inlineStr">
        <is>
          <t>Aavas Financiers Limited</t>
        </is>
      </c>
      <c r="G1150" s="15" t="inlineStr">
        <is>
          <t>IPO launched</t>
        </is>
      </c>
      <c r="H1150" s="15" t="inlineStr">
        <is>
          <t>Mainboard</t>
        </is>
      </c>
      <c r="I1150" s="16" t="n">
        <v>43368</v>
      </c>
      <c r="J1150" s="16" t="n">
        <v>43370</v>
      </c>
      <c r="K1150" s="16" t="n">
        <v>43381</v>
      </c>
      <c r="L1150" s="17" t="n">
        <v>1734.07</v>
      </c>
      <c r="M1150" s="17" t="n">
        <v>1734.07</v>
      </c>
      <c r="N1150" s="17" t="n">
        <v>0</v>
      </c>
      <c r="O1150" s="15" t="inlineStr">
        <is>
          <t>Final issue (ipoplatform)</t>
        </is>
      </c>
      <c r="P1150" s="15" t="n"/>
      <c r="Q1150" s="18" t="inlineStr">
        <is>
          <t>https://www.sebi.gov.in/sebi_data/attachdocs/jun-2018/1529990123673.pdf</t>
        </is>
      </c>
      <c r="R1150" s="18" t="inlineStr">
        <is>
          <t>https://www.sebi.gov.in/filings/public-issues/jun-2018/aavas-financiers-limited_39352.html</t>
        </is>
      </c>
      <c r="S1150" s="15" t="n"/>
      <c r="T1150" s="15" t="inlineStr">
        <is>
          <t>SEBI filing link</t>
        </is>
      </c>
      <c r="U1150" s="15" t="inlineStr">
        <is>
          <t>Aavas Financiers Limited</t>
        </is>
      </c>
      <c r="V1150" s="15" t="n"/>
      <c r="W1150" s="15" t="n"/>
      <c r="X1150" s="15" t="n"/>
      <c r="Y1150" s="15" t="n"/>
      <c r="Z1150" s="15" t="n"/>
      <c r="AA1150" s="15" t="n"/>
      <c r="AB1150" s="15" t="n"/>
    </row>
    <row r="1151" ht="15" customHeight="1" s="12">
      <c r="A1151" s="14" t="n">
        <v>1150</v>
      </c>
      <c r="B1151" s="16" t="n">
        <v>43273</v>
      </c>
      <c r="C1151" s="15" t="n">
        <v>2018</v>
      </c>
      <c r="D1151" s="15" t="inlineStr">
        <is>
          <t>Anmol Industries Limited</t>
        </is>
      </c>
      <c r="E1151" s="15" t="inlineStr">
        <is>
          <t>DRHP</t>
        </is>
      </c>
      <c r="F1151" s="15" t="inlineStr">
        <is>
          <t>Anmol Industries Limited</t>
        </is>
      </c>
      <c r="G1151" s="15" t="inlineStr">
        <is>
          <t>No launched IPO found</t>
        </is>
      </c>
      <c r="H1151" s="15" t="n"/>
      <c r="I1151" s="16" t="n"/>
      <c r="J1151" s="16" t="n"/>
      <c r="K1151" s="16" t="n"/>
      <c r="L1151" s="17" t="n"/>
      <c r="M1151" s="17" t="n"/>
      <c r="N1151" s="17" t="n"/>
      <c r="O1151" s="15" t="n"/>
      <c r="P1151" s="15" t="n"/>
      <c r="Q1151" s="18" t="inlineStr">
        <is>
          <t>https://www.sebi.gov.in/sebi_data/attachdocs/jun-2018/1529649771895.pdf</t>
        </is>
      </c>
      <c r="R1151" s="18" t="inlineStr">
        <is>
          <t>https://www.sebi.gov.in/filings/public-issues/jun-2018/anmol-industries-limited_39326.html</t>
        </is>
      </c>
      <c r="S1151" s="15" t="n"/>
      <c r="T1151" s="15" t="n"/>
      <c r="U1151" s="15" t="n"/>
      <c r="V1151" s="15" t="n"/>
      <c r="W1151" s="16" t="n"/>
      <c r="X1151" s="16" t="n"/>
      <c r="Y1151" s="16" t="n"/>
      <c r="Z1151" s="15" t="inlineStr">
        <is>
          <t>No issue found</t>
        </is>
      </c>
      <c r="AA1151" s="15" t="inlineStr">
        <is>
          <t>Anmol India (2019 IPO) is a different company; Anmol Industries has no issue.</t>
        </is>
      </c>
      <c r="AB1151" s="18" t="inlineStr">
        <is>
          <t>https://www.business-standard.com/article/pti-stories/anmol-industries-files-ipo-papers-with-sebi-118062000383_1.html</t>
        </is>
      </c>
    </row>
    <row r="1152" ht="15" customHeight="1" s="12">
      <c r="A1152" s="14" t="n">
        <v>1151</v>
      </c>
      <c r="B1152" s="16" t="n">
        <v>43271</v>
      </c>
      <c r="C1152" s="15" t="n">
        <v>2018</v>
      </c>
      <c r="D1152" s="15" t="inlineStr">
        <is>
          <t>Vectus Industries Limited</t>
        </is>
      </c>
      <c r="E1152" s="15" t="inlineStr">
        <is>
          <t>DRHP</t>
        </is>
      </c>
      <c r="F1152" s="15" t="inlineStr">
        <is>
          <t>Vectus Industries Limited</t>
        </is>
      </c>
      <c r="G1152" s="15" t="inlineStr">
        <is>
          <t>No launched IPO found</t>
        </is>
      </c>
      <c r="H1152" s="15" t="n"/>
      <c r="I1152" s="16" t="n"/>
      <c r="J1152" s="16" t="n"/>
      <c r="K1152" s="16" t="n"/>
      <c r="L1152" s="17" t="n"/>
      <c r="M1152" s="17" t="n"/>
      <c r="N1152" s="17" t="n"/>
      <c r="O1152" s="15" t="n"/>
      <c r="P1152" s="15" t="n"/>
      <c r="Q1152" s="18" t="inlineStr">
        <is>
          <t>https://www.sebi.gov.in/sebi_data/attachdocs/jun-2018/1529475294132.pdf</t>
        </is>
      </c>
      <c r="R1152" s="18" t="inlineStr">
        <is>
          <t>https://www.sebi.gov.in/filings/public-issues/jun-2018/vectus-industries-limited_39315.html</t>
        </is>
      </c>
      <c r="S1152" s="15" t="n"/>
      <c r="T1152" s="15" t="n"/>
      <c r="U1152" s="15" t="n"/>
      <c r="V1152" s="15" t="n"/>
      <c r="W1152" s="16" t="n"/>
      <c r="X1152" s="16" t="n"/>
      <c r="Y1152" s="16" t="n"/>
      <c r="Z1152" s="15" t="inlineStr">
        <is>
          <t>No issue found</t>
        </is>
      </c>
      <c r="AA1152" s="15" t="inlineStr">
        <is>
          <t>SEBI observations Aug 2018; no issue opening found in results.</t>
        </is>
      </c>
      <c r="AB1152" s="18" t="inlineStr">
        <is>
          <t>https://ipocentral.in/vectus-industries-ipo-cleared-sebi/</t>
        </is>
      </c>
    </row>
    <row r="1153" ht="15" customHeight="1" s="12">
      <c r="A1153" s="14" t="n">
        <v>1152</v>
      </c>
      <c r="B1153" s="16" t="n">
        <v>43270</v>
      </c>
      <c r="C1153" s="15" t="n">
        <v>2018</v>
      </c>
      <c r="D1153" s="15" t="inlineStr">
        <is>
          <t>Hinduja Leyland Finance Limited</t>
        </is>
      </c>
      <c r="E1153" s="15" t="inlineStr">
        <is>
          <t>DRHP</t>
        </is>
      </c>
      <c r="F1153" s="15" t="inlineStr">
        <is>
          <t>Hinduja Leyland Finance Limited</t>
        </is>
      </c>
      <c r="G1153" s="15" t="inlineStr">
        <is>
          <t>No launched IPO found</t>
        </is>
      </c>
      <c r="H1153" s="15" t="n"/>
      <c r="I1153" s="16" t="n"/>
      <c r="J1153" s="16" t="n"/>
      <c r="K1153" s="16" t="n"/>
      <c r="L1153" s="17" t="n"/>
      <c r="M1153" s="17" t="n"/>
      <c r="N1153" s="17" t="n"/>
      <c r="O1153" s="15" t="n"/>
      <c r="P1153" s="15" t="n"/>
      <c r="Q1153" s="18" t="inlineStr">
        <is>
          <t>https://www.sebi.gov.in/sebi_data/attachdocs/jun-2018/1529388638703.pdf</t>
        </is>
      </c>
      <c r="R1153" s="18" t="inlineStr">
        <is>
          <t>https://www.sebi.gov.in/filings/public-issues/jun-2018/hinduja-leyland-finance-limited_39305.html</t>
        </is>
      </c>
      <c r="S1153" s="15" t="n"/>
      <c r="T1153" s="15" t="n"/>
      <c r="U1153" s="15" t="n"/>
      <c r="V1153" s="15" t="n"/>
      <c r="W1153" s="16" t="n"/>
      <c r="X1153" s="16" t="n"/>
      <c r="Y1153" s="16" t="n"/>
      <c r="Z1153" s="15" t="inlineStr">
        <is>
          <t>No issue found</t>
        </is>
      </c>
      <c r="AA1153" s="15" t="inlineStr">
        <is>
          <t>Business Standard lists the company but shows no issue dates; web search limit reached</t>
        </is>
      </c>
      <c r="AB1153" s="18" t="inlineStr">
        <is>
          <t>https://www.business-standard.com/markets/ipo/hinduja-leyland-finance-ltd-ipo-41297</t>
        </is>
      </c>
    </row>
    <row r="1154" ht="15" customHeight="1" s="12">
      <c r="A1154" s="14" t="n">
        <v>1153</v>
      </c>
      <c r="B1154" s="16" t="n">
        <v>43269</v>
      </c>
      <c r="C1154" s="15" t="n">
        <v>2018</v>
      </c>
      <c r="D1154" s="15" t="inlineStr">
        <is>
          <t>Avana Logistek Limited</t>
        </is>
      </c>
      <c r="E1154" s="15" t="inlineStr">
        <is>
          <t>DRHP</t>
        </is>
      </c>
      <c r="F1154" s="15" t="inlineStr">
        <is>
          <t>Avana Logistek Limited</t>
        </is>
      </c>
      <c r="G1154" s="15" t="inlineStr">
        <is>
          <t>No launched IPO found</t>
        </is>
      </c>
      <c r="H1154" s="15" t="n"/>
      <c r="I1154" s="16" t="n"/>
      <c r="J1154" s="16" t="n"/>
      <c r="K1154" s="16" t="n"/>
      <c r="L1154" s="17" t="n"/>
      <c r="M1154" s="17" t="n"/>
      <c r="N1154" s="17" t="n"/>
      <c r="O1154" s="15" t="n"/>
      <c r="P1154" s="15" t="n"/>
      <c r="Q1154" s="18" t="inlineStr">
        <is>
          <t>https://www.sebi.gov.in/sebi_data/attachdocs/jun-2018/1529311319668.pdf</t>
        </is>
      </c>
      <c r="R1154" s="18" t="inlineStr">
        <is>
          <t>https://www.sebi.gov.in/filings/public-issues/jun-2018/avana-logistek-limited_39297.html</t>
        </is>
      </c>
      <c r="S1154" s="15" t="n"/>
      <c r="T1154" s="15" t="n"/>
      <c r="U1154" s="15" t="n"/>
      <c r="V1154" s="15" t="n"/>
      <c r="W1154" s="16" t="n"/>
      <c r="X1154" s="16" t="n"/>
      <c r="Y1154" s="16" t="n"/>
      <c r="Z1154" s="15" t="inlineStr">
        <is>
          <t>No issue found</t>
        </is>
      </c>
      <c r="AA1154" s="15" t="inlineStr">
        <is>
          <t>Filed 2018; no issue date found.</t>
        </is>
      </c>
      <c r="AB1154" s="18" t="inlineStr">
        <is>
          <t>https://top10stockbroker.com/ipo-review/avana-logistek-ipo/</t>
        </is>
      </c>
    </row>
    <row r="1155" ht="15" customHeight="1" s="12">
      <c r="A1155" s="14" t="n">
        <v>1154</v>
      </c>
      <c r="B1155" s="16" t="n">
        <v>43264</v>
      </c>
      <c r="C1155" s="15" t="n">
        <v>2018</v>
      </c>
      <c r="D1155" s="15" t="inlineStr">
        <is>
          <t>Century Metal Recycling Ltd</t>
        </is>
      </c>
      <c r="E1155" s="15" t="inlineStr">
        <is>
          <t>DRHP</t>
        </is>
      </c>
      <c r="F1155" s="15" t="inlineStr">
        <is>
          <t>Century Metal Recycling Ltd.</t>
        </is>
      </c>
      <c r="G1155" s="15" t="inlineStr">
        <is>
          <t>No launched IPO found</t>
        </is>
      </c>
      <c r="H1155" s="15" t="n"/>
      <c r="I1155" s="16" t="n"/>
      <c r="J1155" s="16" t="n"/>
      <c r="K1155" s="16" t="n"/>
      <c r="L1155" s="17" t="n"/>
      <c r="M1155" s="17" t="n"/>
      <c r="N1155" s="17" t="n"/>
      <c r="O1155" s="15" t="n"/>
      <c r="P1155" s="15" t="n"/>
      <c r="Q1155" s="18" t="inlineStr">
        <is>
          <t>https://www.sebi.gov.in/sebi_data/attachdocs/jun-2018/1528862515741.pdf</t>
        </is>
      </c>
      <c r="R1155" s="18" t="inlineStr">
        <is>
          <t>https://www.sebi.gov.in/filings/public-issues/jun-2018/century-metal-recycling-ltd-_39257.html</t>
        </is>
      </c>
      <c r="S1155" s="15" t="n"/>
      <c r="T1155" s="15" t="n"/>
      <c r="U1155" s="15" t="n"/>
      <c r="V1155" s="15" t="n"/>
      <c r="W1155" s="25" t="n">
        <v>46176</v>
      </c>
      <c r="X1155" s="25" t="n">
        <v>46178</v>
      </c>
      <c r="Y1155" s="25" t="n"/>
      <c r="Z1155" s="26" t="inlineStr">
        <is>
          <t>Later IPO — not from this draft</t>
        </is>
      </c>
      <c r="AA1155" s="15" t="inlineStr">
        <is>
          <t>Renamed CMR Green Technologies; opened 8 years after 2018 filing; listing date not retrieved (search budget exhausted).</t>
        </is>
      </c>
      <c r="AB1155" s="18" t="inlineStr">
        <is>
          <t>https://www.tradejini.com/blogs/cmr-green-technologies-ipo--indias-largest-nonferrous-metal-recycler-opens-june-2026</t>
        </is>
      </c>
    </row>
    <row r="1156" ht="15" customHeight="1" s="12">
      <c r="A1156" s="14" t="n">
        <v>1155</v>
      </c>
      <c r="B1156" s="16" t="n">
        <v>43263</v>
      </c>
      <c r="C1156" s="15" t="n">
        <v>2018</v>
      </c>
      <c r="D1156" s="15" t="inlineStr">
        <is>
          <t>CRAFTSMAN AUTOMATION LIMITED</t>
        </is>
      </c>
      <c r="E1156" s="15" t="inlineStr">
        <is>
          <t>DRHP</t>
        </is>
      </c>
      <c r="F1156" s="15" t="inlineStr">
        <is>
          <t>CRAFTSMAN AUTOMATION LIMITED</t>
        </is>
      </c>
      <c r="G1156" s="15" t="inlineStr">
        <is>
          <t>No launched IPO found</t>
        </is>
      </c>
      <c r="H1156" s="15" t="n"/>
      <c r="I1156" s="16" t="n"/>
      <c r="J1156" s="16" t="n"/>
      <c r="K1156" s="16" t="n"/>
      <c r="L1156" s="17" t="n"/>
      <c r="M1156" s="17" t="n"/>
      <c r="N1156" s="17" t="n"/>
      <c r="O1156" s="15" t="n"/>
      <c r="P1156" s="15" t="n"/>
      <c r="Q1156" s="18" t="inlineStr">
        <is>
          <t>https://www.sebi.gov.in/sebi_data/attachdocs/jun-2018/1528799503737.pdf</t>
        </is>
      </c>
      <c r="R1156" s="18" t="inlineStr">
        <is>
          <t>https://www.sebi.gov.in/filings/public-issues/jun-2018/craftsman-automation-limited_39253.html</t>
        </is>
      </c>
      <c r="S1156" s="15" t="n"/>
      <c r="T1156" s="15" t="n"/>
      <c r="U1156" s="15" t="n"/>
      <c r="V1156" s="15" t="inlineStr">
        <is>
          <t>Same-name IPO opened 15-Mar-2021 — outside 2 years of this filing, so not linked</t>
        </is>
      </c>
      <c r="W1156" s="19" t="n">
        <v>44270</v>
      </c>
      <c r="X1156" s="19" t="n">
        <v>44272</v>
      </c>
      <c r="Y1156" s="19" t="n">
        <v>44280</v>
      </c>
      <c r="Z1156" s="20" t="inlineStr">
        <is>
          <t>Issue opened</t>
        </is>
      </c>
      <c r="AA1156" s="15" t="inlineStr">
        <is>
          <t>Matched on chittorgarh.com</t>
        </is>
      </c>
      <c r="AB1156" s="18" t="inlineStr">
        <is>
          <t>https://www.chittorgarh.com/ipo/craftsman-automation-ipo/1095/</t>
        </is>
      </c>
    </row>
    <row r="1157" ht="15" customHeight="1" s="12">
      <c r="A1157" s="14" t="n">
        <v>1156</v>
      </c>
      <c r="B1157" s="16" t="n">
        <v>43231</v>
      </c>
      <c r="C1157" s="15" t="n">
        <v>2018</v>
      </c>
      <c r="D1157" s="15" t="inlineStr">
        <is>
          <t>Montecarlo Limited</t>
        </is>
      </c>
      <c r="E1157" s="15" t="inlineStr">
        <is>
          <t>DRHP</t>
        </is>
      </c>
      <c r="F1157" s="15" t="inlineStr">
        <is>
          <t>Montecarlo Limited</t>
        </is>
      </c>
      <c r="G1157" s="15" t="inlineStr">
        <is>
          <t>No launched IPO found</t>
        </is>
      </c>
      <c r="H1157" s="15" t="n"/>
      <c r="I1157" s="16" t="n"/>
      <c r="J1157" s="16" t="n"/>
      <c r="K1157" s="16" t="n"/>
      <c r="L1157" s="17" t="n"/>
      <c r="M1157" s="17" t="n"/>
      <c r="N1157" s="17" t="n"/>
      <c r="O1157" s="15" t="n"/>
      <c r="P1157" s="15" t="n"/>
      <c r="Q1157" s="18" t="inlineStr">
        <is>
          <t>https://www.sebi.gov.in/sebi_data/attachdocs/may-2018/1526038531239.pdf</t>
        </is>
      </c>
      <c r="R1157" s="18" t="inlineStr">
        <is>
          <t>https://www.sebi.gov.in/filings/public-issues/may-2018/montecarlo-limited_38911.html</t>
        </is>
      </c>
      <c r="S1157" s="15" t="n"/>
      <c r="T1157" s="15" t="n"/>
      <c r="U1157" s="15" t="n"/>
      <c r="V1157" s="15" t="n"/>
      <c r="W1157" s="16" t="n"/>
      <c r="X1157" s="16" t="n"/>
      <c r="Y1157" s="16" t="n"/>
      <c r="Z1157" s="15" t="inlineStr">
        <is>
          <t>No issue found</t>
        </is>
      </c>
      <c r="AA1157" s="15" t="inlineStr">
        <is>
          <t>SEBI nod Aug 2018; planned 2021 IPO not released. Monte Carlo Fashions (2014) is different.</t>
        </is>
      </c>
      <c r="AB1157" s="18" t="inlineStr">
        <is>
          <t>https://www.motilaloswal.com/learning-centre/2021/4/montecarlo-limited-ipo-montecarlo-limited-ipo-date-share-price-and-news</t>
        </is>
      </c>
    </row>
    <row r="1158" ht="15" customHeight="1" s="12">
      <c r="A1158" s="14" t="n">
        <v>1157</v>
      </c>
      <c r="B1158" s="16" t="n">
        <v>43230</v>
      </c>
      <c r="C1158" s="15" t="n">
        <v>2018</v>
      </c>
      <c r="D1158" s="15" t="inlineStr">
        <is>
          <t>Renew Power Limited</t>
        </is>
      </c>
      <c r="E1158" s="15" t="inlineStr">
        <is>
          <t>DRHP</t>
        </is>
      </c>
      <c r="F1158" s="15" t="inlineStr">
        <is>
          <t>Renew Power Limited</t>
        </is>
      </c>
      <c r="G1158" s="15" t="inlineStr">
        <is>
          <t>No launched IPO found</t>
        </is>
      </c>
      <c r="H1158" s="15" t="n"/>
      <c r="I1158" s="16" t="n"/>
      <c r="J1158" s="16" t="n"/>
      <c r="K1158" s="16" t="n"/>
      <c r="L1158" s="17" t="n"/>
      <c r="M1158" s="17" t="n"/>
      <c r="N1158" s="17" t="n"/>
      <c r="O1158" s="15" t="n"/>
      <c r="P1158" s="15" t="n"/>
      <c r="Q1158" s="18" t="inlineStr">
        <is>
          <t>https://www.sebi.gov.in/sebi_data/attachdocs/may-2018/1525930664430.pdf</t>
        </is>
      </c>
      <c r="R1158" s="18" t="inlineStr">
        <is>
          <t>https://www.sebi.gov.in/filings/public-issues/may-2018/renew-power-limited_38899.html</t>
        </is>
      </c>
      <c r="S1158" s="15" t="n"/>
      <c r="T1158" s="15" t="n"/>
      <c r="U1158" s="15" t="n"/>
      <c r="V1158" s="15" t="n"/>
      <c r="W1158" s="16" t="n"/>
      <c r="X1158" s="16" t="n"/>
      <c r="Y1158" s="16" t="n"/>
      <c r="Z1158" s="15" t="inlineStr">
        <is>
          <t>No issue found</t>
        </is>
      </c>
      <c r="AA1158" s="15" t="inlineStr">
        <is>
          <t>Listed on Nasdaq Aug 2021 via SPAC merger, not an Indian public issue.</t>
        </is>
      </c>
      <c r="AB1158" s="18" t="inlineStr">
        <is>
          <t>https://www.businesswire.com/news/home/20210823005631/en/ReNew-Power-Completes-Business-Combination-with-RMG-Acquisition-Corporation-II</t>
        </is>
      </c>
    </row>
    <row r="1159" ht="15" customHeight="1" s="12">
      <c r="A1159" s="14" t="n">
        <v>1158</v>
      </c>
      <c r="B1159" s="16" t="n">
        <v>43229</v>
      </c>
      <c r="C1159" s="15" t="n">
        <v>2018</v>
      </c>
      <c r="D1159" s="15" t="inlineStr">
        <is>
          <t>P. N. Gadgil and Sons Limited</t>
        </is>
      </c>
      <c r="E1159" s="15" t="inlineStr">
        <is>
          <t>DRHP</t>
        </is>
      </c>
      <c r="F1159" s="15" t="inlineStr">
        <is>
          <t>P. N. Gadgil and Sons Limited</t>
        </is>
      </c>
      <c r="G1159" s="15" t="inlineStr">
        <is>
          <t>No launched IPO found</t>
        </is>
      </c>
      <c r="H1159" s="15" t="n"/>
      <c r="I1159" s="16" t="n"/>
      <c r="J1159" s="16" t="n"/>
      <c r="K1159" s="16" t="n"/>
      <c r="L1159" s="17" t="n"/>
      <c r="M1159" s="17" t="n"/>
      <c r="N1159" s="17" t="n"/>
      <c r="O1159" s="15" t="n"/>
      <c r="P1159" s="15" t="n"/>
      <c r="Q1159" s="18" t="inlineStr">
        <is>
          <t>https://www.sebi.gov.in/sebi_data/attachdocs/may-2018/1525850505088.pdf</t>
        </is>
      </c>
      <c r="R1159" s="18" t="inlineStr">
        <is>
          <t>https://www.sebi.gov.in/filings/public-issues/may-2018/p-n-gadgil-and-sons-limited_38880.html</t>
        </is>
      </c>
      <c r="S1159" s="15" t="n"/>
      <c r="T1159" s="15" t="n"/>
      <c r="U1159" s="15" t="n"/>
      <c r="V1159" s="15" t="n"/>
      <c r="W1159" s="25" t="n">
        <v>45545</v>
      </c>
      <c r="X1159" s="25" t="n">
        <v>45547</v>
      </c>
      <c r="Y1159" s="25" t="n">
        <v>45552</v>
      </c>
      <c r="Z1159" s="26" t="inlineStr">
        <is>
          <t>Later IPO — not from this draft</t>
        </is>
      </c>
      <c r="AA1159" s="15" t="inlineStr">
        <is>
          <t>Renamed P N Gadgil Jewellers; IPO opened over 6 years after 2018 filing (fresh DRHP 2024).</t>
        </is>
      </c>
      <c r="AB1159" s="18" t="inlineStr">
        <is>
          <t>https://www.chittorgarh.com/ipo/p-n-gadgil-jewellers-ipo/1841/</t>
        </is>
      </c>
    </row>
    <row r="1160" ht="15" customHeight="1" s="12">
      <c r="A1160" s="14" t="n">
        <v>1159</v>
      </c>
      <c r="B1160" s="16" t="n">
        <v>43227</v>
      </c>
      <c r="C1160" s="15" t="n">
        <v>2018</v>
      </c>
      <c r="D1160" s="15" t="inlineStr">
        <is>
          <t>Milestone Furniture Limited</t>
        </is>
      </c>
      <c r="E1160" s="15" t="inlineStr">
        <is>
          <t>DRHP</t>
        </is>
      </c>
      <c r="F1160" s="15" t="inlineStr">
        <is>
          <t>Milestone Furniture Limited</t>
        </is>
      </c>
      <c r="G1160" s="15" t="inlineStr">
        <is>
          <t>IPO launched</t>
        </is>
      </c>
      <c r="H1160" s="15" t="inlineStr">
        <is>
          <t>SME</t>
        </is>
      </c>
      <c r="I1160" s="16" t="n">
        <v>43227</v>
      </c>
      <c r="J1160" s="16" t="n">
        <v>43231</v>
      </c>
      <c r="K1160" s="16" t="n">
        <v>43241</v>
      </c>
      <c r="L1160" s="17" t="n">
        <v>14.84</v>
      </c>
      <c r="M1160" s="17" t="n">
        <v>14.84</v>
      </c>
      <c r="N1160" s="17" t="n">
        <v>0</v>
      </c>
      <c r="O1160" s="15" t="inlineStr">
        <is>
          <t>Final issue (ipoplatform)</t>
        </is>
      </c>
      <c r="P1160" s="15" t="n"/>
      <c r="Q1160" s="18" t="inlineStr">
        <is>
          <t>https://www.sebi.gov.in/sebi_data/attachdocs/may-2018/1525695465898.pdf</t>
        </is>
      </c>
      <c r="R1160" s="18" t="inlineStr">
        <is>
          <t>https://www.sebi.gov.in/filings/public-issues/may-2018/milestone-furniture-limited_38868.html</t>
        </is>
      </c>
      <c r="S1160" s="15" t="n"/>
      <c r="T1160" s="15" t="inlineStr">
        <is>
          <t>Company name + date window</t>
        </is>
      </c>
      <c r="U1160" s="15" t="inlineStr">
        <is>
          <t>Milestone Furniture Limited</t>
        </is>
      </c>
      <c r="V1160" s="15" t="n"/>
      <c r="W1160" s="15" t="n"/>
      <c r="X1160" s="15" t="n"/>
      <c r="Y1160" s="15" t="n"/>
      <c r="Z1160" s="15" t="n"/>
      <c r="AA1160" s="15" t="n"/>
      <c r="AB1160" s="15" t="n"/>
    </row>
    <row r="1161" ht="15" customHeight="1" s="12">
      <c r="A1161" s="14" t="n">
        <v>1160</v>
      </c>
      <c r="B1161" s="16" t="n">
        <v>43227</v>
      </c>
      <c r="C1161" s="15" t="n">
        <v>2018</v>
      </c>
      <c r="D1161" s="15" t="inlineStr">
        <is>
          <t>Shakun Polymers Limited</t>
        </is>
      </c>
      <c r="E1161" s="15" t="inlineStr">
        <is>
          <t>DRHP</t>
        </is>
      </c>
      <c r="F1161" s="15" t="inlineStr">
        <is>
          <t>Shakun Polymers Limited</t>
        </is>
      </c>
      <c r="G1161" s="15" t="inlineStr">
        <is>
          <t>No launched IPO found</t>
        </is>
      </c>
      <c r="H1161" s="15" t="n"/>
      <c r="I1161" s="16" t="n"/>
      <c r="J1161" s="16" t="n"/>
      <c r="K1161" s="16" t="n"/>
      <c r="L1161" s="17" t="n"/>
      <c r="M1161" s="17" t="n"/>
      <c r="N1161" s="17" t="n"/>
      <c r="O1161" s="15" t="n"/>
      <c r="P1161" s="15" t="n"/>
      <c r="Q1161" s="18" t="inlineStr">
        <is>
          <t>https://www.sebi.gov.in/sebi_data/attachdocs/may-2018/1525695018561.pdf</t>
        </is>
      </c>
      <c r="R1161" s="18" t="inlineStr">
        <is>
          <t>https://www.sebi.gov.in/filings/public-issues/may-2018/shakun-polymers-limited_38867.html</t>
        </is>
      </c>
      <c r="S1161" s="15" t="n"/>
      <c r="T1161" s="15" t="n"/>
      <c r="U1161" s="15" t="n"/>
      <c r="V1161" s="15" t="n"/>
      <c r="W1161" s="16" t="n"/>
      <c r="X1161" s="16" t="n"/>
      <c r="Y1161" s="16" t="n"/>
      <c r="Z1161" s="15" t="inlineStr">
        <is>
          <t>No issue found</t>
        </is>
      </c>
      <c r="AA1161" s="15" t="inlineStr">
        <is>
          <t>Open date TBA; unlisted, no issue found.</t>
        </is>
      </c>
      <c r="AB1161" s="18" t="inlineStr">
        <is>
          <t>https://ipocentral.in/shakun-polymers-files-draft-prospectus-for-ipo/</t>
        </is>
      </c>
    </row>
    <row r="1162" ht="15" customHeight="1" s="12">
      <c r="A1162" s="14" t="n">
        <v>1161</v>
      </c>
      <c r="B1162" s="16" t="n">
        <v>43222</v>
      </c>
      <c r="C1162" s="15" t="n">
        <v>2018</v>
      </c>
      <c r="D1162" s="15" t="inlineStr">
        <is>
          <t>G R Infraprojects Limited</t>
        </is>
      </c>
      <c r="E1162" s="15" t="inlineStr">
        <is>
          <t>DRHP</t>
        </is>
      </c>
      <c r="F1162" s="15" t="inlineStr">
        <is>
          <t>G R Infraprojects Limited</t>
        </is>
      </c>
      <c r="G1162" s="15" t="inlineStr">
        <is>
          <t>IPO launched</t>
        </is>
      </c>
      <c r="H1162" s="15" t="inlineStr">
        <is>
          <t>Mainboard</t>
        </is>
      </c>
      <c r="I1162" s="16" t="n">
        <v>44384</v>
      </c>
      <c r="J1162" s="16" t="n">
        <v>44386</v>
      </c>
      <c r="K1162" s="16" t="n">
        <v>44396</v>
      </c>
      <c r="L1162" s="17" t="n">
        <v>963.28</v>
      </c>
      <c r="M1162" s="17" t="n">
        <v>963.28</v>
      </c>
      <c r="N1162" s="17" t="n">
        <v>0</v>
      </c>
      <c r="O1162" s="15" t="inlineStr">
        <is>
          <t>Final issue (ipoplatform)</t>
        </is>
      </c>
      <c r="P1162" s="15" t="n"/>
      <c r="Q1162" s="18" t="inlineStr">
        <is>
          <t>https://www.sebi.gov.in/sebi_data/attachdocs/may-2018/1525260712851.pdf</t>
        </is>
      </c>
      <c r="R1162" s="18" t="inlineStr">
        <is>
          <t>https://www.sebi.gov.in/filings/public-issues/may-2018/g-r-infraprojects-limited_38834.html</t>
        </is>
      </c>
      <c r="S1162" s="15" t="n"/>
      <c r="T1162" s="15" t="inlineStr">
        <is>
          <t>SEBI filing link</t>
        </is>
      </c>
      <c r="U1162" s="15" t="inlineStr">
        <is>
          <t>G R Infraprojects Limited</t>
        </is>
      </c>
      <c r="V1162" s="15" t="n"/>
      <c r="W1162" s="15" t="n"/>
      <c r="X1162" s="15" t="n"/>
      <c r="Y1162" s="15" t="n"/>
      <c r="Z1162" s="15" t="n"/>
      <c r="AA1162" s="15" t="n"/>
      <c r="AB1162" s="15" t="n"/>
    </row>
    <row r="1163" ht="15" customHeight="1" s="12">
      <c r="A1163" s="14" t="n">
        <v>1162</v>
      </c>
      <c r="B1163" s="16" t="n">
        <v>43216</v>
      </c>
      <c r="C1163" s="15" t="n">
        <v>2018</v>
      </c>
      <c r="D1163" s="15" t="inlineStr">
        <is>
          <t>Lodha Developers Limited</t>
        </is>
      </c>
      <c r="E1163" s="15" t="inlineStr">
        <is>
          <t>DRHP</t>
        </is>
      </c>
      <c r="F1163" s="15" t="inlineStr">
        <is>
          <t>Lodha Developers Limited</t>
        </is>
      </c>
      <c r="G1163" s="15" t="inlineStr">
        <is>
          <t>No launched IPO found</t>
        </is>
      </c>
      <c r="H1163" s="15" t="n"/>
      <c r="I1163" s="16" t="n"/>
      <c r="J1163" s="16" t="n"/>
      <c r="K1163" s="16" t="n"/>
      <c r="L1163" s="17" t="n"/>
      <c r="M1163" s="17" t="n"/>
      <c r="N1163" s="17" t="n"/>
      <c r="O1163" s="15" t="n"/>
      <c r="P1163" s="15" t="n"/>
      <c r="Q1163" s="18" t="inlineStr">
        <is>
          <t>https://www.sebi.gov.in/sebi_data/attachdocs/apr-2018/1524829206227.pdf</t>
        </is>
      </c>
      <c r="R1163" s="18" t="inlineStr">
        <is>
          <t>https://www.sebi.gov.in/filings/public-issues/apr-2018/lodha-developers-limited_38812.html</t>
        </is>
      </c>
      <c r="S1163" s="15" t="n"/>
      <c r="T1163" s="15" t="n"/>
      <c r="U1163" s="15" t="n"/>
      <c r="V1163" s="15" t="n"/>
      <c r="W1163" s="19" t="n">
        <v>44293</v>
      </c>
      <c r="X1163" s="19" t="n">
        <v>44295</v>
      </c>
      <c r="Y1163" s="19" t="n">
        <v>44305</v>
      </c>
      <c r="Z1163" s="20" t="inlineStr">
        <is>
          <t>Issue opened</t>
        </is>
      </c>
      <c r="AA1163" s="15" t="inlineStr">
        <is>
          <t>Business Standard IPO page</t>
        </is>
      </c>
      <c r="AB1163" s="18" t="inlineStr">
        <is>
          <t>https://www.business-standard.com/markets/ipo/lodha-developers-ltd-ipo-35713</t>
        </is>
      </c>
    </row>
    <row r="1164" ht="15" customHeight="1" s="12">
      <c r="A1164" s="14" t="n">
        <v>1163</v>
      </c>
      <c r="B1164" s="16" t="n">
        <v>43196</v>
      </c>
      <c r="C1164" s="15" t="n">
        <v>2018</v>
      </c>
      <c r="D1164" s="15" t="inlineStr">
        <is>
          <t>Crystal Crop Protection Limited</t>
        </is>
      </c>
      <c r="E1164" s="15" t="inlineStr">
        <is>
          <t>DRHP</t>
        </is>
      </c>
      <c r="F1164" s="15" t="inlineStr">
        <is>
          <t>Crystal Crop Protection Limited</t>
        </is>
      </c>
      <c r="G1164" s="15" t="inlineStr">
        <is>
          <t>No launched IPO found</t>
        </is>
      </c>
      <c r="H1164" s="15" t="n"/>
      <c r="I1164" s="16" t="n"/>
      <c r="J1164" s="16" t="n"/>
      <c r="K1164" s="16" t="n"/>
      <c r="L1164" s="17" t="n"/>
      <c r="M1164" s="17" t="n"/>
      <c r="N1164" s="17" t="n"/>
      <c r="O1164" s="15" t="n"/>
      <c r="P1164" s="15" t="n"/>
      <c r="Q1164" s="18" t="inlineStr">
        <is>
          <t>https://www.sebi.gov.in/sebi_data/attachdocs/apr-2018/1523012849683.pdf</t>
        </is>
      </c>
      <c r="R1164" s="18" t="inlineStr">
        <is>
          <t>https://www.sebi.gov.in/filings/public-issues/apr-2018/crystal-crop-protection-limited_38594.html</t>
        </is>
      </c>
      <c r="S1164" s="15" t="n"/>
      <c r="T1164" s="15" t="n"/>
      <c r="U1164" s="15" t="n"/>
      <c r="V1164" s="15" t="n"/>
      <c r="W1164" s="16" t="n"/>
      <c r="X1164" s="16" t="n"/>
      <c r="Y1164" s="16" t="n"/>
      <c r="Z1164" s="15" t="inlineStr">
        <is>
          <t>No issue found</t>
        </is>
      </c>
      <c r="AA1164" s="15" t="inlineStr">
        <is>
          <t>Fresh Rs600cr + OFS; dates/price band not announced</t>
        </is>
      </c>
      <c r="AB1164" s="18" t="inlineStr">
        <is>
          <t>https://ipowatch.in/crystal-crop-protection-ipo/</t>
        </is>
      </c>
    </row>
    <row r="1165" ht="15" customHeight="1" s="12">
      <c r="A1165" s="14" t="n">
        <v>1164</v>
      </c>
      <c r="B1165" s="16" t="n">
        <v>43192</v>
      </c>
      <c r="C1165" s="15" t="n">
        <v>2018</v>
      </c>
      <c r="D1165" s="15" t="inlineStr">
        <is>
          <t>Dinesh Engineers Limited</t>
        </is>
      </c>
      <c r="E1165" s="15" t="inlineStr">
        <is>
          <t>DRHP</t>
        </is>
      </c>
      <c r="F1165" s="15" t="inlineStr">
        <is>
          <t>Dinesh Engineers Limited</t>
        </is>
      </c>
      <c r="G1165" s="15" t="inlineStr">
        <is>
          <t>No launched IPO found</t>
        </is>
      </c>
      <c r="H1165" s="15" t="n"/>
      <c r="I1165" s="16" t="n"/>
      <c r="J1165" s="16" t="n"/>
      <c r="K1165" s="16" t="n"/>
      <c r="L1165" s="17" t="n"/>
      <c r="M1165" s="17" t="n"/>
      <c r="N1165" s="17" t="n"/>
      <c r="O1165" s="15" t="n"/>
      <c r="P1165" s="15" t="n"/>
      <c r="Q1165" s="18" t="inlineStr">
        <is>
          <t>https://www.sebi.gov.in/sebi_data/attachdocs/apr-2018/1522668596969.pdf</t>
        </is>
      </c>
      <c r="R1165" s="18" t="inlineStr">
        <is>
          <t>https://www.sebi.gov.in/filings/public-issues/apr-2018/dinesh-engineers-limited_38512.html</t>
        </is>
      </c>
      <c r="S1165" s="15" t="n"/>
      <c r="T1165" s="15" t="n"/>
      <c r="U1165" s="15" t="n"/>
      <c r="V1165" s="15" t="n"/>
      <c r="W1165" s="19" t="n">
        <v>43371</v>
      </c>
      <c r="X1165" s="19" t="n">
        <v>43376</v>
      </c>
      <c r="Y1165" s="19" t="n"/>
      <c r="Z1165" s="20" t="inlineStr">
        <is>
          <t>Issue opened</t>
        </is>
      </c>
      <c r="AA1165" s="15" t="inlineStr">
        <is>
          <t>Matched on chittorgarh.com</t>
        </is>
      </c>
      <c r="AB1165" s="18" t="inlineStr">
        <is>
          <t>https://www.chittorgarh.com/ipo/dinesh-engineers-limited/934/</t>
        </is>
      </c>
    </row>
    <row r="1166" ht="15" customHeight="1" s="12">
      <c r="A1166" s="14" t="n">
        <v>1165</v>
      </c>
      <c r="B1166" s="16" t="n">
        <v>43192</v>
      </c>
      <c r="C1166" s="15" t="n">
        <v>2018</v>
      </c>
      <c r="D1166" s="15" t="inlineStr">
        <is>
          <t>Varroc Engineering Limited</t>
        </is>
      </c>
      <c r="E1166" s="15" t="inlineStr">
        <is>
          <t>DRHP</t>
        </is>
      </c>
      <c r="F1166" s="15" t="inlineStr">
        <is>
          <t>Varroc Engineering Limited</t>
        </is>
      </c>
      <c r="G1166" s="15" t="inlineStr">
        <is>
          <t>IPO launched</t>
        </is>
      </c>
      <c r="H1166" s="15" t="inlineStr">
        <is>
          <t>Mainboard</t>
        </is>
      </c>
      <c r="I1166" s="16" t="n">
        <v>43277</v>
      </c>
      <c r="J1166" s="16" t="n">
        <v>43279</v>
      </c>
      <c r="K1166" s="16" t="n">
        <v>43287</v>
      </c>
      <c r="L1166" s="17" t="n">
        <v>1945.77</v>
      </c>
      <c r="M1166" s="17" t="n">
        <v>1945.77</v>
      </c>
      <c r="N1166" s="17" t="n">
        <v>0</v>
      </c>
      <c r="O1166" s="15" t="inlineStr">
        <is>
          <t>Final issue (ipoplatform)</t>
        </is>
      </c>
      <c r="P1166" s="15" t="n"/>
      <c r="Q1166" s="18" t="inlineStr">
        <is>
          <t>https://www.sebi.gov.in/sebi_data/attachdocs/apr-2018/1522668400641.pdf</t>
        </is>
      </c>
      <c r="R1166" s="18" t="inlineStr">
        <is>
          <t>https://www.sebi.gov.in/filings/public-issues/apr-2018/varroc-engineering-limited_38511.html</t>
        </is>
      </c>
      <c r="S1166" s="15" t="n"/>
      <c r="T1166" s="15" t="inlineStr">
        <is>
          <t>SEBI filing link</t>
        </is>
      </c>
      <c r="U1166" s="15" t="inlineStr">
        <is>
          <t>Varroc Engineering Limited</t>
        </is>
      </c>
      <c r="V1166" s="15" t="n"/>
      <c r="W1166" s="15" t="n"/>
      <c r="X1166" s="15" t="n"/>
      <c r="Y1166" s="15" t="n"/>
      <c r="Z1166" s="15" t="n"/>
      <c r="AA1166" s="15" t="n"/>
      <c r="AB1166" s="15" t="n"/>
    </row>
    <row r="1167" ht="15" customHeight="1" s="12">
      <c r="A1167" s="14" t="n">
        <v>1166</v>
      </c>
      <c r="B1167" s="16" t="n">
        <v>43192</v>
      </c>
      <c r="C1167" s="15" t="n">
        <v>2018</v>
      </c>
      <c r="D1167" s="15" t="inlineStr">
        <is>
          <t>Rail Vikas Nigam Limited</t>
        </is>
      </c>
      <c r="E1167" s="15" t="inlineStr">
        <is>
          <t>DRHP</t>
        </is>
      </c>
      <c r="F1167" s="15" t="inlineStr">
        <is>
          <t>Rail Vikas Nigam Limited</t>
        </is>
      </c>
      <c r="G1167" s="15" t="inlineStr">
        <is>
          <t>IPO launched</t>
        </is>
      </c>
      <c r="H1167" s="15" t="inlineStr">
        <is>
          <t>Mainboard</t>
        </is>
      </c>
      <c r="I1167" s="16" t="n">
        <v>43553</v>
      </c>
      <c r="J1167" s="16" t="n">
        <v>43558</v>
      </c>
      <c r="K1167" s="16" t="n">
        <v>43566</v>
      </c>
      <c r="L1167" s="17" t="n">
        <v>481.57</v>
      </c>
      <c r="M1167" s="17" t="n">
        <v>481.57</v>
      </c>
      <c r="N1167" s="17" t="n">
        <v>0</v>
      </c>
      <c r="O1167" s="15" t="inlineStr">
        <is>
          <t>Final issue (ipoplatform)</t>
        </is>
      </c>
      <c r="P1167" s="15" t="n"/>
      <c r="Q1167" s="18" t="inlineStr">
        <is>
          <t>https://www.sebi.gov.in/sebi_data/attachdocs/apr-2018/1522668210936.pdf</t>
        </is>
      </c>
      <c r="R1167" s="18" t="inlineStr">
        <is>
          <t>https://www.sebi.gov.in/filings/public-issues/apr-2018/rail-vikas-nigam-limited_38510.html</t>
        </is>
      </c>
      <c r="S1167" s="15" t="n"/>
      <c r="T1167" s="15" t="inlineStr">
        <is>
          <t>SEBI filing link</t>
        </is>
      </c>
      <c r="U1167" s="15" t="inlineStr">
        <is>
          <t>Rail Vikas Nigam Limited</t>
        </is>
      </c>
      <c r="V1167" s="15" t="n"/>
      <c r="W1167" s="15" t="n"/>
      <c r="X1167" s="15" t="n"/>
      <c r="Y1167" s="15" t="n"/>
      <c r="Z1167" s="15" t="n"/>
      <c r="AA1167" s="15" t="n"/>
      <c r="AB1167" s="15" t="n"/>
    </row>
    <row r="1168" ht="15" customHeight="1" s="12">
      <c r="A1168" s="14" t="n">
        <v>1167</v>
      </c>
      <c r="B1168" s="16" t="n">
        <v>43192</v>
      </c>
      <c r="C1168" s="15" t="n">
        <v>2018</v>
      </c>
      <c r="D1168" s="15" t="inlineStr">
        <is>
          <t>Mazagon Dock Shipbuilders Limited</t>
        </is>
      </c>
      <c r="E1168" s="15" t="inlineStr">
        <is>
          <t>DRHP</t>
        </is>
      </c>
      <c r="F1168" s="15" t="inlineStr">
        <is>
          <t>Mazagon Dock Shipbuilders Limited</t>
        </is>
      </c>
      <c r="G1168" s="15" t="inlineStr">
        <is>
          <t>IPO launched</t>
        </is>
      </c>
      <c r="H1168" s="15" t="inlineStr">
        <is>
          <t>Mainboard</t>
        </is>
      </c>
      <c r="I1168" s="16" t="n">
        <v>44103</v>
      </c>
      <c r="J1168" s="16" t="n">
        <v>44105</v>
      </c>
      <c r="K1168" s="16" t="n">
        <v>44116</v>
      </c>
      <c r="L1168" s="17" t="n">
        <v>443.69</v>
      </c>
      <c r="M1168" s="17" t="n">
        <v>443.69</v>
      </c>
      <c r="N1168" s="17" t="n">
        <v>0</v>
      </c>
      <c r="O1168" s="15" t="inlineStr">
        <is>
          <t>Final issue (ipoplatform)</t>
        </is>
      </c>
      <c r="P1168" s="15" t="n"/>
      <c r="Q1168" s="18" t="inlineStr">
        <is>
          <t>https://www.sebi.gov.in/sebi_data/attachdocs/apr-2018/1522662290321.pdf</t>
        </is>
      </c>
      <c r="R1168" s="18" t="inlineStr">
        <is>
          <t>https://www.sebi.gov.in/filings/public-issues/apr-2018/mazagon-dock-shipbuilders-limited_38506.html</t>
        </is>
      </c>
      <c r="S1168" s="15" t="n"/>
      <c r="T1168" s="15" t="inlineStr">
        <is>
          <t>SEBI filing link</t>
        </is>
      </c>
      <c r="U1168" s="15" t="inlineStr">
        <is>
          <t>Mazagon Dock Shipbuilders Limited</t>
        </is>
      </c>
      <c r="V1168" s="15" t="n"/>
      <c r="W1168" s="15" t="n"/>
      <c r="X1168" s="15" t="n"/>
      <c r="Y1168" s="15" t="n"/>
      <c r="Z1168" s="15" t="n"/>
      <c r="AA1168" s="15" t="n"/>
      <c r="AB1168" s="15" t="n"/>
    </row>
    <row r="1169" ht="15" customHeight="1" s="12">
      <c r="A1169" s="14" t="n">
        <v>1168</v>
      </c>
      <c r="B1169" s="16" t="n">
        <v>43192</v>
      </c>
      <c r="C1169" s="15" t="n">
        <v>2018</v>
      </c>
      <c r="D1169" s="15" t="inlineStr">
        <is>
          <t>Genius Consultants Limited</t>
        </is>
      </c>
      <c r="E1169" s="15" t="inlineStr">
        <is>
          <t>DRHP</t>
        </is>
      </c>
      <c r="F1169" s="15" t="inlineStr">
        <is>
          <t>Genius Consultants Limited</t>
        </is>
      </c>
      <c r="G1169" s="15" t="inlineStr">
        <is>
          <t>No launched IPO found</t>
        </is>
      </c>
      <c r="H1169" s="15" t="n"/>
      <c r="I1169" s="16" t="n"/>
      <c r="J1169" s="16" t="n"/>
      <c r="K1169" s="16" t="n"/>
      <c r="L1169" s="17" t="n"/>
      <c r="M1169" s="17" t="n"/>
      <c r="N1169" s="17" t="n"/>
      <c r="O1169" s="15" t="n"/>
      <c r="P1169" s="15" t="n"/>
      <c r="Q1169" s="18" t="inlineStr">
        <is>
          <t>https://www.sebi.gov.in/sebi_data/attachdocs/apr-2018/1522644269977.pdf</t>
        </is>
      </c>
      <c r="R1169" s="18" t="inlineStr">
        <is>
          <t>https://www.sebi.gov.in/filings/public-issues/apr-2018/genius-consultants-limited_38500.html</t>
        </is>
      </c>
      <c r="S1169" s="15" t="n"/>
      <c r="T1169" s="15" t="n"/>
      <c r="U1169" s="15" t="n"/>
      <c r="V1169" s="15" t="n"/>
      <c r="W1169" s="16" t="n"/>
      <c r="X1169" s="16" t="n"/>
      <c r="Y1169" s="16" t="n"/>
      <c r="Z1169" s="15" t="inlineStr">
        <is>
          <t>No issue found</t>
        </is>
      </c>
      <c r="AA1169" s="15" t="inlineStr">
        <is>
          <t>IPO date never released; no issue found.</t>
        </is>
      </c>
      <c r="AB1169" s="18" t="inlineStr">
        <is>
          <t>https://www.business-standard.com/markets/ipo/genius-consultants-ltd-ipo-72432</t>
        </is>
      </c>
    </row>
    <row r="1170" ht="15" customHeight="1" s="12">
      <c r="A1170" s="14" t="n">
        <v>1169</v>
      </c>
      <c r="B1170" s="16" t="n">
        <v>43187</v>
      </c>
      <c r="C1170" s="15" t="n">
        <v>2018</v>
      </c>
      <c r="D1170" s="15" t="inlineStr">
        <is>
          <t>IRCON International Limited</t>
        </is>
      </c>
      <c r="E1170" s="15" t="inlineStr">
        <is>
          <t>DRHP</t>
        </is>
      </c>
      <c r="F1170" s="15" t="inlineStr">
        <is>
          <t>IRCON International Limited</t>
        </is>
      </c>
      <c r="G1170" s="15" t="inlineStr">
        <is>
          <t>IPO launched</t>
        </is>
      </c>
      <c r="H1170" s="15" t="inlineStr">
        <is>
          <t>Mainboard</t>
        </is>
      </c>
      <c r="I1170" s="16" t="n">
        <v>43360</v>
      </c>
      <c r="J1170" s="16" t="n">
        <v>43362</v>
      </c>
      <c r="K1170" s="16" t="n">
        <v>43371</v>
      </c>
      <c r="L1170" s="17" t="n">
        <v>470.49</v>
      </c>
      <c r="M1170" s="17" t="n">
        <v>470.49</v>
      </c>
      <c r="N1170" s="17" t="n">
        <v>0</v>
      </c>
      <c r="O1170" s="15" t="inlineStr">
        <is>
          <t>Final issue (ipoplatform)</t>
        </is>
      </c>
      <c r="P1170" s="15" t="n"/>
      <c r="Q1170" s="18" t="inlineStr">
        <is>
          <t>https://www.sebi.gov.in/sebi_data/attachdocs/mar-2018/1522233692094.pdf</t>
        </is>
      </c>
      <c r="R1170" s="18" t="inlineStr">
        <is>
          <t>https://www.sebi.gov.in/filings/public-issues/mar-2018/ircon-international-limited_38469.html</t>
        </is>
      </c>
      <c r="S1170" s="15" t="n"/>
      <c r="T1170" s="15" t="inlineStr">
        <is>
          <t>SEBI filing link</t>
        </is>
      </c>
      <c r="U1170" s="15" t="inlineStr">
        <is>
          <t>IRCON International Limited</t>
        </is>
      </c>
      <c r="V1170" s="15" t="n"/>
      <c r="W1170" s="15" t="n"/>
      <c r="X1170" s="15" t="n"/>
      <c r="Y1170" s="15" t="n"/>
      <c r="Z1170" s="15" t="n"/>
      <c r="AA1170" s="15" t="n"/>
      <c r="AB1170" s="15" t="n"/>
    </row>
    <row r="1171" ht="15" customHeight="1" s="12">
      <c r="A1171" s="14" t="n">
        <v>1170</v>
      </c>
      <c r="B1171" s="16" t="n">
        <v>43186</v>
      </c>
      <c r="C1171" s="15" t="n">
        <v>2018</v>
      </c>
      <c r="D1171" s="15" t="inlineStr">
        <is>
          <t>Atria Convergence Technologies Limited</t>
        </is>
      </c>
      <c r="E1171" s="15" t="inlineStr">
        <is>
          <t>DRHP</t>
        </is>
      </c>
      <c r="F1171" s="15" t="inlineStr">
        <is>
          <t>Atria Convergence Technologies Limited</t>
        </is>
      </c>
      <c r="G1171" s="15" t="inlineStr">
        <is>
          <t>No launched IPO found</t>
        </is>
      </c>
      <c r="H1171" s="15" t="n"/>
      <c r="I1171" s="16" t="n"/>
      <c r="J1171" s="16" t="n"/>
      <c r="K1171" s="16" t="n"/>
      <c r="L1171" s="17" t="n"/>
      <c r="M1171" s="17" t="n"/>
      <c r="N1171" s="17" t="n"/>
      <c r="O1171" s="15" t="n"/>
      <c r="P1171" s="15" t="n"/>
      <c r="Q1171" s="18" t="inlineStr">
        <is>
          <t>https://www.sebi.gov.in/sebi_data/attachdocs/mar-2018/1522152536420.pdf</t>
        </is>
      </c>
      <c r="R1171" s="18" t="inlineStr">
        <is>
          <t>https://www.sebi.gov.in/filings/public-issues/mar-2018/atria-convergence-technologies-limited_38445.html</t>
        </is>
      </c>
      <c r="S1171" s="15" t="n"/>
      <c r="T1171" s="15" t="n"/>
      <c r="U1171" s="15" t="n"/>
      <c r="V1171" s="15" t="n"/>
      <c r="W1171" s="16" t="n"/>
      <c r="X1171" s="16" t="n"/>
      <c r="Y1171" s="16" t="n"/>
      <c r="Z1171" s="15" t="inlineStr">
        <is>
          <t>No issue found</t>
        </is>
      </c>
      <c r="AA1171" s="15" t="inlineStr">
        <is>
          <t>Unlisted; no IPO date found.</t>
        </is>
      </c>
      <c r="AB1171" s="18" t="inlineStr">
        <is>
          <t>https://www.business-standard.com/markets/ipo/atria-convergence-technologies-ltd-ipo-72206</t>
        </is>
      </c>
    </row>
    <row r="1172" ht="15" customHeight="1" s="12">
      <c r="A1172" s="14" t="n">
        <v>1171</v>
      </c>
      <c r="B1172" s="16" t="n">
        <v>43186</v>
      </c>
      <c r="C1172" s="15" t="n">
        <v>2018</v>
      </c>
      <c r="D1172" s="15" t="inlineStr">
        <is>
          <t>Garden Reach Shipbuilders &amp; Engineers Limited</t>
        </is>
      </c>
      <c r="E1172" s="15" t="inlineStr">
        <is>
          <t>DRHP</t>
        </is>
      </c>
      <c r="F1172" s="15" t="inlineStr">
        <is>
          <t>Garden Reach Shipbuilders &amp; Engineers Limited</t>
        </is>
      </c>
      <c r="G1172" s="15" t="inlineStr">
        <is>
          <t>IPO launched</t>
        </is>
      </c>
      <c r="H1172" s="15" t="inlineStr">
        <is>
          <t>Mainboard</t>
        </is>
      </c>
      <c r="I1172" s="16" t="n">
        <v>43367</v>
      </c>
      <c r="J1172" s="16" t="n">
        <v>43374</v>
      </c>
      <c r="K1172" s="16" t="n">
        <v>43383</v>
      </c>
      <c r="L1172" s="17" t="n">
        <v>344.69</v>
      </c>
      <c r="M1172" s="17" t="n">
        <v>344.69</v>
      </c>
      <c r="N1172" s="17" t="n">
        <v>0</v>
      </c>
      <c r="O1172" s="15" t="inlineStr">
        <is>
          <t>Final issue (ipoplatform)</t>
        </is>
      </c>
      <c r="P1172" s="15" t="n"/>
      <c r="Q1172" s="18" t="inlineStr">
        <is>
          <t>https://www.sebi.gov.in/sebi_data/attachdocs/mar-2018/1522144575098.pdf</t>
        </is>
      </c>
      <c r="R1172" s="18" t="inlineStr">
        <is>
          <t>https://www.sebi.gov.in/filings/public-issues/mar-2018/garden-reach-shipbuilders-and-engineers-limited_38433.html</t>
        </is>
      </c>
      <c r="S1172" s="15" t="n"/>
      <c r="T1172" s="15" t="inlineStr">
        <is>
          <t>SEBI filing link</t>
        </is>
      </c>
      <c r="U1172" s="15" t="inlineStr">
        <is>
          <t>Garden Reach Shipbuilders &amp; Engineers Limited</t>
        </is>
      </c>
      <c r="V1172" s="15" t="n"/>
      <c r="W1172" s="15" t="n"/>
      <c r="X1172" s="15" t="n"/>
      <c r="Y1172" s="15" t="n"/>
      <c r="Z1172" s="15" t="n"/>
      <c r="AA1172" s="15" t="n"/>
      <c r="AB1172" s="15" t="n"/>
    </row>
    <row r="1173" ht="15" customHeight="1" s="12">
      <c r="A1173" s="14" t="n">
        <v>1172</v>
      </c>
      <c r="B1173" s="16" t="n">
        <v>43186</v>
      </c>
      <c r="C1173" s="15" t="n">
        <v>2018</v>
      </c>
      <c r="D1173" s="15" t="inlineStr">
        <is>
          <t>K P R Agrochem Limited</t>
        </is>
      </c>
      <c r="E1173" s="15" t="inlineStr">
        <is>
          <t>DRHP</t>
        </is>
      </c>
      <c r="F1173" s="15" t="inlineStr">
        <is>
          <t>K P R Agrochem Limited</t>
        </is>
      </c>
      <c r="G1173" s="15" t="inlineStr">
        <is>
          <t>No launched IPO found</t>
        </is>
      </c>
      <c r="H1173" s="15" t="n"/>
      <c r="I1173" s="16" t="n"/>
      <c r="J1173" s="16" t="n"/>
      <c r="K1173" s="16" t="n"/>
      <c r="L1173" s="17" t="n"/>
      <c r="M1173" s="17" t="n"/>
      <c r="N1173" s="17" t="n"/>
      <c r="O1173" s="15" t="n"/>
      <c r="P1173" s="15" t="n"/>
      <c r="Q1173" s="18" t="inlineStr">
        <is>
          <t>https://www.sebi.gov.in/sebi_data/attachdocs/may-2023/1684478559523.pdf</t>
        </is>
      </c>
      <c r="R1173" s="18" t="inlineStr">
        <is>
          <t>https://www.sebi.gov.in/filings/public-issues/mar-2018/k-p-r-agrochem-limited_38421.html</t>
        </is>
      </c>
      <c r="S1173" s="15" t="n"/>
      <c r="T1173" s="15" t="n"/>
      <c r="U1173" s="15" t="n"/>
      <c r="V1173" s="15" t="n"/>
      <c r="W1173" s="16" t="n"/>
      <c r="X1173" s="16" t="n"/>
      <c r="Y1173" s="16" t="n"/>
      <c r="Z1173" s="15" t="inlineStr">
        <is>
          <t>Withdrawn / approval lapsed</t>
        </is>
      </c>
      <c r="AA1173" s="15" t="inlineStr">
        <is>
          <t>SEBI obs Apr 2016 &amp; Jul 2018; IPO set for 28 Jun 2019 pulled a day before opening; never listed</t>
        </is>
      </c>
      <c r="AB1173" s="18" t="inlineStr">
        <is>
          <t>https://ipocentral.in/sebi-clears-kpr-agrochem-ipo/</t>
        </is>
      </c>
    </row>
    <row r="1174" ht="15" customHeight="1" s="12">
      <c r="A1174" s="14" t="n">
        <v>1173</v>
      </c>
      <c r="B1174" s="16" t="n">
        <v>43175</v>
      </c>
      <c r="C1174" s="15" t="n">
        <v>2018</v>
      </c>
      <c r="D1174" s="15" t="inlineStr">
        <is>
          <t>HDFC Asset Management Company Limited</t>
        </is>
      </c>
      <c r="E1174" s="15" t="inlineStr">
        <is>
          <t>DRHP</t>
        </is>
      </c>
      <c r="F1174" s="15" t="inlineStr">
        <is>
          <t>HDFC Asset Management Company Limited</t>
        </is>
      </c>
      <c r="G1174" s="15" t="inlineStr">
        <is>
          <t>IPO launched</t>
        </is>
      </c>
      <c r="H1174" s="15" t="inlineStr">
        <is>
          <t>Mainboard</t>
        </is>
      </c>
      <c r="I1174" s="16" t="n">
        <v>43306</v>
      </c>
      <c r="J1174" s="16" t="n">
        <v>43308</v>
      </c>
      <c r="K1174" s="16" t="n">
        <v>43318</v>
      </c>
      <c r="L1174" s="17" t="n">
        <v>2800.33</v>
      </c>
      <c r="M1174" s="17" t="n">
        <v>2800.33</v>
      </c>
      <c r="N1174" s="17" t="n">
        <v>0</v>
      </c>
      <c r="O1174" s="15" t="inlineStr">
        <is>
          <t>Final issue (ipoplatform)</t>
        </is>
      </c>
      <c r="P1174" s="15" t="n"/>
      <c r="Q1174" s="18" t="inlineStr">
        <is>
          <t>https://www.sebi.gov.in/sebi_data/attachdocs/mar-2018/1521183392638.pdf</t>
        </is>
      </c>
      <c r="R1174" s="18" t="inlineStr">
        <is>
          <t>https://www.sebi.gov.in/filings/public-issues/mar-2018/hdfc-asset-management-company-limited_38250.html</t>
        </is>
      </c>
      <c r="S1174" s="15" t="n"/>
      <c r="T1174" s="15" t="inlineStr">
        <is>
          <t>SEBI filing link</t>
        </is>
      </c>
      <c r="U1174" s="15" t="inlineStr">
        <is>
          <t>HDFC Asset Management Company Limited</t>
        </is>
      </c>
      <c r="V1174" s="15" t="n"/>
      <c r="W1174" s="15" t="n"/>
      <c r="X1174" s="15" t="n"/>
      <c r="Y1174" s="15" t="n"/>
      <c r="Z1174" s="15" t="n"/>
      <c r="AA1174" s="15" t="n"/>
      <c r="AB1174" s="15" t="n"/>
    </row>
    <row r="1175" ht="15" customHeight="1" s="12">
      <c r="A1175" s="14" t="n">
        <v>1174</v>
      </c>
      <c r="B1175" s="16" t="n">
        <v>43172</v>
      </c>
      <c r="C1175" s="15" t="n">
        <v>2018</v>
      </c>
      <c r="D1175" s="15" t="inlineStr">
        <is>
          <t>Nekkanti Sea Foods Limited</t>
        </is>
      </c>
      <c r="E1175" s="15" t="inlineStr">
        <is>
          <t>DRHP</t>
        </is>
      </c>
      <c r="F1175" s="15" t="inlineStr">
        <is>
          <t>Nekkanti Sea Foods Limited</t>
        </is>
      </c>
      <c r="G1175" s="15" t="inlineStr">
        <is>
          <t>No launched IPO found</t>
        </is>
      </c>
      <c r="H1175" s="15" t="n"/>
      <c r="I1175" s="16" t="n"/>
      <c r="J1175" s="16" t="n"/>
      <c r="K1175" s="16" t="n"/>
      <c r="L1175" s="17" t="n"/>
      <c r="M1175" s="17" t="n"/>
      <c r="N1175" s="17" t="n"/>
      <c r="O1175" s="15" t="n"/>
      <c r="P1175" s="15" t="n"/>
      <c r="Q1175" s="18" t="inlineStr">
        <is>
          <t>https://www.sebi.gov.in/sebi_data/attachdocs/mar-2018/1520937294801.pdf</t>
        </is>
      </c>
      <c r="R1175" s="18" t="inlineStr">
        <is>
          <t>https://www.sebi.gov.in/filings/public-issues/mar-2018/nekkanti-sea-foods-limited_38191.html</t>
        </is>
      </c>
      <c r="S1175" s="15" t="n"/>
      <c r="T1175" s="15" t="n"/>
      <c r="U1175" s="15" t="n"/>
      <c r="V1175" s="15" t="n"/>
      <c r="W1175" s="16" t="n"/>
      <c r="X1175" s="16" t="n"/>
      <c r="Y1175" s="16" t="n"/>
      <c r="Z1175" s="15" t="inlineStr">
        <is>
          <t>No issue found</t>
        </is>
      </c>
      <c r="AA1175" s="15" t="inlineStr">
        <is>
          <t>IPO delayed, never launched; company unlisted.</t>
        </is>
      </c>
      <c r="AB1175" s="18" t="inlineStr">
        <is>
          <t>https://www.business-standard.com/markets/ipo/nekkanti-sea-foods-ltd-ipo-25799</t>
        </is>
      </c>
    </row>
    <row r="1176" ht="15" customHeight="1" s="12">
      <c r="A1176" s="14" t="n">
        <v>1175</v>
      </c>
      <c r="B1176" s="16" t="n">
        <v>43165</v>
      </c>
      <c r="C1176" s="15" t="n">
        <v>2018</v>
      </c>
      <c r="D1176" s="15" t="inlineStr">
        <is>
          <t>Devi Seafoods Limited</t>
        </is>
      </c>
      <c r="E1176" s="15" t="inlineStr">
        <is>
          <t>DRHP</t>
        </is>
      </c>
      <c r="F1176" s="15" t="inlineStr">
        <is>
          <t>Devi Seafoods Limited</t>
        </is>
      </c>
      <c r="G1176" s="15" t="inlineStr">
        <is>
          <t>No launched IPO found</t>
        </is>
      </c>
      <c r="H1176" s="15" t="n"/>
      <c r="I1176" s="16" t="n"/>
      <c r="J1176" s="16" t="n"/>
      <c r="K1176" s="16" t="n"/>
      <c r="L1176" s="17" t="n"/>
      <c r="M1176" s="17" t="n"/>
      <c r="N1176" s="17" t="n"/>
      <c r="O1176" s="15" t="n"/>
      <c r="P1176" s="15" t="n"/>
      <c r="Q1176" s="18" t="inlineStr">
        <is>
          <t>https://www.sebi.gov.in/sebi_data/attachdocs/mar-2018/1520332779373.pdf</t>
        </is>
      </c>
      <c r="R1176" s="18" t="inlineStr">
        <is>
          <t>https://www.sebi.gov.in/filings/public-issues/mar-2018/devi-seafoods-limited_38100.html</t>
        </is>
      </c>
      <c r="S1176" s="15" t="n"/>
      <c r="T1176" s="15" t="n"/>
      <c r="U1176" s="15" t="n"/>
      <c r="V1176" s="15" t="n"/>
      <c r="W1176" s="16" t="n"/>
      <c r="X1176" s="16" t="n"/>
      <c r="Y1176" s="16" t="n"/>
      <c r="Z1176" s="15" t="inlineStr">
        <is>
          <t>No issue found</t>
        </is>
      </c>
      <c r="AA1176" s="15" t="inlineStr">
        <is>
          <t>SEBI nod May 2018; no IPO opening found.</t>
        </is>
      </c>
      <c r="AB1176" s="18" t="inlineStr">
        <is>
          <t>https://top10stockbroker.com/ipo-review/devi-seafoods-ipo/</t>
        </is>
      </c>
    </row>
    <row r="1177" ht="15" customHeight="1" s="12">
      <c r="A1177" s="14" t="n">
        <v>1176</v>
      </c>
      <c r="B1177" s="16" t="n">
        <v>43160</v>
      </c>
      <c r="C1177" s="15" t="n">
        <v>2018</v>
      </c>
      <c r="D1177" s="15" t="inlineStr">
        <is>
          <t>TCNS Clothing Co. Limited</t>
        </is>
      </c>
      <c r="E1177" s="15" t="inlineStr">
        <is>
          <t>DRHP</t>
        </is>
      </c>
      <c r="F1177" s="15" t="inlineStr">
        <is>
          <t>TCNS Clothing Co. Limited</t>
        </is>
      </c>
      <c r="G1177" s="15" t="inlineStr">
        <is>
          <t>IPO launched</t>
        </is>
      </c>
      <c r="H1177" s="15" t="inlineStr">
        <is>
          <t>Mainboard</t>
        </is>
      </c>
      <c r="I1177" s="16" t="n">
        <v>43299</v>
      </c>
      <c r="J1177" s="16" t="n">
        <v>43301</v>
      </c>
      <c r="K1177" s="16" t="n">
        <v>43311</v>
      </c>
      <c r="L1177" s="17" t="n">
        <v>1125.13</v>
      </c>
      <c r="M1177" s="17" t="n">
        <v>1125.13</v>
      </c>
      <c r="N1177" s="17" t="n">
        <v>0</v>
      </c>
      <c r="O1177" s="15" t="inlineStr">
        <is>
          <t>Final issue (ipoplatform)</t>
        </is>
      </c>
      <c r="P1177" s="15" t="n"/>
      <c r="Q1177" s="18" t="inlineStr">
        <is>
          <t>https://www.sebi.gov.in/sebi_data/attachdocs/mar-2018/1519903826256.pdf</t>
        </is>
      </c>
      <c r="R1177" s="18" t="inlineStr">
        <is>
          <t>https://www.sebi.gov.in/filings/public-issues/mar-2018/tcns-clothing-co-limited_38064.html</t>
        </is>
      </c>
      <c r="S1177" s="15" t="n"/>
      <c r="T1177" s="15" t="inlineStr">
        <is>
          <t>SEBI filing link</t>
        </is>
      </c>
      <c r="U1177" s="15" t="inlineStr">
        <is>
          <t>TCNS Clothing Co. Limited</t>
        </is>
      </c>
      <c r="V1177" s="15" t="n"/>
      <c r="W1177" s="15" t="n"/>
      <c r="X1177" s="15" t="n"/>
      <c r="Y1177" s="15" t="n"/>
      <c r="Z1177" s="15" t="n"/>
      <c r="AA1177" s="15" t="n"/>
      <c r="AB1177" s="15" t="n"/>
    </row>
    <row r="1178" ht="15" customHeight="1" s="12">
      <c r="A1178" s="14" t="n">
        <v>1177</v>
      </c>
      <c r="B1178" s="16" t="n">
        <v>43159</v>
      </c>
      <c r="C1178" s="15" t="n">
        <v>2018</v>
      </c>
      <c r="D1178" s="15" t="inlineStr">
        <is>
          <t>Sandhya Marines Limited</t>
        </is>
      </c>
      <c r="E1178" s="15" t="inlineStr">
        <is>
          <t>DRHP</t>
        </is>
      </c>
      <c r="F1178" s="15" t="inlineStr">
        <is>
          <t>Sandhya Marines Limited</t>
        </is>
      </c>
      <c r="G1178" s="15" t="inlineStr">
        <is>
          <t>No launched IPO found</t>
        </is>
      </c>
      <c r="H1178" s="15" t="n"/>
      <c r="I1178" s="16" t="n"/>
      <c r="J1178" s="16" t="n"/>
      <c r="K1178" s="16" t="n"/>
      <c r="L1178" s="17" t="n"/>
      <c r="M1178" s="17" t="n"/>
      <c r="N1178" s="17" t="n"/>
      <c r="O1178" s="15" t="n"/>
      <c r="P1178" s="15" t="n"/>
      <c r="Q1178" s="18" t="inlineStr">
        <is>
          <t>https://www.sebi.gov.in/sebi_data/attachdocs/feb-2018/1519818404559.pdf</t>
        </is>
      </c>
      <c r="R1178" s="18" t="inlineStr">
        <is>
          <t>https://www.sebi.gov.in/filings/public-issues/feb-2018/sandhya-marines-limited_38047.html</t>
        </is>
      </c>
      <c r="S1178" s="15" t="n"/>
      <c r="T1178" s="15" t="n"/>
      <c r="U1178" s="15" t="n"/>
      <c r="V1178" s="15" t="n"/>
      <c r="W1178" s="16" t="n"/>
      <c r="X1178" s="16" t="n"/>
      <c r="Y1178" s="16" t="n"/>
      <c r="Z1178" s="15" t="inlineStr">
        <is>
          <t>No issue found</t>
        </is>
      </c>
      <c r="AA1178" s="15" t="inlineStr">
        <is>
          <t>Filed Feb 2018; listing status unlisted, no issue found.</t>
        </is>
      </c>
      <c r="AB1178" s="15" t="n"/>
    </row>
    <row r="1179" ht="15" customHeight="1" s="12">
      <c r="A1179" s="14" t="n">
        <v>1178</v>
      </c>
      <c r="B1179" s="16" t="n">
        <v>43158</v>
      </c>
      <c r="C1179" s="15" t="n">
        <v>2018</v>
      </c>
      <c r="D1179" s="15" t="inlineStr">
        <is>
          <t>SembCorp Energy India Limited</t>
        </is>
      </c>
      <c r="E1179" s="15" t="inlineStr">
        <is>
          <t>DRHP</t>
        </is>
      </c>
      <c r="F1179" s="15" t="inlineStr">
        <is>
          <t>SembCorp Energy India Limited</t>
        </is>
      </c>
      <c r="G1179" s="15" t="inlineStr">
        <is>
          <t>No launched IPO found</t>
        </is>
      </c>
      <c r="H1179" s="15" t="n"/>
      <c r="I1179" s="16" t="n"/>
      <c r="J1179" s="16" t="n"/>
      <c r="K1179" s="16" t="n"/>
      <c r="L1179" s="17" t="n"/>
      <c r="M1179" s="17" t="n"/>
      <c r="N1179" s="17" t="n"/>
      <c r="O1179" s="15" t="n"/>
      <c r="P1179" s="15" t="n"/>
      <c r="Q1179" s="18" t="inlineStr">
        <is>
          <t>https://www.sebi.gov.in/sebi_data/attachdocs/feb-2018/1519708576837.pdf</t>
        </is>
      </c>
      <c r="R1179" s="18" t="inlineStr">
        <is>
          <t>https://www.sebi.gov.in/filings/public-issues/feb-2018/sembcorp-energy-india-limited_38017.html</t>
        </is>
      </c>
      <c r="S1179" s="15" t="n"/>
      <c r="T1179" s="15" t="n"/>
      <c r="U1179" s="15" t="n"/>
      <c r="V1179" s="15" t="n"/>
      <c r="W1179" s="16" t="n"/>
      <c r="X1179" s="16" t="n"/>
      <c r="Y1179" s="16" t="n"/>
      <c r="Z1179" s="15" t="inlineStr">
        <is>
          <t>No issue found</t>
        </is>
      </c>
      <c r="AA1179" s="15" t="inlineStr">
        <is>
          <t>SEBI nod Aug 2018; no issue found. Sembcorp Green Infra filed fresh DRHP in 2025, not opened.</t>
        </is>
      </c>
      <c r="AB1179" s="18" t="inlineStr">
        <is>
          <t>https://www.business-standard.com/amp/article/pti-stories/sembcorp-energy-montecarlo-get-sebi-s-go-ahead-for-ipo-118080600913_1.html</t>
        </is>
      </c>
    </row>
    <row r="1180" ht="15" customHeight="1" s="12">
      <c r="A1180" s="14" t="n">
        <v>1179</v>
      </c>
      <c r="B1180" s="16" t="n">
        <v>43147</v>
      </c>
      <c r="C1180" s="15" t="n">
        <v>2018</v>
      </c>
      <c r="D1180" s="15" t="inlineStr">
        <is>
          <t>Flemingo Travel Retail Limited</t>
        </is>
      </c>
      <c r="E1180" s="15" t="inlineStr">
        <is>
          <t>DRHP</t>
        </is>
      </c>
      <c r="F1180" s="15" t="inlineStr">
        <is>
          <t>Flemingo Travel Retail Limited</t>
        </is>
      </c>
      <c r="G1180" s="15" t="inlineStr">
        <is>
          <t>No launched IPO found</t>
        </is>
      </c>
      <c r="H1180" s="15" t="n"/>
      <c r="I1180" s="16" t="n"/>
      <c r="J1180" s="16" t="n"/>
      <c r="K1180" s="16" t="n"/>
      <c r="L1180" s="17" t="n"/>
      <c r="M1180" s="17" t="n"/>
      <c r="N1180" s="17" t="n"/>
      <c r="O1180" s="15" t="n"/>
      <c r="P1180" s="15" t="n"/>
      <c r="Q1180" s="18" t="inlineStr">
        <is>
          <t>https://www.sebi.gov.in/sebi_data/attachdocs/feb-2018/1518778628692.pdf</t>
        </is>
      </c>
      <c r="R1180" s="18" t="inlineStr">
        <is>
          <t>https://www.sebi.gov.in/filings/public-issues/feb-2018/flemingo-travel-retail-limited_37892.html</t>
        </is>
      </c>
      <c r="S1180" s="15" t="n"/>
      <c r="T1180" s="15" t="n"/>
      <c r="U1180" s="15" t="n"/>
      <c r="V1180" s="15" t="n"/>
      <c r="W1180" s="16" t="n"/>
      <c r="X1180" s="16" t="n"/>
      <c r="Y1180" s="16" t="n"/>
      <c r="Z1180" s="15" t="inlineStr">
        <is>
          <t>No issue found</t>
        </is>
      </c>
      <c r="AA1180" s="15" t="inlineStr">
        <is>
          <t>SEBI approval July 2018; no IPO opening found.</t>
        </is>
      </c>
      <c r="AB1180" s="18" t="inlineStr">
        <is>
          <t>https://www.business-standard.com/amp/article/pti-stories/flemingo-travel-retail-gets-sebi-s-go-ahead-to-float-rs-2-600-cr-ipo-118070300404_1.html</t>
        </is>
      </c>
    </row>
    <row r="1181" ht="15" customHeight="1" s="12">
      <c r="A1181" s="14" t="n">
        <v>1180</v>
      </c>
      <c r="B1181" s="16" t="n">
        <v>43147</v>
      </c>
      <c r="C1181" s="15" t="n">
        <v>2018</v>
      </c>
      <c r="D1181" s="15" t="inlineStr">
        <is>
          <t>John Energy Limited</t>
        </is>
      </c>
      <c r="E1181" s="15" t="inlineStr">
        <is>
          <t>DRHP</t>
        </is>
      </c>
      <c r="F1181" s="15" t="inlineStr">
        <is>
          <t>John Energy Limited</t>
        </is>
      </c>
      <c r="G1181" s="15" t="inlineStr">
        <is>
          <t>No launched IPO found</t>
        </is>
      </c>
      <c r="H1181" s="15" t="n"/>
      <c r="I1181" s="16" t="n"/>
      <c r="J1181" s="16" t="n"/>
      <c r="K1181" s="16" t="n"/>
      <c r="L1181" s="17" t="n"/>
      <c r="M1181" s="17" t="n"/>
      <c r="N1181" s="17" t="n"/>
      <c r="O1181" s="15" t="n"/>
      <c r="P1181" s="15" t="n"/>
      <c r="Q1181" s="18" t="inlineStr">
        <is>
          <t>https://www.sebi.gov.in/sebi_data/attachdocs/feb-2018/1518777861430.pdf</t>
        </is>
      </c>
      <c r="R1181" s="18" t="inlineStr">
        <is>
          <t>https://www.sebi.gov.in/filings/public-issues/feb-2018/john-energy-limited_37889.html</t>
        </is>
      </c>
      <c r="S1181" s="15" t="n"/>
      <c r="T1181" s="15" t="n"/>
      <c r="U1181" s="15" t="n"/>
      <c r="V1181" s="15" t="n"/>
      <c r="W1181" s="16" t="n"/>
      <c r="X1181" s="16" t="n"/>
      <c r="Y1181" s="16" t="n"/>
      <c r="Z1181" s="15" t="inlineStr">
        <is>
          <t>No issue found</t>
        </is>
      </c>
      <c r="AA1181" s="15" t="inlineStr">
        <is>
          <t>SEBI observations Aug 2018; no IPO opening found, unlisted.</t>
        </is>
      </c>
      <c r="AB1181" s="15" t="n"/>
    </row>
    <row r="1182" ht="15" customHeight="1" s="12">
      <c r="A1182" s="14" t="n">
        <v>1181</v>
      </c>
      <c r="B1182" s="16" t="n">
        <v>43143</v>
      </c>
      <c r="C1182" s="15" t="n">
        <v>2018</v>
      </c>
      <c r="D1182" s="15" t="inlineStr">
        <is>
          <t>IndoStar Capital Finance Limited</t>
        </is>
      </c>
      <c r="E1182" s="15" t="inlineStr">
        <is>
          <t>DRHP</t>
        </is>
      </c>
      <c r="F1182" s="15" t="inlineStr">
        <is>
          <t>IndoStar Capital Finance Limited</t>
        </is>
      </c>
      <c r="G1182" s="15" t="inlineStr">
        <is>
          <t>IPO launched</t>
        </is>
      </c>
      <c r="H1182" s="15" t="inlineStr">
        <is>
          <t>Mainboard</t>
        </is>
      </c>
      <c r="I1182" s="16" t="n">
        <v>43229</v>
      </c>
      <c r="J1182" s="16" t="n">
        <v>43231</v>
      </c>
      <c r="K1182" s="16" t="n">
        <v>43241</v>
      </c>
      <c r="L1182" s="17" t="n">
        <v>1844</v>
      </c>
      <c r="M1182" s="17" t="n">
        <v>1844</v>
      </c>
      <c r="N1182" s="17" t="n">
        <v>0</v>
      </c>
      <c r="O1182" s="15" t="inlineStr">
        <is>
          <t>Final issue (ipoplatform)</t>
        </is>
      </c>
      <c r="P1182" s="15" t="n"/>
      <c r="Q1182" s="18" t="inlineStr">
        <is>
          <t>https://www.sebi.gov.in/sebi_data/attachdocs/feb-2018/1518417324798.pdf</t>
        </is>
      </c>
      <c r="R1182" s="18" t="inlineStr">
        <is>
          <t>https://www.sebi.gov.in/filings/public-issues/feb-2018/indostar-capital-finance-limited_37826.html</t>
        </is>
      </c>
      <c r="S1182" s="15" t="n"/>
      <c r="T1182" s="15" t="inlineStr">
        <is>
          <t>SEBI filing link</t>
        </is>
      </c>
      <c r="U1182" s="15" t="inlineStr">
        <is>
          <t>IndoStar Capital Finance Limited</t>
        </is>
      </c>
      <c r="V1182" s="15" t="n"/>
      <c r="W1182" s="15" t="n"/>
      <c r="X1182" s="15" t="n"/>
      <c r="Y1182" s="15" t="n"/>
      <c r="Z1182" s="15" t="n"/>
      <c r="AA1182" s="15" t="n"/>
      <c r="AB1182" s="15" t="n"/>
    </row>
    <row r="1183" ht="15" customHeight="1" s="12">
      <c r="A1183" s="14" t="n">
        <v>1182</v>
      </c>
      <c r="B1183" s="16" t="n">
        <v>43143</v>
      </c>
      <c r="C1183" s="15" t="n">
        <v>2018</v>
      </c>
      <c r="D1183" s="15" t="inlineStr">
        <is>
          <t>Fine Organic Industries Limited</t>
        </is>
      </c>
      <c r="E1183" s="15" t="inlineStr">
        <is>
          <t>DRHP</t>
        </is>
      </c>
      <c r="F1183" s="15" t="inlineStr">
        <is>
          <t>Fine Organic Industries Limited</t>
        </is>
      </c>
      <c r="G1183" s="15" t="inlineStr">
        <is>
          <t>IPO launched</t>
        </is>
      </c>
      <c r="H1183" s="15" t="inlineStr">
        <is>
          <t>Mainboard</t>
        </is>
      </c>
      <c r="I1183" s="16" t="n">
        <v>43271</v>
      </c>
      <c r="J1183" s="16" t="n">
        <v>43273</v>
      </c>
      <c r="K1183" s="16" t="n">
        <v>43283</v>
      </c>
      <c r="L1183" s="17" t="n">
        <v>600.2</v>
      </c>
      <c r="M1183" s="17" t="n">
        <v>600.2</v>
      </c>
      <c r="N1183" s="17" t="n">
        <v>0</v>
      </c>
      <c r="O1183" s="15" t="inlineStr">
        <is>
          <t>Final issue (ipoplatform)</t>
        </is>
      </c>
      <c r="P1183" s="15" t="n"/>
      <c r="Q1183" s="18" t="inlineStr">
        <is>
          <t>https://www.sebi.gov.in/sebi_data/attachdocs/feb-2018/1518416668198.pdf</t>
        </is>
      </c>
      <c r="R1183" s="18" t="inlineStr">
        <is>
          <t>https://www.sebi.gov.in/filings/public-issues/feb-2018/fine-organic-industries-limited_37825.html</t>
        </is>
      </c>
      <c r="S1183" s="15" t="n"/>
      <c r="T1183" s="15" t="inlineStr">
        <is>
          <t>SEBI filing link</t>
        </is>
      </c>
      <c r="U1183" s="15" t="inlineStr">
        <is>
          <t>Fine Organic Industries Limited</t>
        </is>
      </c>
      <c r="V1183" s="15" t="n"/>
      <c r="W1183" s="15" t="n"/>
      <c r="X1183" s="15" t="n"/>
      <c r="Y1183" s="15" t="n"/>
      <c r="Z1183" s="15" t="n"/>
      <c r="AA1183" s="15" t="n"/>
      <c r="AB1183" s="15" t="n"/>
    </row>
    <row r="1184" ht="15" customHeight="1" s="12">
      <c r="A1184" s="14" t="n">
        <v>1183</v>
      </c>
      <c r="B1184" s="16" t="n">
        <v>43139</v>
      </c>
      <c r="C1184" s="15" t="n">
        <v>2018</v>
      </c>
      <c r="D1184" s="15" t="inlineStr">
        <is>
          <t>Capricorn Food Products India Limited</t>
        </is>
      </c>
      <c r="E1184" s="15" t="inlineStr">
        <is>
          <t>DRHP</t>
        </is>
      </c>
      <c r="F1184" s="15" t="inlineStr">
        <is>
          <t>Capricorn Food Products India Limited</t>
        </is>
      </c>
      <c r="G1184" s="15" t="inlineStr">
        <is>
          <t>No launched IPO found</t>
        </is>
      </c>
      <c r="H1184" s="15" t="n"/>
      <c r="I1184" s="16" t="n"/>
      <c r="J1184" s="16" t="n"/>
      <c r="K1184" s="16" t="n"/>
      <c r="L1184" s="17" t="n"/>
      <c r="M1184" s="17" t="n"/>
      <c r="N1184" s="17" t="n"/>
      <c r="O1184" s="15" t="n"/>
      <c r="P1184" s="15" t="n"/>
      <c r="Q1184" s="18" t="inlineStr">
        <is>
          <t>https://www.sebi.gov.in/sebi_data/attachdocs/feb-2018/1518069763957.pdf</t>
        </is>
      </c>
      <c r="R1184" s="18" t="inlineStr">
        <is>
          <t>https://www.sebi.gov.in/filings/public-issues/feb-2018/capricorn-food-products-india-limited_37746.html</t>
        </is>
      </c>
      <c r="S1184" s="15" t="n"/>
      <c r="T1184" s="15" t="n"/>
      <c r="U1184" s="15" t="n"/>
      <c r="V1184" s="15" t="n"/>
      <c r="W1184" s="16" t="n"/>
      <c r="X1184" s="16" t="n"/>
      <c r="Y1184" s="16" t="n"/>
      <c r="Z1184" s="15" t="inlineStr">
        <is>
          <t>No issue found</t>
        </is>
      </c>
      <c r="AA1184" s="15" t="inlineStr">
        <is>
          <t>SEBI approval April 2018; no IPO opening found, company still unlisted.</t>
        </is>
      </c>
      <c r="AB1184" s="18" t="inlineStr">
        <is>
          <t>https://www.business-standard.com/amp/article/markets/capricorn-food-products-gets-sebi-s-go-ahead-to-launch-rs-1-71-bn-ipo-118041700373_1.html</t>
        </is>
      </c>
    </row>
    <row r="1185" ht="15" customHeight="1" s="12">
      <c r="A1185" s="14" t="n">
        <v>1184</v>
      </c>
      <c r="B1185" s="16" t="n">
        <v>43133</v>
      </c>
      <c r="C1185" s="15" t="n">
        <v>2018</v>
      </c>
      <c r="D1185" s="15" t="inlineStr">
        <is>
          <t>Nazara Technologies Limited</t>
        </is>
      </c>
      <c r="E1185" s="15" t="inlineStr">
        <is>
          <t>DRHP</t>
        </is>
      </c>
      <c r="F1185" s="15" t="inlineStr">
        <is>
          <t>Nazara Technologies Limited</t>
        </is>
      </c>
      <c r="G1185" s="15" t="inlineStr">
        <is>
          <t>No launched IPO found</t>
        </is>
      </c>
      <c r="H1185" s="15" t="n"/>
      <c r="I1185" s="16" t="n"/>
      <c r="J1185" s="16" t="n"/>
      <c r="K1185" s="16" t="n"/>
      <c r="L1185" s="17" t="n"/>
      <c r="M1185" s="17" t="n"/>
      <c r="N1185" s="17" t="n"/>
      <c r="O1185" s="15" t="n"/>
      <c r="P1185" s="15" t="n"/>
      <c r="Q1185" s="18" t="inlineStr">
        <is>
          <t>https://www.sebi.gov.in/sebi_data/attachdocs/feb-2018/1517570684223.pdf</t>
        </is>
      </c>
      <c r="R1185" s="18" t="inlineStr">
        <is>
          <t>https://www.sebi.gov.in/filings/public-issues/feb-2018/nazara-technologies-limited_37683.html</t>
        </is>
      </c>
      <c r="S1185" s="15" t="n"/>
      <c r="T1185" s="15" t="n"/>
      <c r="U1185" s="15" t="n"/>
      <c r="V1185" s="15" t="inlineStr">
        <is>
          <t>Same-name IPO opened 17-Mar-2021 — outside 2 years of this filing, so not linked</t>
        </is>
      </c>
      <c r="W1185" s="25" t="n">
        <v>44272</v>
      </c>
      <c r="X1185" s="25" t="n">
        <v>44274</v>
      </c>
      <c r="Y1185" s="25" t="n">
        <v>44285</v>
      </c>
      <c r="Z1185" s="26" t="inlineStr">
        <is>
          <t>Later IPO — not from this draft</t>
        </is>
      </c>
      <c r="AA1185" s="15" t="inlineStr">
        <is>
          <t>Opened 3.1 yrs after this filing, under a later draft</t>
        </is>
      </c>
      <c r="AB1185" s="18" t="inlineStr">
        <is>
          <t>https://www.business-standard.com/markets/ipo/nazara-technologies-ltd-ipo-33311</t>
        </is>
      </c>
    </row>
    <row r="1186" ht="15" customHeight="1" s="12">
      <c r="A1186" s="14" t="n">
        <v>1185</v>
      </c>
      <c r="B1186" s="16" t="n">
        <v>43130</v>
      </c>
      <c r="C1186" s="15" t="n">
        <v>2018</v>
      </c>
      <c r="D1186" s="15" t="inlineStr">
        <is>
          <t>Credit Access Grameen Limited</t>
        </is>
      </c>
      <c r="E1186" s="15" t="inlineStr">
        <is>
          <t>DRHP</t>
        </is>
      </c>
      <c r="F1186" s="15" t="inlineStr">
        <is>
          <t>Credit Access Grameen Limited</t>
        </is>
      </c>
      <c r="G1186" s="15" t="inlineStr">
        <is>
          <t>IPO launched</t>
        </is>
      </c>
      <c r="H1186" s="15" t="inlineStr">
        <is>
          <t>Mainboard</t>
        </is>
      </c>
      <c r="I1186" s="16" t="n">
        <v>43320</v>
      </c>
      <c r="J1186" s="16" t="n">
        <v>43322</v>
      </c>
      <c r="K1186" s="16" t="n">
        <v>43335</v>
      </c>
      <c r="L1186" s="17" t="n">
        <v>1131.19</v>
      </c>
      <c r="M1186" s="17" t="n">
        <v>1131.19</v>
      </c>
      <c r="N1186" s="17" t="n">
        <v>0</v>
      </c>
      <c r="O1186" s="15" t="inlineStr">
        <is>
          <t>Final issue (ipoplatform)</t>
        </is>
      </c>
      <c r="P1186" s="15" t="n"/>
      <c r="Q1186" s="18" t="inlineStr">
        <is>
          <t>https://www.sebi.gov.in/sebi_data/attachdocs/jan-2018/1517290968147.pdf</t>
        </is>
      </c>
      <c r="R1186" s="18" t="inlineStr">
        <is>
          <t>https://www.sebi.gov.in/filings/public-issues/jan-2018/credit-access-grameen-limited_37590.html</t>
        </is>
      </c>
      <c r="S1186" s="15" t="n"/>
      <c r="T1186" s="15" t="inlineStr">
        <is>
          <t>SEBI filing link</t>
        </is>
      </c>
      <c r="U1186" s="15" t="inlineStr">
        <is>
          <t>CreditAccess Grameen Limited</t>
        </is>
      </c>
      <c r="V1186" s="15" t="n"/>
      <c r="W1186" s="15" t="n"/>
      <c r="X1186" s="15" t="n"/>
      <c r="Y1186" s="15" t="n"/>
      <c r="Z1186" s="15" t="n"/>
      <c r="AA1186" s="15" t="n"/>
      <c r="AB1186" s="15" t="n"/>
    </row>
    <row r="1187" ht="15" customHeight="1" s="12">
      <c r="A1187" s="14" t="n">
        <v>1186</v>
      </c>
      <c r="B1187" s="16" t="n">
        <v>43124</v>
      </c>
      <c r="C1187" s="15" t="n">
        <v>2018</v>
      </c>
      <c r="D1187" s="15" t="inlineStr">
        <is>
          <t>Bharat Dynamics Limited</t>
        </is>
      </c>
      <c r="E1187" s="15" t="inlineStr">
        <is>
          <t>DRHP</t>
        </is>
      </c>
      <c r="F1187" s="15" t="inlineStr">
        <is>
          <t>Bharat Dynamics Limited</t>
        </is>
      </c>
      <c r="G1187" s="15" t="inlineStr">
        <is>
          <t>IPO launched</t>
        </is>
      </c>
      <c r="H1187" s="15" t="inlineStr">
        <is>
          <t>Mainboard</t>
        </is>
      </c>
      <c r="I1187" s="16" t="n">
        <v>43172</v>
      </c>
      <c r="J1187" s="16" t="n">
        <v>43174</v>
      </c>
      <c r="K1187" s="16" t="n">
        <v>43182</v>
      </c>
      <c r="L1187" s="17" t="n">
        <v>960.9400000000001</v>
      </c>
      <c r="M1187" s="17" t="n">
        <v>960.9400000000001</v>
      </c>
      <c r="N1187" s="17" t="n">
        <v>0</v>
      </c>
      <c r="O1187" s="15" t="inlineStr">
        <is>
          <t>Final issue (ipoplatform)</t>
        </is>
      </c>
      <c r="P1187" s="15" t="n"/>
      <c r="Q1187" s="18" t="inlineStr">
        <is>
          <t>https://www.sebi.gov.in/sebi_data/attachdocs/jan-2018/1516776517759.pdf</t>
        </is>
      </c>
      <c r="R1187" s="18" t="inlineStr">
        <is>
          <t>https://www.sebi.gov.in/filings/public-issues/jan-2018/bharat-dynamics-limited_37516.html</t>
        </is>
      </c>
      <c r="S1187" s="15" t="n"/>
      <c r="T1187" s="15" t="inlineStr">
        <is>
          <t>SEBI filing link</t>
        </is>
      </c>
      <c r="U1187" s="15" t="inlineStr">
        <is>
          <t>Bharat Dynamics Limited</t>
        </is>
      </c>
      <c r="V1187" s="15" t="n"/>
      <c r="W1187" s="15" t="n"/>
      <c r="X1187" s="15" t="n"/>
      <c r="Y1187" s="15" t="n"/>
      <c r="Z1187" s="15" t="n"/>
      <c r="AA1187" s="15" t="n"/>
      <c r="AB1187" s="15" t="n"/>
    </row>
    <row r="1188" ht="15" customHeight="1" s="12">
      <c r="A1188" s="14" t="n">
        <v>1187</v>
      </c>
      <c r="B1188" s="16" t="n">
        <v>43123</v>
      </c>
      <c r="C1188" s="15" t="n">
        <v>2018</v>
      </c>
      <c r="D1188" s="15" t="inlineStr">
        <is>
          <t>Route Mobile Limited</t>
        </is>
      </c>
      <c r="E1188" s="15" t="inlineStr">
        <is>
          <t>DRHP</t>
        </is>
      </c>
      <c r="F1188" s="15" t="inlineStr">
        <is>
          <t>Route Mobile Limited</t>
        </is>
      </c>
      <c r="G1188" s="15" t="inlineStr">
        <is>
          <t>No launched IPO found</t>
        </is>
      </c>
      <c r="H1188" s="15" t="n"/>
      <c r="I1188" s="16" t="n"/>
      <c r="J1188" s="16" t="n"/>
      <c r="K1188" s="16" t="n"/>
      <c r="L1188" s="17" t="n"/>
      <c r="M1188" s="17" t="n"/>
      <c r="N1188" s="17" t="n"/>
      <c r="O1188" s="15" t="n"/>
      <c r="P1188" s="15" t="n"/>
      <c r="Q1188" s="18" t="inlineStr">
        <is>
          <t>https://www.sebi.gov.in/sebi_data/attachdocs/jan-2018/1516706664686.pdf</t>
        </is>
      </c>
      <c r="R1188" s="18" t="inlineStr">
        <is>
          <t>https://www.sebi.gov.in/filings/public-issues/jan-2018/route-mobile-limited_37508.html</t>
        </is>
      </c>
      <c r="S1188" s="15" t="n"/>
      <c r="T1188" s="15" t="n"/>
      <c r="U1188" s="15" t="n"/>
      <c r="V1188" s="15" t="inlineStr">
        <is>
          <t>Same-name IPO opened 09-Sep-2020 — outside 2 years of this filing, so not linked</t>
        </is>
      </c>
      <c r="W1188" s="19" t="n">
        <v>44083</v>
      </c>
      <c r="X1188" s="19" t="n">
        <v>44085</v>
      </c>
      <c r="Y1188" s="19" t="n">
        <v>44095</v>
      </c>
      <c r="Z1188" s="20" t="inlineStr">
        <is>
          <t>Issue opened</t>
        </is>
      </c>
      <c r="AA1188" s="15" t="inlineStr">
        <is>
          <t>Matched on chittorgarh.com</t>
        </is>
      </c>
      <c r="AB1188" s="18" t="inlineStr">
        <is>
          <t>https://www.chittorgarh.com/ipo/route-mobile-ipo/1058/</t>
        </is>
      </c>
    </row>
    <row r="1189" ht="15" customHeight="1" s="12">
      <c r="A1189" s="14" t="n">
        <v>1188</v>
      </c>
      <c r="B1189" s="16" t="n">
        <v>43117</v>
      </c>
      <c r="C1189" s="15" t="n">
        <v>2018</v>
      </c>
      <c r="D1189" s="15" t="inlineStr">
        <is>
          <t>Mishra Dhatu Nigam Limited</t>
        </is>
      </c>
      <c r="E1189" s="15" t="inlineStr">
        <is>
          <t>DRHP</t>
        </is>
      </c>
      <c r="F1189" s="15" t="inlineStr">
        <is>
          <t>Mishra Dhatu Nigam Limited</t>
        </is>
      </c>
      <c r="G1189" s="15" t="inlineStr">
        <is>
          <t>IPO launched</t>
        </is>
      </c>
      <c r="H1189" s="15" t="inlineStr">
        <is>
          <t>Mainboard</t>
        </is>
      </c>
      <c r="I1189" s="16" t="n">
        <v>43180</v>
      </c>
      <c r="J1189" s="16" t="n">
        <v>43182</v>
      </c>
      <c r="K1189" s="16" t="n">
        <v>43194</v>
      </c>
      <c r="L1189" s="17" t="n">
        <v>438.38</v>
      </c>
      <c r="M1189" s="17" t="n">
        <v>438.38</v>
      </c>
      <c r="N1189" s="17" t="n">
        <v>0</v>
      </c>
      <c r="O1189" s="15" t="inlineStr">
        <is>
          <t>Final issue (ipoplatform)</t>
        </is>
      </c>
      <c r="P1189" s="15" t="n"/>
      <c r="Q1189" s="18" t="inlineStr">
        <is>
          <t>https://www.sebi.gov.in/sebi_data/attachdocs/jan-2018/1516189212839.pdf</t>
        </is>
      </c>
      <c r="R1189" s="18" t="inlineStr">
        <is>
          <t>https://www.sebi.gov.in/filings/public-issues/jan-2018/mishra-dhatu-nigam-limited_37428.html</t>
        </is>
      </c>
      <c r="S1189" s="15" t="n"/>
      <c r="T1189" s="15" t="inlineStr">
        <is>
          <t>SEBI filing link</t>
        </is>
      </c>
      <c r="U1189" s="15" t="inlineStr">
        <is>
          <t>Mishra Dhatu Nigam Limited</t>
        </is>
      </c>
      <c r="V1189" s="15" t="n"/>
      <c r="W1189" s="15" t="n"/>
      <c r="X1189" s="15" t="n"/>
      <c r="Y1189" s="15" t="n"/>
      <c r="Z1189" s="15" t="n"/>
      <c r="AA1189" s="15" t="n"/>
      <c r="AB1189" s="15" t="n"/>
    </row>
    <row r="1190" ht="15" customHeight="1" s="12">
      <c r="A1190" s="14" t="n">
        <v>1189</v>
      </c>
      <c r="B1190" s="16" t="n">
        <v>43117</v>
      </c>
      <c r="C1190" s="15" t="n">
        <v>2018</v>
      </c>
      <c r="D1190" s="15" t="inlineStr">
        <is>
          <t>RITES Limited</t>
        </is>
      </c>
      <c r="E1190" s="15" t="inlineStr">
        <is>
          <t>DRHP</t>
        </is>
      </c>
      <c r="F1190" s="15" t="inlineStr">
        <is>
          <t>RITES Limited</t>
        </is>
      </c>
      <c r="G1190" s="15" t="inlineStr">
        <is>
          <t>IPO launched</t>
        </is>
      </c>
      <c r="H1190" s="15" t="inlineStr">
        <is>
          <t>Mainboard</t>
        </is>
      </c>
      <c r="I1190" s="16" t="n">
        <v>43271</v>
      </c>
      <c r="J1190" s="16" t="n">
        <v>43273</v>
      </c>
      <c r="K1190" s="16" t="n">
        <v>43283</v>
      </c>
      <c r="L1190" s="17" t="n">
        <v>460.51</v>
      </c>
      <c r="M1190" s="17" t="n">
        <v>460.51</v>
      </c>
      <c r="N1190" s="17" t="n">
        <v>0</v>
      </c>
      <c r="O1190" s="15" t="inlineStr">
        <is>
          <t>Final issue (ipoplatform)</t>
        </is>
      </c>
      <c r="P1190" s="15" t="n"/>
      <c r="Q1190" s="18" t="inlineStr">
        <is>
          <t>https://www.sebi.gov.in/sebi_data/attachdocs/jan-2018/1516188332986.pdf</t>
        </is>
      </c>
      <c r="R1190" s="18" t="inlineStr">
        <is>
          <t>https://www.sebi.gov.in/filings/public-issues/jan-2018/rites-limited_37424.html</t>
        </is>
      </c>
      <c r="S1190" s="15" t="n"/>
      <c r="T1190" s="15" t="inlineStr">
        <is>
          <t>SEBI filing link</t>
        </is>
      </c>
      <c r="U1190" s="15" t="inlineStr">
        <is>
          <t>RITES Limited</t>
        </is>
      </c>
      <c r="V1190" s="15" t="n"/>
      <c r="W1190" s="15" t="n"/>
      <c r="X1190" s="15" t="n"/>
      <c r="Y1190" s="15" t="n"/>
      <c r="Z1190" s="15" t="n"/>
      <c r="AA1190" s="15" t="n"/>
      <c r="AB1190" s="15" t="n"/>
    </row>
    <row r="1191" ht="15" customHeight="1" s="12">
      <c r="A1191" s="14" t="n">
        <v>1190</v>
      </c>
      <c r="B1191" s="16" t="n">
        <v>43109</v>
      </c>
      <c r="C1191" s="15" t="n">
        <v>2018</v>
      </c>
      <c r="D1191" s="15" t="inlineStr">
        <is>
          <t>Patel Infrastructure Limited</t>
        </is>
      </c>
      <c r="E1191" s="15" t="inlineStr">
        <is>
          <t>DRHP</t>
        </is>
      </c>
      <c r="F1191" s="15" t="inlineStr">
        <is>
          <t>Patel Infrastructure Limited</t>
        </is>
      </c>
      <c r="G1191" s="15" t="inlineStr">
        <is>
          <t>No launched IPO found</t>
        </is>
      </c>
      <c r="H1191" s="15" t="n"/>
      <c r="I1191" s="16" t="n"/>
      <c r="J1191" s="16" t="n"/>
      <c r="K1191" s="16" t="n"/>
      <c r="L1191" s="17" t="n"/>
      <c r="M1191" s="17" t="n"/>
      <c r="N1191" s="17" t="n"/>
      <c r="O1191" s="15" t="n"/>
      <c r="P1191" s="15" t="n"/>
      <c r="Q1191" s="18" t="inlineStr">
        <is>
          <t>https://www.sebi.gov.in/sebi_data/attachdocs/jan-2018/1515474980332.pdf</t>
        </is>
      </c>
      <c r="R1191" s="18" t="inlineStr">
        <is>
          <t>https://www.sebi.gov.in/filings/public-issues/jan-2018/patel-infrastructure-limited_37323.html</t>
        </is>
      </c>
      <c r="S1191" s="15" t="n"/>
      <c r="T1191" s="15" t="n"/>
      <c r="U1191" s="15" t="n"/>
      <c r="V1191" s="15" t="n"/>
      <c r="W1191" s="16" t="n"/>
      <c r="X1191" s="16" t="n"/>
      <c r="Y1191" s="16" t="n"/>
      <c r="Z1191" s="15" t="inlineStr">
        <is>
          <t>No issue found</t>
        </is>
      </c>
      <c r="AA1191" s="15" t="inlineStr">
        <is>
          <t>Business Standard lists the company but shows no issue dates; web search limit reached</t>
        </is>
      </c>
      <c r="AB1191" s="18" t="inlineStr">
        <is>
          <t>https://www.business-standard.com/markets/ipo/patel-infrastructure-ltd-ipo-33810</t>
        </is>
      </c>
    </row>
    <row r="1192" ht="15" customHeight="1" s="12">
      <c r="A1192" s="14" t="n">
        <v>1191</v>
      </c>
      <c r="B1192" s="16" t="n">
        <v>43102</v>
      </c>
      <c r="C1192" s="15" t="n">
        <v>2018</v>
      </c>
      <c r="D1192" s="15" t="inlineStr">
        <is>
          <t>Bandhan Bank Limited</t>
        </is>
      </c>
      <c r="E1192" s="15" t="inlineStr">
        <is>
          <t>DRHP</t>
        </is>
      </c>
      <c r="F1192" s="15" t="inlineStr">
        <is>
          <t>Bandhan Bank Limited</t>
        </is>
      </c>
      <c r="G1192" s="15" t="inlineStr">
        <is>
          <t>IPO launched</t>
        </is>
      </c>
      <c r="H1192" s="15" t="inlineStr">
        <is>
          <t>Mainboard</t>
        </is>
      </c>
      <c r="I1192" s="16" t="n">
        <v>43174</v>
      </c>
      <c r="J1192" s="16" t="n">
        <v>43178</v>
      </c>
      <c r="K1192" s="16" t="n">
        <v>43186</v>
      </c>
      <c r="L1192" s="17" t="n">
        <v>4473.02</v>
      </c>
      <c r="M1192" s="17" t="n">
        <v>4473.02</v>
      </c>
      <c r="N1192" s="17" t="n">
        <v>0</v>
      </c>
      <c r="O1192" s="15" t="inlineStr">
        <is>
          <t>Final issue (ipoplatform)</t>
        </is>
      </c>
      <c r="P1192" s="15" t="n"/>
      <c r="Q1192" s="18" t="inlineStr">
        <is>
          <t>https://www.sebi.gov.in/sebi_data/attachdocs/jan-2018/1514869991906.pdf</t>
        </is>
      </c>
      <c r="R1192" s="18" t="inlineStr">
        <is>
          <t>https://www.sebi.gov.in/filings/public-issues/jan-2018/bandhan-bank-limited_37220.html</t>
        </is>
      </c>
      <c r="S1192" s="15" t="n"/>
      <c r="T1192" s="15" t="inlineStr">
        <is>
          <t>SEBI filing link</t>
        </is>
      </c>
      <c r="U1192" s="15" t="inlineStr">
        <is>
          <t>Bandhan Bank Limited</t>
        </is>
      </c>
      <c r="V1192" s="15" t="n"/>
      <c r="W1192" s="15" t="n"/>
      <c r="X1192" s="15" t="n"/>
      <c r="Y1192" s="15" t="n"/>
      <c r="Z1192" s="15" t="n"/>
      <c r="AA1192" s="15" t="n"/>
      <c r="AB1192" s="15" t="n"/>
    </row>
    <row r="1193" ht="15" customHeight="1" s="12">
      <c r="A1193" s="14" t="n">
        <v>1192</v>
      </c>
      <c r="B1193" s="16" t="n">
        <v>43095</v>
      </c>
      <c r="C1193" s="15" t="n">
        <v>2017</v>
      </c>
      <c r="D1193" s="15" t="inlineStr">
        <is>
          <t>India Renewable Energy Development Agency Limited</t>
        </is>
      </c>
      <c r="E1193" s="15" t="inlineStr">
        <is>
          <t>DRHP</t>
        </is>
      </c>
      <c r="F1193" s="15" t="inlineStr">
        <is>
          <t>India Renewable Energy Development Agency Limited</t>
        </is>
      </c>
      <c r="G1193" s="15" t="inlineStr">
        <is>
          <t>No launched IPO found</t>
        </is>
      </c>
      <c r="H1193" s="15" t="n"/>
      <c r="I1193" s="16" t="n"/>
      <c r="J1193" s="16" t="n"/>
      <c r="K1193" s="16" t="n"/>
      <c r="L1193" s="17" t="n"/>
      <c r="M1193" s="17" t="n"/>
      <c r="N1193" s="17" t="n"/>
      <c r="O1193" s="15" t="n"/>
      <c r="P1193" s="15" t="n"/>
      <c r="Q1193" s="18" t="inlineStr">
        <is>
          <t>https://www.sebi.gov.in/sebi_data/attachdocs/dec-2017/1514438337854.pdf</t>
        </is>
      </c>
      <c r="R1193" s="18" t="inlineStr">
        <is>
          <t>https://www.sebi.gov.in/filings/public-issues/dec-2017/india-renewable-energy-development-agency-limited_37171.html</t>
        </is>
      </c>
      <c r="S1193" s="15" t="n"/>
      <c r="T1193" s="15" t="n"/>
      <c r="U1193" s="15" t="n"/>
      <c r="V1193" s="15" t="n"/>
      <c r="W1193" s="25" t="n">
        <v>45251</v>
      </c>
      <c r="X1193" s="25" t="n">
        <v>45253</v>
      </c>
      <c r="Y1193" s="25" t="n">
        <v>45259</v>
      </c>
      <c r="Z1193" s="26" t="inlineStr">
        <is>
          <t>Later IPO — not from this draft</t>
        </is>
      </c>
      <c r="AA1193" s="15" t="inlineStr">
        <is>
          <t>Opened 5.9 yrs after this filing, under a later draft</t>
        </is>
      </c>
      <c r="AB1193" s="18" t="inlineStr">
        <is>
          <t>https://www.business-standard.com/markets/ipo/indian-renewable-energy-development-agency-ipo-15550</t>
        </is>
      </c>
    </row>
    <row r="1194" ht="15" customHeight="1" s="12">
      <c r="A1194" s="14" t="n">
        <v>1193</v>
      </c>
      <c r="B1194" s="16" t="n">
        <v>43095</v>
      </c>
      <c r="C1194" s="15" t="n">
        <v>2017</v>
      </c>
      <c r="D1194" s="15" t="inlineStr">
        <is>
          <t>Indian Renewable Energy Development Agency Limited</t>
        </is>
      </c>
      <c r="E1194" s="15" t="inlineStr">
        <is>
          <t>DRHP</t>
        </is>
      </c>
      <c r="F1194" s="15" t="inlineStr">
        <is>
          <t>Indian Renewable Energy Development Agency Limited</t>
        </is>
      </c>
      <c r="G1194" s="15" t="inlineStr">
        <is>
          <t>No launched IPO found</t>
        </is>
      </c>
      <c r="H1194" s="15" t="n"/>
      <c r="I1194" s="16" t="n"/>
      <c r="J1194" s="16" t="n"/>
      <c r="K1194" s="16" t="n"/>
      <c r="L1194" s="17" t="n"/>
      <c r="M1194" s="17" t="n"/>
      <c r="N1194" s="17" t="n"/>
      <c r="O1194" s="15" t="n"/>
      <c r="P1194" s="15" t="n"/>
      <c r="Q1194" s="18" t="inlineStr">
        <is>
          <t>https://www.sebi.gov.in/sebi_data/attachdocs/dec-2017/1514287613374.pdf</t>
        </is>
      </c>
      <c r="R1194" s="18" t="inlineStr">
        <is>
          <t>https://www.sebi.gov.in/filings/public-issues/dec-2017/indian-renewable-energy-development-agency-limited_37106.html</t>
        </is>
      </c>
      <c r="S1194" s="15" t="n"/>
      <c r="T1194" s="15" t="n"/>
      <c r="U1194" s="15" t="n"/>
      <c r="V1194" s="15" t="inlineStr">
        <is>
          <t>Same-name IPO opened 21-Nov-2023 — outside 2 years of this filing, so not linked</t>
        </is>
      </c>
      <c r="W1194" s="25" t="n">
        <v>45251</v>
      </c>
      <c r="X1194" s="25" t="n">
        <v>45253</v>
      </c>
      <c r="Y1194" s="25" t="n">
        <v>45259</v>
      </c>
      <c r="Z1194" s="26" t="inlineStr">
        <is>
          <t>Later IPO — not from this draft</t>
        </is>
      </c>
      <c r="AA1194" s="15" t="inlineStr">
        <is>
          <t>Opened 5.9 yrs after this filing, under a later draft</t>
        </is>
      </c>
      <c r="AB1194" s="18" t="inlineStr">
        <is>
          <t>https://www.business-standard.com/markets/ipo/indian-renewable-energy-development-agency-ipo-15550</t>
        </is>
      </c>
    </row>
    <row r="1195" ht="15" customHeight="1" s="12">
      <c r="A1195" s="14" t="n">
        <v>1194</v>
      </c>
      <c r="B1195" s="16" t="n">
        <v>43090</v>
      </c>
      <c r="C1195" s="15" t="n">
        <v>2017</v>
      </c>
      <c r="D1195" s="15" t="inlineStr">
        <is>
          <t>Vishwaraj Sugar Industries Ltd</t>
        </is>
      </c>
      <c r="E1195" s="15" t="inlineStr">
        <is>
          <t>DRHP</t>
        </is>
      </c>
      <c r="F1195" s="15" t="inlineStr">
        <is>
          <t>Vishwaraj Sugar Industries Ltd.</t>
        </is>
      </c>
      <c r="G1195" s="15" t="inlineStr">
        <is>
          <t>IPO launched</t>
        </is>
      </c>
      <c r="H1195" s="15" t="inlineStr">
        <is>
          <t>Mainboard</t>
        </is>
      </c>
      <c r="I1195" s="16" t="n">
        <v>43738</v>
      </c>
      <c r="J1195" s="16" t="n">
        <v>43742</v>
      </c>
      <c r="K1195" s="16" t="n">
        <v>43753</v>
      </c>
      <c r="L1195" s="17" t="n">
        <v>60</v>
      </c>
      <c r="M1195" s="17" t="n">
        <v>60</v>
      </c>
      <c r="N1195" s="17" t="n">
        <v>0</v>
      </c>
      <c r="O1195" s="15" t="inlineStr">
        <is>
          <t>Final issue (ipoplatform)</t>
        </is>
      </c>
      <c r="P1195" s="15" t="n"/>
      <c r="Q1195" s="18" t="inlineStr">
        <is>
          <t>https://www.sebi.gov.in/sebi_data/attachdocs/dec-2017/1513851484240.pdf</t>
        </is>
      </c>
      <c r="R1195" s="18" t="inlineStr">
        <is>
          <t>https://www.sebi.gov.in/filings/public-issues/dec-2017/vishwaraj-sugar-industries-ltd-_37064.html</t>
        </is>
      </c>
      <c r="S1195" s="15" t="n"/>
      <c r="T1195" s="15" t="inlineStr">
        <is>
          <t>SEBI filing link</t>
        </is>
      </c>
      <c r="U1195" s="15" t="inlineStr">
        <is>
          <t>Vishwaraj Sugar Industries Limited</t>
        </is>
      </c>
      <c r="V1195" s="15" t="n"/>
      <c r="W1195" s="15" t="n"/>
      <c r="X1195" s="15" t="n"/>
      <c r="Y1195" s="15" t="n"/>
      <c r="Z1195" s="15" t="n"/>
      <c r="AA1195" s="15" t="n"/>
      <c r="AB1195" s="15" t="n"/>
    </row>
    <row r="1196" ht="15" customHeight="1" s="12">
      <c r="A1196" s="14" t="n">
        <v>1195</v>
      </c>
      <c r="B1196" s="16" t="n">
        <v>43087</v>
      </c>
      <c r="C1196" s="15" t="n">
        <v>2017</v>
      </c>
      <c r="D1196" s="15" t="inlineStr">
        <is>
          <t>ICICI Securities Limited</t>
        </is>
      </c>
      <c r="E1196" s="15" t="inlineStr">
        <is>
          <t>DRHP</t>
        </is>
      </c>
      <c r="F1196" s="15" t="inlineStr">
        <is>
          <t>ICICI Securities Limited</t>
        </is>
      </c>
      <c r="G1196" s="15" t="inlineStr">
        <is>
          <t>IPO launched</t>
        </is>
      </c>
      <c r="H1196" s="15" t="inlineStr">
        <is>
          <t>Mainboard</t>
        </is>
      </c>
      <c r="I1196" s="16" t="n">
        <v>43181</v>
      </c>
      <c r="J1196" s="16" t="n">
        <v>43185</v>
      </c>
      <c r="K1196" s="16" t="n">
        <v>43194</v>
      </c>
      <c r="L1196" s="17" t="n">
        <v>4016.97</v>
      </c>
      <c r="M1196" s="17" t="n">
        <v>4016.97</v>
      </c>
      <c r="N1196" s="17" t="n">
        <v>0</v>
      </c>
      <c r="O1196" s="15" t="inlineStr">
        <is>
          <t>Final issue (ipoplatform)</t>
        </is>
      </c>
      <c r="P1196" s="15" t="n"/>
      <c r="Q1196" s="18" t="inlineStr">
        <is>
          <t>https://www.sebi.gov.in/sebi_data/attachdocs/dec-2017/1513588238933.pdf</t>
        </is>
      </c>
      <c r="R1196" s="18" t="inlineStr">
        <is>
          <t>https://www.sebi.gov.in/filings/public-issues/dec-2017/icici-securities-limited_37009.html</t>
        </is>
      </c>
      <c r="S1196" s="15" t="n"/>
      <c r="T1196" s="15" t="inlineStr">
        <is>
          <t>Company name + date window</t>
        </is>
      </c>
      <c r="U1196" s="15" t="inlineStr">
        <is>
          <t>ICICI Securities Limited</t>
        </is>
      </c>
      <c r="V1196" s="15" t="n"/>
      <c r="W1196" s="15" t="n"/>
      <c r="X1196" s="15" t="n"/>
      <c r="Y1196" s="15" t="n"/>
      <c r="Z1196" s="15" t="n"/>
      <c r="AA1196" s="15" t="n"/>
      <c r="AB1196" s="15" t="n"/>
    </row>
    <row r="1197" ht="15" customHeight="1" s="12">
      <c r="A1197" s="14" t="n">
        <v>1196</v>
      </c>
      <c r="B1197" s="16" t="n">
        <v>43082</v>
      </c>
      <c r="C1197" s="15" t="n">
        <v>2017</v>
      </c>
      <c r="D1197" s="15" t="inlineStr">
        <is>
          <t>Krishna Institute of Medical Sciences Limited</t>
        </is>
      </c>
      <c r="E1197" s="15" t="inlineStr">
        <is>
          <t>DRHP</t>
        </is>
      </c>
      <c r="F1197" s="15" t="inlineStr">
        <is>
          <t>Krishna Institute of Medical Sciences Limited</t>
        </is>
      </c>
      <c r="G1197" s="15" t="inlineStr">
        <is>
          <t>No launched IPO found</t>
        </is>
      </c>
      <c r="H1197" s="15" t="n"/>
      <c r="I1197" s="16" t="n"/>
      <c r="J1197" s="16" t="n"/>
      <c r="K1197" s="16" t="n"/>
      <c r="L1197" s="17" t="n"/>
      <c r="M1197" s="17" t="n"/>
      <c r="N1197" s="17" t="n"/>
      <c r="O1197" s="15" t="n"/>
      <c r="P1197" s="15" t="n"/>
      <c r="Q1197" s="18" t="inlineStr">
        <is>
          <t>https://www.sebi.gov.in/sebi_data/attachdocs/dec-2017/1513149608025.pdf</t>
        </is>
      </c>
      <c r="R1197" s="18" t="inlineStr">
        <is>
          <t>https://www.sebi.gov.in/filings/public-issues/dec-2017/krishna-institute-of-medical-sciences-limited_36934.html</t>
        </is>
      </c>
      <c r="S1197" s="15" t="n"/>
      <c r="T1197" s="15" t="n"/>
      <c r="U1197" s="15" t="n"/>
      <c r="V1197" s="15" t="inlineStr">
        <is>
          <t>Same-name IPO opened 16-Jun-2021 — outside 2 years of this filing, so not linked</t>
        </is>
      </c>
      <c r="W1197" s="25" t="n">
        <v>44363</v>
      </c>
      <c r="X1197" s="25" t="n">
        <v>44365</v>
      </c>
      <c r="Y1197" s="25" t="n">
        <v>44375</v>
      </c>
      <c r="Z1197" s="26" t="inlineStr">
        <is>
          <t>Later IPO — not from this draft</t>
        </is>
      </c>
      <c r="AA1197" s="15" t="inlineStr">
        <is>
          <t>Opened 3.5 yrs after this filing, under a later draft</t>
        </is>
      </c>
      <c r="AB1197" s="18" t="inlineStr">
        <is>
          <t>https://www.business-standard.com/markets/ipo/krishna-institute-of-medical-sciences-ipo-34776</t>
        </is>
      </c>
    </row>
    <row r="1198" ht="15" customHeight="1" s="12">
      <c r="A1198" s="14" t="n">
        <v>1197</v>
      </c>
      <c r="B1198" s="16" t="n">
        <v>43081</v>
      </c>
      <c r="C1198" s="15" t="n">
        <v>2017</v>
      </c>
      <c r="D1198" s="15" t="inlineStr">
        <is>
          <t>SREI Equipment Finance Limited</t>
        </is>
      </c>
      <c r="E1198" s="15" t="inlineStr">
        <is>
          <t>Corrigendum</t>
        </is>
      </c>
      <c r="F1198" s="15" t="inlineStr">
        <is>
          <t>SREI Equipment Finance Limited - Corrigendum to Draft Red Herring Prospectus</t>
        </is>
      </c>
      <c r="G1198" s="15" t="inlineStr">
        <is>
          <t>No launched IPO found</t>
        </is>
      </c>
      <c r="H1198" s="15" t="n"/>
      <c r="I1198" s="16" t="n"/>
      <c r="J1198" s="16" t="n"/>
      <c r="K1198" s="16" t="n"/>
      <c r="L1198" s="17" t="n"/>
      <c r="M1198" s="17" t="n"/>
      <c r="N1198" s="17" t="n"/>
      <c r="O1198" s="15" t="n"/>
      <c r="P1198" s="15" t="n"/>
      <c r="Q1198" s="18" t="inlineStr">
        <is>
          <t>https://www.sebi.gov.in/sebi_data/attachdocs/dec-2017/1513069228066.pdf</t>
        </is>
      </c>
      <c r="R1198" s="18" t="inlineStr">
        <is>
          <t>https://www.sebi.gov.in/filings/public-issues/dec-2017/srei-equipment-finance-limited-corrigendum-to-draft-red-herring-prospectus_36920.html</t>
        </is>
      </c>
      <c r="S1198" s="15" t="n"/>
      <c r="T1198" s="15" t="n"/>
      <c r="U1198" s="15" t="n"/>
      <c r="V1198" s="15" t="n"/>
      <c r="W1198" s="16" t="n"/>
      <c r="X1198" s="16" t="n"/>
      <c r="Y1198" s="16" t="n"/>
      <c r="Z1198" s="15" t="inlineStr">
        <is>
          <t>No issue found</t>
        </is>
      </c>
      <c r="AA1198" s="15" t="inlineStr">
        <is>
          <t>Business Standard lists the company but shows no issue dates; web search limit reached</t>
        </is>
      </c>
      <c r="AB1198" s="18" t="inlineStr">
        <is>
          <t>https://www.business-standard.com/markets/ipo/srei-equipment-finance-ltd-ipo-30298</t>
        </is>
      </c>
    </row>
    <row r="1199" ht="15" customHeight="1" s="12">
      <c r="A1199" s="14" t="n">
        <v>1198</v>
      </c>
      <c r="B1199" s="16" t="n">
        <v>43080</v>
      </c>
      <c r="C1199" s="15" t="n">
        <v>2017</v>
      </c>
      <c r="D1199" s="15" t="inlineStr">
        <is>
          <t>Sandhar Technologies Limited</t>
        </is>
      </c>
      <c r="E1199" s="15" t="inlineStr">
        <is>
          <t>DRHP</t>
        </is>
      </c>
      <c r="F1199" s="15" t="inlineStr">
        <is>
          <t>Sandhar Technologies Limited</t>
        </is>
      </c>
      <c r="G1199" s="15" t="inlineStr">
        <is>
          <t>IPO launched</t>
        </is>
      </c>
      <c r="H1199" s="15" t="inlineStr">
        <is>
          <t>Mainboard</t>
        </is>
      </c>
      <c r="I1199" s="16" t="n">
        <v>43178</v>
      </c>
      <c r="J1199" s="16" t="n">
        <v>43180</v>
      </c>
      <c r="K1199" s="16" t="n">
        <v>43192</v>
      </c>
      <c r="L1199" s="17" t="n">
        <v>565.6</v>
      </c>
      <c r="M1199" s="17" t="n">
        <v>565.6</v>
      </c>
      <c r="N1199" s="17" t="n">
        <v>0</v>
      </c>
      <c r="O1199" s="15" t="inlineStr">
        <is>
          <t>Final issue (ipoplatform)</t>
        </is>
      </c>
      <c r="P1199" s="15" t="n"/>
      <c r="Q1199" s="18" t="inlineStr">
        <is>
          <t>https://www.sebi.gov.in/sebi_data/attachdocs/dec-2017/1512983415722.pdf</t>
        </is>
      </c>
      <c r="R1199" s="18" t="inlineStr">
        <is>
          <t>https://www.sebi.gov.in/filings/public-issues/dec-2017/sandhar-technologies-limited_36908.html</t>
        </is>
      </c>
      <c r="S1199" s="15" t="n"/>
      <c r="T1199" s="15" t="inlineStr">
        <is>
          <t>SEBI filing link</t>
        </is>
      </c>
      <c r="U1199" s="15" t="inlineStr">
        <is>
          <t>Sandhar Technologies Limited</t>
        </is>
      </c>
      <c r="V1199" s="15" t="n"/>
      <c r="W1199" s="15" t="n"/>
      <c r="X1199" s="15" t="n"/>
      <c r="Y1199" s="15" t="n"/>
      <c r="Z1199" s="15" t="n"/>
      <c r="AA1199" s="15" t="n"/>
      <c r="AB1199" s="15" t="n"/>
    </row>
    <row r="1200" ht="15" customHeight="1" s="12">
      <c r="A1200" s="14" t="n">
        <v>1199</v>
      </c>
      <c r="B1200" s="16" t="n">
        <v>43068</v>
      </c>
      <c r="C1200" s="15" t="n">
        <v>2017</v>
      </c>
      <c r="D1200" s="15" t="inlineStr">
        <is>
          <t>SREI Equipment Finance Limited</t>
        </is>
      </c>
      <c r="E1200" s="15" t="inlineStr">
        <is>
          <t>DRHP</t>
        </is>
      </c>
      <c r="F1200" s="15" t="inlineStr">
        <is>
          <t>SREI Equipment Finance Limited</t>
        </is>
      </c>
      <c r="G1200" s="15" t="inlineStr">
        <is>
          <t>No launched IPO found</t>
        </is>
      </c>
      <c r="H1200" s="15" t="n"/>
      <c r="I1200" s="16" t="n"/>
      <c r="J1200" s="16" t="n"/>
      <c r="K1200" s="16" t="n"/>
      <c r="L1200" s="17" t="n"/>
      <c r="M1200" s="17" t="n"/>
      <c r="N1200" s="17" t="n"/>
      <c r="O1200" s="15" t="n"/>
      <c r="P1200" s="15" t="n"/>
      <c r="Q1200" s="18" t="inlineStr">
        <is>
          <t>https://www.sebi.gov.in/sebi_data/attachdocs/nov-2017/1512016152850.pdf</t>
        </is>
      </c>
      <c r="R1200" s="18" t="inlineStr">
        <is>
          <t>https://www.sebi.gov.in/filings/public-issues/nov-2017/srei-equipment-finance-limited_36750.html</t>
        </is>
      </c>
      <c r="S1200" s="15" t="n"/>
      <c r="T1200" s="15" t="n"/>
      <c r="U1200" s="15" t="n"/>
      <c r="V1200" s="15" t="n"/>
      <c r="W1200" s="16" t="n"/>
      <c r="X1200" s="16" t="n"/>
      <c r="Y1200" s="16" t="n"/>
      <c r="Z1200" s="15" t="inlineStr">
        <is>
          <t>No issue found</t>
        </is>
      </c>
      <c r="AA1200" s="15" t="inlineStr">
        <is>
          <t>Business Standard lists the company but shows no issue dates; web search limit reached</t>
        </is>
      </c>
      <c r="AB1200" s="18" t="inlineStr">
        <is>
          <t>https://www.business-standard.com/markets/ipo/srei-equipment-finance-ltd-ipo-30298</t>
        </is>
      </c>
    </row>
    <row r="1201" ht="15" customHeight="1" s="12">
      <c r="A1201" s="14" t="n">
        <v>1200</v>
      </c>
      <c r="B1201" s="16" t="n">
        <v>43053</v>
      </c>
      <c r="C1201" s="15" t="n">
        <v>2017</v>
      </c>
      <c r="D1201" s="15" t="inlineStr">
        <is>
          <t>Galaxy surfactants Limited</t>
        </is>
      </c>
      <c r="E1201" s="15" t="inlineStr">
        <is>
          <t>DRHP</t>
        </is>
      </c>
      <c r="F1201" s="15" t="inlineStr">
        <is>
          <t>Galaxy surfactants Limited</t>
        </is>
      </c>
      <c r="G1201" s="15" t="inlineStr">
        <is>
          <t>IPO launched</t>
        </is>
      </c>
      <c r="H1201" s="15" t="inlineStr">
        <is>
          <t>Mainboard</t>
        </is>
      </c>
      <c r="I1201" s="16" t="n">
        <v>43129</v>
      </c>
      <c r="J1201" s="16" t="n">
        <v>43131</v>
      </c>
      <c r="K1201" s="16" t="n">
        <v>43139</v>
      </c>
      <c r="L1201" s="17" t="n">
        <v>937.09</v>
      </c>
      <c r="M1201" s="17" t="n">
        <v>937.09</v>
      </c>
      <c r="N1201" s="17" t="n">
        <v>0</v>
      </c>
      <c r="O1201" s="15" t="inlineStr">
        <is>
          <t>Final issue (ipoplatform)</t>
        </is>
      </c>
      <c r="P1201" s="15" t="n"/>
      <c r="Q1201" s="18" t="inlineStr">
        <is>
          <t>https://www.sebi.gov.in/sebi_data/attachdocs/nov-2017/1510657713366.pdf</t>
        </is>
      </c>
      <c r="R1201" s="18" t="inlineStr">
        <is>
          <t>https://www.sebi.gov.in/filings/public-issues/nov-2017/galaxy-surfactants-limited_36585.html</t>
        </is>
      </c>
      <c r="S1201" s="15" t="n"/>
      <c r="T1201" s="15" t="inlineStr">
        <is>
          <t>SEBI filing link</t>
        </is>
      </c>
      <c r="U1201" s="15" t="inlineStr">
        <is>
          <t>Galaxy Surfactants Limited</t>
        </is>
      </c>
      <c r="V1201" s="15" t="n"/>
      <c r="W1201" s="15" t="n"/>
      <c r="X1201" s="15" t="n"/>
      <c r="Y1201" s="15" t="n"/>
      <c r="Z1201" s="15" t="n"/>
      <c r="AA1201" s="15" t="n"/>
      <c r="AB1201" s="15" t="n"/>
    </row>
    <row r="1202" ht="15" customHeight="1" s="12">
      <c r="A1202" s="14" t="n">
        <v>1201</v>
      </c>
      <c r="B1202" s="16" t="n">
        <v>43053</v>
      </c>
      <c r="C1202" s="15" t="n">
        <v>2017</v>
      </c>
      <c r="D1202" s="15" t="inlineStr">
        <is>
          <t>Future Supply Chain Solutions Limited</t>
        </is>
      </c>
      <c r="E1202" s="15" t="inlineStr">
        <is>
          <t>DRHP</t>
        </is>
      </c>
      <c r="F1202" s="15" t="inlineStr">
        <is>
          <t>Future Supply Chain Solutions Limited</t>
        </is>
      </c>
      <c r="G1202" s="15" t="inlineStr">
        <is>
          <t>IPO launched</t>
        </is>
      </c>
      <c r="H1202" s="15" t="inlineStr">
        <is>
          <t>Mainboard</t>
        </is>
      </c>
      <c r="I1202" s="16" t="n">
        <v>43075</v>
      </c>
      <c r="J1202" s="16" t="n">
        <v>43077</v>
      </c>
      <c r="K1202" s="16" t="n">
        <v>43087</v>
      </c>
      <c r="L1202" s="17" t="n">
        <v>649.7</v>
      </c>
      <c r="M1202" s="17" t="n">
        <v>649.7</v>
      </c>
      <c r="N1202" s="17" t="n">
        <v>0</v>
      </c>
      <c r="O1202" s="15" t="inlineStr">
        <is>
          <t>Final issue (ipoplatform)</t>
        </is>
      </c>
      <c r="P1202" s="15" t="n"/>
      <c r="Q1202" s="18" t="inlineStr">
        <is>
          <t>https://www.sebi.gov.in/sebi_data/attachdocs/nov-2017/1510643054435.pdf</t>
        </is>
      </c>
      <c r="R1202" s="18" t="inlineStr">
        <is>
          <t>https://www.sebi.gov.in/filings/public-issues/nov-2017/future-supply-chain-solutions-limited_36576.html</t>
        </is>
      </c>
      <c r="S1202" s="15" t="n"/>
      <c r="T1202" s="15" t="inlineStr">
        <is>
          <t>Company name + date window</t>
        </is>
      </c>
      <c r="U1202" s="15" t="inlineStr">
        <is>
          <t>Future Supply Chain Solutions Limited</t>
        </is>
      </c>
      <c r="V1202" s="15" t="n"/>
      <c r="W1202" s="15" t="n"/>
      <c r="X1202" s="15" t="n"/>
      <c r="Y1202" s="15" t="n"/>
      <c r="Z1202" s="15" t="n"/>
      <c r="AA1202" s="15" t="n"/>
      <c r="AB1202" s="15" t="n"/>
    </row>
    <row r="1203" ht="15" customHeight="1" s="12">
      <c r="A1203" s="14" t="n">
        <v>1202</v>
      </c>
      <c r="B1203" s="16" t="n">
        <v>43035</v>
      </c>
      <c r="C1203" s="15" t="n">
        <v>2017</v>
      </c>
      <c r="D1203" s="15" t="inlineStr">
        <is>
          <t>Newgen Software Technologies Limited</t>
        </is>
      </c>
      <c r="E1203" s="15" t="inlineStr">
        <is>
          <t>Addendum</t>
        </is>
      </c>
      <c r="F1203" s="15" t="inlineStr">
        <is>
          <t>Newgen Software Technologies Limited - Addendum</t>
        </is>
      </c>
      <c r="G1203" s="15" t="inlineStr">
        <is>
          <t>IPO launched</t>
        </is>
      </c>
      <c r="H1203" s="15" t="inlineStr">
        <is>
          <t>Mainboard</t>
        </is>
      </c>
      <c r="I1203" s="16" t="n">
        <v>43116</v>
      </c>
      <c r="J1203" s="16" t="n">
        <v>43118</v>
      </c>
      <c r="K1203" s="16" t="n">
        <v>43129</v>
      </c>
      <c r="L1203" s="17" t="n">
        <v>424.62</v>
      </c>
      <c r="M1203" s="17" t="n">
        <v>424.62</v>
      </c>
      <c r="N1203" s="17" t="n">
        <v>0</v>
      </c>
      <c r="O1203" s="15" t="inlineStr">
        <is>
          <t>Final issue (ipoplatform)</t>
        </is>
      </c>
      <c r="P1203" s="15" t="n"/>
      <c r="Q1203" s="18" t="inlineStr">
        <is>
          <t>https://www.sebi.gov.in/sebi_data/attachdocs/oct-2017/1509104518663.pdf</t>
        </is>
      </c>
      <c r="R1203" s="18" t="inlineStr">
        <is>
          <t>https://www.sebi.gov.in/filings/public-issues/oct-2017/newgen-software-technologies-limited-addendum_36359.html</t>
        </is>
      </c>
      <c r="S1203" s="15" t="n"/>
      <c r="T1203" s="15" t="inlineStr">
        <is>
          <t>Company name + date window</t>
        </is>
      </c>
      <c r="U1203" s="15" t="inlineStr">
        <is>
          <t>Newgen Software Technologies Limited</t>
        </is>
      </c>
      <c r="V1203" s="15" t="n"/>
      <c r="W1203" s="15" t="n"/>
      <c r="X1203" s="15" t="n"/>
      <c r="Y1203" s="15" t="n"/>
      <c r="Z1203" s="15" t="n"/>
      <c r="AA1203" s="15" t="n"/>
      <c r="AB1203" s="15" t="n"/>
    </row>
    <row r="1204" ht="15" customHeight="1" s="12">
      <c r="A1204" s="14" t="n">
        <v>1203</v>
      </c>
      <c r="B1204" s="16" t="n">
        <v>43018</v>
      </c>
      <c r="C1204" s="15" t="n">
        <v>2017</v>
      </c>
      <c r="D1204" s="15" t="inlineStr">
        <is>
          <t>Reliance General Insurance Company Limited</t>
        </is>
      </c>
      <c r="E1204" s="15" t="inlineStr">
        <is>
          <t>DRHP</t>
        </is>
      </c>
      <c r="F1204" s="15" t="inlineStr">
        <is>
          <t>Reliance General Insurance Company Limited</t>
        </is>
      </c>
      <c r="G1204" s="15" t="inlineStr">
        <is>
          <t>No launched IPO found</t>
        </is>
      </c>
      <c r="H1204" s="15" t="n"/>
      <c r="I1204" s="16" t="n"/>
      <c r="J1204" s="16" t="n"/>
      <c r="K1204" s="16" t="n"/>
      <c r="L1204" s="17" t="n"/>
      <c r="M1204" s="17" t="n"/>
      <c r="N1204" s="17" t="n"/>
      <c r="O1204" s="15" t="n"/>
      <c r="P1204" s="15" t="n"/>
      <c r="Q1204" s="18" t="inlineStr">
        <is>
          <t>https://www.sebi.gov.in/sebi_data/attachdocs/nov-2017/1511329941640.pdf</t>
        </is>
      </c>
      <c r="R1204" s="18" t="inlineStr">
        <is>
          <t>https://www.sebi.gov.in/filings/public-issues/oct-2017/reliance-general-insurance-company-limited_36214.html</t>
        </is>
      </c>
      <c r="S1204" s="15" t="n"/>
      <c r="T1204" s="15" t="n"/>
      <c r="U1204" s="15" t="n"/>
      <c r="V1204" s="15" t="n"/>
      <c r="W1204" s="16" t="n"/>
      <c r="X1204" s="16" t="n"/>
      <c r="Y1204" s="16" t="n"/>
      <c r="Z1204" s="15" t="inlineStr">
        <is>
          <t>Withdrawn / approval lapsed</t>
        </is>
      </c>
      <c r="AA1204" s="15" t="inlineStr">
        <is>
          <t>2017 DRHP not used; refiled Feb 2019, withdrawn by LM Oct 24 2019; never listed</t>
        </is>
      </c>
      <c r="AB1204" s="18" t="inlineStr">
        <is>
          <t>https://www.business-standard.com/article/pti-stories/reliance-general-insurance-scraps-ipo-plan-withdraw-offer-documents-119103000735_1.html</t>
        </is>
      </c>
    </row>
    <row r="1205" ht="15" customHeight="1" s="12">
      <c r="A1205" s="14" t="n">
        <v>1204</v>
      </c>
      <c r="B1205" s="16" t="n">
        <v>43012</v>
      </c>
      <c r="C1205" s="15" t="n">
        <v>2017</v>
      </c>
      <c r="D1205" s="15" t="inlineStr">
        <is>
          <t>Seven Islands Shipping Limited</t>
        </is>
      </c>
      <c r="E1205" s="15" t="inlineStr">
        <is>
          <t>DRHP</t>
        </is>
      </c>
      <c r="F1205" s="15" t="inlineStr">
        <is>
          <t>Seven Islands Shipping Limited</t>
        </is>
      </c>
      <c r="G1205" s="15" t="inlineStr">
        <is>
          <t>No launched IPO found</t>
        </is>
      </c>
      <c r="H1205" s="15" t="n"/>
      <c r="I1205" s="16" t="n"/>
      <c r="J1205" s="16" t="n"/>
      <c r="K1205" s="16" t="n"/>
      <c r="L1205" s="17" t="n"/>
      <c r="M1205" s="17" t="n"/>
      <c r="N1205" s="17" t="n"/>
      <c r="O1205" s="15" t="n"/>
      <c r="P1205" s="15" t="n"/>
      <c r="Q1205" s="18" t="inlineStr">
        <is>
          <t>https://www.sebi.gov.in/sebi_data/attachdocs/oct-2017/1509192541755.pdf</t>
        </is>
      </c>
      <c r="R1205" s="18" t="inlineStr">
        <is>
          <t>https://www.sebi.gov.in/filings/public-issues/oct-2017/seven-islands-shipping-limited_36159.html</t>
        </is>
      </c>
      <c r="S1205" s="15" t="n"/>
      <c r="T1205" s="15" t="n"/>
      <c r="U1205" s="15" t="n"/>
      <c r="V1205" s="15" t="n"/>
      <c r="W1205" s="16" t="n"/>
      <c r="X1205" s="16" t="n"/>
      <c r="Y1205" s="16" t="n"/>
      <c r="Z1205" s="15" t="inlineStr">
        <is>
          <t>No issue found</t>
        </is>
      </c>
      <c r="AA1205" s="15" t="inlineStr">
        <is>
          <t>Business Standard lists the company but shows no issue dates; web search limit reached</t>
        </is>
      </c>
      <c r="AB1205" s="18" t="inlineStr">
        <is>
          <t>https://www.business-standard.com/markets/ipo/seven-islands-shipping-ltd-ipo-38967</t>
        </is>
      </c>
    </row>
    <row r="1206" ht="15" customHeight="1" s="12">
      <c r="A1206" s="14" t="n">
        <v>1205</v>
      </c>
      <c r="B1206" s="16" t="n">
        <v>43011</v>
      </c>
      <c r="C1206" s="15" t="n">
        <v>2017</v>
      </c>
      <c r="D1206" s="15" t="inlineStr">
        <is>
          <t>Amber Enterprises India Limited</t>
        </is>
      </c>
      <c r="E1206" s="15" t="inlineStr">
        <is>
          <t>DRHP</t>
        </is>
      </c>
      <c r="F1206" s="15" t="inlineStr">
        <is>
          <t>Amber Enterprises India Limited</t>
        </is>
      </c>
      <c r="G1206" s="15" t="inlineStr">
        <is>
          <t>IPO launched</t>
        </is>
      </c>
      <c r="H1206" s="15" t="inlineStr">
        <is>
          <t>Mainboard</t>
        </is>
      </c>
      <c r="I1206" s="16" t="n">
        <v>43117</v>
      </c>
      <c r="J1206" s="16" t="n">
        <v>43119</v>
      </c>
      <c r="K1206" s="16" t="n">
        <v>43130</v>
      </c>
      <c r="L1206" s="17" t="n">
        <v>600</v>
      </c>
      <c r="M1206" s="17" t="n">
        <v>600</v>
      </c>
      <c r="N1206" s="17" t="n">
        <v>0</v>
      </c>
      <c r="O1206" s="15" t="inlineStr">
        <is>
          <t>Final issue (ipoplatform)</t>
        </is>
      </c>
      <c r="P1206" s="15" t="n"/>
      <c r="Q1206" s="18" t="inlineStr">
        <is>
          <t>https://www.sebi.gov.in/sebi_data/attachdocs/oct-2017/1509188683886.pdf</t>
        </is>
      </c>
      <c r="R1206" s="18" t="inlineStr">
        <is>
          <t>https://www.sebi.gov.in/filings/public-issues/oct-2017/amber-enterprises-india-limited_36156.html</t>
        </is>
      </c>
      <c r="S1206" s="15" t="n"/>
      <c r="T1206" s="15" t="inlineStr">
        <is>
          <t>SEBI filing link</t>
        </is>
      </c>
      <c r="U1206" s="15" t="inlineStr">
        <is>
          <t>Amber Enterprises India Limited</t>
        </is>
      </c>
      <c r="V1206" s="15" t="n"/>
      <c r="W1206" s="15" t="n"/>
      <c r="X1206" s="15" t="n"/>
      <c r="Y1206" s="15" t="n"/>
      <c r="Z1206" s="15" t="n"/>
      <c r="AA1206" s="15" t="n"/>
      <c r="AB1206" s="15" t="n"/>
    </row>
    <row r="1207" ht="15" customHeight="1" s="12">
      <c r="A1207" s="14" t="n">
        <v>1206</v>
      </c>
      <c r="B1207" s="16" t="n">
        <v>43011</v>
      </c>
      <c r="C1207" s="15" t="n">
        <v>2017</v>
      </c>
      <c r="D1207" s="15" t="inlineStr">
        <is>
          <t>Hindustan Aeronautics Limited</t>
        </is>
      </c>
      <c r="E1207" s="15" t="inlineStr">
        <is>
          <t>DRHP</t>
        </is>
      </c>
      <c r="F1207" s="15" t="inlineStr">
        <is>
          <t>Hindustan Aeronautics Limited</t>
        </is>
      </c>
      <c r="G1207" s="15" t="inlineStr">
        <is>
          <t>IPO launched</t>
        </is>
      </c>
      <c r="H1207" s="15" t="inlineStr">
        <is>
          <t>Mainboard</t>
        </is>
      </c>
      <c r="I1207" s="16" t="n">
        <v>43175</v>
      </c>
      <c r="J1207" s="16" t="n">
        <v>43179</v>
      </c>
      <c r="K1207" s="16" t="n">
        <v>43187</v>
      </c>
      <c r="L1207" s="17" t="n">
        <v>4144.06</v>
      </c>
      <c r="M1207" s="17" t="n">
        <v>4144.06</v>
      </c>
      <c r="N1207" s="17" t="n">
        <v>0</v>
      </c>
      <c r="O1207" s="15" t="inlineStr">
        <is>
          <t>Final issue (ipoplatform)</t>
        </is>
      </c>
      <c r="P1207" s="15" t="n"/>
      <c r="Q1207" s="18" t="inlineStr">
        <is>
          <t>https://www.sebi.gov.in/sebi_data/attachdocs/oct-2017/1509188742822.pdf</t>
        </is>
      </c>
      <c r="R1207" s="18" t="inlineStr">
        <is>
          <t>https://www.sebi.gov.in/filings/public-issues/oct-2017/hindustan-aeronautics-limited_36155.html</t>
        </is>
      </c>
      <c r="S1207" s="15" t="n"/>
      <c r="T1207" s="15" t="inlineStr">
        <is>
          <t>SEBI filing link</t>
        </is>
      </c>
      <c r="U1207" s="15" t="inlineStr">
        <is>
          <t>Hindustan Aeronautics Limited</t>
        </is>
      </c>
      <c r="V1207" s="15" t="n"/>
      <c r="W1207" s="15" t="n"/>
      <c r="X1207" s="15" t="n"/>
      <c r="Y1207" s="15" t="n"/>
      <c r="Z1207" s="15" t="n"/>
      <c r="AA1207" s="15" t="n"/>
      <c r="AB1207" s="15" t="n"/>
    </row>
    <row r="1208" ht="15" customHeight="1" s="12">
      <c r="A1208" s="14" t="n">
        <v>1207</v>
      </c>
      <c r="B1208" s="16" t="n">
        <v>43011</v>
      </c>
      <c r="C1208" s="15" t="n">
        <v>2017</v>
      </c>
      <c r="D1208" s="15" t="inlineStr">
        <is>
          <t>Karda Constructions Limited</t>
        </is>
      </c>
      <c r="E1208" s="15" t="inlineStr">
        <is>
          <t>DRHP</t>
        </is>
      </c>
      <c r="F1208" s="15" t="inlineStr">
        <is>
          <t>Karda Constructions Limited</t>
        </is>
      </c>
      <c r="G1208" s="15" t="inlineStr">
        <is>
          <t>IPO launched</t>
        </is>
      </c>
      <c r="H1208" s="15" t="inlineStr">
        <is>
          <t>Mainboard</t>
        </is>
      </c>
      <c r="I1208" s="16" t="n">
        <v>43175</v>
      </c>
      <c r="J1208" s="16" t="n">
        <v>43180</v>
      </c>
      <c r="K1208" s="16" t="n">
        <v>43192</v>
      </c>
      <c r="L1208" s="17" t="n">
        <v>77.40000000000001</v>
      </c>
      <c r="M1208" s="17" t="n">
        <v>77.40000000000001</v>
      </c>
      <c r="N1208" s="17" t="n">
        <v>0</v>
      </c>
      <c r="O1208" s="15" t="inlineStr">
        <is>
          <t>Final issue (ipoplatform)</t>
        </is>
      </c>
      <c r="P1208" s="15" t="n"/>
      <c r="Q1208" s="18" t="inlineStr">
        <is>
          <t>https://www.sebi.gov.in/sebi_data/attachdocs/oct-2017/1509188816299.pdf</t>
        </is>
      </c>
      <c r="R1208" s="18" t="inlineStr">
        <is>
          <t>https://www.sebi.gov.in/filings/public-issues/oct-2017/karda-constructions-limited_36154.html</t>
        </is>
      </c>
      <c r="S1208" s="15" t="n"/>
      <c r="T1208" s="15" t="inlineStr">
        <is>
          <t>Company name (close spelling) + date window</t>
        </is>
      </c>
      <c r="U1208" s="15" t="inlineStr">
        <is>
          <t>Karda Construction Limited</t>
        </is>
      </c>
      <c r="V1208" s="15" t="n"/>
      <c r="W1208" s="15" t="n"/>
      <c r="X1208" s="15" t="n"/>
      <c r="Y1208" s="15" t="n"/>
      <c r="Z1208" s="15" t="n"/>
      <c r="AA1208" s="15" t="n"/>
      <c r="AB1208" s="15" t="n"/>
    </row>
    <row r="1209" ht="15" customHeight="1" s="12">
      <c r="A1209" s="14" t="n">
        <v>1208</v>
      </c>
      <c r="B1209" s="16" t="n">
        <v>43011</v>
      </c>
      <c r="C1209" s="15" t="n">
        <v>2017</v>
      </c>
      <c r="D1209" s="15" t="inlineStr">
        <is>
          <t>Acme Solar Holdings Limited</t>
        </is>
      </c>
      <c r="E1209" s="15" t="inlineStr">
        <is>
          <t>DRHP</t>
        </is>
      </c>
      <c r="F1209" s="15" t="inlineStr">
        <is>
          <t>Acme Solar Holdings Limited</t>
        </is>
      </c>
      <c r="G1209" s="15" t="inlineStr">
        <is>
          <t>No launched IPO found</t>
        </is>
      </c>
      <c r="H1209" s="15" t="n"/>
      <c r="I1209" s="16" t="n"/>
      <c r="J1209" s="16" t="n"/>
      <c r="K1209" s="16" t="n"/>
      <c r="L1209" s="17" t="n"/>
      <c r="M1209" s="17" t="n"/>
      <c r="N1209" s="17" t="n"/>
      <c r="O1209" s="15" t="n"/>
      <c r="P1209" s="15" t="n"/>
      <c r="Q1209" s="18" t="inlineStr">
        <is>
          <t>https://www.sebi.gov.in/sebi_data/attachdocs/oct-2017/1509189141848.pdf</t>
        </is>
      </c>
      <c r="R1209" s="18" t="inlineStr">
        <is>
          <t>https://www.sebi.gov.in/filings/public-issues/oct-2017/acme-solar-holdings-limited_36152.html</t>
        </is>
      </c>
      <c r="S1209" s="15" t="n"/>
      <c r="T1209" s="15" t="n"/>
      <c r="U1209" s="15" t="n"/>
      <c r="V1209" s="15" t="inlineStr">
        <is>
          <t>Same-name IPO opened 06-Nov-2024 — outside 2 years of this filing, so not linked</t>
        </is>
      </c>
      <c r="W1209" s="25" t="n">
        <v>45602</v>
      </c>
      <c r="X1209" s="25" t="n">
        <v>45604</v>
      </c>
      <c r="Y1209" s="25" t="n">
        <v>45609</v>
      </c>
      <c r="Z1209" s="26" t="inlineStr">
        <is>
          <t>Later IPO — not from this draft</t>
        </is>
      </c>
      <c r="AA1209" s="15" t="inlineStr">
        <is>
          <t>Opened 7.1 yrs after this filing, under a later draft</t>
        </is>
      </c>
      <c r="AB1209" s="18" t="inlineStr">
        <is>
          <t>https://www.business-standard.com/markets/ipo/acme-solar-holdings-ltd-ipo-71636</t>
        </is>
      </c>
    </row>
    <row r="1210" ht="15" customHeight="1" s="12">
      <c r="A1210" s="14" t="n">
        <v>1209</v>
      </c>
      <c r="B1210" s="16" t="n">
        <v>43011</v>
      </c>
      <c r="C1210" s="15" t="n">
        <v>2017</v>
      </c>
      <c r="D1210" s="15" t="inlineStr">
        <is>
          <t>CMS Info Systems Limited</t>
        </is>
      </c>
      <c r="E1210" s="15" t="inlineStr">
        <is>
          <t>DRHP</t>
        </is>
      </c>
      <c r="F1210" s="15" t="inlineStr">
        <is>
          <t>CMS Info Systems Limited</t>
        </is>
      </c>
      <c r="G1210" s="15" t="inlineStr">
        <is>
          <t>No launched IPO found</t>
        </is>
      </c>
      <c r="H1210" s="15" t="n"/>
      <c r="I1210" s="16" t="n"/>
      <c r="J1210" s="16" t="n"/>
      <c r="K1210" s="16" t="n"/>
      <c r="L1210" s="17" t="n"/>
      <c r="M1210" s="17" t="n"/>
      <c r="N1210" s="17" t="n"/>
      <c r="O1210" s="15" t="n"/>
      <c r="P1210" s="15" t="n"/>
      <c r="Q1210" s="18" t="inlineStr">
        <is>
          <t>https://www.sebi.gov.in/sebi_data/attachdocs/oct-2017/1509189368588.pdf</t>
        </is>
      </c>
      <c r="R1210" s="18" t="inlineStr">
        <is>
          <t>https://www.sebi.gov.in/filings/public-issues/oct-2017/cms-info-systems-limited_36149.html</t>
        </is>
      </c>
      <c r="S1210" s="15" t="n"/>
      <c r="T1210" s="15" t="n"/>
      <c r="U1210" s="15" t="n"/>
      <c r="V1210" s="15" t="inlineStr">
        <is>
          <t>Same-name IPO opened 21-Dec-2021 — outside 2 years of this filing, so not linked</t>
        </is>
      </c>
      <c r="W1210" s="25" t="n">
        <v>44551</v>
      </c>
      <c r="X1210" s="25" t="n">
        <v>44553</v>
      </c>
      <c r="Y1210" s="25" t="n">
        <v>44561</v>
      </c>
      <c r="Z1210" s="26" t="inlineStr">
        <is>
          <t>Later IPO — not from this draft</t>
        </is>
      </c>
      <c r="AA1210" s="15" t="inlineStr">
        <is>
          <t>Opened 4.2 yrs after this filing, under a later draft</t>
        </is>
      </c>
      <c r="AB1210" s="18" t="inlineStr">
        <is>
          <t>https://www.business-standard.com/markets/ipo/cms-info-systems-ltd-ipo-44662</t>
        </is>
      </c>
    </row>
    <row r="1211" ht="15" customHeight="1" s="12">
      <c r="A1211" s="14" t="n">
        <v>1210</v>
      </c>
      <c r="B1211" s="16" t="n">
        <v>43007</v>
      </c>
      <c r="C1211" s="15" t="n">
        <v>2017</v>
      </c>
      <c r="D1211" s="15" t="inlineStr">
        <is>
          <t>Prince Pipes and Fittings Limited</t>
        </is>
      </c>
      <c r="E1211" s="15" t="inlineStr">
        <is>
          <t>DRHP</t>
        </is>
      </c>
      <c r="F1211" s="15" t="inlineStr">
        <is>
          <t>Prince Pipes and Fittings Limited</t>
        </is>
      </c>
      <c r="G1211" s="15" t="inlineStr">
        <is>
          <t>No launched IPO found</t>
        </is>
      </c>
      <c r="H1211" s="15" t="n"/>
      <c r="I1211" s="16" t="n"/>
      <c r="J1211" s="16" t="n"/>
      <c r="K1211" s="16" t="n"/>
      <c r="L1211" s="17" t="n"/>
      <c r="M1211" s="17" t="n"/>
      <c r="N1211" s="17" t="n"/>
      <c r="O1211" s="15" t="n"/>
      <c r="P1211" s="15" t="n"/>
      <c r="Q1211" s="18" t="inlineStr">
        <is>
          <t>https://www.sebi.gov.in/sebi_data/attachdocs/nov-2017/1511331299254.pdf</t>
        </is>
      </c>
      <c r="R1211" s="18" t="inlineStr">
        <is>
          <t>https://www.sebi.gov.in/filings/public-issues/sep-2017/prince-pipes-and-fittings-limited_36131.html</t>
        </is>
      </c>
      <c r="S1211" s="15" t="n"/>
      <c r="T1211" s="15" t="n"/>
      <c r="U1211" s="15" t="n"/>
      <c r="V1211" s="15" t="inlineStr">
        <is>
          <t>Same-name IPO opened 18-Dec-2019 — outside 2 years of this filing, so not linked</t>
        </is>
      </c>
      <c r="W1211" s="19" t="n">
        <v>43817</v>
      </c>
      <c r="X1211" s="19" t="n">
        <v>43819</v>
      </c>
      <c r="Y1211" s="19" t="n">
        <v>43829</v>
      </c>
      <c r="Z1211" s="20" t="inlineStr">
        <is>
          <t>Issue opened</t>
        </is>
      </c>
      <c r="AA1211" s="15" t="inlineStr">
        <is>
          <t>Taken from same company, row 1109 of this sheet</t>
        </is>
      </c>
      <c r="AB1211" s="15" t="n"/>
    </row>
    <row r="1212" ht="15" customHeight="1" s="12">
      <c r="A1212" s="14" t="n">
        <v>1211</v>
      </c>
      <c r="B1212" s="16" t="n">
        <v>43007</v>
      </c>
      <c r="C1212" s="15" t="n">
        <v>2017</v>
      </c>
      <c r="D1212" s="15" t="inlineStr">
        <is>
          <t>General Insurance Corporation of India</t>
        </is>
      </c>
      <c r="E1212" s="15" t="inlineStr">
        <is>
          <t>Corrigendum</t>
        </is>
      </c>
      <c r="F1212" s="15" t="inlineStr">
        <is>
          <t>General Insurance Corporation of India - Corrigendum to Draft Red Herring Prospectus</t>
        </is>
      </c>
      <c r="G1212" s="15" t="inlineStr">
        <is>
          <t>IPO launched</t>
        </is>
      </c>
      <c r="H1212" s="15" t="inlineStr">
        <is>
          <t>Mainboard</t>
        </is>
      </c>
      <c r="I1212" s="16" t="n">
        <v>43019</v>
      </c>
      <c r="J1212" s="16" t="n">
        <v>43021</v>
      </c>
      <c r="K1212" s="16" t="n">
        <v>43033</v>
      </c>
      <c r="L1212" s="17" t="n">
        <v>11175.84</v>
      </c>
      <c r="M1212" s="17" t="n">
        <v>11175.84</v>
      </c>
      <c r="N1212" s="17" t="n">
        <v>0</v>
      </c>
      <c r="O1212" s="15" t="inlineStr">
        <is>
          <t>Final issue (ipoplatform)</t>
        </is>
      </c>
      <c r="P1212" s="15" t="n"/>
      <c r="Q1212" s="18" t="inlineStr">
        <is>
          <t>https://www.sebi.gov.in/sebi_data/attachdocs/nov-2017/1510828304971.pdf</t>
        </is>
      </c>
      <c r="R1212" s="18" t="inlineStr">
        <is>
          <t>https://www.sebi.gov.in/filings/public-issues/sep-2017/general-insurance-corporation-of-india-corrigendum-to-draft-red-herring-prospectus_36126.html</t>
        </is>
      </c>
      <c r="S1212" s="15" t="n"/>
      <c r="T1212" s="15" t="inlineStr">
        <is>
          <t>Company name + date window</t>
        </is>
      </c>
      <c r="U1212" s="15" t="inlineStr">
        <is>
          <t>General Insurance Corporation of India</t>
        </is>
      </c>
      <c r="V1212" s="15" t="n"/>
      <c r="W1212" s="15" t="n"/>
      <c r="X1212" s="15" t="n"/>
      <c r="Y1212" s="15" t="n"/>
      <c r="Z1212" s="15" t="n"/>
      <c r="AA1212" s="15" t="n"/>
      <c r="AB1212" s="15" t="n"/>
    </row>
    <row r="1213" ht="15" customHeight="1" s="12">
      <c r="A1213" s="14" t="n">
        <v>1212</v>
      </c>
      <c r="B1213" s="16" t="n">
        <v>43006</v>
      </c>
      <c r="C1213" s="15" t="n">
        <v>2017</v>
      </c>
      <c r="D1213" s="15" t="inlineStr">
        <is>
          <t>H.G.Infra Engineering Limited</t>
        </is>
      </c>
      <c r="E1213" s="15" t="inlineStr">
        <is>
          <t>DRHP</t>
        </is>
      </c>
      <c r="F1213" s="15" t="inlineStr">
        <is>
          <t>H.G.Infra Engineering Limited</t>
        </is>
      </c>
      <c r="G1213" s="15" t="inlineStr">
        <is>
          <t>IPO launched</t>
        </is>
      </c>
      <c r="H1213" s="15" t="inlineStr">
        <is>
          <t>Mainboard</t>
        </is>
      </c>
      <c r="I1213" s="16" t="n">
        <v>43157</v>
      </c>
      <c r="J1213" s="16" t="n">
        <v>43159</v>
      </c>
      <c r="K1213" s="16" t="n">
        <v>43168</v>
      </c>
      <c r="L1213" s="17" t="n">
        <v>462</v>
      </c>
      <c r="M1213" s="17" t="n">
        <v>462</v>
      </c>
      <c r="N1213" s="17" t="n">
        <v>0</v>
      </c>
      <c r="O1213" s="15" t="inlineStr">
        <is>
          <t>Final issue (ipoplatform)</t>
        </is>
      </c>
      <c r="P1213" s="15" t="n"/>
      <c r="Q1213" s="18" t="inlineStr">
        <is>
          <t>https://www.sebi.gov.in/sebi_data/attachdocs/oct-2017/1509171299248.pdf</t>
        </is>
      </c>
      <c r="R1213" s="18" t="inlineStr">
        <is>
          <t>https://www.sebi.gov.in/filings/public-issues/sep-2017/h-g-infra-engineering-limited_36115.html</t>
        </is>
      </c>
      <c r="S1213" s="15" t="n"/>
      <c r="T1213" s="15" t="inlineStr">
        <is>
          <t>SEBI filing link</t>
        </is>
      </c>
      <c r="U1213" s="15" t="inlineStr">
        <is>
          <t>H.G. Infra Engineering Limited</t>
        </is>
      </c>
      <c r="V1213" s="15" t="n"/>
      <c r="W1213" s="15" t="n"/>
      <c r="X1213" s="15" t="n"/>
      <c r="Y1213" s="15" t="n"/>
      <c r="Z1213" s="15" t="n"/>
      <c r="AA1213" s="15" t="n"/>
      <c r="AB1213" s="15" t="n"/>
    </row>
    <row r="1214" ht="15" customHeight="1" s="12">
      <c r="A1214" s="14" t="n">
        <v>1213</v>
      </c>
      <c r="B1214" s="16" t="n">
        <v>43006</v>
      </c>
      <c r="C1214" s="15" t="n">
        <v>2017</v>
      </c>
      <c r="D1214" s="15" t="inlineStr">
        <is>
          <t>Newgen Software Technologies Limited</t>
        </is>
      </c>
      <c r="E1214" s="15" t="inlineStr">
        <is>
          <t>DRHP</t>
        </is>
      </c>
      <c r="F1214" s="15" t="inlineStr">
        <is>
          <t>Newgen Software Technologies Limited</t>
        </is>
      </c>
      <c r="G1214" s="15" t="inlineStr">
        <is>
          <t>IPO launched</t>
        </is>
      </c>
      <c r="H1214" s="15" t="inlineStr">
        <is>
          <t>Mainboard</t>
        </is>
      </c>
      <c r="I1214" s="16" t="n">
        <v>43116</v>
      </c>
      <c r="J1214" s="16" t="n">
        <v>43118</v>
      </c>
      <c r="K1214" s="16" t="n">
        <v>43129</v>
      </c>
      <c r="L1214" s="17" t="n">
        <v>424.62</v>
      </c>
      <c r="M1214" s="17" t="n">
        <v>424.62</v>
      </c>
      <c r="N1214" s="17" t="n">
        <v>0</v>
      </c>
      <c r="O1214" s="15" t="inlineStr">
        <is>
          <t>Final issue (ipoplatform)</t>
        </is>
      </c>
      <c r="P1214" s="15" t="n"/>
      <c r="Q1214" s="18" t="inlineStr">
        <is>
          <t>https://www.sebi.gov.in/sebi_data/attachdocs/oct-2017/1509171451854.PDF</t>
        </is>
      </c>
      <c r="R1214" s="18" t="inlineStr">
        <is>
          <t>https://www.sebi.gov.in/filings/public-issues/sep-2017/newgen-software-technologies-limited_36114.html</t>
        </is>
      </c>
      <c r="S1214" s="15" t="n"/>
      <c r="T1214" s="15" t="inlineStr">
        <is>
          <t>SEBI filing link</t>
        </is>
      </c>
      <c r="U1214" s="15" t="inlineStr">
        <is>
          <t>Newgen Software Technologies Limited</t>
        </is>
      </c>
      <c r="V1214" s="15" t="n"/>
      <c r="W1214" s="15" t="n"/>
      <c r="X1214" s="15" t="n"/>
      <c r="Y1214" s="15" t="n"/>
      <c r="Z1214" s="15" t="n"/>
      <c r="AA1214" s="15" t="n"/>
      <c r="AB1214" s="15" t="n"/>
    </row>
    <row r="1215" ht="15" customHeight="1" s="12">
      <c r="A1215" s="14" t="n">
        <v>1214</v>
      </c>
      <c r="B1215" s="16" t="n">
        <v>43003</v>
      </c>
      <c r="C1215" s="15" t="n">
        <v>2017</v>
      </c>
      <c r="D1215" s="15" t="inlineStr">
        <is>
          <t>Apollo Micro Systems Limited</t>
        </is>
      </c>
      <c r="E1215" s="15" t="inlineStr">
        <is>
          <t>DRHP</t>
        </is>
      </c>
      <c r="F1215" s="15" t="inlineStr">
        <is>
          <t>Apollo Micro Systems Limited</t>
        </is>
      </c>
      <c r="G1215" s="15" t="inlineStr">
        <is>
          <t>IPO launched</t>
        </is>
      </c>
      <c r="H1215" s="15" t="inlineStr">
        <is>
          <t>Mainboard</t>
        </is>
      </c>
      <c r="I1215" s="16" t="n">
        <v>43110</v>
      </c>
      <c r="J1215" s="16" t="n">
        <v>43112</v>
      </c>
      <c r="K1215" s="16" t="n">
        <v>43122</v>
      </c>
      <c r="L1215" s="17" t="n">
        <v>156</v>
      </c>
      <c r="M1215" s="17" t="n">
        <v>156</v>
      </c>
      <c r="N1215" s="17" t="n">
        <v>0</v>
      </c>
      <c r="O1215" s="15" t="inlineStr">
        <is>
          <t>Final issue (ipoplatform)</t>
        </is>
      </c>
      <c r="P1215" s="15" t="n"/>
      <c r="Q1215" s="18" t="inlineStr">
        <is>
          <t>https://www.sebi.gov.in/sebi_data/attachdocs/oct-2017/1509178113185.pdf</t>
        </is>
      </c>
      <c r="R1215" s="18" t="inlineStr">
        <is>
          <t>https://www.sebi.gov.in/filings/public-issues/sep-2017/apollo-micro-systems-limited_36048.html</t>
        </is>
      </c>
      <c r="S1215" s="15" t="n"/>
      <c r="T1215" s="15" t="inlineStr">
        <is>
          <t>SEBI filing link</t>
        </is>
      </c>
      <c r="U1215" s="15" t="inlineStr">
        <is>
          <t>Apollo Micro Systems Limited</t>
        </is>
      </c>
      <c r="V1215" s="15" t="n"/>
      <c r="W1215" s="15" t="n"/>
      <c r="X1215" s="15" t="n"/>
      <c r="Y1215" s="15" t="n"/>
      <c r="Z1215" s="15" t="n"/>
      <c r="AA1215" s="15" t="n"/>
      <c r="AB1215" s="15" t="n"/>
    </row>
    <row r="1216" ht="15" customHeight="1" s="12">
      <c r="A1216" s="14" t="n">
        <v>1215</v>
      </c>
      <c r="B1216" s="16" t="n">
        <v>43000</v>
      </c>
      <c r="C1216" s="15" t="n">
        <v>2017</v>
      </c>
      <c r="D1216" s="15" t="inlineStr">
        <is>
          <t>Lemon Tree Hotels Limited</t>
        </is>
      </c>
      <c r="E1216" s="15" t="inlineStr">
        <is>
          <t>DRHP</t>
        </is>
      </c>
      <c r="F1216" s="15" t="inlineStr">
        <is>
          <t>Lemon Tree Hotels Limited</t>
        </is>
      </c>
      <c r="G1216" s="15" t="inlineStr">
        <is>
          <t>IPO launched</t>
        </is>
      </c>
      <c r="H1216" s="15" t="inlineStr">
        <is>
          <t>Mainboard</t>
        </is>
      </c>
      <c r="I1216" s="16" t="n">
        <v>43185</v>
      </c>
      <c r="J1216" s="16" t="n">
        <v>43187</v>
      </c>
      <c r="K1216" s="16" t="n">
        <v>43199</v>
      </c>
      <c r="L1216" s="17" t="n">
        <v>1038.68</v>
      </c>
      <c r="M1216" s="17" t="n">
        <v>1038.68</v>
      </c>
      <c r="N1216" s="17" t="n">
        <v>0</v>
      </c>
      <c r="O1216" s="15" t="inlineStr">
        <is>
          <t>Final issue (ipoplatform)</t>
        </is>
      </c>
      <c r="P1216" s="15" t="n"/>
      <c r="Q1216" s="18" t="inlineStr">
        <is>
          <t>https://www.sebi.gov.in/sebi_data/attachdocs/oct-2017/1509179942020.pdf</t>
        </is>
      </c>
      <c r="R1216" s="18" t="inlineStr">
        <is>
          <t>https://www.sebi.gov.in/filings/public-issues/sep-2017/lemon-tree-hotels-limited_36022.html</t>
        </is>
      </c>
      <c r="S1216" s="15" t="n"/>
      <c r="T1216" s="15" t="inlineStr">
        <is>
          <t>SEBI filing link</t>
        </is>
      </c>
      <c r="U1216" s="15" t="inlineStr">
        <is>
          <t>Lemon Tree Hotels Limited</t>
        </is>
      </c>
      <c r="V1216" s="15" t="n"/>
      <c r="W1216" s="15" t="n"/>
      <c r="X1216" s="15" t="n"/>
      <c r="Y1216" s="15" t="n"/>
      <c r="Z1216" s="15" t="n"/>
      <c r="AA1216" s="15" t="n"/>
      <c r="AB1216" s="15" t="n"/>
    </row>
    <row r="1217" ht="15" customHeight="1" s="12">
      <c r="A1217" s="14" t="n">
        <v>1216</v>
      </c>
      <c r="B1217" s="16" t="n">
        <v>42979</v>
      </c>
      <c r="C1217" s="15" t="n">
        <v>2017</v>
      </c>
      <c r="D1217" s="15" t="inlineStr">
        <is>
          <t>Gandhar Oil Refinery (India) Limited</t>
        </is>
      </c>
      <c r="E1217" s="15" t="inlineStr">
        <is>
          <t>DRHP</t>
        </is>
      </c>
      <c r="F1217" s="15" t="inlineStr">
        <is>
          <t>Gandhar Oil Refinery (India) Limited</t>
        </is>
      </c>
      <c r="G1217" s="15" t="inlineStr">
        <is>
          <t>No launched IPO found</t>
        </is>
      </c>
      <c r="H1217" s="15" t="n"/>
      <c r="I1217" s="16" t="n"/>
      <c r="J1217" s="16" t="n"/>
      <c r="K1217" s="16" t="n"/>
      <c r="L1217" s="17" t="n"/>
      <c r="M1217" s="17" t="n"/>
      <c r="N1217" s="17" t="n"/>
      <c r="O1217" s="15" t="n"/>
      <c r="P1217" s="15" t="n"/>
      <c r="Q1217" s="18" t="inlineStr">
        <is>
          <t>https://www.sebi.gov.in/sebi_data/attachdocs/oct-2017/1509269001701.pdf</t>
        </is>
      </c>
      <c r="R1217" s="18" t="inlineStr">
        <is>
          <t>https://www.sebi.gov.in/filings/public-issues/sep-2017/gandhar-oil-refinery-india-limited_35803.html</t>
        </is>
      </c>
      <c r="S1217" s="15" t="n"/>
      <c r="T1217" s="15" t="n"/>
      <c r="U1217" s="15" t="n"/>
      <c r="V1217" s="15" t="inlineStr">
        <is>
          <t>Same-name IPO opened 22-Nov-2023 — outside 2 years of this filing, so not linked</t>
        </is>
      </c>
      <c r="W1217" s="25" t="n">
        <v>45252</v>
      </c>
      <c r="X1217" s="25" t="n">
        <v>45254</v>
      </c>
      <c r="Y1217" s="25" t="n">
        <v>45260</v>
      </c>
      <c r="Z1217" s="26" t="inlineStr">
        <is>
          <t>Later IPO — not from this draft</t>
        </is>
      </c>
      <c r="AA1217" s="15" t="inlineStr">
        <is>
          <t>Opened 6.2 yrs after this filing, under a later draft</t>
        </is>
      </c>
      <c r="AB1217" s="18" t="inlineStr">
        <is>
          <t>https://www.business-standard.com/markets/ipo/gandhar-oil-refinery-india-ltd-ipo-38912</t>
        </is>
      </c>
    </row>
    <row r="1218" ht="15" customHeight="1" s="12">
      <c r="A1218" s="14" t="n">
        <v>1217</v>
      </c>
      <c r="B1218" s="16" t="n">
        <v>42978</v>
      </c>
      <c r="C1218" s="15" t="n">
        <v>2017</v>
      </c>
      <c r="D1218" s="15" t="inlineStr">
        <is>
          <t>ICICI Lombard General Insurance Company Limited</t>
        </is>
      </c>
      <c r="E1218" s="15" t="inlineStr">
        <is>
          <t>Corrigendum</t>
        </is>
      </c>
      <c r="F1218" s="15" t="inlineStr">
        <is>
          <t>ICICI Lombard General Insurance Company Limited - Corrigendum</t>
        </is>
      </c>
      <c r="G1218" s="15" t="inlineStr">
        <is>
          <t>IPO launched</t>
        </is>
      </c>
      <c r="H1218" s="15" t="inlineStr">
        <is>
          <t>Mainboard</t>
        </is>
      </c>
      <c r="I1218" s="16" t="n">
        <v>42993</v>
      </c>
      <c r="J1218" s="16" t="n">
        <v>42997</v>
      </c>
      <c r="K1218" s="16" t="n">
        <v>43005</v>
      </c>
      <c r="L1218" s="17" t="n">
        <v>5700.94</v>
      </c>
      <c r="M1218" s="17" t="n">
        <v>5700.94</v>
      </c>
      <c r="N1218" s="17" t="n">
        <v>0</v>
      </c>
      <c r="O1218" s="15" t="inlineStr">
        <is>
          <t>Final issue (ipoplatform)</t>
        </is>
      </c>
      <c r="P1218" s="15" t="n"/>
      <c r="Q1218" s="18" t="inlineStr">
        <is>
          <t>https://www.sebi.gov.in/sebi_data/attachdocs/nov-2017/1510829732919.pdf</t>
        </is>
      </c>
      <c r="R1218" s="18" t="inlineStr">
        <is>
          <t>https://www.sebi.gov.in/filings/public-issues/aug-2017/icici-lombard-general-insurance-company-limited-corrigendum_35774.html</t>
        </is>
      </c>
      <c r="S1218" s="15" t="n"/>
      <c r="T1218" s="15" t="inlineStr">
        <is>
          <t>Company name + date window</t>
        </is>
      </c>
      <c r="U1218" s="15" t="inlineStr">
        <is>
          <t>ICICI Lombard General Insurance Company Limited</t>
        </is>
      </c>
      <c r="V1218" s="15" t="n"/>
      <c r="W1218" s="15" t="n"/>
      <c r="X1218" s="15" t="n"/>
      <c r="Y1218" s="15" t="n"/>
      <c r="Z1218" s="15" t="n"/>
      <c r="AA1218" s="15" t="n"/>
      <c r="AB1218" s="15" t="n"/>
    </row>
    <row r="1219" ht="15" customHeight="1" s="12">
      <c r="A1219" s="14" t="n">
        <v>1218</v>
      </c>
      <c r="B1219" s="16" t="n">
        <v>42975</v>
      </c>
      <c r="C1219" s="15" t="n">
        <v>2017</v>
      </c>
      <c r="D1219" s="15" t="inlineStr">
        <is>
          <t>Future Supply Chain Solutions Limited</t>
        </is>
      </c>
      <c r="E1219" s="15" t="inlineStr">
        <is>
          <t>DRHP</t>
        </is>
      </c>
      <c r="F1219" s="15" t="inlineStr">
        <is>
          <t>Future Supply Chain Solutions Limited</t>
        </is>
      </c>
      <c r="G1219" s="15" t="inlineStr">
        <is>
          <t>IPO launched</t>
        </is>
      </c>
      <c r="H1219" s="15" t="inlineStr">
        <is>
          <t>Mainboard</t>
        </is>
      </c>
      <c r="I1219" s="16" t="n">
        <v>43075</v>
      </c>
      <c r="J1219" s="16" t="n">
        <v>43077</v>
      </c>
      <c r="K1219" s="16" t="n">
        <v>43087</v>
      </c>
      <c r="L1219" s="17" t="n">
        <v>649.7</v>
      </c>
      <c r="M1219" s="17" t="n">
        <v>649.7</v>
      </c>
      <c r="N1219" s="17" t="n">
        <v>0</v>
      </c>
      <c r="O1219" s="15" t="inlineStr">
        <is>
          <t>Final issue (ipoplatform)</t>
        </is>
      </c>
      <c r="P1219" s="15" t="n"/>
      <c r="Q1219" s="18" t="inlineStr">
        <is>
          <t>https://www.sebi.gov.in/sebi_data/attachdocs/oct-2017/1509433067382.pdf</t>
        </is>
      </c>
      <c r="R1219" s="18" t="inlineStr">
        <is>
          <t>https://www.sebi.gov.in/filings/public-issues/aug-2017/future-supply-chain-solutions-limited_35751.html</t>
        </is>
      </c>
      <c r="S1219" s="15" t="n"/>
      <c r="T1219" s="15" t="inlineStr">
        <is>
          <t>Company name + date window</t>
        </is>
      </c>
      <c r="U1219" s="15" t="inlineStr">
        <is>
          <t>Future Supply Chain Solutions Limited</t>
        </is>
      </c>
      <c r="V1219" s="15" t="n"/>
      <c r="W1219" s="15" t="n"/>
      <c r="X1219" s="15" t="n"/>
      <c r="Y1219" s="15" t="n"/>
      <c r="Z1219" s="15" t="n"/>
      <c r="AA1219" s="15" t="n"/>
      <c r="AB1219" s="15" t="n"/>
    </row>
    <row r="1220" ht="15" customHeight="1" s="12">
      <c r="A1220" s="14" t="n">
        <v>1219</v>
      </c>
      <c r="B1220" s="16" t="n">
        <v>42971</v>
      </c>
      <c r="C1220" s="15" t="n">
        <v>2017</v>
      </c>
      <c r="D1220" s="15" t="inlineStr">
        <is>
          <t>HDFC Standard Life Insurance Company Limited</t>
        </is>
      </c>
      <c r="E1220" s="15" t="inlineStr">
        <is>
          <t>Corrigendum</t>
        </is>
      </c>
      <c r="F1220" s="15" t="inlineStr">
        <is>
          <t>HDFC Standard Life Insurance Company Limited - Corrigendum to DRHP</t>
        </is>
      </c>
      <c r="G1220" s="15" t="inlineStr">
        <is>
          <t>IPO launched</t>
        </is>
      </c>
      <c r="H1220" s="15" t="inlineStr">
        <is>
          <t>Mainboard</t>
        </is>
      </c>
      <c r="I1220" s="16" t="n">
        <v>43046</v>
      </c>
      <c r="J1220" s="16" t="n">
        <v>43048</v>
      </c>
      <c r="K1220" s="16" t="n">
        <v>43056</v>
      </c>
      <c r="L1220" s="17" t="n">
        <v>8695.01</v>
      </c>
      <c r="M1220" s="17" t="n">
        <v>8695.01</v>
      </c>
      <c r="N1220" s="17" t="n">
        <v>0</v>
      </c>
      <c r="O1220" s="15" t="inlineStr">
        <is>
          <t>Final issue (ipoplatform)</t>
        </is>
      </c>
      <c r="P1220" s="15" t="n"/>
      <c r="Q1220" s="18" t="inlineStr">
        <is>
          <t>https://www.sebi.gov.in/sebi_data/attachdocs/nov-2017/1510830888925.pdf</t>
        </is>
      </c>
      <c r="R1220" s="18" t="inlineStr">
        <is>
          <t>https://www.sebi.gov.in/filings/public-issues/aug-2017/hdfc-standard-life-insurance-company-limited-corrigendum-to-drhp_35716.html</t>
        </is>
      </c>
      <c r="S1220" s="15" t="n"/>
      <c r="T1220" s="15" t="inlineStr">
        <is>
          <t>Company name + date window</t>
        </is>
      </c>
      <c r="U1220" s="15" t="inlineStr">
        <is>
          <t>HDFC Standard Life Insurance Company Limited</t>
        </is>
      </c>
      <c r="V1220" s="15" t="n"/>
      <c r="W1220" s="15" t="n"/>
      <c r="X1220" s="15" t="n"/>
      <c r="Y1220" s="15" t="n"/>
      <c r="Z1220" s="15" t="n"/>
      <c r="AA1220" s="15" t="n"/>
      <c r="AB1220" s="15" t="n"/>
    </row>
    <row r="1221" ht="15" customHeight="1" s="12">
      <c r="A1221" s="14" t="n">
        <v>1220</v>
      </c>
      <c r="B1221" s="16" t="n">
        <v>42971</v>
      </c>
      <c r="C1221" s="15" t="n">
        <v>2017</v>
      </c>
      <c r="D1221" s="15" t="inlineStr">
        <is>
          <t>HDFC Standard Life Insurance Company Limited</t>
        </is>
      </c>
      <c r="E1221" s="15" t="inlineStr">
        <is>
          <t>DRHP</t>
        </is>
      </c>
      <c r="F1221" s="15" t="inlineStr">
        <is>
          <t>HDFC Standard Life Insurance Company Limited</t>
        </is>
      </c>
      <c r="G1221" s="15" t="inlineStr">
        <is>
          <t>IPO launched</t>
        </is>
      </c>
      <c r="H1221" s="15" t="inlineStr">
        <is>
          <t>Mainboard</t>
        </is>
      </c>
      <c r="I1221" s="16" t="n">
        <v>43046</v>
      </c>
      <c r="J1221" s="16" t="n">
        <v>43048</v>
      </c>
      <c r="K1221" s="16" t="n">
        <v>43056</v>
      </c>
      <c r="L1221" s="17" t="n">
        <v>8695.01</v>
      </c>
      <c r="M1221" s="17" t="n">
        <v>8695.01</v>
      </c>
      <c r="N1221" s="17" t="n">
        <v>0</v>
      </c>
      <c r="O1221" s="15" t="inlineStr">
        <is>
          <t>Final issue (ipoplatform)</t>
        </is>
      </c>
      <c r="P1221" s="15" t="n"/>
      <c r="Q1221" s="18" t="inlineStr">
        <is>
          <t>https://www.sebi.gov.in/sebi_data/attachdocs/nov-2017/1510831240661.pdf</t>
        </is>
      </c>
      <c r="R1221" s="18" t="inlineStr">
        <is>
          <t>https://www.sebi.gov.in/filings/public-issues/aug-2017/hdfc-standard-life-insurance-company-limited_35715.html</t>
        </is>
      </c>
      <c r="S1221" s="15" t="n"/>
      <c r="T1221" s="15" t="inlineStr">
        <is>
          <t>SEBI filing link</t>
        </is>
      </c>
      <c r="U1221" s="15" t="inlineStr">
        <is>
          <t>HDFC Standard Life Insurance Company Limited</t>
        </is>
      </c>
      <c r="V1221" s="15" t="n"/>
      <c r="W1221" s="15" t="n"/>
      <c r="X1221" s="15" t="n"/>
      <c r="Y1221" s="15" t="n"/>
      <c r="Z1221" s="15" t="n"/>
      <c r="AA1221" s="15" t="n"/>
      <c r="AB1221" s="15" t="n"/>
    </row>
    <row r="1222" ht="15" customHeight="1" s="12">
      <c r="A1222" s="14" t="n">
        <v>1221</v>
      </c>
      <c r="B1222" s="16" t="n">
        <v>42969</v>
      </c>
      <c r="C1222" s="15" t="n">
        <v>2017</v>
      </c>
      <c r="D1222" s="15" t="inlineStr">
        <is>
          <t>Reliance Nippon Life Asset Management Limited</t>
        </is>
      </c>
      <c r="E1222" s="15" t="inlineStr">
        <is>
          <t>DRHP</t>
        </is>
      </c>
      <c r="F1222" s="15" t="inlineStr">
        <is>
          <t>Reliance Nippon Life Asset Management Limited</t>
        </is>
      </c>
      <c r="G1222" s="15" t="inlineStr">
        <is>
          <t>IPO launched</t>
        </is>
      </c>
      <c r="H1222" s="15" t="inlineStr">
        <is>
          <t>Mainboard</t>
        </is>
      </c>
      <c r="I1222" s="16" t="n">
        <v>43033</v>
      </c>
      <c r="J1222" s="16" t="n">
        <v>43035</v>
      </c>
      <c r="K1222" s="16" t="n">
        <v>43045</v>
      </c>
      <c r="L1222" s="17" t="n">
        <v>1542.24</v>
      </c>
      <c r="M1222" s="17" t="n">
        <v>1542.24</v>
      </c>
      <c r="N1222" s="17" t="n">
        <v>0</v>
      </c>
      <c r="O1222" s="15" t="inlineStr">
        <is>
          <t>Final issue (ipoplatform)</t>
        </is>
      </c>
      <c r="P1222" s="15" t="n"/>
      <c r="Q1222" s="18" t="inlineStr">
        <is>
          <t>https://www.sebi.gov.in/sebi_data/attachdocs/oct-2017/1509447884660.pdf</t>
        </is>
      </c>
      <c r="R1222" s="18" t="inlineStr">
        <is>
          <t>https://www.sebi.gov.in/filings/public-issues/aug-2017/reliance-nippon-life-asset-management-limited_35674.html</t>
        </is>
      </c>
      <c r="S1222" s="15" t="n"/>
      <c r="T1222" s="15" t="inlineStr">
        <is>
          <t>SEBI filing link</t>
        </is>
      </c>
      <c r="U1222" s="15" t="inlineStr">
        <is>
          <t>Reliance Nippon Life Asset Management Limited</t>
        </is>
      </c>
      <c r="V1222" s="15" t="n"/>
      <c r="W1222" s="15" t="n"/>
      <c r="X1222" s="15" t="n"/>
      <c r="Y1222" s="15" t="n"/>
      <c r="Z1222" s="15" t="n"/>
      <c r="AA1222" s="15" t="n"/>
      <c r="AB1222" s="15" t="n"/>
    </row>
    <row r="1223" ht="15" customHeight="1" s="12">
      <c r="A1223" s="14" t="n">
        <v>1222</v>
      </c>
      <c r="B1223" s="16" t="n">
        <v>42968</v>
      </c>
      <c r="C1223" s="15" t="n">
        <v>2017</v>
      </c>
      <c r="D1223" s="15" t="inlineStr">
        <is>
          <t>HDFC Standard Life Insurance Company Limited</t>
        </is>
      </c>
      <c r="E1223" s="15" t="inlineStr">
        <is>
          <t>DRHP</t>
        </is>
      </c>
      <c r="F1223" s="15" t="inlineStr">
        <is>
          <t>HDFC Standard Life Insurance Company Limited</t>
        </is>
      </c>
      <c r="G1223" s="15" t="inlineStr">
        <is>
          <t>IPO launched</t>
        </is>
      </c>
      <c r="H1223" s="15" t="inlineStr">
        <is>
          <t>Mainboard</t>
        </is>
      </c>
      <c r="I1223" s="16" t="n">
        <v>43046</v>
      </c>
      <c r="J1223" s="16" t="n">
        <v>43048</v>
      </c>
      <c r="K1223" s="16" t="n">
        <v>43056</v>
      </c>
      <c r="L1223" s="17" t="n">
        <v>8695.01</v>
      </c>
      <c r="M1223" s="17" t="n">
        <v>8695.01</v>
      </c>
      <c r="N1223" s="17" t="n">
        <v>0</v>
      </c>
      <c r="O1223" s="15" t="inlineStr">
        <is>
          <t>Final issue (ipoplatform)</t>
        </is>
      </c>
      <c r="P1223" s="15" t="n"/>
      <c r="Q1223" s="18" t="inlineStr">
        <is>
          <t>https://www.sebi.gov.in/sebi_data/attachdocs/oct-2017/1509453352229.pdf</t>
        </is>
      </c>
      <c r="R1223" s="18" t="inlineStr">
        <is>
          <t>https://www.sebi.gov.in/filings/public-issues/aug-2017/hdfc-standard-life-insurance-company-limited_35667.html</t>
        </is>
      </c>
      <c r="S1223" s="15" t="n"/>
      <c r="T1223" s="15" t="inlineStr">
        <is>
          <t>Company name + date window</t>
        </is>
      </c>
      <c r="U1223" s="15" t="inlineStr">
        <is>
          <t>HDFC Standard Life Insurance Company Limited</t>
        </is>
      </c>
      <c r="V1223" s="15" t="n"/>
      <c r="W1223" s="15" t="n"/>
      <c r="X1223" s="15" t="n"/>
      <c r="Y1223" s="15" t="n"/>
      <c r="Z1223" s="15" t="n"/>
      <c r="AA1223" s="15" t="n"/>
      <c r="AB1223" s="15" t="n"/>
    </row>
    <row r="1224" ht="15" customHeight="1" s="12">
      <c r="A1224" s="14" t="n">
        <v>1223</v>
      </c>
      <c r="B1224" s="16" t="n">
        <v>42968</v>
      </c>
      <c r="C1224" s="15" t="n">
        <v>2017</v>
      </c>
      <c r="D1224" s="15" t="inlineStr">
        <is>
          <t>Barbeque -Nation Hospitality Limited</t>
        </is>
      </c>
      <c r="E1224" s="15" t="inlineStr">
        <is>
          <t>DRHP</t>
        </is>
      </c>
      <c r="F1224" s="15" t="inlineStr">
        <is>
          <t>Barbeque -Nation Hospitality Limited</t>
        </is>
      </c>
      <c r="G1224" s="15" t="inlineStr">
        <is>
          <t>No launched IPO found</t>
        </is>
      </c>
      <c r="H1224" s="15" t="n"/>
      <c r="I1224" s="16" t="n"/>
      <c r="J1224" s="16" t="n"/>
      <c r="K1224" s="16" t="n"/>
      <c r="L1224" s="17" t="n"/>
      <c r="M1224" s="17" t="n"/>
      <c r="N1224" s="17" t="n"/>
      <c r="O1224" s="15" t="n"/>
      <c r="P1224" s="15" t="n"/>
      <c r="Q1224" s="18" t="inlineStr">
        <is>
          <t>https://www.sebi.gov.in/sebi_data/attachdocs/oct-2017/1509458014500.pdf</t>
        </is>
      </c>
      <c r="R1224" s="18" t="inlineStr">
        <is>
          <t>https://www.sebi.gov.in/filings/public-issues/aug-2017/barbeque-nation-hospitality-limited_35647.html</t>
        </is>
      </c>
      <c r="S1224" s="15" t="n"/>
      <c r="T1224" s="15" t="n"/>
      <c r="U1224" s="15" t="n"/>
      <c r="V1224" s="15" t="inlineStr">
        <is>
          <t>Same-name IPO opened 24-Mar-2021 — outside 2 years of this filing, so not linked</t>
        </is>
      </c>
      <c r="W1224" s="25" t="n">
        <v>44279</v>
      </c>
      <c r="X1224" s="25" t="n">
        <v>44281</v>
      </c>
      <c r="Y1224" s="25" t="n">
        <v>44293</v>
      </c>
      <c r="Z1224" s="26" t="inlineStr">
        <is>
          <t>Later IPO — not from this draft</t>
        </is>
      </c>
      <c r="AA1224" s="15" t="inlineStr">
        <is>
          <t>Opened 3.6 yrs after this filing, under a later draft</t>
        </is>
      </c>
      <c r="AB1224" s="18" t="inlineStr">
        <is>
          <t>https://www.chittorgarh.com/ipo/barbeque-nation-ipo/1102/</t>
        </is>
      </c>
    </row>
    <row r="1225" ht="15" customHeight="1" s="12">
      <c r="A1225" s="14" t="n">
        <v>1224</v>
      </c>
      <c r="B1225" s="16" t="n">
        <v>42965</v>
      </c>
      <c r="C1225" s="15" t="n">
        <v>2017</v>
      </c>
      <c r="D1225" s="15" t="inlineStr">
        <is>
          <t>Bharat Road Network Ltd</t>
        </is>
      </c>
      <c r="E1225" s="15" t="inlineStr">
        <is>
          <t>Corrigendum</t>
        </is>
      </c>
      <c r="F1225" s="15" t="inlineStr">
        <is>
          <t>Bharat Road Network Ltd - Corrigendum to DRHP</t>
        </is>
      </c>
      <c r="G1225" s="15" t="inlineStr">
        <is>
          <t>IPO launched</t>
        </is>
      </c>
      <c r="H1225" s="15" t="inlineStr">
        <is>
          <t>Mainboard</t>
        </is>
      </c>
      <c r="I1225" s="16" t="n">
        <v>42984</v>
      </c>
      <c r="J1225" s="16" t="n">
        <v>42986</v>
      </c>
      <c r="K1225" s="16" t="n">
        <v>42996</v>
      </c>
      <c r="L1225" s="17" t="n">
        <v>600.65</v>
      </c>
      <c r="M1225" s="17" t="n">
        <v>600.65</v>
      </c>
      <c r="N1225" s="17" t="n">
        <v>0</v>
      </c>
      <c r="O1225" s="15" t="inlineStr">
        <is>
          <t>Final issue (ipoplatform)</t>
        </is>
      </c>
      <c r="P1225" s="15" t="n"/>
      <c r="Q1225" s="18" t="inlineStr">
        <is>
          <t>https://www.sebi.gov.in/sebi_data/attachdocs/oct-2017/1509459052314.pdf</t>
        </is>
      </c>
      <c r="R1225" s="18" t="inlineStr">
        <is>
          <t>https://www.sebi.gov.in/filings/public-issues/aug-2017/bharat-road-network-ltd-corrigendum-to-drhp_35641.html</t>
        </is>
      </c>
      <c r="S1225" s="15" t="n"/>
      <c r="T1225" s="15" t="inlineStr">
        <is>
          <t>Company name + date window</t>
        </is>
      </c>
      <c r="U1225" s="15" t="inlineStr">
        <is>
          <t>Bharat Road Network Limited</t>
        </is>
      </c>
      <c r="V1225" s="15" t="n"/>
      <c r="W1225" s="15" t="n"/>
      <c r="X1225" s="15" t="n"/>
      <c r="Y1225" s="15" t="n"/>
      <c r="Z1225" s="15" t="n"/>
      <c r="AA1225" s="15" t="n"/>
      <c r="AB1225" s="15" t="n"/>
    </row>
    <row r="1226" ht="15" customHeight="1" s="12">
      <c r="A1226" s="14" t="n">
        <v>1225</v>
      </c>
      <c r="B1226" s="16" t="n">
        <v>42961</v>
      </c>
      <c r="C1226" s="15" t="n">
        <v>2017</v>
      </c>
      <c r="D1226" s="15" t="inlineStr">
        <is>
          <t>Aster DM Healthcare Limited</t>
        </is>
      </c>
      <c r="E1226" s="15" t="inlineStr">
        <is>
          <t>DRHP</t>
        </is>
      </c>
      <c r="F1226" s="15" t="inlineStr">
        <is>
          <t>Aster DM Healthcare Limited</t>
        </is>
      </c>
      <c r="G1226" s="15" t="inlineStr">
        <is>
          <t>IPO launched</t>
        </is>
      </c>
      <c r="H1226" s="15" t="inlineStr">
        <is>
          <t>Mainboard</t>
        </is>
      </c>
      <c r="I1226" s="16" t="n">
        <v>43143</v>
      </c>
      <c r="J1226" s="16" t="n">
        <v>43146</v>
      </c>
      <c r="K1226" s="16" t="n">
        <v>43157</v>
      </c>
      <c r="L1226" s="17" t="n">
        <v>980.14</v>
      </c>
      <c r="M1226" s="17" t="n">
        <v>980.14</v>
      </c>
      <c r="N1226" s="17" t="n">
        <v>0</v>
      </c>
      <c r="O1226" s="15" t="inlineStr">
        <is>
          <t>Final issue (ipoplatform)</t>
        </is>
      </c>
      <c r="P1226" s="15" t="n"/>
      <c r="Q1226" s="18" t="inlineStr">
        <is>
          <t>https://www.sebi.gov.in/sebi_data/attachdocs/nov-2017/1510737201640.pdf</t>
        </is>
      </c>
      <c r="R1226" s="18" t="inlineStr">
        <is>
          <t>https://www.sebi.gov.in/filings/public-issues/aug-2017/aster-dm-healthcare-limited_35613.html</t>
        </is>
      </c>
      <c r="S1226" s="15" t="n"/>
      <c r="T1226" s="15" t="inlineStr">
        <is>
          <t>SEBI filing link</t>
        </is>
      </c>
      <c r="U1226" s="15" t="inlineStr">
        <is>
          <t>Aster DM Healthcare Limited</t>
        </is>
      </c>
      <c r="V1226" s="15" t="n"/>
      <c r="W1226" s="15" t="n"/>
      <c r="X1226" s="15" t="n"/>
      <c r="Y1226" s="15" t="n"/>
      <c r="Z1226" s="15" t="n"/>
      <c r="AA1226" s="15" t="n"/>
      <c r="AB1226" s="15" t="n"/>
    </row>
    <row r="1227" ht="15" customHeight="1" s="12">
      <c r="A1227" s="14" t="n">
        <v>1226</v>
      </c>
      <c r="B1227" s="16" t="n">
        <v>42958</v>
      </c>
      <c r="C1227" s="15" t="n">
        <v>2017</v>
      </c>
      <c r="D1227" s="15" t="inlineStr">
        <is>
          <t>The New India Assurance Company Limited</t>
        </is>
      </c>
      <c r="E1227" s="15" t="inlineStr">
        <is>
          <t>DRHP</t>
        </is>
      </c>
      <c r="F1227" s="15" t="inlineStr">
        <is>
          <t>The New India Assurance Company Limited</t>
        </is>
      </c>
      <c r="G1227" s="15" t="inlineStr">
        <is>
          <t>IPO launched</t>
        </is>
      </c>
      <c r="H1227" s="15" t="inlineStr">
        <is>
          <t>Mainboard</t>
        </is>
      </c>
      <c r="I1227" s="16" t="n">
        <v>43040</v>
      </c>
      <c r="J1227" s="16" t="n">
        <v>43045</v>
      </c>
      <c r="K1227" s="16" t="n">
        <v>43052</v>
      </c>
      <c r="L1227" s="17" t="n">
        <v>9600</v>
      </c>
      <c r="M1227" s="17" t="n">
        <v>9600</v>
      </c>
      <c r="N1227" s="17" t="n">
        <v>0</v>
      </c>
      <c r="O1227" s="15" t="inlineStr">
        <is>
          <t>Final issue (ipoplatform)</t>
        </is>
      </c>
      <c r="P1227" s="15" t="n"/>
      <c r="Q1227" s="18" t="inlineStr">
        <is>
          <t>https://www.sebi.gov.in/sebi_data/attachdocs/nov-2017/1510840174853.pdf</t>
        </is>
      </c>
      <c r="R1227" s="18" t="inlineStr">
        <is>
          <t>https://www.sebi.gov.in/filings/public-issues/aug-2017/the-new-india-assurance-company-limited_35602.html</t>
        </is>
      </c>
      <c r="S1227" s="15" t="n"/>
      <c r="T1227" s="15" t="inlineStr">
        <is>
          <t>SEBI filing link</t>
        </is>
      </c>
      <c r="U1227" s="15" t="inlineStr">
        <is>
          <t>The New India Assurance Company Limited</t>
        </is>
      </c>
      <c r="V1227" s="15" t="n"/>
      <c r="W1227" s="15" t="n"/>
      <c r="X1227" s="15" t="n"/>
      <c r="Y1227" s="15" t="n"/>
      <c r="Z1227" s="15" t="n"/>
      <c r="AA1227" s="15" t="n"/>
      <c r="AB1227" s="15" t="n"/>
    </row>
    <row r="1228" ht="15" customHeight="1" s="12">
      <c r="A1228" s="14" t="n">
        <v>1227</v>
      </c>
      <c r="B1228" s="16" t="n">
        <v>42955</v>
      </c>
      <c r="C1228" s="15" t="n">
        <v>2017</v>
      </c>
      <c r="D1228" s="15" t="inlineStr">
        <is>
          <t>General Insurance Corporation of India</t>
        </is>
      </c>
      <c r="E1228" s="15" t="inlineStr">
        <is>
          <t>DRHP</t>
        </is>
      </c>
      <c r="F1228" s="15" t="inlineStr">
        <is>
          <t>General Insurance Corporation of India</t>
        </is>
      </c>
      <c r="G1228" s="15" t="inlineStr">
        <is>
          <t>IPO launched</t>
        </is>
      </c>
      <c r="H1228" s="15" t="inlineStr">
        <is>
          <t>Mainboard</t>
        </is>
      </c>
      <c r="I1228" s="16" t="n">
        <v>43019</v>
      </c>
      <c r="J1228" s="16" t="n">
        <v>43021</v>
      </c>
      <c r="K1228" s="16" t="n">
        <v>43033</v>
      </c>
      <c r="L1228" s="17" t="n">
        <v>11175.84</v>
      </c>
      <c r="M1228" s="17" t="n">
        <v>11175.84</v>
      </c>
      <c r="N1228" s="17" t="n">
        <v>0</v>
      </c>
      <c r="O1228" s="15" t="inlineStr">
        <is>
          <t>Final issue (ipoplatform)</t>
        </is>
      </c>
      <c r="P1228" s="15" t="n"/>
      <c r="Q1228" s="18" t="inlineStr">
        <is>
          <t>https://www.sebi.gov.in/sebi_data/attachdocs/nov-2017/1510902617562.pdf</t>
        </is>
      </c>
      <c r="R1228" s="18" t="inlineStr">
        <is>
          <t>https://www.sebi.gov.in/filings/public-issues/aug-2017/general-insurance-corporation-of-india_35566.html</t>
        </is>
      </c>
      <c r="S1228" s="15" t="n"/>
      <c r="T1228" s="15" t="inlineStr">
        <is>
          <t>SEBI filing link</t>
        </is>
      </c>
      <c r="U1228" s="15" t="inlineStr">
        <is>
          <t>General Insurance Corporation of India</t>
        </is>
      </c>
      <c r="V1228" s="15" t="n"/>
      <c r="W1228" s="15" t="n"/>
      <c r="X1228" s="15" t="n"/>
      <c r="Y1228" s="15" t="n"/>
      <c r="Z1228" s="15" t="n"/>
      <c r="AA1228" s="15" t="n"/>
      <c r="AB1228" s="15" t="n"/>
    </row>
    <row r="1229" ht="15" customHeight="1" s="12">
      <c r="A1229" s="14" t="n">
        <v>1228</v>
      </c>
      <c r="B1229" s="16" t="n">
        <v>42955</v>
      </c>
      <c r="C1229" s="15" t="n">
        <v>2017</v>
      </c>
      <c r="D1229" s="15" t="inlineStr">
        <is>
          <t>Mahindra Logistics Limited</t>
        </is>
      </c>
      <c r="E1229" s="15" t="inlineStr">
        <is>
          <t>DRHP</t>
        </is>
      </c>
      <c r="F1229" s="15" t="inlineStr">
        <is>
          <t>Mahindra Logistics Limited</t>
        </is>
      </c>
      <c r="G1229" s="15" t="inlineStr">
        <is>
          <t>IPO launched</t>
        </is>
      </c>
      <c r="H1229" s="15" t="inlineStr">
        <is>
          <t>Mainboard</t>
        </is>
      </c>
      <c r="I1229" s="16" t="n">
        <v>43039</v>
      </c>
      <c r="J1229" s="16" t="n">
        <v>43041</v>
      </c>
      <c r="K1229" s="16" t="n">
        <v>43049</v>
      </c>
      <c r="L1229" s="17" t="n">
        <v>829.36</v>
      </c>
      <c r="M1229" s="17" t="n">
        <v>829.36</v>
      </c>
      <c r="N1229" s="17" t="n">
        <v>0</v>
      </c>
      <c r="O1229" s="15" t="inlineStr">
        <is>
          <t>Final issue (ipoplatform)</t>
        </is>
      </c>
      <c r="P1229" s="15" t="n"/>
      <c r="Q1229" s="18" t="inlineStr">
        <is>
          <t>https://www.sebi.gov.in/sebi_data/attachdocs/nov-2017/1510901765877.pdf</t>
        </is>
      </c>
      <c r="R1229" s="18" t="inlineStr">
        <is>
          <t>https://www.sebi.gov.in/filings/public-issues/aug-2017/mahindra-logistics-limited_35555.html</t>
        </is>
      </c>
      <c r="S1229" s="15" t="n"/>
      <c r="T1229" s="15" t="inlineStr">
        <is>
          <t>SEBI filing link</t>
        </is>
      </c>
      <c r="U1229" s="15" t="inlineStr">
        <is>
          <t>Mahindra Logistics Limited</t>
        </is>
      </c>
      <c r="V1229" s="15" t="n"/>
      <c r="W1229" s="15" t="n"/>
      <c r="X1229" s="15" t="n"/>
      <c r="Y1229" s="15" t="n"/>
      <c r="Z1229" s="15" t="n"/>
      <c r="AA1229" s="15" t="n"/>
      <c r="AB1229" s="15" t="n"/>
    </row>
    <row r="1230" ht="15" customHeight="1" s="12">
      <c r="A1230" s="14" t="n">
        <v>1229</v>
      </c>
      <c r="B1230" s="16" t="n">
        <v>42937</v>
      </c>
      <c r="C1230" s="15" t="n">
        <v>2017</v>
      </c>
      <c r="D1230" s="15" t="inlineStr">
        <is>
          <t>Godrej Agrovet Limited</t>
        </is>
      </c>
      <c r="E1230" s="15" t="inlineStr">
        <is>
          <t>DRHP</t>
        </is>
      </c>
      <c r="F1230" s="15" t="inlineStr">
        <is>
          <t>Godrej Agrovet Limited</t>
        </is>
      </c>
      <c r="G1230" s="15" t="inlineStr">
        <is>
          <t>IPO launched</t>
        </is>
      </c>
      <c r="H1230" s="15" t="inlineStr">
        <is>
          <t>Mainboard</t>
        </is>
      </c>
      <c r="I1230" s="16" t="n">
        <v>43012</v>
      </c>
      <c r="J1230" s="16" t="n">
        <v>43014</v>
      </c>
      <c r="K1230" s="16" t="n">
        <v>43024</v>
      </c>
      <c r="L1230" s="17" t="n">
        <v>1157.31</v>
      </c>
      <c r="M1230" s="17" t="n">
        <v>1157.31</v>
      </c>
      <c r="N1230" s="17" t="n">
        <v>0</v>
      </c>
      <c r="O1230" s="15" t="inlineStr">
        <is>
          <t>Final issue (ipoplatform)</t>
        </is>
      </c>
      <c r="P1230" s="15" t="n"/>
      <c r="Q1230" s="18" t="inlineStr">
        <is>
          <t>https://www.sebi.gov.in/sebi_data/attachdocs/oct-2017/1509361706599.pdf</t>
        </is>
      </c>
      <c r="R1230" s="18" t="inlineStr">
        <is>
          <t>https://www.sebi.gov.in/filings/public-issues/jul-2017/godrej-agrovet-limited_35368.html</t>
        </is>
      </c>
      <c r="S1230" s="15" t="n"/>
      <c r="T1230" s="15" t="inlineStr">
        <is>
          <t>SEBI filing link</t>
        </is>
      </c>
      <c r="U1230" s="15" t="inlineStr">
        <is>
          <t>Godrej Agrovet Limited</t>
        </is>
      </c>
      <c r="V1230" s="15" t="n"/>
      <c r="W1230" s="15" t="n"/>
      <c r="X1230" s="15" t="n"/>
      <c r="Y1230" s="15" t="n"/>
      <c r="Z1230" s="15" t="n"/>
      <c r="AA1230" s="15" t="n"/>
      <c r="AB1230" s="15" t="n"/>
    </row>
    <row r="1231" ht="15" customHeight="1" s="12">
      <c r="A1231" s="14" t="n">
        <v>1230</v>
      </c>
      <c r="B1231" s="16" t="n">
        <v>42934</v>
      </c>
      <c r="C1231" s="15" t="n">
        <v>2017</v>
      </c>
      <c r="D1231" s="15" t="inlineStr">
        <is>
          <t>SBI Life Insurance Company Limited</t>
        </is>
      </c>
      <c r="E1231" s="15" t="inlineStr">
        <is>
          <t>DRHP</t>
        </is>
      </c>
      <c r="F1231" s="15" t="inlineStr">
        <is>
          <t>SBI Life Insurance Company Limited</t>
        </is>
      </c>
      <c r="G1231" s="15" t="inlineStr">
        <is>
          <t>IPO launched</t>
        </is>
      </c>
      <c r="H1231" s="15" t="inlineStr">
        <is>
          <t>Mainboard</t>
        </is>
      </c>
      <c r="I1231" s="16" t="n">
        <v>42998</v>
      </c>
      <c r="J1231" s="16" t="n">
        <v>43000</v>
      </c>
      <c r="K1231" s="16" t="n">
        <v>43011</v>
      </c>
      <c r="L1231" s="17" t="n">
        <v>8400</v>
      </c>
      <c r="M1231" s="17" t="n">
        <v>8400</v>
      </c>
      <c r="N1231" s="17" t="n">
        <v>0</v>
      </c>
      <c r="O1231" s="15" t="inlineStr">
        <is>
          <t>Final issue (ipoplatform)</t>
        </is>
      </c>
      <c r="P1231" s="15" t="n"/>
      <c r="Q1231" s="18" t="inlineStr">
        <is>
          <t>https://www.sebi.gov.in/sebi_data/attachdocs/oct-2017/1509364304775.pdf</t>
        </is>
      </c>
      <c r="R1231" s="18" t="inlineStr">
        <is>
          <t>https://www.sebi.gov.in/filings/public-issues/jul-2017/sbi-life-insurance-company-limited_35336.html</t>
        </is>
      </c>
      <c r="S1231" s="15" t="n"/>
      <c r="T1231" s="15" t="inlineStr">
        <is>
          <t>SEBI filing link</t>
        </is>
      </c>
      <c r="U1231" s="15" t="inlineStr">
        <is>
          <t>SBI Life Insurance Company Limited</t>
        </is>
      </c>
      <c r="V1231" s="15" t="n"/>
      <c r="W1231" s="15" t="n"/>
      <c r="X1231" s="15" t="n"/>
      <c r="Y1231" s="15" t="n"/>
      <c r="Z1231" s="15" t="n"/>
      <c r="AA1231" s="15" t="n"/>
      <c r="AB1231" s="15" t="n"/>
    </row>
    <row r="1232" ht="15" customHeight="1" s="12">
      <c r="A1232" s="14" t="n">
        <v>1231</v>
      </c>
      <c r="B1232" s="16" t="n">
        <v>42933</v>
      </c>
      <c r="C1232" s="15" t="n">
        <v>2017</v>
      </c>
      <c r="D1232" s="15" t="inlineStr">
        <is>
          <t>ICICI Lombard General Insurance Company Limited</t>
        </is>
      </c>
      <c r="E1232" s="15" t="inlineStr">
        <is>
          <t>DRHP</t>
        </is>
      </c>
      <c r="F1232" s="15" t="inlineStr">
        <is>
          <t>ICICI Lombard General Insurance Company Limited</t>
        </is>
      </c>
      <c r="G1232" s="15" t="inlineStr">
        <is>
          <t>IPO launched</t>
        </is>
      </c>
      <c r="H1232" s="15" t="inlineStr">
        <is>
          <t>Mainboard</t>
        </is>
      </c>
      <c r="I1232" s="16" t="n">
        <v>42993</v>
      </c>
      <c r="J1232" s="16" t="n">
        <v>42997</v>
      </c>
      <c r="K1232" s="16" t="n">
        <v>43005</v>
      </c>
      <c r="L1232" s="17" t="n">
        <v>5700.94</v>
      </c>
      <c r="M1232" s="17" t="n">
        <v>5700.94</v>
      </c>
      <c r="N1232" s="17" t="n">
        <v>0</v>
      </c>
      <c r="O1232" s="15" t="inlineStr">
        <is>
          <t>Final issue (ipoplatform)</t>
        </is>
      </c>
      <c r="P1232" s="15" t="n"/>
      <c r="Q1232" s="18" t="inlineStr">
        <is>
          <t>https://www.sebi.gov.in/sebi_data/attachdocs/nov-2017/1510909125880.pdf</t>
        </is>
      </c>
      <c r="R1232" s="18" t="inlineStr">
        <is>
          <t>https://www.sebi.gov.in/filings/public-issues/jul-2017/icici-lombard-general-insurance-company-limited_35321.html</t>
        </is>
      </c>
      <c r="S1232" s="15" t="n"/>
      <c r="T1232" s="15" t="inlineStr">
        <is>
          <t>SEBI filing link</t>
        </is>
      </c>
      <c r="U1232" s="15" t="inlineStr">
        <is>
          <t>ICICI Lombard General Insurance Company Limited</t>
        </is>
      </c>
      <c r="V1232" s="15" t="n"/>
      <c r="W1232" s="15" t="n"/>
      <c r="X1232" s="15" t="n"/>
      <c r="Y1232" s="15" t="n"/>
      <c r="Z1232" s="15" t="n"/>
      <c r="AA1232" s="15" t="n"/>
      <c r="AB1232" s="15" t="n"/>
    </row>
    <row r="1233" ht="15" customHeight="1" s="12">
      <c r="A1233" s="14" t="n">
        <v>1232</v>
      </c>
      <c r="B1233" s="16" t="n">
        <v>42923</v>
      </c>
      <c r="C1233" s="15" t="n">
        <v>2017</v>
      </c>
      <c r="D1233" s="15" t="inlineStr">
        <is>
          <t>Khadim India Limited</t>
        </is>
      </c>
      <c r="E1233" s="15" t="inlineStr">
        <is>
          <t>DRHP</t>
        </is>
      </c>
      <c r="F1233" s="15" t="inlineStr">
        <is>
          <t>Khadim India Limited</t>
        </is>
      </c>
      <c r="G1233" s="15" t="inlineStr">
        <is>
          <t>IPO launched</t>
        </is>
      </c>
      <c r="H1233" s="15" t="inlineStr">
        <is>
          <t>Mainboard</t>
        </is>
      </c>
      <c r="I1233" s="16" t="n">
        <v>43041</v>
      </c>
      <c r="J1233" s="16" t="n">
        <v>43045</v>
      </c>
      <c r="K1233" s="16" t="n">
        <v>43053</v>
      </c>
      <c r="L1233" s="17" t="n">
        <v>543.0599999999999</v>
      </c>
      <c r="M1233" s="17" t="n">
        <v>543.0599999999999</v>
      </c>
      <c r="N1233" s="17" t="n">
        <v>0</v>
      </c>
      <c r="O1233" s="15" t="inlineStr">
        <is>
          <t>Final issue (ipoplatform)</t>
        </is>
      </c>
      <c r="P1233" s="15" t="n"/>
      <c r="Q1233" s="18" t="inlineStr">
        <is>
          <t>https://www.sebi.gov.in/sebi_data/attachdocs/oct-2017/1509345192676.pdf</t>
        </is>
      </c>
      <c r="R1233" s="18" t="inlineStr">
        <is>
          <t>https://www.sebi.gov.in/filings/public-issues/jul-2017/khadim-india-limited_35249.html</t>
        </is>
      </c>
      <c r="S1233" s="15" t="n"/>
      <c r="T1233" s="15" t="inlineStr">
        <is>
          <t>SEBI filing link</t>
        </is>
      </c>
      <c r="U1233" s="15" t="inlineStr">
        <is>
          <t>Khadim India Limited</t>
        </is>
      </c>
      <c r="V1233" s="15" t="n"/>
      <c r="W1233" s="15" t="n"/>
      <c r="X1233" s="15" t="n"/>
      <c r="Y1233" s="15" t="n"/>
      <c r="Z1233" s="15" t="n"/>
      <c r="AA1233" s="15" t="n"/>
      <c r="AB1233" s="15" t="n"/>
    </row>
    <row r="1234" ht="15" customHeight="1" s="12">
      <c r="A1234" s="14" t="n">
        <v>1233</v>
      </c>
      <c r="B1234" s="16" t="n">
        <v>42909</v>
      </c>
      <c r="C1234" s="15" t="n">
        <v>2017</v>
      </c>
      <c r="D1234" s="15" t="inlineStr">
        <is>
          <t>Pratap Snacks Limited</t>
        </is>
      </c>
      <c r="E1234" s="15" t="inlineStr">
        <is>
          <t>DRHP</t>
        </is>
      </c>
      <c r="F1234" s="15" t="inlineStr">
        <is>
          <t>Pratap Snacks Limited</t>
        </is>
      </c>
      <c r="G1234" s="15" t="inlineStr">
        <is>
          <t>IPO launched</t>
        </is>
      </c>
      <c r="H1234" s="15" t="inlineStr">
        <is>
          <t>Mainboard</t>
        </is>
      </c>
      <c r="I1234" s="16" t="n">
        <v>43000</v>
      </c>
      <c r="J1234" s="16" t="n">
        <v>43004</v>
      </c>
      <c r="K1234" s="16" t="n">
        <v>43013</v>
      </c>
      <c r="L1234" s="17" t="n">
        <v>481.56</v>
      </c>
      <c r="M1234" s="17" t="n">
        <v>481.56</v>
      </c>
      <c r="N1234" s="17" t="n">
        <v>0</v>
      </c>
      <c r="O1234" s="15" t="inlineStr">
        <is>
          <t>Final issue (ipoplatform)</t>
        </is>
      </c>
      <c r="P1234" s="15" t="n"/>
      <c r="Q1234" s="18" t="inlineStr">
        <is>
          <t>https://www.sebi.gov.in/sebi_data/attachdocs/jun-2017/1498217535905.pdf</t>
        </is>
      </c>
      <c r="R1234" s="18" t="inlineStr">
        <is>
          <t>https://www.sebi.gov.in/filings/public-issues/jun-2017/pratap-snacks-limited_35169.html</t>
        </is>
      </c>
      <c r="S1234" s="15" t="n"/>
      <c r="T1234" s="15" t="inlineStr">
        <is>
          <t>Company name (close spelling) + date window</t>
        </is>
      </c>
      <c r="U1234" s="15" t="inlineStr">
        <is>
          <t>Prataap Snacks Limited</t>
        </is>
      </c>
      <c r="V1234" s="15" t="n"/>
      <c r="W1234" s="15" t="n"/>
      <c r="X1234" s="15" t="n"/>
      <c r="Y1234" s="15" t="n"/>
      <c r="Z1234" s="15" t="n"/>
      <c r="AA1234" s="15" t="n"/>
      <c r="AB1234" s="15" t="n"/>
    </row>
    <row r="1235" ht="15" customHeight="1" s="12">
      <c r="A1235" s="14" t="n">
        <v>1234</v>
      </c>
      <c r="B1235" s="16" t="n">
        <v>42907</v>
      </c>
      <c r="C1235" s="15" t="n">
        <v>2017</v>
      </c>
      <c r="D1235" s="15" t="inlineStr">
        <is>
          <t>Astron Paper &amp; Board Mill Ltd</t>
        </is>
      </c>
      <c r="E1235" s="15" t="inlineStr">
        <is>
          <t>DRHP</t>
        </is>
      </c>
      <c r="F1235" s="15" t="inlineStr">
        <is>
          <t>Astron Paper &amp; Board Mill Ltd</t>
        </is>
      </c>
      <c r="G1235" s="15" t="inlineStr">
        <is>
          <t>IPO launched</t>
        </is>
      </c>
      <c r="H1235" s="15" t="inlineStr">
        <is>
          <t>Mainboard</t>
        </is>
      </c>
      <c r="I1235" s="16" t="n">
        <v>43084</v>
      </c>
      <c r="J1235" s="16" t="n">
        <v>43089</v>
      </c>
      <c r="K1235" s="16" t="n">
        <v>43098</v>
      </c>
      <c r="L1235" s="17" t="n">
        <v>70</v>
      </c>
      <c r="M1235" s="17" t="n">
        <v>70</v>
      </c>
      <c r="N1235" s="17" t="n">
        <v>0</v>
      </c>
      <c r="O1235" s="15" t="inlineStr">
        <is>
          <t>Final issue (ipoplatform)</t>
        </is>
      </c>
      <c r="P1235" s="15" t="n"/>
      <c r="Q1235" s="18" t="inlineStr">
        <is>
          <t>https://www.sebi.gov.in/sebi_data/attachdocs/nov-2017/1510910694504.pdf</t>
        </is>
      </c>
      <c r="R1235" s="18" t="inlineStr">
        <is>
          <t>https://www.sebi.gov.in/filings/public-issues/jun-2017/astron-paper-and-board-mill-ltd_35142.html</t>
        </is>
      </c>
      <c r="S1235" s="15" t="n"/>
      <c r="T1235" s="15" t="inlineStr">
        <is>
          <t>SEBI filing link</t>
        </is>
      </c>
      <c r="U1235" s="15" t="inlineStr">
        <is>
          <t>Astron Paper &amp; Board Mill Limited</t>
        </is>
      </c>
      <c r="V1235" s="15" t="n"/>
      <c r="W1235" s="15" t="n"/>
      <c r="X1235" s="15" t="n"/>
      <c r="Y1235" s="15" t="n"/>
      <c r="Z1235" s="15" t="n"/>
      <c r="AA1235" s="15" t="n"/>
      <c r="AB1235" s="15" t="n"/>
    </row>
    <row r="1236" ht="15" customHeight="1" s="12">
      <c r="A1236" s="14" t="n">
        <v>1235</v>
      </c>
      <c r="B1236" s="16" t="n">
        <v>42906</v>
      </c>
      <c r="C1236" s="15" t="n">
        <v>2017</v>
      </c>
      <c r="D1236" s="15" t="inlineStr">
        <is>
          <t>Indian Energy Exchange Limited</t>
        </is>
      </c>
      <c r="E1236" s="15" t="inlineStr">
        <is>
          <t>DRHP</t>
        </is>
      </c>
      <c r="F1236" s="15" t="inlineStr">
        <is>
          <t>Indian Energy Exchange Limited</t>
        </is>
      </c>
      <c r="G1236" s="15" t="inlineStr">
        <is>
          <t>IPO launched</t>
        </is>
      </c>
      <c r="H1236" s="15" t="inlineStr">
        <is>
          <t>Mainboard</t>
        </is>
      </c>
      <c r="I1236" s="16" t="n">
        <v>43017</v>
      </c>
      <c r="J1236" s="16" t="n">
        <v>43019</v>
      </c>
      <c r="K1236" s="16" t="n">
        <v>43031</v>
      </c>
      <c r="L1236" s="17" t="n">
        <v>1000.73</v>
      </c>
      <c r="M1236" s="17" t="n">
        <v>1000.73</v>
      </c>
      <c r="N1236" s="17" t="n">
        <v>0</v>
      </c>
      <c r="O1236" s="15" t="inlineStr">
        <is>
          <t>Final issue (ipoplatform)</t>
        </is>
      </c>
      <c r="P1236" s="15" t="n"/>
      <c r="Q1236" s="18" t="inlineStr">
        <is>
          <t>https://www.sebi.gov.in/sebi_data/attachdocs/jun-2017/1497957899070.pdf</t>
        </is>
      </c>
      <c r="R1236" s="18" t="inlineStr">
        <is>
          <t>https://www.sebi.gov.in/filings/public-issues/jun-2017/indian-energy-exchange-limited_35136.html</t>
        </is>
      </c>
      <c r="S1236" s="15" t="n"/>
      <c r="T1236" s="15" t="inlineStr">
        <is>
          <t>SEBI filing link</t>
        </is>
      </c>
      <c r="U1236" s="15" t="inlineStr">
        <is>
          <t>Indian Energy Exchange Limited</t>
        </is>
      </c>
      <c r="V1236" s="15" t="n"/>
      <c r="W1236" s="15" t="n"/>
      <c r="X1236" s="15" t="n"/>
      <c r="Y1236" s="15" t="n"/>
      <c r="Z1236" s="15" t="n"/>
      <c r="AA1236" s="15" t="n"/>
      <c r="AB1236" s="15" t="n"/>
    </row>
    <row r="1237" ht="15" customHeight="1" s="12">
      <c r="A1237" s="14" t="n">
        <v>1236</v>
      </c>
      <c r="B1237" s="16" t="n">
        <v>42877</v>
      </c>
      <c r="C1237" s="15" t="n">
        <v>2017</v>
      </c>
      <c r="D1237" s="15" t="inlineStr">
        <is>
          <t>Dixon Technologies (India) Limited</t>
        </is>
      </c>
      <c r="E1237" s="15" t="inlineStr">
        <is>
          <t>DRHP</t>
        </is>
      </c>
      <c r="F1237" s="15" t="inlineStr">
        <is>
          <t>Dixon Technologies (India) Limited</t>
        </is>
      </c>
      <c r="G1237" s="15" t="inlineStr">
        <is>
          <t>IPO launched</t>
        </is>
      </c>
      <c r="H1237" s="15" t="inlineStr">
        <is>
          <t>Mainboard</t>
        </is>
      </c>
      <c r="I1237" s="16" t="n">
        <v>42984</v>
      </c>
      <c r="J1237" s="16" t="n">
        <v>42986</v>
      </c>
      <c r="K1237" s="16" t="n">
        <v>42996</v>
      </c>
      <c r="L1237" s="17" t="n">
        <v>600</v>
      </c>
      <c r="M1237" s="17" t="n">
        <v>600</v>
      </c>
      <c r="N1237" s="17" t="n">
        <v>0</v>
      </c>
      <c r="O1237" s="15" t="inlineStr">
        <is>
          <t>Final issue (ipoplatform)</t>
        </is>
      </c>
      <c r="P1237" s="15" t="n"/>
      <c r="Q1237" s="18" t="inlineStr">
        <is>
          <t>https://www.sebi.gov.in/sebi_data/attachdocs/may-2017/1495451226044.pdf</t>
        </is>
      </c>
      <c r="R1237" s="18" t="inlineStr">
        <is>
          <t>https://www.sebi.gov.in/filings/public-issues/may-2017/dixon-technologies-india-limited_34938.html</t>
        </is>
      </c>
      <c r="S1237" s="15" t="n"/>
      <c r="T1237" s="15" t="inlineStr">
        <is>
          <t>SEBI filing link</t>
        </is>
      </c>
      <c r="U1237" s="15" t="inlineStr">
        <is>
          <t>Dixon Technologies (India) Limited</t>
        </is>
      </c>
      <c r="V1237" s="15" t="n"/>
      <c r="W1237" s="15" t="n"/>
      <c r="X1237" s="15" t="n"/>
      <c r="Y1237" s="15" t="n"/>
      <c r="Z1237" s="15" t="n"/>
      <c r="AA1237" s="15" t="n"/>
      <c r="AB1237" s="15" t="n"/>
    </row>
    <row r="1238" ht="15" customHeight="1" s="12">
      <c r="A1238" s="14" t="n">
        <v>1237</v>
      </c>
      <c r="B1238" s="16" t="n">
        <v>42877</v>
      </c>
      <c r="C1238" s="15" t="n">
        <v>2017</v>
      </c>
      <c r="D1238" s="15" t="inlineStr">
        <is>
          <t>Shalby Limited</t>
        </is>
      </c>
      <c r="E1238" s="15" t="inlineStr">
        <is>
          <t>DRHP</t>
        </is>
      </c>
      <c r="F1238" s="15" t="inlineStr">
        <is>
          <t>Shalby Limited</t>
        </is>
      </c>
      <c r="G1238" s="15" t="inlineStr">
        <is>
          <t>IPO launched</t>
        </is>
      </c>
      <c r="H1238" s="15" t="inlineStr">
        <is>
          <t>Mainboard</t>
        </is>
      </c>
      <c r="I1238" s="16" t="n">
        <v>43074</v>
      </c>
      <c r="J1238" s="16" t="n">
        <v>43076</v>
      </c>
      <c r="K1238" s="16" t="n">
        <v>43084</v>
      </c>
      <c r="L1238" s="17" t="n">
        <v>504.8</v>
      </c>
      <c r="M1238" s="17" t="n">
        <v>504.8</v>
      </c>
      <c r="N1238" s="17" t="n">
        <v>0</v>
      </c>
      <c r="O1238" s="15" t="inlineStr">
        <is>
          <t>Final issue (ipoplatform)</t>
        </is>
      </c>
      <c r="P1238" s="15" t="n"/>
      <c r="Q1238" s="18" t="inlineStr">
        <is>
          <t>https://www.sebi.gov.in/sebi_data/attachdocs/may-2017/1495444881641.pdf</t>
        </is>
      </c>
      <c r="R1238" s="18" t="inlineStr">
        <is>
          <t>https://www.sebi.gov.in/filings/public-issues/may-2017/shalby-limited_34932.html</t>
        </is>
      </c>
      <c r="S1238" s="15" t="n"/>
      <c r="T1238" s="15" t="inlineStr">
        <is>
          <t>SEBI filing link</t>
        </is>
      </c>
      <c r="U1238" s="15" t="inlineStr">
        <is>
          <t>Shalby Limited</t>
        </is>
      </c>
      <c r="V1238" s="15" t="n"/>
      <c r="W1238" s="15" t="n"/>
      <c r="X1238" s="15" t="n"/>
      <c r="Y1238" s="15" t="n"/>
      <c r="Z1238" s="15" t="n"/>
      <c r="AA1238" s="15" t="n"/>
      <c r="AB1238" s="15" t="n"/>
    </row>
    <row r="1239" ht="15" customHeight="1" s="12">
      <c r="A1239" s="14" t="n">
        <v>1238</v>
      </c>
      <c r="B1239" s="16" t="n">
        <v>42866</v>
      </c>
      <c r="C1239" s="15" t="n">
        <v>2017</v>
      </c>
      <c r="D1239" s="15" t="inlineStr">
        <is>
          <t>Matrimony.com Limited</t>
        </is>
      </c>
      <c r="E1239" s="15" t="inlineStr">
        <is>
          <t>DRHP</t>
        </is>
      </c>
      <c r="F1239" s="15" t="inlineStr">
        <is>
          <t>Matrimony.com Limited</t>
        </is>
      </c>
      <c r="G1239" s="15" t="inlineStr">
        <is>
          <t>IPO launched</t>
        </is>
      </c>
      <c r="H1239" s="15" t="inlineStr">
        <is>
          <t>Mainboard</t>
        </is>
      </c>
      <c r="I1239" s="16" t="n">
        <v>42989</v>
      </c>
      <c r="J1239" s="16" t="n">
        <v>42991</v>
      </c>
      <c r="K1239" s="16" t="n">
        <v>42999</v>
      </c>
      <c r="L1239" s="17" t="n">
        <v>496.88</v>
      </c>
      <c r="M1239" s="17" t="n">
        <v>496.88</v>
      </c>
      <c r="N1239" s="17" t="n">
        <v>0</v>
      </c>
      <c r="O1239" s="15" t="inlineStr">
        <is>
          <t>Final issue (ipoplatform)</t>
        </is>
      </c>
      <c r="P1239" s="15" t="n"/>
      <c r="Q1239" s="18" t="inlineStr">
        <is>
          <t>https://www.sebi.gov.in/sebi_data/attachdocs/may-2017/1494492485594.pdf</t>
        </is>
      </c>
      <c r="R1239" s="18" t="inlineStr">
        <is>
          <t>https://www.sebi.gov.in/filings/public-issues/may-2017/matrimony-com-limited_34845.html</t>
        </is>
      </c>
      <c r="S1239" s="15" t="n"/>
      <c r="T1239" s="15" t="inlineStr">
        <is>
          <t>Company name + date window</t>
        </is>
      </c>
      <c r="U1239" s="15" t="inlineStr">
        <is>
          <t>Matrimony.com Limited</t>
        </is>
      </c>
      <c r="V1239" s="15" t="n"/>
      <c r="W1239" s="15" t="n"/>
      <c r="X1239" s="15" t="n"/>
      <c r="Y1239" s="15" t="n"/>
      <c r="Z1239" s="15" t="n"/>
      <c r="AA1239" s="15" t="n"/>
      <c r="AB1239" s="15" t="n"/>
    </row>
    <row r="1240" ht="15" customHeight="1" s="12">
      <c r="A1240" s="14" t="n">
        <v>1239</v>
      </c>
      <c r="B1240" s="16" t="n">
        <v>42846</v>
      </c>
      <c r="C1240" s="15" t="n">
        <v>2017</v>
      </c>
      <c r="D1240" s="15" t="inlineStr">
        <is>
          <t>Capacit'e Infraprojects Limited</t>
        </is>
      </c>
      <c r="E1240" s="15" t="inlineStr">
        <is>
          <t>DRHP</t>
        </is>
      </c>
      <c r="F1240" s="15" t="inlineStr">
        <is>
          <t>Capacit'e Infraprojects Limited</t>
        </is>
      </c>
      <c r="G1240" s="15" t="inlineStr">
        <is>
          <t>IPO launched</t>
        </is>
      </c>
      <c r="H1240" s="15" t="inlineStr">
        <is>
          <t>Mainboard</t>
        </is>
      </c>
      <c r="I1240" s="16" t="n">
        <v>42991</v>
      </c>
      <c r="J1240" s="16" t="n">
        <v>42993</v>
      </c>
      <c r="K1240" s="16" t="n">
        <v>43003</v>
      </c>
      <c r="L1240" s="17" t="n">
        <v>400</v>
      </c>
      <c r="M1240" s="17" t="n">
        <v>400</v>
      </c>
      <c r="N1240" s="17" t="n">
        <v>0</v>
      </c>
      <c r="O1240" s="15" t="inlineStr">
        <is>
          <t>Final issue (ipoplatform)</t>
        </is>
      </c>
      <c r="P1240" s="15" t="n"/>
      <c r="Q1240" s="18" t="inlineStr">
        <is>
          <t>https://www.sebi.gov.in/sebi_data/attachdocs/apr-2017/1492770637429.pdf</t>
        </is>
      </c>
      <c r="R1240" s="18" t="inlineStr">
        <is>
          <t>https://www.sebi.gov.in/filings/public-issues/apr-2017/capacit-e-infraprojects-limited_34732.html</t>
        </is>
      </c>
      <c r="S1240" s="15" t="n"/>
      <c r="T1240" s="15" t="inlineStr">
        <is>
          <t>SEBI filing link</t>
        </is>
      </c>
      <c r="U1240" s="15" t="inlineStr">
        <is>
          <t>Capacit'e Infraprojects Limited</t>
        </is>
      </c>
      <c r="V1240" s="15" t="n"/>
      <c r="W1240" s="15" t="n"/>
      <c r="X1240" s="15" t="n"/>
      <c r="Y1240" s="15" t="n"/>
      <c r="Z1240" s="15" t="n"/>
      <c r="AA1240" s="15" t="n"/>
      <c r="AB1240" s="15" t="n"/>
    </row>
    <row r="1241" ht="15" customHeight="1" s="12">
      <c r="A1241" s="14" t="n">
        <v>1240</v>
      </c>
      <c r="B1241" s="16" t="n">
        <v>42825</v>
      </c>
      <c r="C1241" s="15" t="n">
        <v>2017</v>
      </c>
      <c r="D1241" s="15" t="inlineStr">
        <is>
          <t>Apex Frozen Foods Limited</t>
        </is>
      </c>
      <c r="E1241" s="15" t="inlineStr">
        <is>
          <t>DRHP</t>
        </is>
      </c>
      <c r="F1241" s="15" t="inlineStr">
        <is>
          <t>Apex Frozen Foods Limited</t>
        </is>
      </c>
      <c r="G1241" s="15" t="inlineStr">
        <is>
          <t>IPO launched</t>
        </is>
      </c>
      <c r="H1241" s="15" t="inlineStr">
        <is>
          <t>Mainboard</t>
        </is>
      </c>
      <c r="I1241" s="16" t="n">
        <v>42969</v>
      </c>
      <c r="J1241" s="16" t="n">
        <v>42971</v>
      </c>
      <c r="K1241" s="16" t="n">
        <v>42982</v>
      </c>
      <c r="L1241" s="17" t="n">
        <v>152.25</v>
      </c>
      <c r="M1241" s="17" t="n">
        <v>152.25</v>
      </c>
      <c r="N1241" s="17" t="n">
        <v>0</v>
      </c>
      <c r="O1241" s="15" t="inlineStr">
        <is>
          <t>Final issue (ipoplatform)</t>
        </is>
      </c>
      <c r="P1241" s="15" t="n"/>
      <c r="Q1241" s="18" t="inlineStr">
        <is>
          <t>https://www.sebi.gov.in/sebi_data/attachdocs/1490953484248.pdf</t>
        </is>
      </c>
      <c r="R1241" s="18" t="inlineStr">
        <is>
          <t>https://www.sebi.gov.in/filings/public-issues/mar-2017/apex-frozen-foods-limited_34510.html</t>
        </is>
      </c>
      <c r="S1241" s="15" t="n"/>
      <c r="T1241" s="15" t="inlineStr">
        <is>
          <t>SEBI filing link</t>
        </is>
      </c>
      <c r="U1241" s="15" t="inlineStr">
        <is>
          <t>Apex Frozen Foods Limited</t>
        </is>
      </c>
      <c r="V1241" s="15" t="n"/>
      <c r="W1241" s="15" t="n"/>
      <c r="X1241" s="15" t="n"/>
      <c r="Y1241" s="15" t="n"/>
      <c r="Z1241" s="15" t="n"/>
      <c r="AA1241" s="15" t="n"/>
      <c r="AB1241" s="15" t="n"/>
    </row>
    <row r="1242" ht="15" customHeight="1" s="12">
      <c r="A1242" s="14" t="n">
        <v>1241</v>
      </c>
      <c r="B1242" s="16" t="n">
        <v>42823</v>
      </c>
      <c r="C1242" s="15" t="n">
        <v>2017</v>
      </c>
      <c r="D1242" s="15" t="inlineStr">
        <is>
          <t>MAS Financial Services Limited</t>
        </is>
      </c>
      <c r="E1242" s="15" t="inlineStr">
        <is>
          <t>DRHP</t>
        </is>
      </c>
      <c r="F1242" s="15" t="inlineStr">
        <is>
          <t>MAS Financial Services Limited</t>
        </is>
      </c>
      <c r="G1242" s="15" t="inlineStr">
        <is>
          <t>IPO launched</t>
        </is>
      </c>
      <c r="H1242" s="15" t="inlineStr">
        <is>
          <t>Mainboard</t>
        </is>
      </c>
      <c r="I1242" s="16" t="n">
        <v>43014</v>
      </c>
      <c r="J1242" s="16" t="n">
        <v>43018</v>
      </c>
      <c r="K1242" s="16" t="n">
        <v>43026</v>
      </c>
      <c r="L1242" s="17" t="n">
        <v>460.04</v>
      </c>
      <c r="M1242" s="17" t="n">
        <v>233</v>
      </c>
      <c r="N1242" s="17" t="n">
        <v>227.04</v>
      </c>
      <c r="O1242" s="15" t="inlineStr">
        <is>
          <t>Final issue (ipoplatform)</t>
        </is>
      </c>
      <c r="P1242" s="15" t="n"/>
      <c r="Q1242" s="18" t="inlineStr">
        <is>
          <t>https://www.sebi.gov.in/sebi_data/attachdocs/1490780945883.pdf</t>
        </is>
      </c>
      <c r="R1242" s="18" t="inlineStr">
        <is>
          <t>https://www.sebi.gov.in/filings/public-issues/mar-2017/mas-financial-services-limited_34488.html</t>
        </is>
      </c>
      <c r="S1242" s="15" t="n"/>
      <c r="T1242" s="15" t="inlineStr">
        <is>
          <t>SEBI filing link</t>
        </is>
      </c>
      <c r="U1242" s="15" t="inlineStr">
        <is>
          <t>MAS Financial Services Limited</t>
        </is>
      </c>
      <c r="V1242" s="15" t="n"/>
      <c r="W1242" s="15" t="n"/>
      <c r="X1242" s="15" t="n"/>
      <c r="Y1242" s="15" t="n"/>
      <c r="Z1242" s="15" t="n"/>
      <c r="AA1242" s="15" t="n"/>
      <c r="AB1242" s="15" t="n"/>
    </row>
    <row r="1243" ht="15" customHeight="1" s="12">
      <c r="A1243" s="14" t="n">
        <v>1242</v>
      </c>
      <c r="B1243" s="16" t="n">
        <v>42821</v>
      </c>
      <c r="C1243" s="15" t="n">
        <v>2017</v>
      </c>
      <c r="D1243" s="15" t="inlineStr">
        <is>
          <t>Cochin Shipyard Limited</t>
        </is>
      </c>
      <c r="E1243" s="15" t="inlineStr">
        <is>
          <t>DRHP</t>
        </is>
      </c>
      <c r="F1243" s="15" t="inlineStr">
        <is>
          <t>Cochin Shipyard Limited</t>
        </is>
      </c>
      <c r="G1243" s="15" t="inlineStr">
        <is>
          <t>IPO launched</t>
        </is>
      </c>
      <c r="H1243" s="15" t="inlineStr">
        <is>
          <t>Mainboard</t>
        </is>
      </c>
      <c r="I1243" s="16" t="n">
        <v>42948</v>
      </c>
      <c r="J1243" s="16" t="n">
        <v>42950</v>
      </c>
      <c r="K1243" s="16" t="n">
        <v>42958</v>
      </c>
      <c r="L1243" s="17" t="n">
        <v>1442.01</v>
      </c>
      <c r="M1243" s="17" t="n">
        <v>1442.01</v>
      </c>
      <c r="N1243" s="17" t="n">
        <v>0</v>
      </c>
      <c r="O1243" s="15" t="inlineStr">
        <is>
          <t>Final issue (ipoplatform)</t>
        </is>
      </c>
      <c r="P1243" s="15" t="n"/>
      <c r="Q1243" s="18" t="inlineStr">
        <is>
          <t>https://www.sebi.gov.in/sebi_data/attachdocs/1490612792005.pdf</t>
        </is>
      </c>
      <c r="R1243" s="18" t="inlineStr">
        <is>
          <t>https://www.sebi.gov.in/filings/public-issues/mar-2017/cochin-shipyard-limited_34475.html</t>
        </is>
      </c>
      <c r="S1243" s="15" t="n"/>
      <c r="T1243" s="15" t="inlineStr">
        <is>
          <t>SEBI filing link</t>
        </is>
      </c>
      <c r="U1243" s="15" t="inlineStr">
        <is>
          <t>Cochin Shipyard Limited</t>
        </is>
      </c>
      <c r="V1243" s="15" t="n"/>
      <c r="W1243" s="15" t="n"/>
      <c r="X1243" s="15" t="n"/>
      <c r="Y1243" s="15" t="n"/>
      <c r="Z1243" s="15" t="n"/>
      <c r="AA1243" s="15" t="n"/>
      <c r="AB1243" s="15" t="n"/>
    </row>
    <row r="1244" ht="15" customHeight="1" s="12">
      <c r="A1244" s="14" t="n">
        <v>1243</v>
      </c>
      <c r="B1244" s="16" t="n">
        <v>42808</v>
      </c>
      <c r="C1244" s="15" t="n">
        <v>2017</v>
      </c>
      <c r="D1244" s="15" t="inlineStr">
        <is>
          <t>NAKSHATRA WORLD LIMITED</t>
        </is>
      </c>
      <c r="E1244" s="15" t="inlineStr">
        <is>
          <t>DRHP</t>
        </is>
      </c>
      <c r="F1244" s="15" t="inlineStr">
        <is>
          <t>NAKSHATRA WORLD LIMITED</t>
        </is>
      </c>
      <c r="G1244" s="15" t="inlineStr">
        <is>
          <t>No launched IPO found</t>
        </is>
      </c>
      <c r="H1244" s="15" t="n"/>
      <c r="I1244" s="16" t="n"/>
      <c r="J1244" s="16" t="n"/>
      <c r="K1244" s="16" t="n"/>
      <c r="L1244" s="17" t="n"/>
      <c r="M1244" s="17" t="n"/>
      <c r="N1244" s="17" t="n"/>
      <c r="O1244" s="15" t="n"/>
      <c r="P1244" s="15" t="n"/>
      <c r="Q1244" s="18" t="inlineStr">
        <is>
          <t>https://www.sebi.gov.in/sebi_data/attachdocs/1489483609363.pdf</t>
        </is>
      </c>
      <c r="R1244" s="18" t="inlineStr">
        <is>
          <t>https://www.sebi.gov.in/filings/public-issues/mar-2017/nakshatra-world-limited_34355.html</t>
        </is>
      </c>
      <c r="S1244" s="15" t="n"/>
      <c r="T1244" s="15" t="n"/>
      <c r="U1244" s="15" t="n"/>
      <c r="V1244" s="15" t="n"/>
      <c r="W1244" s="16" t="n"/>
      <c r="X1244" s="16" t="n"/>
      <c r="Y1244" s="16" t="n"/>
      <c r="Z1244" s="15" t="inlineStr">
        <is>
          <t>No issue found</t>
        </is>
      </c>
      <c r="AA1244" s="15" t="inlineStr">
        <is>
          <t>Business Standard lists the company but shows no issue dates; web search limit reached</t>
        </is>
      </c>
      <c r="AB1244" s="18" t="inlineStr">
        <is>
          <t>https://www.business-standard.com/markets/ipo/nakshatra-world-ltd-ipo-40352</t>
        </is>
      </c>
    </row>
    <row r="1245" ht="15" customHeight="1" s="12">
      <c r="A1245" s="14" t="n">
        <v>1244</v>
      </c>
      <c r="B1245" s="16" t="n">
        <v>42788</v>
      </c>
      <c r="C1245" s="15" t="n">
        <v>2017</v>
      </c>
      <c r="D1245" s="15" t="inlineStr">
        <is>
          <t>Four Seasons Residency Limited</t>
        </is>
      </c>
      <c r="E1245" s="15" t="inlineStr">
        <is>
          <t>DRHP</t>
        </is>
      </c>
      <c r="F1245" s="15" t="inlineStr">
        <is>
          <t>Four Seasons Residency Limited</t>
        </is>
      </c>
      <c r="G1245" s="15" t="inlineStr">
        <is>
          <t>No launched IPO found</t>
        </is>
      </c>
      <c r="H1245" s="15" t="n"/>
      <c r="I1245" s="16" t="n"/>
      <c r="J1245" s="16" t="n"/>
      <c r="K1245" s="16" t="n"/>
      <c r="L1245" s="17" t="n"/>
      <c r="M1245" s="17" t="n"/>
      <c r="N1245" s="17" t="n"/>
      <c r="O1245" s="15" t="n"/>
      <c r="P1245" s="15" t="n"/>
      <c r="Q1245" s="18" t="inlineStr">
        <is>
          <t>https://www.sebi.gov.in/sebi_data/attachdocs/1487739314868.pdf</t>
        </is>
      </c>
      <c r="R1245" s="18" t="inlineStr">
        <is>
          <t>https://www.sebi.gov.in/filings/public-issues/feb-2017/four-seasons-residency-limited_34264.html</t>
        </is>
      </c>
      <c r="S1245" s="15" t="n"/>
      <c r="T1245" s="15" t="n"/>
      <c r="U1245" s="15" t="n"/>
      <c r="V1245" s="15" t="n"/>
      <c r="W1245" s="16" t="n"/>
      <c r="X1245" s="16" t="n"/>
      <c r="Y1245" s="16" t="n"/>
      <c r="Z1245" s="15" t="inlineStr">
        <is>
          <t>No issue found</t>
        </is>
      </c>
      <c r="AA1245" s="15" t="inlineStr">
        <is>
          <t>Business Standard lists the company but shows no issue dates; web search limit reached</t>
        </is>
      </c>
      <c r="AB1245" s="18" t="inlineStr">
        <is>
          <t>https://www.business-standard.com/markets/ipo/four-seasons-residency-ltd-ipo-70149</t>
        </is>
      </c>
    </row>
    <row r="1246" ht="15" customHeight="1" s="12">
      <c r="A1246" s="14" t="n">
        <v>1245</v>
      </c>
      <c r="B1246" s="16" t="n">
        <v>42786</v>
      </c>
      <c r="C1246" s="15" t="n">
        <v>2017</v>
      </c>
      <c r="D1246" s="15" t="inlineStr">
        <is>
          <t>Bharat Road Network Limited</t>
        </is>
      </c>
      <c r="E1246" s="15" t="inlineStr">
        <is>
          <t>DRHP</t>
        </is>
      </c>
      <c r="F1246" s="15" t="inlineStr">
        <is>
          <t>Bharat Road Network Limited</t>
        </is>
      </c>
      <c r="G1246" s="15" t="inlineStr">
        <is>
          <t>IPO launched</t>
        </is>
      </c>
      <c r="H1246" s="15" t="inlineStr">
        <is>
          <t>Mainboard</t>
        </is>
      </c>
      <c r="I1246" s="16" t="n">
        <v>42984</v>
      </c>
      <c r="J1246" s="16" t="n">
        <v>42986</v>
      </c>
      <c r="K1246" s="16" t="n">
        <v>42996</v>
      </c>
      <c r="L1246" s="17" t="n">
        <v>600.65</v>
      </c>
      <c r="M1246" s="17" t="n">
        <v>600.65</v>
      </c>
      <c r="N1246" s="17" t="n">
        <v>0</v>
      </c>
      <c r="O1246" s="15" t="inlineStr">
        <is>
          <t>Final issue (ipoplatform)</t>
        </is>
      </c>
      <c r="P1246" s="15" t="n"/>
      <c r="Q1246" s="18" t="inlineStr">
        <is>
          <t>https://www.sebi.gov.in/sebi_data/attachdocs/1487591520094.pdf</t>
        </is>
      </c>
      <c r="R1246" s="18" t="inlineStr">
        <is>
          <t>https://www.sebi.gov.in/filings/public-issues/feb-2017/bharat-road-network-limited_34262.html</t>
        </is>
      </c>
      <c r="S1246" s="15" t="n"/>
      <c r="T1246" s="15" t="inlineStr">
        <is>
          <t>SEBI filing link</t>
        </is>
      </c>
      <c r="U1246" s="15" t="inlineStr">
        <is>
          <t>Bharat Road Network Limited</t>
        </is>
      </c>
      <c r="V1246" s="15" t="n"/>
      <c r="W1246" s="15" t="n"/>
      <c r="X1246" s="15" t="n"/>
      <c r="Y1246" s="15" t="n"/>
      <c r="Z1246" s="15" t="n"/>
      <c r="AA1246" s="15" t="n"/>
      <c r="AB1246" s="15" t="n"/>
    </row>
    <row r="1247" ht="15" customHeight="1" s="12">
      <c r="A1247" s="14" t="n">
        <v>1246</v>
      </c>
      <c r="B1247" s="16" t="n">
        <v>42781</v>
      </c>
      <c r="C1247" s="15" t="n">
        <v>2017</v>
      </c>
      <c r="D1247" s="15" t="inlineStr">
        <is>
          <t>Salasar Techno Engineering Limited</t>
        </is>
      </c>
      <c r="E1247" s="15" t="inlineStr">
        <is>
          <t>DRHP</t>
        </is>
      </c>
      <c r="F1247" s="15" t="inlineStr">
        <is>
          <t>Salasar Techno Engineering Limited</t>
        </is>
      </c>
      <c r="G1247" s="15" t="inlineStr">
        <is>
          <t>IPO launched</t>
        </is>
      </c>
      <c r="H1247" s="15" t="inlineStr">
        <is>
          <t>Mainboard</t>
        </is>
      </c>
      <c r="I1247" s="16" t="n">
        <v>42928</v>
      </c>
      <c r="J1247" s="16" t="n">
        <v>42933</v>
      </c>
      <c r="K1247" s="16" t="n">
        <v>42941</v>
      </c>
      <c r="L1247" s="17" t="n">
        <v>35.87</v>
      </c>
      <c r="M1247" s="17" t="n">
        <v>35.87</v>
      </c>
      <c r="N1247" s="17" t="n">
        <v>0</v>
      </c>
      <c r="O1247" s="15" t="inlineStr">
        <is>
          <t>Final issue (ipoplatform)</t>
        </is>
      </c>
      <c r="P1247" s="15" t="n"/>
      <c r="Q1247" s="18" t="inlineStr">
        <is>
          <t>https://www.sebi.gov.in/sebi_data/attachdocs/1487157874525.pdf</t>
        </is>
      </c>
      <c r="R1247" s="18" t="inlineStr">
        <is>
          <t>https://www.sebi.gov.in/filings/public-issues/feb-2017/salasar-techno-engineering-limited_34199.html</t>
        </is>
      </c>
      <c r="S1247" s="15" t="n"/>
      <c r="T1247" s="15" t="inlineStr">
        <is>
          <t>SEBI filing link</t>
        </is>
      </c>
      <c r="U1247" s="15" t="inlineStr">
        <is>
          <t>Salasar Techno Engineering Limited</t>
        </is>
      </c>
      <c r="V1247" s="15" t="n"/>
      <c r="W1247" s="15" t="n"/>
      <c r="X1247" s="15" t="n"/>
      <c r="Y1247" s="15" t="n"/>
      <c r="Z1247" s="15" t="n"/>
      <c r="AA1247" s="15" t="n"/>
      <c r="AB1247" s="15" t="n"/>
    </row>
    <row r="1248" ht="15" customHeight="1" s="12">
      <c r="A1248" s="14" t="n">
        <v>1247</v>
      </c>
      <c r="B1248" s="16" t="n">
        <v>42779</v>
      </c>
      <c r="C1248" s="15" t="n">
        <v>2017</v>
      </c>
      <c r="D1248" s="15" t="inlineStr">
        <is>
          <t>Tejas Networks Limited</t>
        </is>
      </c>
      <c r="E1248" s="15" t="inlineStr">
        <is>
          <t>DRHP</t>
        </is>
      </c>
      <c r="F1248" s="15" t="inlineStr">
        <is>
          <t>Tejas Networks Limited</t>
        </is>
      </c>
      <c r="G1248" s="15" t="inlineStr">
        <is>
          <t>IPO launched</t>
        </is>
      </c>
      <c r="H1248" s="15" t="inlineStr">
        <is>
          <t>Mainboard</t>
        </is>
      </c>
      <c r="I1248" s="16" t="n">
        <v>42900</v>
      </c>
      <c r="J1248" s="16" t="n">
        <v>42902</v>
      </c>
      <c r="K1248" s="16" t="n">
        <v>42913</v>
      </c>
      <c r="L1248" s="17" t="n">
        <v>776.6900000000001</v>
      </c>
      <c r="M1248" s="17" t="n">
        <v>776.6900000000001</v>
      </c>
      <c r="N1248" s="17" t="n">
        <v>0</v>
      </c>
      <c r="O1248" s="15" t="inlineStr">
        <is>
          <t>Final issue (ipoplatform)</t>
        </is>
      </c>
      <c r="P1248" s="15" t="n"/>
      <c r="Q1248" s="18" t="inlineStr">
        <is>
          <t>https://www.sebi.gov.in/sebi_data/attachdocs/1486981606332.pdf</t>
        </is>
      </c>
      <c r="R1248" s="18" t="inlineStr">
        <is>
          <t>https://www.sebi.gov.in/filings/public-issues/feb-2017/tejas-networks-limited_34180.html</t>
        </is>
      </c>
      <c r="S1248" s="15" t="n"/>
      <c r="T1248" s="15" t="inlineStr">
        <is>
          <t>SEBI filing link</t>
        </is>
      </c>
      <c r="U1248" s="15" t="inlineStr">
        <is>
          <t>Tejas Networks Limited</t>
        </is>
      </c>
      <c r="V1248" s="15" t="n"/>
      <c r="W1248" s="15" t="n"/>
      <c r="X1248" s="15" t="n"/>
      <c r="Y1248" s="15" t="n"/>
      <c r="Z1248" s="15" t="n"/>
      <c r="AA1248" s="15" t="n"/>
      <c r="AB1248" s="15" t="n"/>
    </row>
    <row r="1249" ht="15" customHeight="1" s="12">
      <c r="A1249" s="14" t="n">
        <v>1248</v>
      </c>
      <c r="B1249" s="16" t="n">
        <v>42776</v>
      </c>
      <c r="C1249" s="15" t="n">
        <v>2017</v>
      </c>
      <c r="D1249" s="15" t="inlineStr">
        <is>
          <t>Eris Lifesciences Limited</t>
        </is>
      </c>
      <c r="E1249" s="15" t="inlineStr">
        <is>
          <t>DRHP</t>
        </is>
      </c>
      <c r="F1249" s="15" t="inlineStr">
        <is>
          <t>Eris Lifesciences Limited</t>
        </is>
      </c>
      <c r="G1249" s="15" t="inlineStr">
        <is>
          <t>IPO launched</t>
        </is>
      </c>
      <c r="H1249" s="15" t="inlineStr">
        <is>
          <t>Mainboard</t>
        </is>
      </c>
      <c r="I1249" s="16" t="n">
        <v>42902</v>
      </c>
      <c r="J1249" s="16" t="n">
        <v>42906</v>
      </c>
      <c r="K1249" s="16" t="n">
        <v>42915</v>
      </c>
      <c r="L1249" s="17" t="n">
        <v>1741.16</v>
      </c>
      <c r="M1249" s="17" t="n">
        <v>1741.16</v>
      </c>
      <c r="N1249" s="17" t="n">
        <v>0</v>
      </c>
      <c r="O1249" s="15" t="inlineStr">
        <is>
          <t>Final issue (ipoplatform)</t>
        </is>
      </c>
      <c r="P1249" s="15" t="n"/>
      <c r="Q1249" s="18" t="inlineStr">
        <is>
          <t>https://www.sebi.gov.in/sebi_data/attachdocs/1486702950321.pdf</t>
        </is>
      </c>
      <c r="R1249" s="18" t="inlineStr">
        <is>
          <t>https://www.sebi.gov.in/filings/public-issues/feb-2017/eris-lifesciences-limited_34167.html</t>
        </is>
      </c>
      <c r="S1249" s="15" t="n"/>
      <c r="T1249" s="15" t="inlineStr">
        <is>
          <t>SEBI filing link</t>
        </is>
      </c>
      <c r="U1249" s="15" t="inlineStr">
        <is>
          <t>Eris Lifesciences Limited</t>
        </is>
      </c>
      <c r="V1249" s="15" t="n"/>
      <c r="W1249" s="15" t="n"/>
      <c r="X1249" s="15" t="n"/>
      <c r="Y1249" s="15" t="n"/>
      <c r="Z1249" s="15" t="n"/>
      <c r="AA1249" s="15" t="n"/>
      <c r="AB1249" s="15" t="n"/>
    </row>
    <row r="1250" ht="15" customHeight="1" s="12">
      <c r="A1250" s="14" t="n">
        <v>1249</v>
      </c>
      <c r="B1250" s="16" t="n">
        <v>42769</v>
      </c>
      <c r="C1250" s="15" t="n">
        <v>2017</v>
      </c>
      <c r="D1250" s="15" t="inlineStr">
        <is>
          <t>Au Financiers (India) Limited</t>
        </is>
      </c>
      <c r="E1250" s="15" t="inlineStr">
        <is>
          <t>DRHP</t>
        </is>
      </c>
      <c r="F1250" s="15" t="inlineStr">
        <is>
          <t>Au Financiers (India) Limited</t>
        </is>
      </c>
      <c r="G1250" s="15" t="inlineStr">
        <is>
          <t>IPO launched</t>
        </is>
      </c>
      <c r="H1250" s="15" t="inlineStr">
        <is>
          <t>Mainboard</t>
        </is>
      </c>
      <c r="I1250" s="16" t="n">
        <v>42914</v>
      </c>
      <c r="J1250" s="16" t="n">
        <v>42916</v>
      </c>
      <c r="K1250" s="16" t="n">
        <v>42926</v>
      </c>
      <c r="L1250" s="17" t="n">
        <v>1912.51</v>
      </c>
      <c r="M1250" s="17" t="n">
        <v>1912.51</v>
      </c>
      <c r="N1250" s="17" t="n">
        <v>0</v>
      </c>
      <c r="O1250" s="15" t="inlineStr">
        <is>
          <t>Final issue (ipoplatform)</t>
        </is>
      </c>
      <c r="P1250" s="15" t="n"/>
      <c r="Q1250" s="18" t="inlineStr">
        <is>
          <t>https://www.sebi.gov.in/sebi_data/attachdocs/1486115445100.pdf</t>
        </is>
      </c>
      <c r="R1250" s="18" t="inlineStr">
        <is>
          <t>https://www.sebi.gov.in/filings/public-issues/feb-2017/au-financiers-india-limited_34131.html</t>
        </is>
      </c>
      <c r="S1250" s="15" t="n"/>
      <c r="T1250" s="15" t="inlineStr">
        <is>
          <t>SEBI filing link</t>
        </is>
      </c>
      <c r="U1250" s="15" t="inlineStr">
        <is>
          <t>Au Financiers (India) Limited</t>
        </is>
      </c>
      <c r="V1250" s="15" t="n"/>
      <c r="W1250" s="15" t="n"/>
      <c r="X1250" s="15" t="n"/>
      <c r="Y1250" s="15" t="n"/>
      <c r="Z1250" s="15" t="n"/>
      <c r="AA1250" s="15" t="n"/>
      <c r="AB1250" s="15" t="n"/>
    </row>
    <row r="1251" ht="15" customHeight="1" s="12">
      <c r="A1251" s="14" t="n">
        <v>1250</v>
      </c>
      <c r="B1251" s="16" t="n">
        <v>42738</v>
      </c>
      <c r="C1251" s="15" t="n">
        <v>2017</v>
      </c>
      <c r="D1251" s="15" t="inlineStr">
        <is>
          <t>GTPL Hathway Limited</t>
        </is>
      </c>
      <c r="E1251" s="15" t="inlineStr">
        <is>
          <t>DRHP</t>
        </is>
      </c>
      <c r="F1251" s="15" t="inlineStr">
        <is>
          <t>GTPL Hathway Limited</t>
        </is>
      </c>
      <c r="G1251" s="15" t="inlineStr">
        <is>
          <t>IPO launched</t>
        </is>
      </c>
      <c r="H1251" s="15" t="inlineStr">
        <is>
          <t>Mainboard</t>
        </is>
      </c>
      <c r="I1251" s="16" t="n">
        <v>42907</v>
      </c>
      <c r="J1251" s="16" t="n">
        <v>42909</v>
      </c>
      <c r="K1251" s="16" t="n">
        <v>42920</v>
      </c>
      <c r="L1251" s="17" t="n">
        <v>484.8</v>
      </c>
      <c r="M1251" s="17" t="n">
        <v>484.8</v>
      </c>
      <c r="N1251" s="17" t="n">
        <v>0</v>
      </c>
      <c r="O1251" s="15" t="inlineStr">
        <is>
          <t>Final issue (ipoplatform)</t>
        </is>
      </c>
      <c r="P1251" s="15" t="n"/>
      <c r="Q1251" s="18" t="inlineStr">
        <is>
          <t>https://www.sebi.gov.in/sebi_data/attachdocs/1483421360168.pdf</t>
        </is>
      </c>
      <c r="R1251" s="18" t="inlineStr">
        <is>
          <t>https://www.sebi.gov.in/filings/public-issues/jan-2017/gtpl-hathway-limited_33943.html</t>
        </is>
      </c>
      <c r="S1251" s="15" t="n"/>
      <c r="T1251" s="15" t="inlineStr">
        <is>
          <t>SEBI filing link</t>
        </is>
      </c>
      <c r="U1251" s="15" t="inlineStr">
        <is>
          <t>GTPL Hathway Limited</t>
        </is>
      </c>
      <c r="V1251" s="15" t="n"/>
      <c r="W1251" s="15" t="n"/>
      <c r="X1251" s="15" t="n"/>
      <c r="Y1251" s="15" t="n"/>
      <c r="Z1251" s="15" t="n"/>
      <c r="AA1251" s="15" t="n"/>
      <c r="AB1251" s="15" t="n"/>
    </row>
    <row r="1252" ht="15" customHeight="1" s="12">
      <c r="A1252" s="14" t="n">
        <v>1251</v>
      </c>
      <c r="B1252" s="16" t="n">
        <v>42738</v>
      </c>
      <c r="C1252" s="15" t="n">
        <v>2017</v>
      </c>
      <c r="D1252" s="15" t="inlineStr">
        <is>
          <t>Housing and Urban Development Corporation Limited</t>
        </is>
      </c>
      <c r="E1252" s="15" t="inlineStr">
        <is>
          <t>DRHP</t>
        </is>
      </c>
      <c r="F1252" s="15" t="inlineStr">
        <is>
          <t>Housing and Urban Development Corporation Limited</t>
        </is>
      </c>
      <c r="G1252" s="15" t="inlineStr">
        <is>
          <t>IPO launched</t>
        </is>
      </c>
      <c r="H1252" s="15" t="inlineStr">
        <is>
          <t>Mainboard</t>
        </is>
      </c>
      <c r="I1252" s="16" t="n">
        <v>42863</v>
      </c>
      <c r="J1252" s="16" t="n">
        <v>42866</v>
      </c>
      <c r="K1252" s="16" t="n">
        <v>42874</v>
      </c>
      <c r="L1252" s="17" t="n">
        <v>1224.35</v>
      </c>
      <c r="M1252" s="17" t="n">
        <v>1224.35</v>
      </c>
      <c r="N1252" s="17" t="n">
        <v>0</v>
      </c>
      <c r="O1252" s="15" t="inlineStr">
        <is>
          <t>Final issue (ipoplatform)</t>
        </is>
      </c>
      <c r="P1252" s="15" t="n"/>
      <c r="Q1252" s="18" t="inlineStr">
        <is>
          <t>https://www.sebi.gov.in/sebi_data/attachdocs/1483435402664.pdf</t>
        </is>
      </c>
      <c r="R1252" s="18" t="inlineStr">
        <is>
          <t>https://www.sebi.gov.in/filings/public-issues/jan-2017/housing-and-urban-development-corporation-limited_33947.html</t>
        </is>
      </c>
      <c r="S1252" s="15" t="n"/>
      <c r="T1252" s="15" t="inlineStr">
        <is>
          <t>SEBI filing link</t>
        </is>
      </c>
      <c r="U1252" s="15" t="inlineStr">
        <is>
          <t>Housing and Urban Development Corporation Limited</t>
        </is>
      </c>
      <c r="V1252" s="15" t="n"/>
      <c r="W1252" s="15" t="n"/>
      <c r="X1252" s="15" t="n"/>
      <c r="Y1252" s="15" t="n"/>
      <c r="Z1252" s="15" t="n"/>
      <c r="AA1252" s="15" t="n"/>
      <c r="AB1252" s="15" t="n"/>
    </row>
    <row r="1253" ht="15" customHeight="1" s="12">
      <c r="A1253" s="14" t="n">
        <v>1252</v>
      </c>
      <c r="B1253" s="16" t="n">
        <v>42734</v>
      </c>
      <c r="C1253" s="15" t="n">
        <v>2016</v>
      </c>
      <c r="D1253" s="15" t="inlineStr">
        <is>
          <t>National Stock Exchange of India Limited</t>
        </is>
      </c>
      <c r="E1253" s="15" t="inlineStr">
        <is>
          <t>DRHP</t>
        </is>
      </c>
      <c r="F1253" s="15" t="inlineStr">
        <is>
          <t>National Stock Exchange of India Limited</t>
        </is>
      </c>
      <c r="G1253" s="15" t="inlineStr">
        <is>
          <t>No launched IPO found</t>
        </is>
      </c>
      <c r="H1253" s="15" t="n"/>
      <c r="I1253" s="16" t="n"/>
      <c r="J1253" s="16" t="n"/>
      <c r="K1253" s="16" t="n"/>
      <c r="L1253" s="17" t="n"/>
      <c r="M1253" s="17" t="n"/>
      <c r="N1253" s="17" t="n"/>
      <c r="O1253" s="15" t="n"/>
      <c r="P1253" s="15" t="n"/>
      <c r="Q1253" s="18" t="inlineStr">
        <is>
          <t>https://www.sebi.gov.in/sebi_data/attachdocs/1483073582321.pdf</t>
        </is>
      </c>
      <c r="R1253" s="18" t="inlineStr">
        <is>
          <t>https://www.sebi.gov.in/filings/public-issues/dec-2016/national-stock-exchange-of-india-limited_33921.html</t>
        </is>
      </c>
      <c r="S1253" s="15" t="n"/>
      <c r="T1253" s="15" t="n"/>
      <c r="U1253" s="15" t="n"/>
      <c r="V1253" s="15" t="inlineStr">
        <is>
          <t>Same-name IPO opened 17-Sep-2026 — outside 2 years of this filing, so not linked</t>
        </is>
      </c>
      <c r="W1253" s="25" t="n">
        <v>46282</v>
      </c>
      <c r="X1253" s="25" t="n">
        <v>46286</v>
      </c>
      <c r="Y1253" s="25" t="n">
        <v>46289</v>
      </c>
      <c r="Z1253" s="26" t="inlineStr">
        <is>
          <t>Later IPO — not from this draft</t>
        </is>
      </c>
      <c r="AA1253" s="15" t="inlineStr">
        <is>
          <t>Opened 9.7 yrs after this filing, under a later draft</t>
        </is>
      </c>
      <c r="AB1253" s="18" t="inlineStr">
        <is>
          <t>https://www.business-standard.com/markets/ipo/national-stock-exchange-of-india-ipo-21241</t>
        </is>
      </c>
    </row>
    <row r="1254" ht="15" customHeight="1" s="12">
      <c r="A1254" s="14" t="n">
        <v>1253</v>
      </c>
      <c r="B1254" s="16" t="n">
        <v>42733</v>
      </c>
      <c r="C1254" s="15" t="n">
        <v>2016</v>
      </c>
      <c r="D1254" s="15" t="inlineStr">
        <is>
          <t>PSP Projects Limited</t>
        </is>
      </c>
      <c r="E1254" s="15" t="inlineStr">
        <is>
          <t>DRHP</t>
        </is>
      </c>
      <c r="F1254" s="15" t="inlineStr">
        <is>
          <t>PSP Projects Limited</t>
        </is>
      </c>
      <c r="G1254" s="15" t="inlineStr">
        <is>
          <t>IPO launched</t>
        </is>
      </c>
      <c r="H1254" s="15" t="inlineStr">
        <is>
          <t>Mainboard</t>
        </is>
      </c>
      <c r="I1254" s="16" t="n">
        <v>42872</v>
      </c>
      <c r="J1254" s="16" t="n">
        <v>42874</v>
      </c>
      <c r="K1254" s="16" t="n">
        <v>42884</v>
      </c>
      <c r="L1254" s="17" t="n">
        <v>211.68</v>
      </c>
      <c r="M1254" s="17" t="n">
        <v>211.68</v>
      </c>
      <c r="N1254" s="17" t="n">
        <v>0</v>
      </c>
      <c r="O1254" s="15" t="inlineStr">
        <is>
          <t>Final issue (ipoplatform)</t>
        </is>
      </c>
      <c r="P1254" s="15" t="n"/>
      <c r="Q1254" s="18" t="inlineStr">
        <is>
          <t>https://www.sebi.gov.in/sebi_data/attachdocs/1483005934511.pdf</t>
        </is>
      </c>
      <c r="R1254" s="18" t="inlineStr">
        <is>
          <t>https://www.sebi.gov.in/filings/public-issues/dec-2016/psp-projects-limited_33915.html</t>
        </is>
      </c>
      <c r="S1254" s="15" t="n"/>
      <c r="T1254" s="15" t="inlineStr">
        <is>
          <t>SEBI filing link</t>
        </is>
      </c>
      <c r="U1254" s="15" t="inlineStr">
        <is>
          <t>PSP Projects Limited</t>
        </is>
      </c>
      <c r="V1254" s="15" t="n"/>
      <c r="W1254" s="15" t="n"/>
      <c r="X1254" s="15" t="n"/>
      <c r="Y1254" s="15" t="n"/>
      <c r="Z1254" s="15" t="n"/>
      <c r="AA1254" s="15" t="n"/>
      <c r="AB1254" s="15" t="n"/>
    </row>
    <row r="1255" ht="15" customHeight="1" s="12">
      <c r="A1255" s="14" t="n">
        <v>1254</v>
      </c>
      <c r="B1255" s="16" t="n">
        <v>42732</v>
      </c>
      <c r="C1255" s="15" t="n">
        <v>2016</v>
      </c>
      <c r="D1255" s="15" t="inlineStr">
        <is>
          <t>Central Desository Services (India) Limited</t>
        </is>
      </c>
      <c r="E1255" s="15" t="inlineStr">
        <is>
          <t>DRHP</t>
        </is>
      </c>
      <c r="F1255" s="15" t="inlineStr">
        <is>
          <t>Central Desository Services (India) Limited</t>
        </is>
      </c>
      <c r="G1255" s="15" t="inlineStr">
        <is>
          <t>IPO launched</t>
        </is>
      </c>
      <c r="H1255" s="15" t="inlineStr">
        <is>
          <t>Mainboard</t>
        </is>
      </c>
      <c r="I1255" s="16" t="n">
        <v>42905</v>
      </c>
      <c r="J1255" s="16" t="n">
        <v>42907</v>
      </c>
      <c r="K1255" s="16" t="n">
        <v>42916</v>
      </c>
      <c r="L1255" s="17" t="n">
        <v>523.99</v>
      </c>
      <c r="M1255" s="17" t="n">
        <v>523.99</v>
      </c>
      <c r="N1255" s="17" t="n">
        <v>0</v>
      </c>
      <c r="O1255" s="15" t="inlineStr">
        <is>
          <t>Final issue (ipoplatform)</t>
        </is>
      </c>
      <c r="P1255" s="15" t="n"/>
      <c r="Q1255" s="18" t="inlineStr">
        <is>
          <t>https://www.sebi.gov.in/sebi_data/attachdocs/1482921811894.pdf</t>
        </is>
      </c>
      <c r="R1255" s="18" t="inlineStr">
        <is>
          <t>https://www.sebi.gov.in/filings/public-issues/dec-2016/central-desository-services-india-limited_33908.html</t>
        </is>
      </c>
      <c r="S1255" s="15" t="n"/>
      <c r="T1255" s="15" t="inlineStr">
        <is>
          <t>Company name (close spelling) + date window</t>
        </is>
      </c>
      <c r="U1255" s="15" t="inlineStr">
        <is>
          <t>Central Depository Services (India) Limited</t>
        </is>
      </c>
      <c r="V1255" s="15" t="n"/>
      <c r="W1255" s="15" t="n"/>
      <c r="X1255" s="15" t="n"/>
      <c r="Y1255" s="15" t="n"/>
      <c r="Z1255" s="15" t="n"/>
      <c r="AA1255" s="15" t="n"/>
      <c r="AB1255" s="15" t="n"/>
    </row>
    <row r="1256" ht="15" customHeight="1" s="12">
      <c r="A1256" s="14" t="n">
        <v>1255</v>
      </c>
      <c r="B1256" s="16" t="n">
        <v>42723</v>
      </c>
      <c r="C1256" s="15" t="n">
        <v>2016</v>
      </c>
      <c r="D1256" s="15" t="inlineStr">
        <is>
          <t>S. Chand and Company Limited</t>
        </is>
      </c>
      <c r="E1256" s="15" t="inlineStr">
        <is>
          <t>DRHP</t>
        </is>
      </c>
      <c r="F1256" s="15" t="inlineStr">
        <is>
          <t>S. Chand and Company Limited</t>
        </is>
      </c>
      <c r="G1256" s="15" t="inlineStr">
        <is>
          <t>IPO launched</t>
        </is>
      </c>
      <c r="H1256" s="15" t="inlineStr">
        <is>
          <t>Mainboard</t>
        </is>
      </c>
      <c r="I1256" s="16" t="n">
        <v>42851</v>
      </c>
      <c r="J1256" s="16" t="n">
        <v>42853</v>
      </c>
      <c r="K1256" s="16" t="n">
        <v>42864</v>
      </c>
      <c r="L1256" s="17" t="n">
        <v>728.5599999999999</v>
      </c>
      <c r="M1256" s="17" t="n">
        <v>728.5599999999999</v>
      </c>
      <c r="N1256" s="17" t="n">
        <v>0</v>
      </c>
      <c r="O1256" s="15" t="inlineStr">
        <is>
          <t>Final issue (ipoplatform)</t>
        </is>
      </c>
      <c r="P1256" s="15" t="n"/>
      <c r="Q1256" s="18" t="inlineStr">
        <is>
          <t>https://www.sebi.gov.in/sebi_data/attachdocs/1482145544958.pdf</t>
        </is>
      </c>
      <c r="R1256" s="18" t="inlineStr">
        <is>
          <t>https://www.sebi.gov.in/filings/public-issues/dec-2016/s-chand-and-company-limited_33820.html</t>
        </is>
      </c>
      <c r="S1256" s="15" t="n"/>
      <c r="T1256" s="15" t="inlineStr">
        <is>
          <t>SEBI filing link</t>
        </is>
      </c>
      <c r="U1256" s="15" t="inlineStr">
        <is>
          <t>S Chand and Company Limited</t>
        </is>
      </c>
      <c r="V1256" s="15" t="n"/>
      <c r="W1256" s="15" t="n"/>
      <c r="X1256" s="15" t="n"/>
      <c r="Y1256" s="15" t="n"/>
      <c r="Z1256" s="15" t="n"/>
      <c r="AA1256" s="15" t="n"/>
      <c r="AB1256" s="15" t="n"/>
    </row>
    <row r="1257" ht="15" customHeight="1" s="12">
      <c r="A1257" s="14" t="n">
        <v>1256</v>
      </c>
      <c r="B1257" s="16" t="n">
        <v>42717</v>
      </c>
      <c r="C1257" s="15" t="n">
        <v>2016</v>
      </c>
      <c r="D1257" s="15" t="inlineStr">
        <is>
          <t>Corrigendum to the DRHP of BSE Limited</t>
        </is>
      </c>
      <c r="E1257" s="15" t="inlineStr">
        <is>
          <t>Corrigendum</t>
        </is>
      </c>
      <c r="F1257" s="15" t="inlineStr">
        <is>
          <t>Corrigendum to the DRHP of BSE Limited</t>
        </is>
      </c>
      <c r="G1257" s="15" t="inlineStr">
        <is>
          <t>No launched IPO found</t>
        </is>
      </c>
      <c r="H1257" s="15" t="n"/>
      <c r="I1257" s="16" t="n"/>
      <c r="J1257" s="16" t="n"/>
      <c r="K1257" s="16" t="n"/>
      <c r="L1257" s="17" t="n"/>
      <c r="M1257" s="17" t="n"/>
      <c r="N1257" s="17" t="n"/>
      <c r="O1257" s="15" t="n"/>
      <c r="P1257" s="15" t="n"/>
      <c r="Q1257" s="18" t="inlineStr">
        <is>
          <t>https://www.sebi.gov.in/sebi_data/attachdocs/1481628639529.pdf</t>
        </is>
      </c>
      <c r="R1257" s="18" t="inlineStr">
        <is>
          <t>https://www.sebi.gov.in/filings/public-issues/dec-2016/corrigendum-to-the-drhp-of-bse-limited_33785.html</t>
        </is>
      </c>
      <c r="S1257" s="15" t="n"/>
      <c r="T1257" s="15" t="n"/>
      <c r="U1257" s="15" t="n"/>
      <c r="V1257" s="15" t="n"/>
      <c r="W1257" s="19" t="n">
        <v>42758</v>
      </c>
      <c r="X1257" s="19" t="n">
        <v>42760</v>
      </c>
      <c r="Y1257" s="19" t="n">
        <v>42769</v>
      </c>
      <c r="Z1257" s="20" t="inlineStr">
        <is>
          <t>Issue opened</t>
        </is>
      </c>
      <c r="AA1257" s="15" t="inlineStr">
        <is>
          <t>Matched on chittorgarh.com</t>
        </is>
      </c>
      <c r="AB1257" s="18" t="inlineStr">
        <is>
          <t>https://www.chittorgarh.com/ipo/bse-limited-ipo/611/</t>
        </is>
      </c>
    </row>
    <row r="1258" ht="15" customHeight="1" s="12">
      <c r="A1258" s="14" t="n">
        <v>1257</v>
      </c>
      <c r="B1258" s="16" t="n">
        <v>42705</v>
      </c>
      <c r="C1258" s="15" t="n">
        <v>2016</v>
      </c>
      <c r="D1258" s="15" t="inlineStr">
        <is>
          <t>Music Broadcast Limited</t>
        </is>
      </c>
      <c r="E1258" s="15" t="inlineStr">
        <is>
          <t>DRHP</t>
        </is>
      </c>
      <c r="F1258" s="15" t="inlineStr">
        <is>
          <t>Music Broadcast Limited</t>
        </is>
      </c>
      <c r="G1258" s="15" t="inlineStr">
        <is>
          <t>IPO launched</t>
        </is>
      </c>
      <c r="H1258" s="15" t="inlineStr">
        <is>
          <t>Mainboard</t>
        </is>
      </c>
      <c r="I1258" s="16" t="n">
        <v>42800</v>
      </c>
      <c r="J1258" s="16" t="n">
        <v>42802</v>
      </c>
      <c r="K1258" s="16" t="n">
        <v>42811</v>
      </c>
      <c r="L1258" s="17" t="n">
        <v>488.53</v>
      </c>
      <c r="M1258" s="17" t="n">
        <v>488.53</v>
      </c>
      <c r="N1258" s="17" t="n">
        <v>0</v>
      </c>
      <c r="O1258" s="15" t="inlineStr">
        <is>
          <t>Final issue (ipoplatform)</t>
        </is>
      </c>
      <c r="P1258" s="15" t="n"/>
      <c r="Q1258" s="18" t="inlineStr">
        <is>
          <t>https://www.sebi.gov.in/sebi_data/attachdocs/1480587076180.pdf</t>
        </is>
      </c>
      <c r="R1258" s="18" t="inlineStr">
        <is>
          <t>https://www.sebi.gov.in/filings/public-issues/dec-2016/music-broadcast-limited_33745.html</t>
        </is>
      </c>
      <c r="S1258" s="15" t="n"/>
      <c r="T1258" s="15" t="inlineStr">
        <is>
          <t>SEBI filing link</t>
        </is>
      </c>
      <c r="U1258" s="15" t="inlineStr">
        <is>
          <t>Music Broadcast Limited</t>
        </is>
      </c>
      <c r="V1258" s="15" t="n"/>
      <c r="W1258" s="15" t="n"/>
      <c r="X1258" s="15" t="n"/>
      <c r="Y1258" s="15" t="n"/>
      <c r="Z1258" s="15" t="n"/>
      <c r="AA1258" s="15" t="n"/>
      <c r="AB1258" s="15" t="n"/>
    </row>
    <row r="1259" ht="15" customHeight="1" s="12">
      <c r="A1259" s="14" t="n">
        <v>1258</v>
      </c>
      <c r="B1259" s="16" t="n">
        <v>42646</v>
      </c>
      <c r="C1259" s="15" t="n">
        <v>2016</v>
      </c>
      <c r="D1259" s="15" t="inlineStr">
        <is>
          <t>Continental Warehousing Corporation (Nhava Seva) Limited</t>
        </is>
      </c>
      <c r="E1259" s="15" t="inlineStr">
        <is>
          <t>DRHP</t>
        </is>
      </c>
      <c r="F1259" s="15" t="inlineStr">
        <is>
          <t>Continental Warehousing Corporation (Nhava Seva) Limited</t>
        </is>
      </c>
      <c r="G1259" s="15" t="inlineStr">
        <is>
          <t>No launched IPO found</t>
        </is>
      </c>
      <c r="H1259" s="15" t="n"/>
      <c r="I1259" s="16" t="n"/>
      <c r="J1259" s="16" t="n"/>
      <c r="K1259" s="16" t="n"/>
      <c r="L1259" s="17" t="n"/>
      <c r="M1259" s="17" t="n"/>
      <c r="N1259" s="17" t="n"/>
      <c r="O1259" s="15" t="n"/>
      <c r="P1259" s="15" t="n"/>
      <c r="Q1259" s="18" t="inlineStr">
        <is>
          <t>https://www.sebi.gov.in/sebi_data/attachdocs/1475476252011.pdf</t>
        </is>
      </c>
      <c r="R1259" s="18" t="inlineStr">
        <is>
          <t>https://www.sebi.gov.in/filings/public-issues/oct-2016/continental-warehousing-corporation-nhava-seva-limited_33401.html</t>
        </is>
      </c>
      <c r="S1259" s="15" t="n"/>
      <c r="T1259" s="15" t="n"/>
      <c r="U1259" s="15" t="n"/>
      <c r="V1259" s="15" t="n"/>
      <c r="W1259" s="16" t="n"/>
      <c r="X1259" s="16" t="n"/>
      <c r="Y1259" s="16" t="n"/>
      <c r="Z1259" s="15" t="inlineStr">
        <is>
          <t>No issue found</t>
        </is>
      </c>
      <c r="AA1259" s="15" t="inlineStr">
        <is>
          <t>Rs419cr IPO planned 2016; instead 90% sold to DP World-NIIF JV (HIPL) in 2018; unlisted</t>
        </is>
      </c>
      <c r="AB1259" s="18" t="inlineStr">
        <is>
          <t>https://www.business-standard.com/article/pti-stories/dp-world-niif-jv-acquire-continental-warehousing-corporation-118071901251_1.html</t>
        </is>
      </c>
    </row>
    <row r="1260" ht="15" customHeight="1" s="12">
      <c r="A1260" s="14" t="n">
        <v>1259</v>
      </c>
      <c r="B1260" s="16" t="n">
        <v>42646</v>
      </c>
      <c r="C1260" s="15" t="n">
        <v>2016</v>
      </c>
      <c r="D1260" s="15" t="inlineStr">
        <is>
          <t>G. R. Infraprojects Limited</t>
        </is>
      </c>
      <c r="E1260" s="15" t="inlineStr">
        <is>
          <t>DRHP</t>
        </is>
      </c>
      <c r="F1260" s="15" t="inlineStr">
        <is>
          <t>G. R. Infraprojects Limited</t>
        </is>
      </c>
      <c r="G1260" s="15" t="inlineStr">
        <is>
          <t>No launched IPO found</t>
        </is>
      </c>
      <c r="H1260" s="15" t="n"/>
      <c r="I1260" s="16" t="n"/>
      <c r="J1260" s="16" t="n"/>
      <c r="K1260" s="16" t="n"/>
      <c r="L1260" s="17" t="n"/>
      <c r="M1260" s="17" t="n"/>
      <c r="N1260" s="17" t="n"/>
      <c r="O1260" s="15" t="n"/>
      <c r="P1260" s="15" t="n"/>
      <c r="Q1260" s="18" t="inlineStr">
        <is>
          <t>https://www.sebi.gov.in/sebi_data/attachdocs/1475469156283.pdf</t>
        </is>
      </c>
      <c r="R1260" s="18" t="inlineStr">
        <is>
          <t>https://www.sebi.gov.in/filings/public-issues/oct-2016/g-r-infraprojects-limited_33399.html</t>
        </is>
      </c>
      <c r="S1260" s="15" t="n"/>
      <c r="T1260" s="15" t="n"/>
      <c r="U1260" s="15" t="n"/>
      <c r="V1260" s="15" t="inlineStr">
        <is>
          <t>Same-name IPO opened 07-Jul-2021 — outside 2 years of this filing, so not linked</t>
        </is>
      </c>
      <c r="W1260" s="25" t="n">
        <v>44384</v>
      </c>
      <c r="X1260" s="25" t="n">
        <v>44386</v>
      </c>
      <c r="Y1260" s="25" t="n">
        <v>44396</v>
      </c>
      <c r="Z1260" s="26" t="inlineStr">
        <is>
          <t>Later IPO — not from this draft</t>
        </is>
      </c>
      <c r="AA1260" s="15" t="inlineStr">
        <is>
          <t>Opened 4.8 yrs after this filing, under a later draft</t>
        </is>
      </c>
      <c r="AB1260" s="18" t="inlineStr">
        <is>
          <t>https://www.business-standard.com/markets/ipo/g-r-infraprojects-ltd-ipo-35408</t>
        </is>
      </c>
    </row>
    <row r="1261" ht="15" customHeight="1" s="12">
      <c r="A1261" s="14" t="n">
        <v>1260</v>
      </c>
      <c r="B1261" s="16" t="n">
        <v>42646</v>
      </c>
      <c r="C1261" s="15" t="n">
        <v>2016</v>
      </c>
      <c r="D1261" s="15" t="inlineStr">
        <is>
          <t>Genesis Colors Limited</t>
        </is>
      </c>
      <c r="E1261" s="15" t="inlineStr">
        <is>
          <t>DRHP</t>
        </is>
      </c>
      <c r="F1261" s="15" t="inlineStr">
        <is>
          <t>Genesis Colors Limited</t>
        </is>
      </c>
      <c r="G1261" s="15" t="inlineStr">
        <is>
          <t>No launched IPO found</t>
        </is>
      </c>
      <c r="H1261" s="15" t="n"/>
      <c r="I1261" s="16" t="n"/>
      <c r="J1261" s="16" t="n"/>
      <c r="K1261" s="16" t="n"/>
      <c r="L1261" s="17" t="n"/>
      <c r="M1261" s="17" t="n"/>
      <c r="N1261" s="17" t="n"/>
      <c r="O1261" s="15" t="n"/>
      <c r="P1261" s="15" t="n"/>
      <c r="Q1261" s="18" t="inlineStr">
        <is>
          <t>https://www.sebi.gov.in/sebi_data/attachdocs/1475485242952.pdf</t>
        </is>
      </c>
      <c r="R1261" s="18" t="inlineStr">
        <is>
          <t>https://www.sebi.gov.in/filings/public-issues/oct-2016/genesis-colors-limited_33403.html</t>
        </is>
      </c>
      <c r="S1261" s="15" t="n"/>
      <c r="T1261" s="15" t="n"/>
      <c r="U1261" s="15" t="n"/>
      <c r="V1261" s="15" t="n"/>
      <c r="W1261" s="16" t="n"/>
      <c r="X1261" s="16" t="n"/>
      <c r="Y1261" s="16" t="n"/>
      <c r="Z1261" s="15" t="inlineStr">
        <is>
          <t>No issue found</t>
        </is>
      </c>
      <c r="AA1261" s="15" t="inlineStr">
        <is>
          <t>Business Standard lists the company but shows no issue dates; web search limit reached</t>
        </is>
      </c>
      <c r="AB1261" s="18" t="inlineStr">
        <is>
          <t>https://www.business-standard.com/markets/ipo/genesis-colors-ltd-ipo-68135</t>
        </is>
      </c>
    </row>
    <row r="1262" ht="15" customHeight="1" s="12">
      <c r="A1262" s="14" t="n">
        <v>1261</v>
      </c>
      <c r="B1262" s="16" t="n">
        <v>42646</v>
      </c>
      <c r="C1262" s="15" t="n">
        <v>2016</v>
      </c>
      <c r="D1262" s="15" t="inlineStr">
        <is>
          <t>Prataap Snacks Limited</t>
        </is>
      </c>
      <c r="E1262" s="15" t="inlineStr">
        <is>
          <t>DRHP</t>
        </is>
      </c>
      <c r="F1262" s="15" t="inlineStr">
        <is>
          <t>Prataap Snacks Limited</t>
        </is>
      </c>
      <c r="G1262" s="15" t="inlineStr">
        <is>
          <t>IPO launched</t>
        </is>
      </c>
      <c r="H1262" s="15" t="inlineStr">
        <is>
          <t>Mainboard</t>
        </is>
      </c>
      <c r="I1262" s="16" t="n">
        <v>43000</v>
      </c>
      <c r="J1262" s="16" t="n">
        <v>43004</v>
      </c>
      <c r="K1262" s="16" t="n">
        <v>43013</v>
      </c>
      <c r="L1262" s="17" t="n">
        <v>481.56</v>
      </c>
      <c r="M1262" s="17" t="n">
        <v>481.56</v>
      </c>
      <c r="N1262" s="17" t="n">
        <v>0</v>
      </c>
      <c r="O1262" s="15" t="inlineStr">
        <is>
          <t>Final issue (ipoplatform)</t>
        </is>
      </c>
      <c r="P1262" s="15" t="n"/>
      <c r="Q1262" s="18" t="inlineStr">
        <is>
          <t>https://www.sebi.gov.in/sebi_data/attachdocs/1475474399351.pdf</t>
        </is>
      </c>
      <c r="R1262" s="18" t="inlineStr">
        <is>
          <t>https://www.sebi.gov.in/filings/public-issues/oct-2016/prataap-snacks-limited_33400.html</t>
        </is>
      </c>
      <c r="S1262" s="15" t="n"/>
      <c r="T1262" s="15" t="inlineStr">
        <is>
          <t>SEBI filing link</t>
        </is>
      </c>
      <c r="U1262" s="15" t="inlineStr">
        <is>
          <t>Prataap Snacks Limited</t>
        </is>
      </c>
      <c r="V1262" s="15" t="n"/>
      <c r="W1262" s="15" t="n"/>
      <c r="X1262" s="15" t="n"/>
      <c r="Y1262" s="15" t="n"/>
      <c r="Z1262" s="15" t="n"/>
      <c r="AA1262" s="15" t="n"/>
      <c r="AB1262" s="15" t="n"/>
    </row>
    <row r="1263" ht="15" customHeight="1" s="12">
      <c r="A1263" s="14" t="n">
        <v>1262</v>
      </c>
      <c r="B1263" s="16" t="n">
        <v>42643</v>
      </c>
      <c r="C1263" s="15" t="n">
        <v>2016</v>
      </c>
      <c r="D1263" s="15" t="inlineStr">
        <is>
          <t>Avenue Supermarts Limited</t>
        </is>
      </c>
      <c r="E1263" s="15" t="inlineStr">
        <is>
          <t>DRHP</t>
        </is>
      </c>
      <c r="F1263" s="15" t="inlineStr">
        <is>
          <t>Avenue Supermarts Limited</t>
        </is>
      </c>
      <c r="G1263" s="15" t="inlineStr">
        <is>
          <t>IPO launched</t>
        </is>
      </c>
      <c r="H1263" s="15" t="inlineStr">
        <is>
          <t>Mainboard</t>
        </is>
      </c>
      <c r="I1263" s="16" t="n">
        <v>42802</v>
      </c>
      <c r="J1263" s="16" t="n">
        <v>42804</v>
      </c>
      <c r="K1263" s="16" t="n">
        <v>42815</v>
      </c>
      <c r="L1263" s="17" t="n">
        <v>1870</v>
      </c>
      <c r="M1263" s="17" t="n">
        <v>1870</v>
      </c>
      <c r="N1263" s="17" t="n">
        <v>0</v>
      </c>
      <c r="O1263" s="15" t="inlineStr">
        <is>
          <t>Final issue (ipoplatform)</t>
        </is>
      </c>
      <c r="P1263" s="15" t="n"/>
      <c r="Q1263" s="18" t="inlineStr">
        <is>
          <t>https://www.sebi.gov.in/sebi_data/attachdocs/1475235183964.pdf</t>
        </is>
      </c>
      <c r="R1263" s="18" t="inlineStr">
        <is>
          <t>https://www.sebi.gov.in/filings/public-issues/sep-2016/avenue-supermarts-limited_33394.html</t>
        </is>
      </c>
      <c r="S1263" s="15" t="n"/>
      <c r="T1263" s="15" t="inlineStr">
        <is>
          <t>Company name + date window</t>
        </is>
      </c>
      <c r="U1263" s="15" t="inlineStr">
        <is>
          <t>Avenue Supermarts Limited</t>
        </is>
      </c>
      <c r="V1263" s="15" t="n"/>
      <c r="W1263" s="15" t="n"/>
      <c r="X1263" s="15" t="n"/>
      <c r="Y1263" s="15" t="n"/>
      <c r="Z1263" s="15" t="n"/>
      <c r="AA1263" s="15" t="n"/>
      <c r="AB1263" s="15" t="n"/>
    </row>
    <row r="1264" ht="15" customHeight="1" s="12">
      <c r="A1264" s="14" t="n">
        <v>1263</v>
      </c>
      <c r="B1264" s="16" t="n">
        <v>42642</v>
      </c>
      <c r="C1264" s="15" t="n">
        <v>2016</v>
      </c>
      <c r="D1264" s="15" t="inlineStr">
        <is>
          <t>Security And Intelligence Services (India) Limited</t>
        </is>
      </c>
      <c r="E1264" s="15" t="inlineStr">
        <is>
          <t>DRHP</t>
        </is>
      </c>
      <c r="F1264" s="15" t="inlineStr">
        <is>
          <t>Security And Intelligence Services (India) Limited</t>
        </is>
      </c>
      <c r="G1264" s="15" t="inlineStr">
        <is>
          <t>IPO launched</t>
        </is>
      </c>
      <c r="H1264" s="15" t="inlineStr">
        <is>
          <t>Mainboard</t>
        </is>
      </c>
      <c r="I1264" s="16" t="n">
        <v>42947</v>
      </c>
      <c r="J1264" s="16" t="n">
        <v>42949</v>
      </c>
      <c r="K1264" s="16" t="n">
        <v>42957</v>
      </c>
      <c r="L1264" s="17" t="n">
        <v>779.58</v>
      </c>
      <c r="M1264" s="17" t="n">
        <v>779.58</v>
      </c>
      <c r="N1264" s="17" t="n">
        <v>0</v>
      </c>
      <c r="O1264" s="15" t="inlineStr">
        <is>
          <t>Final issue (ipoplatform)</t>
        </is>
      </c>
      <c r="P1264" s="15" t="n"/>
      <c r="Q1264" s="18" t="inlineStr">
        <is>
          <t>https://www.sebi.gov.in/sebi_data/attachdocs/1475145496926.pdf</t>
        </is>
      </c>
      <c r="R1264" s="18" t="inlineStr">
        <is>
          <t>https://www.sebi.gov.in/filings/public-issues/sep-2016/security-and-intelligence-services-india-limited_33367.html</t>
        </is>
      </c>
      <c r="S1264" s="15" t="n"/>
      <c r="T1264" s="15" t="inlineStr">
        <is>
          <t>SEBI filing link</t>
        </is>
      </c>
      <c r="U1264" s="15" t="inlineStr">
        <is>
          <t>Security and Intelligence Services (India) Limited</t>
        </is>
      </c>
      <c r="V1264" s="15" t="n"/>
      <c r="W1264" s="15" t="n"/>
      <c r="X1264" s="15" t="n"/>
      <c r="Y1264" s="15" t="n"/>
      <c r="Z1264" s="15" t="n"/>
      <c r="AA1264" s="15" t="n"/>
      <c r="AB1264" s="15" t="n"/>
    </row>
    <row r="1265" ht="15" customHeight="1" s="12">
      <c r="A1265" s="14" t="n">
        <v>1264</v>
      </c>
      <c r="B1265" s="16" t="n">
        <v>42642</v>
      </c>
      <c r="C1265" s="15" t="n">
        <v>2016</v>
      </c>
      <c r="D1265" s="15" t="inlineStr">
        <is>
          <t>Shankara Building Products Limited</t>
        </is>
      </c>
      <c r="E1265" s="15" t="inlineStr">
        <is>
          <t>DRHP</t>
        </is>
      </c>
      <c r="F1265" s="15" t="inlineStr">
        <is>
          <t>Shankara Building Products Limited</t>
        </is>
      </c>
      <c r="G1265" s="15" t="inlineStr">
        <is>
          <t>IPO launched</t>
        </is>
      </c>
      <c r="H1265" s="15" t="inlineStr">
        <is>
          <t>Mainboard</t>
        </is>
      </c>
      <c r="I1265" s="16" t="n">
        <v>42816</v>
      </c>
      <c r="J1265" s="16" t="n">
        <v>42818</v>
      </c>
      <c r="K1265" s="16" t="n">
        <v>42830</v>
      </c>
      <c r="L1265" s="17" t="n">
        <v>345</v>
      </c>
      <c r="M1265" s="17" t="n">
        <v>345</v>
      </c>
      <c r="N1265" s="17" t="n">
        <v>0</v>
      </c>
      <c r="O1265" s="15" t="inlineStr">
        <is>
          <t>Final issue (ipoplatform)</t>
        </is>
      </c>
      <c r="P1265" s="15" t="n"/>
      <c r="Q1265" s="18" t="inlineStr">
        <is>
          <t>https://www.sebi.gov.in/sebi_data/attachdocs/1475140160718.pdf</t>
        </is>
      </c>
      <c r="R1265" s="18" t="inlineStr">
        <is>
          <t>https://www.sebi.gov.in/filings/public-issues/sep-2016/shankara-building-products-limited_33365.html</t>
        </is>
      </c>
      <c r="S1265" s="15" t="n"/>
      <c r="T1265" s="15" t="inlineStr">
        <is>
          <t>SEBI filing link</t>
        </is>
      </c>
      <c r="U1265" s="15" t="inlineStr">
        <is>
          <t>Shankara Building Products Limited</t>
        </is>
      </c>
      <c r="V1265" s="15" t="n"/>
      <c r="W1265" s="15" t="n"/>
      <c r="X1265" s="15" t="n"/>
      <c r="Y1265" s="15" t="n"/>
      <c r="Z1265" s="15" t="n"/>
      <c r="AA1265" s="15" t="n"/>
      <c r="AB1265" s="15" t="n"/>
    </row>
    <row r="1266" ht="15" customHeight="1" s="12">
      <c r="A1266" s="14" t="n">
        <v>1265</v>
      </c>
      <c r="B1266" s="16" t="n">
        <v>42625</v>
      </c>
      <c r="C1266" s="15" t="n">
        <v>2016</v>
      </c>
      <c r="D1266" s="15" t="inlineStr">
        <is>
          <t>BSE Limited</t>
        </is>
      </c>
      <c r="E1266" s="15" t="inlineStr">
        <is>
          <t>DRHP</t>
        </is>
      </c>
      <c r="F1266" s="15" t="inlineStr">
        <is>
          <t>BSE Limited</t>
        </is>
      </c>
      <c r="G1266" s="15" t="inlineStr">
        <is>
          <t>IPO launched</t>
        </is>
      </c>
      <c r="H1266" s="15" t="inlineStr">
        <is>
          <t>Mainboard</t>
        </is>
      </c>
      <c r="I1266" s="16" t="n">
        <v>42758</v>
      </c>
      <c r="J1266" s="16" t="n">
        <v>42760</v>
      </c>
      <c r="K1266" s="16" t="n">
        <v>42769</v>
      </c>
      <c r="L1266" s="17" t="n">
        <v>1243.43</v>
      </c>
      <c r="M1266" s="17" t="n">
        <v>1243.43</v>
      </c>
      <c r="N1266" s="17" t="n">
        <v>0</v>
      </c>
      <c r="O1266" s="15" t="inlineStr">
        <is>
          <t>Final issue (ipoplatform)</t>
        </is>
      </c>
      <c r="P1266" s="15" t="n"/>
      <c r="Q1266" s="18" t="inlineStr">
        <is>
          <t>https://www.sebi.gov.in/sebi_data/attachdocs/1473669901742.pdf</t>
        </is>
      </c>
      <c r="R1266" s="18" t="inlineStr">
        <is>
          <t>https://www.sebi.gov.in/filings/public-issues/sep-2016/bse-limited_33213.html</t>
        </is>
      </c>
      <c r="S1266" s="15" t="n"/>
      <c r="T1266" s="15" t="inlineStr">
        <is>
          <t>Company name + date window</t>
        </is>
      </c>
      <c r="U1266" s="15" t="inlineStr">
        <is>
          <t>BSE Limited</t>
        </is>
      </c>
      <c r="V1266" s="15" t="n"/>
      <c r="W1266" s="15" t="n"/>
      <c r="X1266" s="15" t="n"/>
      <c r="Y1266" s="15" t="n"/>
      <c r="Z1266" s="15" t="n"/>
      <c r="AA1266" s="15" t="n"/>
      <c r="AB1266" s="15" t="n"/>
    </row>
    <row r="1267" ht="15" customHeight="1" s="12">
      <c r="A1267" s="14" t="n">
        <v>1266</v>
      </c>
      <c r="B1267" s="16" t="n">
        <v>42605</v>
      </c>
      <c r="C1267" s="15" t="n">
        <v>2016</v>
      </c>
      <c r="D1267" s="15" t="inlineStr">
        <is>
          <t>Laurus Labs Limited</t>
        </is>
      </c>
      <c r="E1267" s="15" t="inlineStr">
        <is>
          <t>DRHP</t>
        </is>
      </c>
      <c r="F1267" s="15" t="inlineStr">
        <is>
          <t>Laurus Labs Limited</t>
        </is>
      </c>
      <c r="G1267" s="15" t="inlineStr">
        <is>
          <t>IPO launched</t>
        </is>
      </c>
      <c r="H1267" s="15" t="inlineStr">
        <is>
          <t>Mainboard</t>
        </is>
      </c>
      <c r="I1267" s="16" t="n">
        <v>42710</v>
      </c>
      <c r="J1267" s="16" t="n">
        <v>42712</v>
      </c>
      <c r="K1267" s="16" t="n">
        <v>42723</v>
      </c>
      <c r="L1267" s="17" t="n">
        <v>1331.8</v>
      </c>
      <c r="M1267" s="17" t="n">
        <v>300</v>
      </c>
      <c r="N1267" s="17" t="n">
        <v>1031.8</v>
      </c>
      <c r="O1267" s="15" t="inlineStr">
        <is>
          <t>Final issue (ipoplatform)</t>
        </is>
      </c>
      <c r="P1267" s="15" t="n"/>
      <c r="Q1267" s="18" t="inlineStr">
        <is>
          <t>https://www.sebi.gov.in/sebi_data/attachdocs/1471952320948.pdf</t>
        </is>
      </c>
      <c r="R1267" s="18" t="inlineStr">
        <is>
          <t>https://www.sebi.gov.in/filings/public-issues/aug-2016/laurus-labs-limited_33031.html</t>
        </is>
      </c>
      <c r="S1267" s="15" t="n"/>
      <c r="T1267" s="15" t="inlineStr">
        <is>
          <t>Company name + date window</t>
        </is>
      </c>
      <c r="U1267" s="15" t="inlineStr">
        <is>
          <t>Laurus Labs Limited</t>
        </is>
      </c>
      <c r="V1267" s="15" t="n"/>
      <c r="W1267" s="15" t="n"/>
      <c r="X1267" s="15" t="n"/>
      <c r="Y1267" s="15" t="n"/>
      <c r="Z1267" s="15" t="n"/>
      <c r="AA1267" s="15" t="n"/>
      <c r="AB1267" s="15" t="n"/>
    </row>
    <row r="1268" ht="15" customHeight="1" s="12">
      <c r="A1268" s="14" t="n">
        <v>1267</v>
      </c>
      <c r="B1268" s="16" t="n">
        <v>42585</v>
      </c>
      <c r="C1268" s="15" t="n">
        <v>2016</v>
      </c>
      <c r="D1268" s="15" t="inlineStr">
        <is>
          <t>Sheela Foam Limited</t>
        </is>
      </c>
      <c r="E1268" s="15" t="inlineStr">
        <is>
          <t>DRHP</t>
        </is>
      </c>
      <c r="F1268" s="15" t="inlineStr">
        <is>
          <t>Sheela Foam Limited</t>
        </is>
      </c>
      <c r="G1268" s="15" t="inlineStr">
        <is>
          <t>IPO launched</t>
        </is>
      </c>
      <c r="H1268" s="15" t="inlineStr">
        <is>
          <t>Mainboard</t>
        </is>
      </c>
      <c r="I1268" s="16" t="n">
        <v>42703</v>
      </c>
      <c r="J1268" s="16" t="n">
        <v>42705</v>
      </c>
      <c r="K1268" s="16" t="n">
        <v>42713</v>
      </c>
      <c r="L1268" s="17" t="n">
        <v>510</v>
      </c>
      <c r="M1268" s="17" t="n">
        <v>510</v>
      </c>
      <c r="N1268" s="17" t="n">
        <v>0</v>
      </c>
      <c r="O1268" s="15" t="inlineStr">
        <is>
          <t>Final issue (ipoplatform)</t>
        </is>
      </c>
      <c r="P1268" s="15" t="n"/>
      <c r="Q1268" s="18" t="inlineStr">
        <is>
          <t>https://www.sebi.gov.in/sebi_data/attachdocs/1470223129588.pdf</t>
        </is>
      </c>
      <c r="R1268" s="18" t="inlineStr">
        <is>
          <t>https://www.sebi.gov.in/filings/public-issues/aug-2016/sheela-foam-limited_32929.html</t>
        </is>
      </c>
      <c r="S1268" s="15" t="n"/>
      <c r="T1268" s="15" t="inlineStr">
        <is>
          <t>SEBI filing link</t>
        </is>
      </c>
      <c r="U1268" s="15" t="inlineStr">
        <is>
          <t>Sheela Foam Limited</t>
        </is>
      </c>
      <c r="V1268" s="15" t="n"/>
      <c r="W1268" s="15" t="n"/>
      <c r="X1268" s="15" t="n"/>
      <c r="Y1268" s="15" t="n"/>
      <c r="Z1268" s="15" t="n"/>
      <c r="AA1268" s="15" t="n"/>
      <c r="AB1268" s="15" t="n"/>
    </row>
    <row r="1269" ht="15" customHeight="1" s="12">
      <c r="A1269" s="14" t="n">
        <v>1268</v>
      </c>
      <c r="B1269" s="16" t="n">
        <v>42570</v>
      </c>
      <c r="C1269" s="15" t="n">
        <v>2016</v>
      </c>
      <c r="D1269" s="15" t="inlineStr">
        <is>
          <t>L&amp;T Technology Services Limited</t>
        </is>
      </c>
      <c r="E1269" s="15" t="inlineStr">
        <is>
          <t>DRHP</t>
        </is>
      </c>
      <c r="F1269" s="15" t="inlineStr">
        <is>
          <t>L&amp;T Technology Services Limited</t>
        </is>
      </c>
      <c r="G1269" s="15" t="inlineStr">
        <is>
          <t>IPO launched</t>
        </is>
      </c>
      <c r="H1269" s="15" t="inlineStr">
        <is>
          <t>Mainboard</t>
        </is>
      </c>
      <c r="I1269" s="16" t="n">
        <v>42625</v>
      </c>
      <c r="J1269" s="16" t="n">
        <v>42628</v>
      </c>
      <c r="K1269" s="16" t="n">
        <v>42636</v>
      </c>
      <c r="L1269" s="17" t="n">
        <v>894.4</v>
      </c>
      <c r="M1269" s="17" t="n">
        <v>894.4</v>
      </c>
      <c r="N1269" s="17" t="n">
        <v>0</v>
      </c>
      <c r="O1269" s="15" t="inlineStr">
        <is>
          <t>Final issue (ipoplatform)</t>
        </is>
      </c>
      <c r="P1269" s="15" t="n"/>
      <c r="Q1269" s="18" t="inlineStr">
        <is>
          <t>https://www.sebi.gov.in/sebi_data/attachdocs/1468906211630.pdf</t>
        </is>
      </c>
      <c r="R1269" s="18" t="inlineStr">
        <is>
          <t>https://www.sebi.gov.in/filings/public-issues/jul-2016/landt-technology-services-limited_32858.html</t>
        </is>
      </c>
      <c r="S1269" s="15" t="n"/>
      <c r="T1269" s="15" t="inlineStr">
        <is>
          <t>Company name + date window</t>
        </is>
      </c>
      <c r="U1269" s="15" t="inlineStr">
        <is>
          <t>L&amp;T Technology Services Limited</t>
        </is>
      </c>
      <c r="V1269" s="15" t="n"/>
      <c r="W1269" s="15" t="n"/>
      <c r="X1269" s="15" t="n"/>
      <c r="Y1269" s="15" t="n"/>
      <c r="Z1269" s="15" t="n"/>
      <c r="AA1269" s="15" t="n"/>
      <c r="AB1269" s="15" t="n"/>
    </row>
    <row r="1270" ht="15" customHeight="1" s="12">
      <c r="A1270" s="14" t="n">
        <v>1269</v>
      </c>
      <c r="B1270" s="16" t="n">
        <v>42569</v>
      </c>
      <c r="C1270" s="15" t="n">
        <v>2016</v>
      </c>
      <c r="D1270" s="15" t="inlineStr">
        <is>
          <t>ICICI Prudential Life Insurance Company Limited</t>
        </is>
      </c>
      <c r="E1270" s="15" t="inlineStr">
        <is>
          <t>DRHP</t>
        </is>
      </c>
      <c r="F1270" s="15" t="inlineStr">
        <is>
          <t>ICICI Prudential Life Insurance Company Limited</t>
        </is>
      </c>
      <c r="G1270" s="15" t="inlineStr">
        <is>
          <t>IPO launched</t>
        </is>
      </c>
      <c r="H1270" s="15" t="inlineStr">
        <is>
          <t>Mainboard</t>
        </is>
      </c>
      <c r="I1270" s="16" t="n">
        <v>42632</v>
      </c>
      <c r="J1270" s="16" t="n">
        <v>42634</v>
      </c>
      <c r="K1270" s="16" t="n">
        <v>42642</v>
      </c>
      <c r="L1270" s="17" t="n">
        <v>6056.79</v>
      </c>
      <c r="M1270" s="17" t="n">
        <v>6056.79</v>
      </c>
      <c r="N1270" s="17" t="n">
        <v>0</v>
      </c>
      <c r="O1270" s="15" t="inlineStr">
        <is>
          <t>Final issue (ipoplatform)</t>
        </is>
      </c>
      <c r="P1270" s="15" t="n"/>
      <c r="Q1270" s="18" t="inlineStr">
        <is>
          <t>https://www.sebi.gov.in/sebi_data/attachdocs/1468842226820.pdf</t>
        </is>
      </c>
      <c r="R1270" s="18" t="inlineStr">
        <is>
          <t>https://www.sebi.gov.in/filings/public-issues/jul-2016/icici-prudential-life-insurance-company-limited_32855.html</t>
        </is>
      </c>
      <c r="S1270" s="15" t="n"/>
      <c r="T1270" s="15" t="inlineStr">
        <is>
          <t>SEBI filing link</t>
        </is>
      </c>
      <c r="U1270" s="15" t="inlineStr">
        <is>
          <t>ICICI Prudential Life Insurance Company Limited</t>
        </is>
      </c>
      <c r="V1270" s="15" t="n"/>
      <c r="W1270" s="15" t="n"/>
      <c r="X1270" s="15" t="n"/>
      <c r="Y1270" s="15" t="n"/>
      <c r="Z1270" s="15" t="n"/>
      <c r="AA1270" s="15" t="n"/>
      <c r="AB1270" s="15" t="n"/>
    </row>
    <row r="1271" ht="15" customHeight="1" s="12">
      <c r="A1271" s="14" t="n">
        <v>1270</v>
      </c>
      <c r="B1271" s="16" t="n">
        <v>42559</v>
      </c>
      <c r="C1271" s="15" t="n">
        <v>2016</v>
      </c>
      <c r="D1271" s="15" t="inlineStr">
        <is>
          <t>Endurance Technologies Limited</t>
        </is>
      </c>
      <c r="E1271" s="15" t="inlineStr">
        <is>
          <t>DRHP</t>
        </is>
      </c>
      <c r="F1271" s="15" t="inlineStr">
        <is>
          <t>Endurance Technologies Limited</t>
        </is>
      </c>
      <c r="G1271" s="15" t="inlineStr">
        <is>
          <t>IPO launched</t>
        </is>
      </c>
      <c r="H1271" s="15" t="inlineStr">
        <is>
          <t>Mainboard</t>
        </is>
      </c>
      <c r="I1271" s="16" t="n">
        <v>42648</v>
      </c>
      <c r="J1271" s="16" t="n">
        <v>42650</v>
      </c>
      <c r="K1271" s="16" t="n">
        <v>42662</v>
      </c>
      <c r="L1271" s="17" t="n">
        <v>1161.73</v>
      </c>
      <c r="M1271" s="17" t="n">
        <v>1161.73</v>
      </c>
      <c r="N1271" s="17" t="n">
        <v>0</v>
      </c>
      <c r="O1271" s="15" t="inlineStr">
        <is>
          <t>Final issue (ipoplatform)</t>
        </is>
      </c>
      <c r="P1271" s="15" t="n"/>
      <c r="Q1271" s="18" t="inlineStr">
        <is>
          <t>https://www.sebi.gov.in/sebi_data/attachdocs/1467977949148.pdf</t>
        </is>
      </c>
      <c r="R1271" s="18" t="inlineStr">
        <is>
          <t>https://www.sebi.gov.in/filings/public-issues/jul-2016/endurance-technologies-limited_32819.html</t>
        </is>
      </c>
      <c r="S1271" s="15" t="n"/>
      <c r="T1271" s="15" t="inlineStr">
        <is>
          <t>SEBI filing link</t>
        </is>
      </c>
      <c r="U1271" s="15" t="inlineStr">
        <is>
          <t>Endurance Technologies Limited</t>
        </is>
      </c>
      <c r="V1271" s="15" t="n"/>
      <c r="W1271" s="15" t="n"/>
      <c r="X1271" s="15" t="n"/>
      <c r="Y1271" s="15" t="n"/>
      <c r="Z1271" s="15" t="n"/>
      <c r="AA1271" s="15" t="n"/>
      <c r="AB1271" s="15" t="n"/>
    </row>
    <row r="1272" ht="15" customHeight="1" s="12">
      <c r="A1272" s="14" t="n">
        <v>1271</v>
      </c>
      <c r="B1272" s="16" t="n">
        <v>42558</v>
      </c>
      <c r="C1272" s="15" t="n">
        <v>2016</v>
      </c>
      <c r="D1272" s="15" t="inlineStr">
        <is>
          <t>PNB Housing Finance Limited</t>
        </is>
      </c>
      <c r="E1272" s="15" t="inlineStr">
        <is>
          <t>DRHP</t>
        </is>
      </c>
      <c r="F1272" s="15" t="inlineStr">
        <is>
          <t>PNB Housing Finance Limited</t>
        </is>
      </c>
      <c r="G1272" s="15" t="inlineStr">
        <is>
          <t>IPO launched</t>
        </is>
      </c>
      <c r="H1272" s="15" t="inlineStr">
        <is>
          <t>Mainboard</t>
        </is>
      </c>
      <c r="I1272" s="16" t="n">
        <v>42668</v>
      </c>
      <c r="J1272" s="16" t="n">
        <v>42670</v>
      </c>
      <c r="K1272" s="16" t="n">
        <v>42681</v>
      </c>
      <c r="L1272" s="17" t="n">
        <v>3000.75</v>
      </c>
      <c r="M1272" s="17" t="n">
        <v>3000.75</v>
      </c>
      <c r="N1272" s="17" t="n">
        <v>0</v>
      </c>
      <c r="O1272" s="15" t="inlineStr">
        <is>
          <t>Final issue (ipoplatform)</t>
        </is>
      </c>
      <c r="P1272" s="15" t="n"/>
      <c r="Q1272" s="18" t="inlineStr">
        <is>
          <t>https://www.sebi.gov.in/sebi_data/attachdocs/1467884999824.pdf</t>
        </is>
      </c>
      <c r="R1272" s="18" t="inlineStr">
        <is>
          <t>https://www.sebi.gov.in/filings/public-issues/jul-2016/pnb-housing-finance-limited_32797.html</t>
        </is>
      </c>
      <c r="S1272" s="15" t="n"/>
      <c r="T1272" s="15" t="inlineStr">
        <is>
          <t>SEBI filing link</t>
        </is>
      </c>
      <c r="U1272" s="15" t="inlineStr">
        <is>
          <t>PNB Housing Finance Limited</t>
        </is>
      </c>
      <c r="V1272" s="15" t="n"/>
      <c r="W1272" s="15" t="n"/>
      <c r="X1272" s="15" t="n"/>
      <c r="Y1272" s="15" t="n"/>
      <c r="Z1272" s="15" t="n"/>
      <c r="AA1272" s="15" t="n"/>
      <c r="AB1272" s="15" t="n"/>
    </row>
    <row r="1273" ht="15" customHeight="1" s="12">
      <c r="A1273" s="14" t="n">
        <v>1272</v>
      </c>
      <c r="B1273" s="16" t="n">
        <v>42555</v>
      </c>
      <c r="C1273" s="15" t="n">
        <v>2016</v>
      </c>
      <c r="D1273" s="15" t="inlineStr">
        <is>
          <t>GreenSignal Bio Pharma Limited</t>
        </is>
      </c>
      <c r="E1273" s="15" t="inlineStr">
        <is>
          <t>DRHP</t>
        </is>
      </c>
      <c r="F1273" s="15" t="inlineStr">
        <is>
          <t>GreenSignal Bio Pharma Limited</t>
        </is>
      </c>
      <c r="G1273" s="15" t="inlineStr">
        <is>
          <t>No launched IPO found</t>
        </is>
      </c>
      <c r="H1273" s="15" t="n"/>
      <c r="I1273" s="16" t="n"/>
      <c r="J1273" s="16" t="n"/>
      <c r="K1273" s="16" t="n"/>
      <c r="L1273" s="17" t="n"/>
      <c r="M1273" s="17" t="n"/>
      <c r="N1273" s="17" t="n"/>
      <c r="O1273" s="15" t="n"/>
      <c r="P1273" s="15" t="n"/>
      <c r="Q1273" s="18" t="inlineStr">
        <is>
          <t>https://www.sebi.gov.in/sebi_data/attachdocs/1467625587330.pdf</t>
        </is>
      </c>
      <c r="R1273" s="18" t="inlineStr">
        <is>
          <t>https://www.sebi.gov.in/filings/public-issues/jul-2016/greensignal-bio-pharma-limited_32778.html</t>
        </is>
      </c>
      <c r="S1273" s="15" t="n"/>
      <c r="T1273" s="15" t="n"/>
      <c r="U1273" s="15" t="n"/>
      <c r="V1273" s="15" t="n"/>
      <c r="W1273" s="19" t="n">
        <v>42683</v>
      </c>
      <c r="X1273" s="19" t="n">
        <v>42696</v>
      </c>
      <c r="Y1273" s="19" t="n">
        <v>42696</v>
      </c>
      <c r="Z1273" s="20" t="inlineStr">
        <is>
          <t>Issue opened</t>
        </is>
      </c>
      <c r="AA1273" s="15" t="inlineStr">
        <is>
          <t>Matched on chittorgarh.com</t>
        </is>
      </c>
      <c r="AB1273" s="18" t="inlineStr">
        <is>
          <t>https://www.chittorgarh.com/ipo/greensignal-bio-pharma-ipo/601/</t>
        </is>
      </c>
    </row>
    <row r="1274" ht="15" customHeight="1" s="12">
      <c r="A1274" s="14" t="n">
        <v>1273</v>
      </c>
      <c r="B1274" s="16" t="n">
        <v>42548</v>
      </c>
      <c r="C1274" s="15" t="n">
        <v>2016</v>
      </c>
      <c r="D1274" s="15" t="inlineStr">
        <is>
          <t>Aster DM Healthcare Limited</t>
        </is>
      </c>
      <c r="E1274" s="15" t="inlineStr">
        <is>
          <t>DRHP</t>
        </is>
      </c>
      <c r="F1274" s="15" t="inlineStr">
        <is>
          <t>Aster DM Healthcare Limited</t>
        </is>
      </c>
      <c r="G1274" s="15" t="inlineStr">
        <is>
          <t>IPO launched</t>
        </is>
      </c>
      <c r="H1274" s="15" t="inlineStr">
        <is>
          <t>Mainboard</t>
        </is>
      </c>
      <c r="I1274" s="16" t="n">
        <v>43143</v>
      </c>
      <c r="J1274" s="16" t="n">
        <v>43146</v>
      </c>
      <c r="K1274" s="16" t="n">
        <v>43157</v>
      </c>
      <c r="L1274" s="17" t="n">
        <v>980.14</v>
      </c>
      <c r="M1274" s="17" t="n">
        <v>980.14</v>
      </c>
      <c r="N1274" s="17" t="n">
        <v>0</v>
      </c>
      <c r="O1274" s="15" t="inlineStr">
        <is>
          <t>Final issue (ipoplatform)</t>
        </is>
      </c>
      <c r="P1274" s="15" t="n"/>
      <c r="Q1274" s="18" t="inlineStr">
        <is>
          <t>https://www.sebi.gov.in/sebi_data/attachdocs/1467027412108.pdf</t>
        </is>
      </c>
      <c r="R1274" s="18" t="inlineStr">
        <is>
          <t>https://www.sebi.gov.in/filings/public-issues/jun-2016/aster-dm-healthcare-limited_32708.html</t>
        </is>
      </c>
      <c r="S1274" s="15" t="n"/>
      <c r="T1274" s="15" t="inlineStr">
        <is>
          <t>Company name + date window</t>
        </is>
      </c>
      <c r="U1274" s="15" t="inlineStr">
        <is>
          <t>Aster DM Healthcare Limited</t>
        </is>
      </c>
      <c r="V1274" s="15" t="n"/>
      <c r="W1274" s="15" t="n"/>
      <c r="X1274" s="15" t="n"/>
      <c r="Y1274" s="15" t="n"/>
      <c r="Z1274" s="15" t="n"/>
      <c r="AA1274" s="15" t="n"/>
      <c r="AB1274" s="15" t="n"/>
    </row>
    <row r="1275" ht="15" customHeight="1" s="12">
      <c r="A1275" s="14" t="n">
        <v>1274</v>
      </c>
      <c r="B1275" s="16" t="n">
        <v>42545</v>
      </c>
      <c r="C1275" s="15" t="n">
        <v>2016</v>
      </c>
      <c r="D1275" s="15" t="inlineStr">
        <is>
          <t>Varun Beverages Limited</t>
        </is>
      </c>
      <c r="E1275" s="15" t="inlineStr">
        <is>
          <t>DRHP</t>
        </is>
      </c>
      <c r="F1275" s="15" t="inlineStr">
        <is>
          <t>Varun Beverages Limited</t>
        </is>
      </c>
      <c r="G1275" s="15" t="inlineStr">
        <is>
          <t>IPO launched</t>
        </is>
      </c>
      <c r="H1275" s="15" t="inlineStr">
        <is>
          <t>Mainboard</t>
        </is>
      </c>
      <c r="I1275" s="16" t="n">
        <v>42669</v>
      </c>
      <c r="J1275" s="16" t="n">
        <v>42671</v>
      </c>
      <c r="K1275" s="16" t="n">
        <v>42682</v>
      </c>
      <c r="L1275" s="17" t="n">
        <v>1112.5</v>
      </c>
      <c r="M1275" s="17" t="n">
        <v>1112.5</v>
      </c>
      <c r="N1275" s="17" t="n">
        <v>0</v>
      </c>
      <c r="O1275" s="15" t="inlineStr">
        <is>
          <t>Final issue (ipoplatform)</t>
        </is>
      </c>
      <c r="P1275" s="15" t="n"/>
      <c r="Q1275" s="18" t="inlineStr">
        <is>
          <t>https://www.sebi.gov.in/sebi_data/attachdocs/1466744669824.pdf</t>
        </is>
      </c>
      <c r="R1275" s="18" t="inlineStr">
        <is>
          <t>https://www.sebi.gov.in/filings/public-issues/jun-2016/varun-beverages-limited_32675.html</t>
        </is>
      </c>
      <c r="S1275" s="15" t="n"/>
      <c r="T1275" s="15" t="inlineStr">
        <is>
          <t>SEBI filing link</t>
        </is>
      </c>
      <c r="U1275" s="15" t="inlineStr">
        <is>
          <t>Varun Beverages Limited</t>
        </is>
      </c>
      <c r="V1275" s="15" t="n"/>
      <c r="W1275" s="15" t="n"/>
      <c r="X1275" s="15" t="n"/>
      <c r="Y1275" s="15" t="n"/>
      <c r="Z1275" s="15" t="n"/>
      <c r="AA1275" s="15" t="n"/>
      <c r="AB1275" s="15" t="n"/>
    </row>
    <row r="1276" ht="15" customHeight="1" s="12">
      <c r="A1276" s="14" t="n">
        <v>1275</v>
      </c>
      <c r="B1276" s="16" t="n">
        <v>42513</v>
      </c>
      <c r="C1276" s="15" t="n">
        <v>2016</v>
      </c>
      <c r="D1276" s="15" t="inlineStr">
        <is>
          <t>Addendum Notice - HPL Electric &amp; Power Limited</t>
        </is>
      </c>
      <c r="E1276" s="15" t="inlineStr">
        <is>
          <t>Addendum</t>
        </is>
      </c>
      <c r="F1276" s="15" t="inlineStr">
        <is>
          <t>Addendum Notice - HPL Electric &amp; Power Limited</t>
        </is>
      </c>
      <c r="G1276" s="15" t="inlineStr">
        <is>
          <t>No launched IPO found</t>
        </is>
      </c>
      <c r="H1276" s="15" t="n"/>
      <c r="I1276" s="16" t="n"/>
      <c r="J1276" s="16" t="n"/>
      <c r="K1276" s="16" t="n"/>
      <c r="L1276" s="17" t="n"/>
      <c r="M1276" s="17" t="n"/>
      <c r="N1276" s="17" t="n"/>
      <c r="O1276" s="15" t="n"/>
      <c r="P1276" s="15" t="n"/>
      <c r="Q1276" s="18" t="inlineStr">
        <is>
          <t>https://www.sebi.gov.in/sebi_data/attachdocs/1463975515144.pdf</t>
        </is>
      </c>
      <c r="R1276" s="18" t="inlineStr">
        <is>
          <t>https://www.sebi.gov.in/filings/public-issues/may-2016/addendum-notice-hpl-electric-and-power-limited_32533.html</t>
        </is>
      </c>
      <c r="S1276" s="15" t="n"/>
      <c r="T1276" s="15" t="n"/>
      <c r="U1276" s="15" t="n"/>
      <c r="V1276" s="15" t="n"/>
      <c r="W1276" s="19" t="n">
        <v>42635</v>
      </c>
      <c r="X1276" s="19" t="n">
        <v>42639</v>
      </c>
      <c r="Y1276" s="19" t="n">
        <v>42647</v>
      </c>
      <c r="Z1276" s="20" t="inlineStr">
        <is>
          <t>Issue opened</t>
        </is>
      </c>
      <c r="AA1276" s="15" t="inlineStr">
        <is>
          <t>Taken from same company, row 1281 of this sheet</t>
        </is>
      </c>
      <c r="AB1276" s="15" t="n"/>
    </row>
    <row r="1277" ht="15" customHeight="1" s="12">
      <c r="A1277" s="14" t="n">
        <v>1276</v>
      </c>
      <c r="B1277" s="16" t="n">
        <v>42478</v>
      </c>
      <c r="C1277" s="15" t="n">
        <v>2016</v>
      </c>
      <c r="D1277" s="15" t="inlineStr">
        <is>
          <t>Larsen &amp; Toubro Infotech Limited</t>
        </is>
      </c>
      <c r="E1277" s="15" t="inlineStr">
        <is>
          <t>DRHP</t>
        </is>
      </c>
      <c r="F1277" s="15" t="inlineStr">
        <is>
          <t>Larsen &amp; Toubro Infotech Limited</t>
        </is>
      </c>
      <c r="G1277" s="15" t="inlineStr">
        <is>
          <t>No launched IPO found</t>
        </is>
      </c>
      <c r="H1277" s="15" t="n"/>
      <c r="I1277" s="16" t="n"/>
      <c r="J1277" s="16" t="n"/>
      <c r="K1277" s="16" t="n"/>
      <c r="L1277" s="17" t="n"/>
      <c r="M1277" s="17" t="n"/>
      <c r="N1277" s="17" t="n"/>
      <c r="O1277" s="15" t="n"/>
      <c r="P1277" s="15" t="n"/>
      <c r="Q1277" s="18" t="inlineStr">
        <is>
          <t>https://www.sebi.gov.in/sebi_data/attachdocs/1460961145946.pdf</t>
        </is>
      </c>
      <c r="R1277" s="18" t="inlineStr">
        <is>
          <t>https://www.sebi.gov.in/filings/public-issues/apr-2016/larsen-and-toubro-infotech-limited_32392.html</t>
        </is>
      </c>
      <c r="S1277" s="15" t="n"/>
      <c r="T1277" s="15" t="n"/>
      <c r="U1277" s="15" t="n"/>
      <c r="V1277" s="15" t="n"/>
      <c r="W1277" s="19" t="n">
        <v>42562</v>
      </c>
      <c r="X1277" s="19" t="n">
        <v>42564</v>
      </c>
      <c r="Y1277" s="19" t="n">
        <v>42572</v>
      </c>
      <c r="Z1277" s="20" t="inlineStr">
        <is>
          <t>Issue opened</t>
        </is>
      </c>
      <c r="AA1277" s="15" t="inlineStr">
        <is>
          <t>IPO as L&amp;T Infotech at Rs710; ~Rs1,243cr OFS by L&amp;T</t>
        </is>
      </c>
      <c r="AB1277" s="18" t="inlineStr">
        <is>
          <t>https://www.chittorgarh.com/ipo/l_t_infotech_ipo/555/</t>
        </is>
      </c>
    </row>
    <row r="1278" ht="15" customHeight="1" s="12">
      <c r="A1278" s="14" t="n">
        <v>1277</v>
      </c>
      <c r="B1278" s="16" t="n">
        <v>42461</v>
      </c>
      <c r="C1278" s="15" t="n">
        <v>2016</v>
      </c>
      <c r="D1278" s="15" t="inlineStr">
        <is>
          <t>Hinduja Leyland Finance Limited</t>
        </is>
      </c>
      <c r="E1278" s="15" t="inlineStr">
        <is>
          <t>DRHP</t>
        </is>
      </c>
      <c r="F1278" s="15" t="inlineStr">
        <is>
          <t>Hinduja Leyland Finance Limited</t>
        </is>
      </c>
      <c r="G1278" s="15" t="inlineStr">
        <is>
          <t>No launched IPO found</t>
        </is>
      </c>
      <c r="H1278" s="15" t="n"/>
      <c r="I1278" s="16" t="n"/>
      <c r="J1278" s="16" t="n"/>
      <c r="K1278" s="16" t="n"/>
      <c r="L1278" s="17" t="n"/>
      <c r="M1278" s="17" t="n"/>
      <c r="N1278" s="17" t="n"/>
      <c r="O1278" s="15" t="n"/>
      <c r="P1278" s="15" t="n"/>
      <c r="Q1278" s="18" t="inlineStr">
        <is>
          <t>https://www.sebi.gov.in/sebi_data/attachdocs/1459486971532.pdf</t>
        </is>
      </c>
      <c r="R1278" s="18" t="inlineStr">
        <is>
          <t>https://www.sebi.gov.in/filings/public-issues/apr-2016/hinduja-leyland-finance-limited_32235.html</t>
        </is>
      </c>
      <c r="S1278" s="15" t="n"/>
      <c r="T1278" s="15" t="n"/>
      <c r="U1278" s="15" t="n"/>
      <c r="V1278" s="15" t="n"/>
      <c r="W1278" s="16" t="n"/>
      <c r="X1278" s="16" t="n"/>
      <c r="Y1278" s="16" t="n"/>
      <c r="Z1278" s="15" t="inlineStr">
        <is>
          <t>No issue found</t>
        </is>
      </c>
      <c r="AA1278" s="15" t="inlineStr">
        <is>
          <t>Business Standard lists the company but shows no issue dates; web search limit reached</t>
        </is>
      </c>
      <c r="AB1278" s="18" t="inlineStr">
        <is>
          <t>https://www.business-standard.com/markets/ipo/hinduja-leyland-finance-ltd-ipo-41297</t>
        </is>
      </c>
    </row>
    <row r="1279" ht="15" customHeight="1" s="12">
      <c r="A1279" s="14" t="n">
        <v>1278</v>
      </c>
      <c r="B1279" s="16" t="n">
        <v>42460</v>
      </c>
      <c r="C1279" s="15" t="n">
        <v>2016</v>
      </c>
      <c r="D1279" s="15" t="inlineStr">
        <is>
          <t>CL Educate Limited</t>
        </is>
      </c>
      <c r="E1279" s="15" t="inlineStr">
        <is>
          <t>DRHP</t>
        </is>
      </c>
      <c r="F1279" s="15" t="inlineStr">
        <is>
          <t>CL Educate Limited</t>
        </is>
      </c>
      <c r="G1279" s="15" t="inlineStr">
        <is>
          <t>IPO launched</t>
        </is>
      </c>
      <c r="H1279" s="15" t="inlineStr">
        <is>
          <t>Mainboard</t>
        </is>
      </c>
      <c r="I1279" s="16" t="n">
        <v>42814</v>
      </c>
      <c r="J1279" s="16" t="n">
        <v>42816</v>
      </c>
      <c r="K1279" s="16" t="n">
        <v>42825</v>
      </c>
      <c r="L1279" s="17" t="n">
        <v>238.95</v>
      </c>
      <c r="M1279" s="17" t="n">
        <v>238.95</v>
      </c>
      <c r="N1279" s="17" t="n">
        <v>0</v>
      </c>
      <c r="O1279" s="15" t="inlineStr">
        <is>
          <t>Final issue (ipoplatform)</t>
        </is>
      </c>
      <c r="P1279" s="15" t="n"/>
      <c r="Q1279" s="18" t="inlineStr">
        <is>
          <t>https://www.sebi.gov.in/sebi_data/attachdocs/1459398053387.pdf</t>
        </is>
      </c>
      <c r="R1279" s="18" t="inlineStr">
        <is>
          <t>https://www.sebi.gov.in/filings/public-issues/mar-2016/cl-educate-limited_32196.html</t>
        </is>
      </c>
      <c r="S1279" s="15" t="n"/>
      <c r="T1279" s="15" t="inlineStr">
        <is>
          <t>SEBI filing link</t>
        </is>
      </c>
      <c r="U1279" s="15" t="inlineStr">
        <is>
          <t>CL Educate Limited</t>
        </is>
      </c>
      <c r="V1279" s="15" t="n"/>
      <c r="W1279" s="15" t="n"/>
      <c r="X1279" s="15" t="n"/>
      <c r="Y1279" s="15" t="n"/>
      <c r="Z1279" s="15" t="n"/>
      <c r="AA1279" s="15" t="n"/>
      <c r="AB1279" s="15" t="n"/>
    </row>
    <row r="1280" ht="15" customHeight="1" s="12">
      <c r="A1280" s="14" t="n">
        <v>1279</v>
      </c>
      <c r="B1280" s="16" t="n">
        <v>42458</v>
      </c>
      <c r="C1280" s="15" t="n">
        <v>2016</v>
      </c>
      <c r="D1280" s="15" t="inlineStr">
        <is>
          <t>Seaways Shipping and Logistics Limited</t>
        </is>
      </c>
      <c r="E1280" s="15" t="inlineStr">
        <is>
          <t>DRHP</t>
        </is>
      </c>
      <c r="F1280" s="15" t="inlineStr">
        <is>
          <t>Seaways Shipping and Logistics Limited</t>
        </is>
      </c>
      <c r="G1280" s="15" t="inlineStr">
        <is>
          <t>No launched IPO found</t>
        </is>
      </c>
      <c r="H1280" s="15" t="n"/>
      <c r="I1280" s="16" t="n"/>
      <c r="J1280" s="16" t="n"/>
      <c r="K1280" s="16" t="n"/>
      <c r="L1280" s="17" t="n"/>
      <c r="M1280" s="17" t="n"/>
      <c r="N1280" s="17" t="n"/>
      <c r="O1280" s="15" t="n"/>
      <c r="P1280" s="15" t="n"/>
      <c r="Q1280" s="18" t="inlineStr">
        <is>
          <t>https://www.sebi.gov.in/sebi_data/attachdocs/1459225984969.pdf</t>
        </is>
      </c>
      <c r="R1280" s="18" t="inlineStr">
        <is>
          <t>https://www.sebi.gov.in/filings/public-issues/mar-2016/seaways-shipping-and-logistics-limited_32077.html</t>
        </is>
      </c>
      <c r="S1280" s="15" t="n"/>
      <c r="T1280" s="15" t="n"/>
      <c r="U1280" s="15" t="n"/>
      <c r="V1280" s="15" t="n"/>
      <c r="W1280" s="16" t="n"/>
      <c r="X1280" s="16" t="n"/>
      <c r="Y1280" s="16" t="n"/>
      <c r="Z1280" s="15" t="inlineStr">
        <is>
          <t>No issue found</t>
        </is>
      </c>
      <c r="AA1280" s="15" t="inlineStr">
        <is>
          <t>Business Standard lists the company but shows no issue dates; web search limit reached</t>
        </is>
      </c>
      <c r="AB1280" s="18" t="inlineStr">
        <is>
          <t>https://www.business-standard.com/markets/ipo/seaways-shipping-logistics-ltd-ipo-41452</t>
        </is>
      </c>
    </row>
    <row r="1281" ht="15" customHeight="1" s="12">
      <c r="A1281" s="14" t="n">
        <v>1280</v>
      </c>
      <c r="B1281" s="16" t="n">
        <v>42425</v>
      </c>
      <c r="C1281" s="15" t="n">
        <v>2016</v>
      </c>
      <c r="D1281" s="15" t="inlineStr">
        <is>
          <t>HPL Electric &amp; Power Limited</t>
        </is>
      </c>
      <c r="E1281" s="15" t="inlineStr">
        <is>
          <t>DRHP</t>
        </is>
      </c>
      <c r="F1281" s="15" t="inlineStr">
        <is>
          <t>HPL Electric &amp; Power Limited</t>
        </is>
      </c>
      <c r="G1281" s="15" t="inlineStr">
        <is>
          <t>IPO launched</t>
        </is>
      </c>
      <c r="H1281" s="15" t="inlineStr">
        <is>
          <t>Mainboard</t>
        </is>
      </c>
      <c r="I1281" s="16" t="n">
        <v>42635</v>
      </c>
      <c r="J1281" s="16" t="n">
        <v>42639</v>
      </c>
      <c r="K1281" s="16" t="n">
        <v>42647</v>
      </c>
      <c r="L1281" s="17" t="n">
        <v>361</v>
      </c>
      <c r="M1281" s="17" t="n">
        <v>361</v>
      </c>
      <c r="N1281" s="17" t="n">
        <v>0</v>
      </c>
      <c r="O1281" s="15" t="inlineStr">
        <is>
          <t>Final issue (ipoplatform)</t>
        </is>
      </c>
      <c r="P1281" s="15" t="n"/>
      <c r="Q1281" s="18" t="inlineStr">
        <is>
          <t>https://www.sebi.gov.in/sebi_data/commondocs/HPLElectric-Addendum_p.pdf</t>
        </is>
      </c>
      <c r="R1281" s="18" t="inlineStr">
        <is>
          <t>https://www.sebi.gov.in/filings/public-issues/feb-2016/hpl-electric-and-power-limited_32678.html</t>
        </is>
      </c>
      <c r="S1281" s="15" t="n"/>
      <c r="T1281" s="15" t="inlineStr">
        <is>
          <t>Company name + date window</t>
        </is>
      </c>
      <c r="U1281" s="15" t="inlineStr">
        <is>
          <t>HPL Electric &amp; Power Limited</t>
        </is>
      </c>
      <c r="V1281" s="15" t="n"/>
      <c r="W1281" s="15" t="n"/>
      <c r="X1281" s="15" t="n"/>
      <c r="Y1281" s="15" t="n"/>
      <c r="Z1281" s="15" t="n"/>
      <c r="AA1281" s="15" t="n"/>
      <c r="AB1281" s="15" t="n"/>
    </row>
    <row r="1282" ht="15" customHeight="1" s="12">
      <c r="A1282" s="14" t="n">
        <v>1281</v>
      </c>
      <c r="B1282" s="16" t="n">
        <v>42403</v>
      </c>
      <c r="C1282" s="15" t="n">
        <v>2016</v>
      </c>
      <c r="D1282" s="15" t="inlineStr">
        <is>
          <t>Dilip Buildcon Limited</t>
        </is>
      </c>
      <c r="E1282" s="15" t="inlineStr">
        <is>
          <t>DRHP</t>
        </is>
      </c>
      <c r="F1282" s="15" t="inlineStr">
        <is>
          <t>Dilip Buildcon Limited</t>
        </is>
      </c>
      <c r="G1282" s="15" t="inlineStr">
        <is>
          <t>IPO launched</t>
        </is>
      </c>
      <c r="H1282" s="15" t="inlineStr">
        <is>
          <t>Mainboard</t>
        </is>
      </c>
      <c r="I1282" s="16" t="n">
        <v>42583</v>
      </c>
      <c r="J1282" s="16" t="n">
        <v>42585</v>
      </c>
      <c r="K1282" s="16" t="n">
        <v>42593</v>
      </c>
      <c r="L1282" s="17" t="n">
        <v>653.98</v>
      </c>
      <c r="M1282" s="17" t="n">
        <v>653.98</v>
      </c>
      <c r="N1282" s="17" t="n">
        <v>0</v>
      </c>
      <c r="O1282" s="15" t="inlineStr">
        <is>
          <t>Final issue (ipoplatform)</t>
        </is>
      </c>
      <c r="P1282" s="15" t="n"/>
      <c r="Q1282" s="18" t="inlineStr">
        <is>
          <t>https://www.sebi.gov.in/sebi_data/attachdocs/1454495999707.pdf</t>
        </is>
      </c>
      <c r="R1282" s="18" t="inlineStr">
        <is>
          <t>https://www.sebi.gov.in/filings/public-issues/feb-2016/dilip-buildcon-limited_31603.html</t>
        </is>
      </c>
      <c r="S1282" s="15" t="n"/>
      <c r="T1282" s="15" t="inlineStr">
        <is>
          <t>SEBI filing link</t>
        </is>
      </c>
      <c r="U1282" s="15" t="inlineStr">
        <is>
          <t>Dilip Buildcon Limited</t>
        </is>
      </c>
      <c r="V1282" s="15" t="n"/>
      <c r="W1282" s="15" t="n"/>
      <c r="X1282" s="15" t="n"/>
      <c r="Y1282" s="15" t="n"/>
      <c r="Z1282" s="15" t="n"/>
      <c r="AA1282" s="15" t="n"/>
      <c r="AB1282" s="15" t="n"/>
    </row>
    <row r="1283" ht="15" customHeight="1" s="12">
      <c r="A1283" s="14" t="n">
        <v>1282</v>
      </c>
      <c r="B1283" s="16" t="n">
        <v>42403</v>
      </c>
      <c r="C1283" s="15" t="n">
        <v>2016</v>
      </c>
      <c r="D1283" s="15" t="inlineStr">
        <is>
          <t>Quess Corp Limited</t>
        </is>
      </c>
      <c r="E1283" s="15" t="inlineStr">
        <is>
          <t>DRHP</t>
        </is>
      </c>
      <c r="F1283" s="15" t="inlineStr">
        <is>
          <t>Quess Corp Limited</t>
        </is>
      </c>
      <c r="G1283" s="15" t="inlineStr">
        <is>
          <t>IPO launched</t>
        </is>
      </c>
      <c r="H1283" s="15" t="inlineStr">
        <is>
          <t>Mainboard</t>
        </is>
      </c>
      <c r="I1283" s="16" t="n">
        <v>42550</v>
      </c>
      <c r="J1283" s="16" t="n">
        <v>42552</v>
      </c>
      <c r="K1283" s="16" t="n">
        <v>42563</v>
      </c>
      <c r="L1283" s="17" t="n">
        <v>400</v>
      </c>
      <c r="M1283" s="17" t="n">
        <v>400</v>
      </c>
      <c r="N1283" s="17" t="n">
        <v>0</v>
      </c>
      <c r="O1283" s="15" t="inlineStr">
        <is>
          <t>Final issue (ipoplatform)</t>
        </is>
      </c>
      <c r="P1283" s="15" t="n"/>
      <c r="Q1283" s="18" t="inlineStr">
        <is>
          <t>https://www.sebi.gov.in/sebi_data/attachdocs/1454475043546.pdf</t>
        </is>
      </c>
      <c r="R1283" s="18" t="inlineStr">
        <is>
          <t>https://www.sebi.gov.in/filings/public-issues/feb-2016/quess-corp-limited_31598.html</t>
        </is>
      </c>
      <c r="S1283" s="15" t="n"/>
      <c r="T1283" s="15" t="inlineStr">
        <is>
          <t>SEBI filing link</t>
        </is>
      </c>
      <c r="U1283" s="15" t="inlineStr">
        <is>
          <t>Quess Corp Limited</t>
        </is>
      </c>
      <c r="V1283" s="15" t="n"/>
      <c r="W1283" s="15" t="n"/>
      <c r="X1283" s="15" t="n"/>
      <c r="Y1283" s="15" t="n"/>
      <c r="Z1283" s="15" t="n"/>
      <c r="AA1283" s="15" t="n"/>
      <c r="AB1283" s="15" t="n"/>
    </row>
    <row r="1284" ht="15" customHeight="1" s="12">
      <c r="A1284" s="14" t="n">
        <v>1283</v>
      </c>
      <c r="B1284" s="16" t="n">
        <v>42390</v>
      </c>
      <c r="C1284" s="15" t="n">
        <v>2016</v>
      </c>
      <c r="D1284" s="15" t="inlineStr">
        <is>
          <t>Advanced Enzyme Technologies Limited</t>
        </is>
      </c>
      <c r="E1284" s="15" t="inlineStr">
        <is>
          <t>DRHP</t>
        </is>
      </c>
      <c r="F1284" s="15" t="inlineStr">
        <is>
          <t>Advanced Enzyme Technologies Limited</t>
        </is>
      </c>
      <c r="G1284" s="15" t="inlineStr">
        <is>
          <t>IPO launched</t>
        </is>
      </c>
      <c r="H1284" s="15" t="inlineStr">
        <is>
          <t>Mainboard</t>
        </is>
      </c>
      <c r="I1284" s="16" t="n">
        <v>42571</v>
      </c>
      <c r="J1284" s="16" t="n">
        <v>42573</v>
      </c>
      <c r="K1284" s="16" t="n">
        <v>42583</v>
      </c>
      <c r="L1284" s="17" t="n">
        <v>411.49</v>
      </c>
      <c r="M1284" s="17" t="n">
        <v>411.49</v>
      </c>
      <c r="N1284" s="17" t="n">
        <v>0</v>
      </c>
      <c r="O1284" s="15" t="inlineStr">
        <is>
          <t>Final issue (ipoplatform)</t>
        </is>
      </c>
      <c r="P1284" s="15" t="n"/>
      <c r="Q1284" s="18" t="inlineStr">
        <is>
          <t>https://www.sebi.gov.in/sebi_data/attachdocs/1453372309087.pdf</t>
        </is>
      </c>
      <c r="R1284" s="18" t="inlineStr">
        <is>
          <t>https://www.sebi.gov.in/filings/public-issues/jan-2016/advanced-enzyme-technologies-limited_31518.html</t>
        </is>
      </c>
      <c r="S1284" s="15" t="n"/>
      <c r="T1284" s="15" t="inlineStr">
        <is>
          <t>SEBI filing link</t>
        </is>
      </c>
      <c r="U1284" s="15" t="inlineStr">
        <is>
          <t>Advanced Enzyme Technologies Limited</t>
        </is>
      </c>
      <c r="V1284" s="15" t="n"/>
      <c r="W1284" s="15" t="n"/>
      <c r="X1284" s="15" t="n"/>
      <c r="Y1284" s="15" t="n"/>
      <c r="Z1284" s="15" t="n"/>
      <c r="AA1284" s="15" t="n"/>
      <c r="AB1284" s="15" t="n"/>
    </row>
    <row r="1285" ht="15" customHeight="1" s="12">
      <c r="A1285" s="14" t="n">
        <v>1284</v>
      </c>
      <c r="B1285" s="16" t="n">
        <v>42373</v>
      </c>
      <c r="C1285" s="15" t="n">
        <v>2016</v>
      </c>
      <c r="D1285" s="15" t="inlineStr">
        <is>
          <t>Thyrocare Technologies Limited</t>
        </is>
      </c>
      <c r="E1285" s="15" t="inlineStr">
        <is>
          <t>DRHP</t>
        </is>
      </c>
      <c r="F1285" s="15" t="inlineStr">
        <is>
          <t>Thyrocare Technologies Limited- Draft Red Herring Prospectus</t>
        </is>
      </c>
      <c r="G1285" s="15" t="inlineStr">
        <is>
          <t>IPO launched</t>
        </is>
      </c>
      <c r="H1285" s="15" t="inlineStr">
        <is>
          <t>Mainboard</t>
        </is>
      </c>
      <c r="I1285" s="16" t="n">
        <v>42487</v>
      </c>
      <c r="J1285" s="16" t="n">
        <v>42489</v>
      </c>
      <c r="K1285" s="16" t="n">
        <v>42499</v>
      </c>
      <c r="L1285" s="17" t="n">
        <v>479.21</v>
      </c>
      <c r="M1285" s="17" t="n">
        <v>479.21</v>
      </c>
      <c r="N1285" s="17" t="n">
        <v>0</v>
      </c>
      <c r="O1285" s="15" t="inlineStr">
        <is>
          <t>Final issue (ipoplatform)</t>
        </is>
      </c>
      <c r="P1285" s="15" t="n"/>
      <c r="Q1285" s="18" t="inlineStr">
        <is>
          <t>https://www.sebi.gov.in/sebi_data/attachdocs/1451886138156.pdf</t>
        </is>
      </c>
      <c r="R1285" s="18" t="inlineStr">
        <is>
          <t>https://www.sebi.gov.in/filings/public-issues/jan-2016/thyrocare-technologies-limited-draft-red-herring-prospectus_31406.html</t>
        </is>
      </c>
      <c r="S1285" s="15" t="n"/>
      <c r="T1285" s="15" t="inlineStr">
        <is>
          <t>SEBI filing link</t>
        </is>
      </c>
      <c r="U1285" s="15" t="inlineStr">
        <is>
          <t>Thyrocare Technologies Limited</t>
        </is>
      </c>
      <c r="V1285" s="15" t="n"/>
      <c r="W1285" s="15" t="n"/>
      <c r="X1285" s="15" t="n"/>
      <c r="Y1285" s="15" t="n"/>
      <c r="Z1285" s="15" t="n"/>
      <c r="AA1285" s="15" t="n"/>
      <c r="AB1285" s="15" t="n"/>
    </row>
    <row r="1286" ht="15" customHeight="1" s="12">
      <c r="A1286" s="14" t="n">
        <v>1285</v>
      </c>
      <c r="B1286" s="16" t="n">
        <v>42373</v>
      </c>
      <c r="C1286" s="15" t="n">
        <v>2016</v>
      </c>
      <c r="D1286" s="15" t="inlineStr">
        <is>
          <t>Ujjivan Financial Services Limited</t>
        </is>
      </c>
      <c r="E1286" s="15" t="inlineStr">
        <is>
          <t>DRHP</t>
        </is>
      </c>
      <c r="F1286" s="15" t="inlineStr">
        <is>
          <t>Ujjivan Financial Services Limited</t>
        </is>
      </c>
      <c r="G1286" s="15" t="inlineStr">
        <is>
          <t>IPO launched</t>
        </is>
      </c>
      <c r="H1286" s="15" t="inlineStr">
        <is>
          <t>Mainboard</t>
        </is>
      </c>
      <c r="I1286" s="16" t="n">
        <v>42488</v>
      </c>
      <c r="J1286" s="16" t="n">
        <v>42492</v>
      </c>
      <c r="K1286" s="16" t="n">
        <v>42500</v>
      </c>
      <c r="L1286" s="17" t="n">
        <v>887.6900000000001</v>
      </c>
      <c r="M1286" s="17" t="n">
        <v>887.6900000000001</v>
      </c>
      <c r="N1286" s="17" t="n">
        <v>0</v>
      </c>
      <c r="O1286" s="15" t="inlineStr">
        <is>
          <t>Final issue (ipoplatform)</t>
        </is>
      </c>
      <c r="P1286" s="15" t="n"/>
      <c r="Q1286" s="18" t="inlineStr">
        <is>
          <t>https://www.sebi.gov.in/sebi_data/attachdocs/1451908310679.pdf</t>
        </is>
      </c>
      <c r="R1286" s="18" t="inlineStr">
        <is>
          <t>https://www.sebi.gov.in/filings/public-issues/jan-2016/ujjivan-financial-services-limited_31408.html</t>
        </is>
      </c>
      <c r="S1286" s="15" t="n"/>
      <c r="T1286" s="15" t="inlineStr">
        <is>
          <t>SEBI filing link</t>
        </is>
      </c>
      <c r="U1286" s="15" t="inlineStr">
        <is>
          <t>Ujjivan Financial Services Limited</t>
        </is>
      </c>
      <c r="V1286" s="15" t="n"/>
      <c r="W1286" s="15" t="n"/>
      <c r="X1286" s="15" t="n"/>
      <c r="Y1286" s="15" t="n"/>
      <c r="Z1286" s="15" t="n"/>
      <c r="AA1286" s="15" t="n"/>
      <c r="AB1286" s="15" t="n"/>
    </row>
    <row r="1287" ht="15" customHeight="1" s="12">
      <c r="A1287" s="14" t="n">
        <v>1286</v>
      </c>
      <c r="B1287" s="16" t="n">
        <v>42369</v>
      </c>
      <c r="C1287" s="15" t="n">
        <v>2015</v>
      </c>
      <c r="D1287" s="15" t="inlineStr">
        <is>
          <t>Larsen &amp; Toubro Infotech Limited</t>
        </is>
      </c>
      <c r="E1287" s="15" t="inlineStr">
        <is>
          <t>Addendum</t>
        </is>
      </c>
      <c r="F1287" s="15" t="inlineStr">
        <is>
          <t>Larsen &amp; Toubro Infotech Limited- Addendum to Draft Red Herring Prospectus</t>
        </is>
      </c>
      <c r="G1287" s="15" t="inlineStr">
        <is>
          <t>No launched IPO found</t>
        </is>
      </c>
      <c r="H1287" s="15" t="n"/>
      <c r="I1287" s="16" t="n"/>
      <c r="J1287" s="16" t="n"/>
      <c r="K1287" s="16" t="n"/>
      <c r="L1287" s="17" t="n"/>
      <c r="M1287" s="17" t="n"/>
      <c r="N1287" s="17" t="n"/>
      <c r="O1287" s="15" t="n"/>
      <c r="P1287" s="15" t="n"/>
      <c r="Q1287" s="18" t="inlineStr">
        <is>
          <t>https://www.sebi.gov.in/sebi_data/attachdocs/1451632693056.pdf</t>
        </is>
      </c>
      <c r="R1287" s="18" t="inlineStr">
        <is>
          <t>https://www.sebi.gov.in/filings/public-issues/dec-2015/larsen-and-toubro-infotech-limited-addendum-to-draft-red-herring-prospectus_31398.html</t>
        </is>
      </c>
      <c r="S1287" s="15" t="n"/>
      <c r="T1287" s="15" t="n"/>
      <c r="U1287" s="15" t="n"/>
      <c r="V1287" s="15" t="n"/>
      <c r="W1287" s="19" t="n">
        <v>42562</v>
      </c>
      <c r="X1287" s="19" t="n">
        <v>42564</v>
      </c>
      <c r="Y1287" s="19" t="n">
        <v>42572</v>
      </c>
      <c r="Z1287" s="20" t="inlineStr">
        <is>
          <t>Issue opened</t>
        </is>
      </c>
      <c r="AA1287" s="15" t="inlineStr">
        <is>
          <t>IPO as L&amp;T Infotech at Rs710; ~Rs1,243cr OFS by L&amp;T</t>
        </is>
      </c>
      <c r="AB1287" s="18" t="inlineStr">
        <is>
          <t>https://www.chittorgarh.com/ipo/l_t_infotech_ipo/555/</t>
        </is>
      </c>
    </row>
    <row r="1288" ht="15" customHeight="1" s="12">
      <c r="A1288" s="14" t="n">
        <v>1287</v>
      </c>
      <c r="B1288" s="16" t="n">
        <v>42368</v>
      </c>
      <c r="C1288" s="15" t="n">
        <v>2015</v>
      </c>
      <c r="D1288" s="15" t="inlineStr">
        <is>
          <t>S.P.Apparels Limited</t>
        </is>
      </c>
      <c r="E1288" s="15" t="inlineStr">
        <is>
          <t>DRHP</t>
        </is>
      </c>
      <c r="F1288" s="15" t="inlineStr">
        <is>
          <t>S.P.Apparels Limited - Draft Red Herring Prospectus</t>
        </is>
      </c>
      <c r="G1288" s="15" t="inlineStr">
        <is>
          <t>IPO launched</t>
        </is>
      </c>
      <c r="H1288" s="15" t="inlineStr">
        <is>
          <t>Mainboard</t>
        </is>
      </c>
      <c r="I1288" s="16" t="n">
        <v>42584</v>
      </c>
      <c r="J1288" s="16" t="n">
        <v>42586</v>
      </c>
      <c r="K1288" s="16" t="n">
        <v>42594</v>
      </c>
      <c r="L1288" s="17" t="n">
        <v>239.12</v>
      </c>
      <c r="M1288" s="17" t="n">
        <v>239.12</v>
      </c>
      <c r="N1288" s="17" t="n">
        <v>0</v>
      </c>
      <c r="O1288" s="15" t="inlineStr">
        <is>
          <t>Final issue (ipoplatform)</t>
        </is>
      </c>
      <c r="P1288" s="15" t="n"/>
      <c r="Q1288" s="18" t="inlineStr">
        <is>
          <t>https://www.sebi.gov.in/sebi_data/attachdocs/1451449620283.pdf</t>
        </is>
      </c>
      <c r="R1288" s="18" t="inlineStr">
        <is>
          <t>https://www.sebi.gov.in/filings/public-issues/dec-2015/s-p-apparels-limited-draft-red-herring-prospectus_31361.html</t>
        </is>
      </c>
      <c r="S1288" s="15" t="n"/>
      <c r="T1288" s="15" t="inlineStr">
        <is>
          <t>SEBI filing link</t>
        </is>
      </c>
      <c r="U1288" s="15" t="inlineStr">
        <is>
          <t>SP Apparels Limited</t>
        </is>
      </c>
      <c r="V1288" s="15" t="n"/>
      <c r="W1288" s="15" t="n"/>
      <c r="X1288" s="15" t="n"/>
      <c r="Y1288" s="15" t="n"/>
      <c r="Z1288" s="15" t="n"/>
      <c r="AA1288" s="15" t="n"/>
      <c r="AB1288" s="15" t="n"/>
    </row>
    <row r="1289" ht="15" customHeight="1" s="12">
      <c r="A1289" s="14" t="n">
        <v>1288</v>
      </c>
      <c r="B1289" s="16" t="n">
        <v>42367</v>
      </c>
      <c r="C1289" s="15" t="n">
        <v>2015</v>
      </c>
      <c r="D1289" s="15" t="inlineStr">
        <is>
          <t>Nihilent Technologies Limited</t>
        </is>
      </c>
      <c r="E1289" s="15" t="inlineStr">
        <is>
          <t>DRHP</t>
        </is>
      </c>
      <c r="F1289" s="15" t="inlineStr">
        <is>
          <t>Nihilent Technologies Limited</t>
        </is>
      </c>
      <c r="G1289" s="15" t="inlineStr">
        <is>
          <t>No launched IPO found</t>
        </is>
      </c>
      <c r="H1289" s="15" t="n"/>
      <c r="I1289" s="16" t="n"/>
      <c r="J1289" s="16" t="n"/>
      <c r="K1289" s="16" t="n"/>
      <c r="L1289" s="17" t="n"/>
      <c r="M1289" s="17" t="n"/>
      <c r="N1289" s="17" t="n"/>
      <c r="O1289" s="15" t="n"/>
      <c r="P1289" s="15" t="n"/>
      <c r="Q1289" s="18" t="inlineStr">
        <is>
          <t>https://www.sebi.gov.in/sebi_data/attachdocs/1451367724010.pdf</t>
        </is>
      </c>
      <c r="R1289" s="18" t="inlineStr">
        <is>
          <t>https://www.sebi.gov.in/filings/public-issues/dec-2015/nihilent-technologies-limited_31351.html</t>
        </is>
      </c>
      <c r="S1289" s="15" t="n"/>
      <c r="T1289" s="15" t="n"/>
      <c r="U1289" s="15" t="n"/>
      <c r="V1289" s="15" t="n"/>
      <c r="W1289" s="16" t="n"/>
      <c r="X1289" s="16" t="n"/>
      <c r="Y1289" s="16" t="n"/>
      <c r="Z1289" s="15" t="inlineStr">
        <is>
          <t>Withdrawn / approval lapsed</t>
        </is>
      </c>
      <c r="AA1289" s="15" t="inlineStr">
        <is>
          <t>SEBI nod Feb 2016 but no IPO; refiled 2018 as Nihilent Ltd; never listed</t>
        </is>
      </c>
      <c r="AB1289" s="18" t="inlineStr">
        <is>
          <t>https://www.dsij.in/article-details/articleid/13453/sebi-cleared-nihilent-technologies%E2%80%99-ipo-approval</t>
        </is>
      </c>
    </row>
    <row r="1290" ht="15" customHeight="1" s="12">
      <c r="A1290" s="14" t="n">
        <v>1289</v>
      </c>
      <c r="B1290" s="16" t="n">
        <v>42361</v>
      </c>
      <c r="C1290" s="15" t="n">
        <v>2015</v>
      </c>
      <c r="D1290" s="15" t="inlineStr">
        <is>
          <t>K.P.R. Agrochem Limited</t>
        </is>
      </c>
      <c r="E1290" s="15" t="inlineStr">
        <is>
          <t>DRHP</t>
        </is>
      </c>
      <c r="F1290" s="15" t="inlineStr">
        <is>
          <t>K.P.R. Agrochem Limited</t>
        </is>
      </c>
      <c r="G1290" s="15" t="inlineStr">
        <is>
          <t>No launched IPO found</t>
        </is>
      </c>
      <c r="H1290" s="15" t="n"/>
      <c r="I1290" s="16" t="n"/>
      <c r="J1290" s="16" t="n"/>
      <c r="K1290" s="16" t="n"/>
      <c r="L1290" s="17" t="n"/>
      <c r="M1290" s="17" t="n"/>
      <c r="N1290" s="17" t="n"/>
      <c r="O1290" s="15" t="n"/>
      <c r="P1290" s="15" t="n"/>
      <c r="Q1290" s="18" t="inlineStr">
        <is>
          <t>https://www.sebi.gov.in/sebi_data/attachdocs/1450870575841.pdf</t>
        </is>
      </c>
      <c r="R1290" s="18" t="inlineStr">
        <is>
          <t>https://www.sebi.gov.in/filings/public-issues/dec-2015/k-p-r-agrochem-limited_31339.html</t>
        </is>
      </c>
      <c r="S1290" s="15" t="n"/>
      <c r="T1290" s="15" t="n"/>
      <c r="U1290" s="15" t="n"/>
      <c r="V1290" s="15" t="n"/>
      <c r="W1290" s="16" t="n"/>
      <c r="X1290" s="16" t="n"/>
      <c r="Y1290" s="16" t="n"/>
      <c r="Z1290" s="15" t="inlineStr">
        <is>
          <t>Withdrawn / approval lapsed</t>
        </is>
      </c>
      <c r="AA1290" s="15" t="inlineStr">
        <is>
          <t>SEBI obs Apr 2016 &amp; Jul 2018; IPO set for 28 Jun 2019 pulled a day before opening; never listed</t>
        </is>
      </c>
      <c r="AB1290" s="18" t="inlineStr">
        <is>
          <t>https://ipocentral.in/sebi-clears-kpr-agrochem-ipo/</t>
        </is>
      </c>
    </row>
    <row r="1291" ht="15" customHeight="1" s="12">
      <c r="A1291" s="14" t="n">
        <v>1290</v>
      </c>
      <c r="B1291" s="16" t="n">
        <v>42339</v>
      </c>
      <c r="C1291" s="15" t="n">
        <v>2015</v>
      </c>
      <c r="D1291" s="15" t="inlineStr">
        <is>
          <t>New Delhi Centre for Sight Limited</t>
        </is>
      </c>
      <c r="E1291" s="15" t="inlineStr">
        <is>
          <t>DRHP</t>
        </is>
      </c>
      <c r="F1291" s="15" t="inlineStr">
        <is>
          <t>New Delhi Centre for Sight Limited</t>
        </is>
      </c>
      <c r="G1291" s="15" t="inlineStr">
        <is>
          <t>No launched IPO found</t>
        </is>
      </c>
      <c r="H1291" s="15" t="n"/>
      <c r="I1291" s="16" t="n"/>
      <c r="J1291" s="16" t="n"/>
      <c r="K1291" s="16" t="n"/>
      <c r="L1291" s="17" t="n"/>
      <c r="M1291" s="17" t="n"/>
      <c r="N1291" s="17" t="n"/>
      <c r="O1291" s="15" t="n"/>
      <c r="P1291" s="15" t="n"/>
      <c r="Q1291" s="18" t="inlineStr">
        <is>
          <t>https://www.sebi.gov.in/sebi_data/attachdocs/1448968753846.pdf</t>
        </is>
      </c>
      <c r="R1291" s="18" t="inlineStr">
        <is>
          <t>https://www.sebi.gov.in/filings/public-issues/dec-2015/new-delhi-centre-for-sight-limited_31152.html</t>
        </is>
      </c>
      <c r="S1291" s="15" t="n"/>
      <c r="T1291" s="15" t="n"/>
      <c r="U1291" s="15" t="n"/>
      <c r="V1291" s="15" t="n"/>
      <c r="W1291" s="16" t="n"/>
      <c r="X1291" s="16" t="n"/>
      <c r="Y1291" s="16" t="n"/>
      <c r="Z1291" s="15" t="inlineStr">
        <is>
          <t>No issue found</t>
        </is>
      </c>
      <c r="AA1291" s="15" t="inlineStr">
        <is>
          <t>Business Standard lists the company but shows no issue dates; web search limit reached</t>
        </is>
      </c>
      <c r="AB1291" s="18" t="inlineStr">
        <is>
          <t>https://www.business-standard.com/markets/ipo/new-delhi-centre-for-sight-ipo-44610</t>
        </is>
      </c>
    </row>
    <row r="1292" ht="15" customHeight="1" s="12">
      <c r="A1292" s="14" t="n">
        <v>1291</v>
      </c>
      <c r="B1292" s="16" t="n">
        <v>42328</v>
      </c>
      <c r="C1292" s="15" t="n">
        <v>2015</v>
      </c>
      <c r="D1292" s="15" t="inlineStr">
        <is>
          <t>GVR Infra Projects Limited</t>
        </is>
      </c>
      <c r="E1292" s="15" t="inlineStr">
        <is>
          <t>Notice</t>
        </is>
      </c>
      <c r="F1292" s="15" t="inlineStr">
        <is>
          <t>GVR Infra Projects Limited - Public Announcement</t>
        </is>
      </c>
      <c r="G1292" s="15" t="inlineStr">
        <is>
          <t>No launched IPO found</t>
        </is>
      </c>
      <c r="H1292" s="15" t="n"/>
      <c r="I1292" s="16" t="n"/>
      <c r="J1292" s="16" t="n"/>
      <c r="K1292" s="16" t="n"/>
      <c r="L1292" s="17" t="n"/>
      <c r="M1292" s="17" t="n"/>
      <c r="N1292" s="17" t="n"/>
      <c r="O1292" s="15" t="n"/>
      <c r="P1292" s="15" t="n"/>
      <c r="Q1292" s="18" t="inlineStr">
        <is>
          <t>https://www.sebi.gov.in/sebi_data/attachdocs/1448014570335.pdf</t>
        </is>
      </c>
      <c r="R1292" s="18" t="inlineStr">
        <is>
          <t>https://www.sebi.gov.in/filings/public-issues/nov-2015/gvr-infra-projects-limited-public-announcement_31067.html</t>
        </is>
      </c>
      <c r="S1292" s="15" t="n"/>
      <c r="T1292" s="15" t="n"/>
      <c r="U1292" s="15" t="n"/>
      <c r="V1292" s="15" t="n"/>
      <c r="W1292" s="16" t="n"/>
      <c r="X1292" s="16" t="n"/>
      <c r="Y1292" s="16" t="n"/>
      <c r="Z1292" s="15" t="inlineStr">
        <is>
          <t>No issue found</t>
        </is>
      </c>
      <c r="AA1292" s="15" t="inlineStr">
        <is>
          <t>Business Standard lists the company but shows no issue dates; web search limit reached</t>
        </is>
      </c>
      <c r="AB1292" s="18" t="inlineStr">
        <is>
          <t>https://www.business-standard.com/markets/ipo/gvr-infra-projects-ltd-ipo-44053</t>
        </is>
      </c>
    </row>
    <row r="1293" ht="15" customHeight="1" s="12">
      <c r="A1293" s="14" t="n">
        <v>1292</v>
      </c>
      <c r="B1293" s="16" t="n">
        <v>42324</v>
      </c>
      <c r="C1293" s="15" t="n">
        <v>2015</v>
      </c>
      <c r="D1293" s="15" t="inlineStr">
        <is>
          <t>Mahanagar Gas Limited</t>
        </is>
      </c>
      <c r="E1293" s="15" t="inlineStr">
        <is>
          <t>DRHP</t>
        </is>
      </c>
      <c r="F1293" s="15" t="inlineStr">
        <is>
          <t>Mahanagar Gas Limited</t>
        </is>
      </c>
      <c r="G1293" s="15" t="inlineStr">
        <is>
          <t>IPO launched</t>
        </is>
      </c>
      <c r="H1293" s="15" t="inlineStr">
        <is>
          <t>Mainboard</t>
        </is>
      </c>
      <c r="I1293" s="16" t="n">
        <v>42542</v>
      </c>
      <c r="J1293" s="16" t="n">
        <v>42544</v>
      </c>
      <c r="K1293" s="16" t="n">
        <v>42552</v>
      </c>
      <c r="L1293" s="17" t="n">
        <v>1039.64</v>
      </c>
      <c r="M1293" s="17" t="n">
        <v>1039.64</v>
      </c>
      <c r="N1293" s="17" t="n">
        <v>0</v>
      </c>
      <c r="O1293" s="15" t="inlineStr">
        <is>
          <t>Final issue (ipoplatform)</t>
        </is>
      </c>
      <c r="P1293" s="15" t="n"/>
      <c r="Q1293" s="18" t="inlineStr">
        <is>
          <t>https://www.sebi.gov.in/sebi_data/attachdocs/1447665137580.pdf</t>
        </is>
      </c>
      <c r="R1293" s="18" t="inlineStr">
        <is>
          <t>https://www.sebi.gov.in/filings/public-issues/nov-2015/mahanagar-gas-limited_31048.html</t>
        </is>
      </c>
      <c r="S1293" s="15" t="n"/>
      <c r="T1293" s="15" t="inlineStr">
        <is>
          <t>SEBI filing link</t>
        </is>
      </c>
      <c r="U1293" s="15" t="inlineStr">
        <is>
          <t>Mahanagar Gas Limited</t>
        </is>
      </c>
      <c r="V1293" s="15" t="n"/>
      <c r="W1293" s="15" t="n"/>
      <c r="X1293" s="15" t="n"/>
      <c r="Y1293" s="15" t="n"/>
      <c r="Z1293" s="15" t="n"/>
      <c r="AA1293" s="15" t="n"/>
      <c r="AB1293" s="15" t="n"/>
    </row>
    <row r="1294" ht="15" customHeight="1" s="12">
      <c r="A1294" s="14" t="n">
        <v>1293</v>
      </c>
      <c r="B1294" s="16" t="n">
        <v>42300</v>
      </c>
      <c r="C1294" s="15" t="n">
        <v>2015</v>
      </c>
      <c r="D1294" s="15" t="inlineStr">
        <is>
          <t>SSIPL Retail Limited</t>
        </is>
      </c>
      <c r="E1294" s="15" t="inlineStr">
        <is>
          <t>DRHP</t>
        </is>
      </c>
      <c r="F1294" s="15" t="inlineStr">
        <is>
          <t>SSIPL Retail Limited</t>
        </is>
      </c>
      <c r="G1294" s="15" t="inlineStr">
        <is>
          <t>No launched IPO found</t>
        </is>
      </c>
      <c r="H1294" s="15" t="n"/>
      <c r="I1294" s="16" t="n"/>
      <c r="J1294" s="16" t="n"/>
      <c r="K1294" s="16" t="n"/>
      <c r="L1294" s="17" t="n"/>
      <c r="M1294" s="17" t="n"/>
      <c r="N1294" s="17" t="n"/>
      <c r="O1294" s="15" t="n"/>
      <c r="P1294" s="15" t="n"/>
      <c r="Q1294" s="18" t="inlineStr">
        <is>
          <t>https://www.sebi.gov.in/sebi_data/attachdocs/1445574629842.pdf</t>
        </is>
      </c>
      <c r="R1294" s="18" t="inlineStr">
        <is>
          <t>https://www.sebi.gov.in/filings/public-issues/oct-2015/ssipl-retail-limited_30884.html</t>
        </is>
      </c>
      <c r="S1294" s="15" t="n"/>
      <c r="T1294" s="15" t="n"/>
      <c r="U1294" s="15" t="n"/>
      <c r="V1294" s="15" t="n"/>
      <c r="W1294" s="16" t="n"/>
      <c r="X1294" s="16" t="n"/>
      <c r="Y1294" s="16" t="n"/>
      <c r="Z1294" s="15" t="inlineStr">
        <is>
          <t>No issue found</t>
        </is>
      </c>
      <c r="AA1294" s="15" t="inlineStr">
        <is>
          <t>Business Standard lists the company but shows no issue dates; web search limit reached</t>
        </is>
      </c>
      <c r="AB1294" s="18" t="inlineStr">
        <is>
          <t>https://www.business-standard.com/markets/ipo/ssipl-retail-ltd-ipo-35618</t>
        </is>
      </c>
    </row>
    <row r="1295" ht="15" customHeight="1" s="12">
      <c r="A1295" s="14" t="n">
        <v>1294</v>
      </c>
      <c r="B1295" s="16" t="n">
        <v>42297</v>
      </c>
      <c r="C1295" s="15" t="n">
        <v>2015</v>
      </c>
      <c r="D1295" s="15" t="inlineStr">
        <is>
          <t>Equitas Holding Limited</t>
        </is>
      </c>
      <c r="E1295" s="15" t="inlineStr">
        <is>
          <t>DRHP</t>
        </is>
      </c>
      <c r="F1295" s="15" t="inlineStr">
        <is>
          <t>Equitas Holding Limited</t>
        </is>
      </c>
      <c r="G1295" s="15" t="inlineStr">
        <is>
          <t>IPO launched</t>
        </is>
      </c>
      <c r="H1295" s="15" t="inlineStr">
        <is>
          <t>Mainboard</t>
        </is>
      </c>
      <c r="I1295" s="16" t="n">
        <v>42465</v>
      </c>
      <c r="J1295" s="16" t="n">
        <v>42467</v>
      </c>
      <c r="K1295" s="16" t="n">
        <v>42481</v>
      </c>
      <c r="L1295" s="17" t="n">
        <v>2175</v>
      </c>
      <c r="M1295" s="17" t="n">
        <v>2175</v>
      </c>
      <c r="N1295" s="17" t="n">
        <v>0</v>
      </c>
      <c r="O1295" s="15" t="inlineStr">
        <is>
          <t>Final issue (ipoplatform)</t>
        </is>
      </c>
      <c r="P1295" s="15" t="n"/>
      <c r="Q1295" s="18" t="inlineStr">
        <is>
          <t>https://www.sebi.gov.in/sebi_data/attachdocs/1445318358501.pdf</t>
        </is>
      </c>
      <c r="R1295" s="18" t="inlineStr">
        <is>
          <t>https://www.sebi.gov.in/filings/public-issues/oct-2015/equitas-holding-limited_30863.html</t>
        </is>
      </c>
      <c r="S1295" s="15" t="n"/>
      <c r="T1295" s="15" t="inlineStr">
        <is>
          <t>SEBI filing link</t>
        </is>
      </c>
      <c r="U1295" s="15" t="inlineStr">
        <is>
          <t>Equitas Holdings Limited</t>
        </is>
      </c>
      <c r="V1295" s="15" t="n"/>
      <c r="W1295" s="15" t="n"/>
      <c r="X1295" s="15" t="n"/>
      <c r="Y1295" s="15" t="n"/>
      <c r="Z1295" s="15" t="n"/>
      <c r="AA1295" s="15" t="n"/>
      <c r="AB1295" s="15" t="n"/>
    </row>
    <row r="1296" ht="15" customHeight="1" s="12">
      <c r="A1296" s="14" t="n">
        <v>1295</v>
      </c>
      <c r="B1296" s="16" t="n">
        <v>42283</v>
      </c>
      <c r="C1296" s="15" t="n">
        <v>2015</v>
      </c>
      <c r="D1296" s="15" t="inlineStr">
        <is>
          <t>GVR Infra Projects Limited</t>
        </is>
      </c>
      <c r="E1296" s="15" t="inlineStr">
        <is>
          <t>DRHP</t>
        </is>
      </c>
      <c r="F1296" s="15" t="inlineStr">
        <is>
          <t>GVR Infra Projects Limited</t>
        </is>
      </c>
      <c r="G1296" s="15" t="inlineStr">
        <is>
          <t>No launched IPO found</t>
        </is>
      </c>
      <c r="H1296" s="15" t="n"/>
      <c r="I1296" s="16" t="n"/>
      <c r="J1296" s="16" t="n"/>
      <c r="K1296" s="16" t="n"/>
      <c r="L1296" s="17" t="n"/>
      <c r="M1296" s="17" t="n"/>
      <c r="N1296" s="17" t="n"/>
      <c r="O1296" s="15" t="n"/>
      <c r="P1296" s="15" t="n"/>
      <c r="Q1296" s="18" t="inlineStr">
        <is>
          <t>https://www.sebi.gov.in/sebi_data/attachdocs/1444123096362.pdf</t>
        </is>
      </c>
      <c r="R1296" s="18" t="inlineStr">
        <is>
          <t>https://www.sebi.gov.in/filings/public-issues/oct-2015/gvr-infra-projects-limited_30791.html</t>
        </is>
      </c>
      <c r="S1296" s="15" t="n"/>
      <c r="T1296" s="15" t="n"/>
      <c r="U1296" s="15" t="n"/>
      <c r="V1296" s="15" t="n"/>
      <c r="W1296" s="16" t="n"/>
      <c r="X1296" s="16" t="n"/>
      <c r="Y1296" s="16" t="n"/>
      <c r="Z1296" s="15" t="inlineStr">
        <is>
          <t>No issue found</t>
        </is>
      </c>
      <c r="AA1296" s="15" t="inlineStr">
        <is>
          <t>Business Standard lists the company but shows no issue dates; web search limit reached</t>
        </is>
      </c>
      <c r="AB1296" s="18" t="inlineStr">
        <is>
          <t>https://www.business-standard.com/markets/ipo/gvr-infra-projects-ltd-ipo-44053</t>
        </is>
      </c>
    </row>
    <row r="1297" ht="15" customHeight="1" s="12">
      <c r="A1297" s="14" t="n">
        <v>1296</v>
      </c>
      <c r="B1297" s="16" t="n">
        <v>42278</v>
      </c>
      <c r="C1297" s="15" t="n">
        <v>2015</v>
      </c>
      <c r="D1297" s="15" t="inlineStr">
        <is>
          <t>Narayana Hrudayalaya Limited</t>
        </is>
      </c>
      <c r="E1297" s="15" t="inlineStr">
        <is>
          <t>DRHP</t>
        </is>
      </c>
      <c r="F1297" s="15" t="inlineStr">
        <is>
          <t>Narayana Hrudayalaya Limited</t>
        </is>
      </c>
      <c r="G1297" s="15" t="inlineStr">
        <is>
          <t>IPO launched</t>
        </is>
      </c>
      <c r="H1297" s="15" t="inlineStr">
        <is>
          <t>Mainboard</t>
        </is>
      </c>
      <c r="I1297" s="16" t="n">
        <v>42355</v>
      </c>
      <c r="J1297" s="16" t="n">
        <v>42359</v>
      </c>
      <c r="K1297" s="16" t="n">
        <v>42375</v>
      </c>
      <c r="L1297" s="17" t="n">
        <v>613.08</v>
      </c>
      <c r="M1297" s="17" t="n">
        <v>613.08</v>
      </c>
      <c r="N1297" s="17" t="n">
        <v>0</v>
      </c>
      <c r="O1297" s="15" t="inlineStr">
        <is>
          <t>Final issue (ipoplatform)</t>
        </is>
      </c>
      <c r="P1297" s="15" t="n"/>
      <c r="Q1297" s="18" t="inlineStr">
        <is>
          <t>https://www.sebi.gov.in/sebi_data/attachdocs/1443691566767.pdf</t>
        </is>
      </c>
      <c r="R1297" s="18" t="inlineStr">
        <is>
          <t>https://www.sebi.gov.in/filings/public-issues/oct-2015/narayana-hrudayalaya-limited_30769.html</t>
        </is>
      </c>
      <c r="S1297" s="15" t="n"/>
      <c r="T1297" s="15" t="inlineStr">
        <is>
          <t>SEBI filing link</t>
        </is>
      </c>
      <c r="U1297" s="15" t="inlineStr">
        <is>
          <t>Narayana Hrudayalaya Limited</t>
        </is>
      </c>
      <c r="V1297" s="15" t="n"/>
      <c r="W1297" s="15" t="n"/>
      <c r="X1297" s="15" t="n"/>
      <c r="Y1297" s="15" t="n"/>
      <c r="Z1297" s="15" t="n"/>
      <c r="AA1297" s="15" t="n"/>
      <c r="AB1297" s="15" t="n"/>
    </row>
    <row r="1298" ht="15" customHeight="1" s="12">
      <c r="A1298" s="14" t="n">
        <v>1297</v>
      </c>
      <c r="B1298" s="16" t="n">
        <v>42278</v>
      </c>
      <c r="C1298" s="15" t="n">
        <v>2015</v>
      </c>
      <c r="D1298" s="15" t="inlineStr">
        <is>
          <t>Parag Milk Foods Limited</t>
        </is>
      </c>
      <c r="E1298" s="15" t="inlineStr">
        <is>
          <t>DRHP</t>
        </is>
      </c>
      <c r="F1298" s="15" t="inlineStr">
        <is>
          <t>Parag Milk Foods Limited</t>
        </is>
      </c>
      <c r="G1298" s="15" t="inlineStr">
        <is>
          <t>IPO launched</t>
        </is>
      </c>
      <c r="H1298" s="15" t="inlineStr">
        <is>
          <t>Mainboard</t>
        </is>
      </c>
      <c r="I1298" s="16" t="n">
        <v>42494</v>
      </c>
      <c r="J1298" s="16" t="n">
        <v>42501</v>
      </c>
      <c r="K1298" s="16" t="n">
        <v>42509</v>
      </c>
      <c r="L1298" s="17" t="n">
        <v>751.78</v>
      </c>
      <c r="M1298" s="17" t="n">
        <v>751.78</v>
      </c>
      <c r="N1298" s="17" t="n">
        <v>0</v>
      </c>
      <c r="O1298" s="15" t="inlineStr">
        <is>
          <t>Final issue (ipoplatform)</t>
        </is>
      </c>
      <c r="P1298" s="15" t="n"/>
      <c r="Q1298" s="18" t="inlineStr">
        <is>
          <t>https://www.sebi.gov.in/sebi_data/attachdocs/1443691705060.pdf</t>
        </is>
      </c>
      <c r="R1298" s="18" t="inlineStr">
        <is>
          <t>https://www.sebi.gov.in/filings/public-issues/oct-2015/parag-milk-foods-limited_30770.html</t>
        </is>
      </c>
      <c r="S1298" s="15" t="n"/>
      <c r="T1298" s="15" t="inlineStr">
        <is>
          <t>SEBI filing link</t>
        </is>
      </c>
      <c r="U1298" s="15" t="inlineStr">
        <is>
          <t>Parag Milk Foods Limited</t>
        </is>
      </c>
      <c r="V1298" s="15" t="n"/>
      <c r="W1298" s="15" t="n"/>
      <c r="X1298" s="15" t="n"/>
      <c r="Y1298" s="15" t="n"/>
      <c r="Z1298" s="15" t="n"/>
      <c r="AA1298" s="15" t="n"/>
      <c r="AB1298" s="15" t="n"/>
    </row>
    <row r="1299" ht="15" customHeight="1" s="12">
      <c r="A1299" s="14" t="n">
        <v>1298</v>
      </c>
      <c r="B1299" s="16" t="n">
        <v>42278</v>
      </c>
      <c r="C1299" s="15" t="n">
        <v>2015</v>
      </c>
      <c r="D1299" s="15" t="inlineStr">
        <is>
          <t>Quick Heal Technologies Limited</t>
        </is>
      </c>
      <c r="E1299" s="15" t="inlineStr">
        <is>
          <t>DRHP</t>
        </is>
      </c>
      <c r="F1299" s="15" t="inlineStr">
        <is>
          <t>Quick Heal Technologies Limited</t>
        </is>
      </c>
      <c r="G1299" s="15" t="inlineStr">
        <is>
          <t>IPO launched</t>
        </is>
      </c>
      <c r="H1299" s="15" t="inlineStr">
        <is>
          <t>Mainboard</t>
        </is>
      </c>
      <c r="I1299" s="16" t="n">
        <v>42408</v>
      </c>
      <c r="J1299" s="16" t="n">
        <v>42410</v>
      </c>
      <c r="K1299" s="16" t="n">
        <v>42418</v>
      </c>
      <c r="L1299" s="17" t="n">
        <v>451.25</v>
      </c>
      <c r="M1299" s="17" t="n">
        <v>451.25</v>
      </c>
      <c r="N1299" s="17" t="n">
        <v>0</v>
      </c>
      <c r="O1299" s="15" t="inlineStr">
        <is>
          <t>Final issue (ipoplatform)</t>
        </is>
      </c>
      <c r="P1299" s="15" t="n"/>
      <c r="Q1299" s="18" t="inlineStr">
        <is>
          <t>https://www.sebi.gov.in/sebi_data/attachdocs/1443691865670.pdf</t>
        </is>
      </c>
      <c r="R1299" s="18" t="inlineStr">
        <is>
          <t>https://www.sebi.gov.in/filings/public-issues/oct-2015/quick-heal-technologies-limited_30771.html</t>
        </is>
      </c>
      <c r="S1299" s="15" t="n"/>
      <c r="T1299" s="15" t="inlineStr">
        <is>
          <t>SEBI filing link</t>
        </is>
      </c>
      <c r="U1299" s="15" t="inlineStr">
        <is>
          <t>Quick Heal Technologies Limited</t>
        </is>
      </c>
      <c r="V1299" s="15" t="n"/>
      <c r="W1299" s="15" t="n"/>
      <c r="X1299" s="15" t="n"/>
      <c r="Y1299" s="15" t="n"/>
      <c r="Z1299" s="15" t="n"/>
      <c r="AA1299" s="15" t="n"/>
      <c r="AB1299" s="15" t="n"/>
    </row>
    <row r="1300" ht="15" customHeight="1" s="12">
      <c r="A1300" s="14" t="n">
        <v>1299</v>
      </c>
      <c r="B1300" s="16" t="n">
        <v>42278</v>
      </c>
      <c r="C1300" s="15" t="n">
        <v>2015</v>
      </c>
      <c r="D1300" s="15" t="inlineStr">
        <is>
          <t>Sandhar Technologies Limited</t>
        </is>
      </c>
      <c r="E1300" s="15" t="inlineStr">
        <is>
          <t>DRHP</t>
        </is>
      </c>
      <c r="F1300" s="15" t="inlineStr">
        <is>
          <t>Sandhar Technologies Limited</t>
        </is>
      </c>
      <c r="G1300" s="15" t="inlineStr">
        <is>
          <t>No launched IPO found</t>
        </is>
      </c>
      <c r="H1300" s="15" t="n"/>
      <c r="I1300" s="16" t="n"/>
      <c r="J1300" s="16" t="n"/>
      <c r="K1300" s="16" t="n"/>
      <c r="L1300" s="17" t="n"/>
      <c r="M1300" s="17" t="n"/>
      <c r="N1300" s="17" t="n"/>
      <c r="O1300" s="15" t="n"/>
      <c r="P1300" s="15" t="n"/>
      <c r="Q1300" s="18" t="inlineStr">
        <is>
          <t>https://www.sebi.gov.in/sebi_data/attachdocs/1443681094816.pdf</t>
        </is>
      </c>
      <c r="R1300" s="18" t="inlineStr">
        <is>
          <t>https://www.sebi.gov.in/filings/public-issues/oct-2015/sandhar-technologies-limited_30768.html</t>
        </is>
      </c>
      <c r="S1300" s="15" t="n"/>
      <c r="T1300" s="15" t="n"/>
      <c r="U1300" s="15" t="n"/>
      <c r="V1300" s="15" t="inlineStr">
        <is>
          <t>Same-name IPO opened 19-Mar-2018 — outside 2 years of this filing, so not linked</t>
        </is>
      </c>
      <c r="W1300" s="19" t="n">
        <v>43178</v>
      </c>
      <c r="X1300" s="19" t="n">
        <v>43180</v>
      </c>
      <c r="Y1300" s="19" t="n"/>
      <c r="Z1300" s="20" t="inlineStr">
        <is>
          <t>Issue opened</t>
        </is>
      </c>
      <c r="AA1300" s="15" t="inlineStr">
        <is>
          <t>Matched on chittorgarh.com</t>
        </is>
      </c>
      <c r="AB1300" s="18" t="inlineStr">
        <is>
          <t>https://www.chittorgarh.com/ipo/sandhar-technologies-ipo/834/</t>
        </is>
      </c>
    </row>
    <row r="1301" ht="15" customHeight="1" s="12">
      <c r="A1301" s="14" t="n">
        <v>1300</v>
      </c>
      <c r="B1301" s="16" t="n">
        <v>42277</v>
      </c>
      <c r="C1301" s="15" t="n">
        <v>2015</v>
      </c>
      <c r="D1301" s="15" t="inlineStr">
        <is>
          <t>Maini Precision Products Limited</t>
        </is>
      </c>
      <c r="E1301" s="15" t="inlineStr">
        <is>
          <t>DRHP</t>
        </is>
      </c>
      <c r="F1301" s="15" t="inlineStr">
        <is>
          <t>Maini Precision Products Limited</t>
        </is>
      </c>
      <c r="G1301" s="15" t="inlineStr">
        <is>
          <t>No launched IPO found</t>
        </is>
      </c>
      <c r="H1301" s="15" t="n"/>
      <c r="I1301" s="16" t="n"/>
      <c r="J1301" s="16" t="n"/>
      <c r="K1301" s="16" t="n"/>
      <c r="L1301" s="17" t="n"/>
      <c r="M1301" s="17" t="n"/>
      <c r="N1301" s="17" t="n"/>
      <c r="O1301" s="15" t="n"/>
      <c r="P1301" s="15" t="n"/>
      <c r="Q1301" s="18" t="inlineStr">
        <is>
          <t>https://www.sebi.gov.in/sebi_data/attachdocs/1443677539851.pdf</t>
        </is>
      </c>
      <c r="R1301" s="18" t="inlineStr">
        <is>
          <t>https://www.sebi.gov.in/filings/public-issues/sep-2015/maini-precision-products-limited_30767.html</t>
        </is>
      </c>
      <c r="S1301" s="15" t="n"/>
      <c r="T1301" s="15" t="n"/>
      <c r="U1301" s="15" t="n"/>
      <c r="V1301" s="15" t="n"/>
      <c r="W1301" s="16" t="n"/>
      <c r="X1301" s="16" t="n"/>
      <c r="Y1301" s="16" t="n"/>
      <c r="Z1301" s="15" t="inlineStr">
        <is>
          <t>No issue found</t>
        </is>
      </c>
      <c r="AA1301" s="15" t="inlineStr">
        <is>
          <t>Business Standard lists the company but shows no issue dates; web search limit reached</t>
        </is>
      </c>
      <c r="AB1301" s="18" t="inlineStr">
        <is>
          <t>https://www.business-standard.com/markets/ipo/maini-precision-products-ltd-ipo-15381</t>
        </is>
      </c>
    </row>
    <row r="1302" ht="15" customHeight="1" s="12">
      <c r="A1302" s="14" t="n">
        <v>1301</v>
      </c>
      <c r="B1302" s="16" t="n">
        <v>42276</v>
      </c>
      <c r="C1302" s="15" t="n">
        <v>2015</v>
      </c>
      <c r="D1302" s="15" t="inlineStr">
        <is>
          <t>G N A Axles Limited</t>
        </is>
      </c>
      <c r="E1302" s="15" t="inlineStr">
        <is>
          <t>DRHP</t>
        </is>
      </c>
      <c r="F1302" s="15" t="inlineStr">
        <is>
          <t>G N A Axles Limited</t>
        </is>
      </c>
      <c r="G1302" s="15" t="inlineStr">
        <is>
          <t>IPO launched</t>
        </is>
      </c>
      <c r="H1302" s="15" t="inlineStr">
        <is>
          <t>Mainboard</t>
        </is>
      </c>
      <c r="I1302" s="16" t="n">
        <v>42627</v>
      </c>
      <c r="J1302" s="16" t="n">
        <v>42629</v>
      </c>
      <c r="K1302" s="16" t="n">
        <v>42639</v>
      </c>
      <c r="L1302" s="17" t="n">
        <v>130.41</v>
      </c>
      <c r="M1302" s="17" t="n">
        <v>130.41</v>
      </c>
      <c r="N1302" s="17" t="n">
        <v>0</v>
      </c>
      <c r="O1302" s="15" t="inlineStr">
        <is>
          <t>Final issue (ipoplatform)</t>
        </is>
      </c>
      <c r="P1302" s="15" t="n"/>
      <c r="Q1302" s="18" t="inlineStr">
        <is>
          <t>https://www.sebi.gov.in/sebi_data/attachdocs/1443525818842.pdf</t>
        </is>
      </c>
      <c r="R1302" s="18" t="inlineStr">
        <is>
          <t>https://www.sebi.gov.in/filings/public-issues/sep-2015/g-n-a-axles-limited_30748.html</t>
        </is>
      </c>
      <c r="S1302" s="15" t="n"/>
      <c r="T1302" s="15" t="inlineStr">
        <is>
          <t>SEBI filing link</t>
        </is>
      </c>
      <c r="U1302" s="15" t="inlineStr">
        <is>
          <t>GNA Axles Limited</t>
        </is>
      </c>
      <c r="V1302" s="15" t="n"/>
      <c r="W1302" s="15" t="n"/>
      <c r="X1302" s="15" t="n"/>
      <c r="Y1302" s="15" t="n"/>
      <c r="Z1302" s="15" t="n"/>
      <c r="AA1302" s="15" t="n"/>
      <c r="AB1302" s="15" t="n"/>
    </row>
    <row r="1303" ht="15" customHeight="1" s="12">
      <c r="A1303" s="14" t="n">
        <v>1302</v>
      </c>
      <c r="B1303" s="16" t="n">
        <v>42276</v>
      </c>
      <c r="C1303" s="15" t="n">
        <v>2015</v>
      </c>
      <c r="D1303" s="15" t="inlineStr">
        <is>
          <t>Larsen &amp; Toubro Infotech Limited</t>
        </is>
      </c>
      <c r="E1303" s="15" t="inlineStr">
        <is>
          <t>DRHP</t>
        </is>
      </c>
      <c r="F1303" s="15" t="inlineStr">
        <is>
          <t>Larsen &amp; Toubro Infotech Limited</t>
        </is>
      </c>
      <c r="G1303" s="15" t="inlineStr">
        <is>
          <t>No launched IPO found</t>
        </is>
      </c>
      <c r="H1303" s="15" t="n"/>
      <c r="I1303" s="16" t="n"/>
      <c r="J1303" s="16" t="n"/>
      <c r="K1303" s="16" t="n"/>
      <c r="L1303" s="17" t="n"/>
      <c r="M1303" s="17" t="n"/>
      <c r="N1303" s="17" t="n"/>
      <c r="O1303" s="15" t="n"/>
      <c r="P1303" s="15" t="n"/>
      <c r="Q1303" s="18" t="inlineStr">
        <is>
          <t>https://www.sebi.gov.in/sebi_data/attachdocs/1443519647196.pdf</t>
        </is>
      </c>
      <c r="R1303" s="18" t="inlineStr">
        <is>
          <t>https://www.sebi.gov.in/filings/public-issues/sep-2015/larsen-and-toubro-infotech-limited_30735.html</t>
        </is>
      </c>
      <c r="S1303" s="15" t="n"/>
      <c r="T1303" s="15" t="n"/>
      <c r="U1303" s="15" t="n"/>
      <c r="V1303" s="15" t="n"/>
      <c r="W1303" s="19" t="n">
        <v>42562</v>
      </c>
      <c r="X1303" s="19" t="n">
        <v>42564</v>
      </c>
      <c r="Y1303" s="19" t="n">
        <v>42572</v>
      </c>
      <c r="Z1303" s="20" t="inlineStr">
        <is>
          <t>Issue opened</t>
        </is>
      </c>
      <c r="AA1303" s="15" t="inlineStr">
        <is>
          <t>IPO as L&amp;T Infotech at Rs710; ~Rs1,243cr OFS by L&amp;T</t>
        </is>
      </c>
      <c r="AB1303" s="18" t="inlineStr">
        <is>
          <t>https://www.chittorgarh.com/ipo/l_t_infotech_ipo/555/</t>
        </is>
      </c>
    </row>
    <row r="1304" ht="15" customHeight="1" s="12">
      <c r="A1304" s="14" t="n">
        <v>1303</v>
      </c>
      <c r="B1304" s="16" t="n">
        <v>42271</v>
      </c>
      <c r="C1304" s="15" t="n">
        <v>2015</v>
      </c>
      <c r="D1304" s="15" t="inlineStr">
        <is>
          <t>VLCC Health Care Limited</t>
        </is>
      </c>
      <c r="E1304" s="15" t="inlineStr">
        <is>
          <t>DRHP</t>
        </is>
      </c>
      <c r="F1304" s="15" t="inlineStr">
        <is>
          <t>VLCC Health Care Limited</t>
        </is>
      </c>
      <c r="G1304" s="15" t="inlineStr">
        <is>
          <t>No launched IPO found</t>
        </is>
      </c>
      <c r="H1304" s="15" t="n"/>
      <c r="I1304" s="16" t="n"/>
      <c r="J1304" s="16" t="n"/>
      <c r="K1304" s="16" t="n"/>
      <c r="L1304" s="17" t="n"/>
      <c r="M1304" s="17" t="n"/>
      <c r="N1304" s="17" t="n"/>
      <c r="O1304" s="15" t="n"/>
      <c r="P1304" s="15" t="n"/>
      <c r="Q1304" s="18" t="inlineStr">
        <is>
          <t>https://www.sebi.gov.in/sebi_data/attachdocs/1443087000366.pdf</t>
        </is>
      </c>
      <c r="R1304" s="18" t="inlineStr">
        <is>
          <t>https://www.sebi.gov.in/filings/public-issues/sep-2015/vlcc-health-care-limited_30712.html</t>
        </is>
      </c>
      <c r="S1304" s="15" t="n"/>
      <c r="T1304" s="15" t="n"/>
      <c r="U1304" s="15" t="n"/>
      <c r="V1304" s="15" t="n"/>
      <c r="W1304" s="16" t="n"/>
      <c r="X1304" s="16" t="n"/>
      <c r="Y1304" s="16" t="n"/>
      <c r="Z1304" s="15" t="inlineStr">
        <is>
          <t>Withdrawn / approval lapsed</t>
        </is>
      </c>
      <c r="AA1304" s="15" t="inlineStr">
        <is>
          <t>SEBI nod Dec 2015 lapsed (demonetisation delay); 2021 DRHP also lapsed; Carlyle bought majority 2022</t>
        </is>
      </c>
      <c r="AB1304" s="18" t="inlineStr">
        <is>
          <t>https://www.businessinsider.in/business/corporates/news/carlyle-group-acquires-majority-stake-in-vlcc-a-beauty-and-wellness-chain-which-was-headed-for-an-ipo/articleshow/96880486.cms</t>
        </is>
      </c>
    </row>
    <row r="1305" ht="15" customHeight="1" s="12">
      <c r="A1305" s="14" t="n">
        <v>1304</v>
      </c>
      <c r="B1305" s="16" t="n">
        <v>42263</v>
      </c>
      <c r="C1305" s="15" t="n">
        <v>2015</v>
      </c>
      <c r="D1305" s="15" t="inlineStr">
        <is>
          <t>Dr. Lal PathLabs Limited</t>
        </is>
      </c>
      <c r="E1305" s="15" t="inlineStr">
        <is>
          <t>DRHP</t>
        </is>
      </c>
      <c r="F1305" s="15" t="inlineStr">
        <is>
          <t>Dr. Lal PathLabs Limited</t>
        </is>
      </c>
      <c r="G1305" s="15" t="inlineStr">
        <is>
          <t>IPO launched</t>
        </is>
      </c>
      <c r="H1305" s="15" t="inlineStr">
        <is>
          <t>Mainboard</t>
        </is>
      </c>
      <c r="I1305" s="16" t="n">
        <v>42346</v>
      </c>
      <c r="J1305" s="16" t="n">
        <v>42348</v>
      </c>
      <c r="K1305" s="16" t="n">
        <v>42361</v>
      </c>
      <c r="L1305" s="17" t="n">
        <v>638</v>
      </c>
      <c r="M1305" s="17" t="n">
        <v>638</v>
      </c>
      <c r="N1305" s="17" t="n">
        <v>0</v>
      </c>
      <c r="O1305" s="15" t="inlineStr">
        <is>
          <t>Final issue (ipoplatform)</t>
        </is>
      </c>
      <c r="P1305" s="15" t="n"/>
      <c r="Q1305" s="18" t="inlineStr">
        <is>
          <t>https://www.sebi.gov.in/sebi_data/attachdocs/1442376547153.pdf</t>
        </is>
      </c>
      <c r="R1305" s="18" t="inlineStr">
        <is>
          <t>https://www.sebi.gov.in/filings/public-issues/sep-2015/dr-lal-pathlabs-limited_30670.html</t>
        </is>
      </c>
      <c r="S1305" s="15" t="n"/>
      <c r="T1305" s="15" t="inlineStr">
        <is>
          <t>SEBI filing link</t>
        </is>
      </c>
      <c r="U1305" s="15" t="inlineStr">
        <is>
          <t>Dr. Lal PathLabs Limited</t>
        </is>
      </c>
      <c r="V1305" s="15" t="n"/>
      <c r="W1305" s="15" t="n"/>
      <c r="X1305" s="15" t="n"/>
      <c r="Y1305" s="15" t="n"/>
      <c r="Z1305" s="15" t="n"/>
      <c r="AA1305" s="15" t="n"/>
      <c r="AB1305" s="15" t="n"/>
    </row>
    <row r="1306" ht="15" customHeight="1" s="12">
      <c r="A1306" s="14" t="n">
        <v>1305</v>
      </c>
      <c r="B1306" s="16" t="n">
        <v>42262</v>
      </c>
      <c r="C1306" s="15" t="n">
        <v>2015</v>
      </c>
      <c r="D1306" s="15" t="inlineStr">
        <is>
          <t>Teamlease Services Limited</t>
        </is>
      </c>
      <c r="E1306" s="15" t="inlineStr">
        <is>
          <t>DRHP</t>
        </is>
      </c>
      <c r="F1306" s="15" t="inlineStr">
        <is>
          <t>Teamlease Services Limited</t>
        </is>
      </c>
      <c r="G1306" s="15" t="inlineStr">
        <is>
          <t>IPO launched</t>
        </is>
      </c>
      <c r="H1306" s="15" t="inlineStr">
        <is>
          <t>Mainboard</t>
        </is>
      </c>
      <c r="I1306" s="16" t="n">
        <v>42402</v>
      </c>
      <c r="J1306" s="16" t="n">
        <v>42404</v>
      </c>
      <c r="K1306" s="16" t="n">
        <v>42412</v>
      </c>
      <c r="L1306" s="17" t="n">
        <v>423.68</v>
      </c>
      <c r="M1306" s="17" t="n">
        <v>423.68</v>
      </c>
      <c r="N1306" s="17" t="n">
        <v>0</v>
      </c>
      <c r="O1306" s="15" t="inlineStr">
        <is>
          <t>Final issue (ipoplatform)</t>
        </is>
      </c>
      <c r="P1306" s="15" t="n"/>
      <c r="Q1306" s="18" t="inlineStr">
        <is>
          <t>https://www.sebi.gov.in/sebi_data/attachdocs/1442291914518.pdf</t>
        </is>
      </c>
      <c r="R1306" s="18" t="inlineStr">
        <is>
          <t>https://www.sebi.gov.in/filings/public-issues/sep-2015/teamlease-services-limited_30659.html</t>
        </is>
      </c>
      <c r="S1306" s="15" t="n"/>
      <c r="T1306" s="15" t="inlineStr">
        <is>
          <t>SEBI filing link</t>
        </is>
      </c>
      <c r="U1306" s="15" t="inlineStr">
        <is>
          <t>TeamLease Services Limited</t>
        </is>
      </c>
      <c r="V1306" s="15" t="n"/>
      <c r="W1306" s="15" t="n"/>
      <c r="X1306" s="15" t="n"/>
      <c r="Y1306" s="15" t="n"/>
      <c r="Z1306" s="15" t="n"/>
      <c r="AA1306" s="15" t="n"/>
      <c r="AB1306" s="15" t="n"/>
    </row>
    <row r="1307" ht="15" customHeight="1" s="12">
      <c r="A1307" s="14" t="n">
        <v>1306</v>
      </c>
      <c r="B1307" s="16" t="n">
        <v>42236</v>
      </c>
      <c r="C1307" s="15" t="n">
        <v>2015</v>
      </c>
      <c r="D1307" s="15" t="inlineStr">
        <is>
          <t>Matrimony.com Limited</t>
        </is>
      </c>
      <c r="E1307" s="15" t="inlineStr">
        <is>
          <t>DRHP</t>
        </is>
      </c>
      <c r="F1307" s="15" t="inlineStr">
        <is>
          <t>Matrimony.com Limited</t>
        </is>
      </c>
      <c r="G1307" s="15" t="inlineStr">
        <is>
          <t>IPO launched</t>
        </is>
      </c>
      <c r="H1307" s="15" t="inlineStr">
        <is>
          <t>Mainboard</t>
        </is>
      </c>
      <c r="I1307" s="16" t="n">
        <v>42989</v>
      </c>
      <c r="J1307" s="16" t="n">
        <v>42991</v>
      </c>
      <c r="K1307" s="16" t="n">
        <v>42999</v>
      </c>
      <c r="L1307" s="17" t="n">
        <v>496.88</v>
      </c>
      <c r="M1307" s="17" t="n">
        <v>496.88</v>
      </c>
      <c r="N1307" s="17" t="n">
        <v>0</v>
      </c>
      <c r="O1307" s="15" t="inlineStr">
        <is>
          <t>Final issue (ipoplatform)</t>
        </is>
      </c>
      <c r="P1307" s="15" t="n"/>
      <c r="Q1307" s="18" t="inlineStr">
        <is>
          <t>https://www.sebi.gov.in/sebi_data/attachdocs/1440044620390.pdf</t>
        </is>
      </c>
      <c r="R1307" s="18" t="inlineStr">
        <is>
          <t>https://www.sebi.gov.in/filings/public-issues/aug-2015/matrimony-com-limited_30490.html</t>
        </is>
      </c>
      <c r="S1307" s="15" t="n"/>
      <c r="T1307" s="15" t="inlineStr">
        <is>
          <t>SEBI filing link</t>
        </is>
      </c>
      <c r="U1307" s="15" t="inlineStr">
        <is>
          <t>Matrimony.com Limited</t>
        </is>
      </c>
      <c r="V1307" s="15" t="n"/>
      <c r="W1307" s="15" t="n"/>
      <c r="X1307" s="15" t="n"/>
      <c r="Y1307" s="15" t="n"/>
      <c r="Z1307" s="15" t="n"/>
      <c r="AA1307" s="15" t="n"/>
      <c r="AB1307" s="15" t="n"/>
    </row>
    <row r="1308" ht="15" customHeight="1" s="12">
      <c r="A1308" s="14" t="n">
        <v>1307</v>
      </c>
      <c r="B1308" s="16" t="n">
        <v>42223</v>
      </c>
      <c r="C1308" s="15" t="n">
        <v>2015</v>
      </c>
      <c r="D1308" s="15" t="inlineStr">
        <is>
          <t>Alkem Laboratories Limited</t>
        </is>
      </c>
      <c r="E1308" s="15" t="inlineStr">
        <is>
          <t>DRHP</t>
        </is>
      </c>
      <c r="F1308" s="15" t="inlineStr">
        <is>
          <t>Alkem Laboratories Limited</t>
        </is>
      </c>
      <c r="G1308" s="15" t="inlineStr">
        <is>
          <t>IPO launched</t>
        </is>
      </c>
      <c r="H1308" s="15" t="inlineStr">
        <is>
          <t>Mainboard</t>
        </is>
      </c>
      <c r="I1308" s="16" t="n">
        <v>42346</v>
      </c>
      <c r="J1308" s="16" t="n">
        <v>42348</v>
      </c>
      <c r="K1308" s="16" t="n">
        <v>42361</v>
      </c>
      <c r="L1308" s="17" t="n">
        <v>1349.61</v>
      </c>
      <c r="M1308" s="17" t="n">
        <v>1349.61</v>
      </c>
      <c r="N1308" s="17" t="n">
        <v>0</v>
      </c>
      <c r="O1308" s="15" t="inlineStr">
        <is>
          <t>Final issue (ipoplatform)</t>
        </is>
      </c>
      <c r="P1308" s="15" t="n"/>
      <c r="Q1308" s="18" t="inlineStr">
        <is>
          <t>https://www.sebi.gov.in/sebi_data/attachdocs/1438940277502.pdf</t>
        </is>
      </c>
      <c r="R1308" s="18" t="inlineStr">
        <is>
          <t>https://www.sebi.gov.in/filings/public-issues/aug-2015/alkem-laboratories-limited_30416.html</t>
        </is>
      </c>
      <c r="S1308" s="15" t="n"/>
      <c r="T1308" s="15" t="inlineStr">
        <is>
          <t>SEBI filing link</t>
        </is>
      </c>
      <c r="U1308" s="15" t="inlineStr">
        <is>
          <t>Alkem Laboratories Limited</t>
        </is>
      </c>
      <c r="V1308" s="15" t="n"/>
      <c r="W1308" s="15" t="n"/>
      <c r="X1308" s="15" t="n"/>
      <c r="Y1308" s="15" t="n"/>
      <c r="Z1308" s="15" t="n"/>
      <c r="AA1308" s="15" t="n"/>
      <c r="AB1308" s="15" t="n"/>
    </row>
    <row r="1309" ht="15" customHeight="1" s="12">
      <c r="A1309" s="14" t="n">
        <v>1308</v>
      </c>
      <c r="B1309" s="16" t="n">
        <v>42214</v>
      </c>
      <c r="C1309" s="15" t="n">
        <v>2015</v>
      </c>
      <c r="D1309" s="15" t="inlineStr">
        <is>
          <t>Healthcare Global Enterprises Limited</t>
        </is>
      </c>
      <c r="E1309" s="15" t="inlineStr">
        <is>
          <t>DRHP</t>
        </is>
      </c>
      <c r="F1309" s="15" t="inlineStr">
        <is>
          <t>Healthcare Global Enterprises Limited</t>
        </is>
      </c>
      <c r="G1309" s="15" t="inlineStr">
        <is>
          <t>IPO launched</t>
        </is>
      </c>
      <c r="H1309" s="15" t="inlineStr">
        <is>
          <t>Mainboard</t>
        </is>
      </c>
      <c r="I1309" s="16" t="n">
        <v>42445</v>
      </c>
      <c r="J1309" s="16" t="n">
        <v>42447</v>
      </c>
      <c r="K1309" s="16" t="n">
        <v>42459</v>
      </c>
      <c r="L1309" s="17" t="n">
        <v>649.64</v>
      </c>
      <c r="M1309" s="17" t="n">
        <v>649.64</v>
      </c>
      <c r="N1309" s="17" t="n">
        <v>0</v>
      </c>
      <c r="O1309" s="15" t="inlineStr">
        <is>
          <t>Final issue (ipoplatform)</t>
        </is>
      </c>
      <c r="P1309" s="15" t="n"/>
      <c r="Q1309" s="18" t="inlineStr">
        <is>
          <t>https://www.sebi.gov.in/sebi_data/attachdocs/1438141504258.pdf</t>
        </is>
      </c>
      <c r="R1309" s="18" t="inlineStr">
        <is>
          <t>https://www.sebi.gov.in/filings/public-issues/jul-2015/healthcare-global-enterprises-limited_30355.html</t>
        </is>
      </c>
      <c r="S1309" s="15" t="n"/>
      <c r="T1309" s="15" t="inlineStr">
        <is>
          <t>SEBI filing link</t>
        </is>
      </c>
      <c r="U1309" s="15" t="inlineStr">
        <is>
          <t>Healthcare Global Enterprises Limited</t>
        </is>
      </c>
      <c r="V1309" s="15" t="n"/>
      <c r="W1309" s="15" t="n"/>
      <c r="X1309" s="15" t="n"/>
      <c r="Y1309" s="15" t="n"/>
      <c r="Z1309" s="15" t="n"/>
      <c r="AA1309" s="15" t="n"/>
      <c r="AB1309" s="15" t="n"/>
    </row>
    <row r="1310" ht="15" customHeight="1" s="12">
      <c r="A1310" s="14" t="n">
        <v>1309</v>
      </c>
      <c r="B1310" s="16" t="n">
        <v>42208</v>
      </c>
      <c r="C1310" s="15" t="n">
        <v>2015</v>
      </c>
      <c r="D1310" s="15" t="inlineStr">
        <is>
          <t>Bharat Wire Ropes Limited</t>
        </is>
      </c>
      <c r="E1310" s="15" t="inlineStr">
        <is>
          <t>DRHP</t>
        </is>
      </c>
      <c r="F1310" s="15" t="inlineStr">
        <is>
          <t>Bharat Wire Ropes Limited</t>
        </is>
      </c>
      <c r="G1310" s="15" t="inlineStr">
        <is>
          <t>IPO launched</t>
        </is>
      </c>
      <c r="H1310" s="15" t="inlineStr">
        <is>
          <t>Mainboard</t>
        </is>
      </c>
      <c r="I1310" s="16" t="n">
        <v>42447</v>
      </c>
      <c r="J1310" s="16" t="n">
        <v>42451</v>
      </c>
      <c r="K1310" s="16" t="n">
        <v>42461</v>
      </c>
      <c r="L1310" s="17" t="n">
        <v>70</v>
      </c>
      <c r="M1310" s="17" t="n">
        <v>70</v>
      </c>
      <c r="N1310" s="17" t="n">
        <v>0</v>
      </c>
      <c r="O1310" s="15" t="inlineStr">
        <is>
          <t>Final issue (ipoplatform)</t>
        </is>
      </c>
      <c r="P1310" s="15" t="n"/>
      <c r="Q1310" s="18" t="inlineStr">
        <is>
          <t>https://www.sebi.gov.in/sebi_data/attachdocs/1437639155088.pdf</t>
        </is>
      </c>
      <c r="R1310" s="18" t="inlineStr">
        <is>
          <t>https://www.sebi.gov.in/filings/public-issues/jul-2015/bharat-wire-ropes-limited_30318.html</t>
        </is>
      </c>
      <c r="S1310" s="15" t="n"/>
      <c r="T1310" s="15" t="inlineStr">
        <is>
          <t>SEBI filing link</t>
        </is>
      </c>
      <c r="U1310" s="15" t="inlineStr">
        <is>
          <t>Bharat Wire Ropes Limited</t>
        </is>
      </c>
      <c r="V1310" s="15" t="n"/>
      <c r="W1310" s="15" t="n"/>
      <c r="X1310" s="15" t="n"/>
      <c r="Y1310" s="15" t="n"/>
      <c r="Z1310" s="15" t="n"/>
      <c r="AA1310" s="15" t="n"/>
      <c r="AB1310" s="15" t="n"/>
    </row>
    <row r="1311" ht="15" customHeight="1" s="12">
      <c r="A1311" s="14" t="n">
        <v>1310</v>
      </c>
      <c r="B1311" s="16" t="n">
        <v>42195</v>
      </c>
      <c r="C1311" s="15" t="n">
        <v>2015</v>
      </c>
      <c r="D1311" s="15" t="inlineStr">
        <is>
          <t>Paranjape Schemes (Construction) Limited</t>
        </is>
      </c>
      <c r="E1311" s="15" t="inlineStr">
        <is>
          <t>DRHP</t>
        </is>
      </c>
      <c r="F1311" s="15" t="inlineStr">
        <is>
          <t>Paranjape Schemes (Construction) Limited</t>
        </is>
      </c>
      <c r="G1311" s="15" t="inlineStr">
        <is>
          <t>No launched IPO found</t>
        </is>
      </c>
      <c r="H1311" s="15" t="n"/>
      <c r="I1311" s="16" t="n"/>
      <c r="J1311" s="16" t="n"/>
      <c r="K1311" s="16" t="n"/>
      <c r="L1311" s="17" t="n"/>
      <c r="M1311" s="17" t="n"/>
      <c r="N1311" s="17" t="n"/>
      <c r="O1311" s="15" t="n"/>
      <c r="P1311" s="15" t="n"/>
      <c r="Q1311" s="18" t="inlineStr">
        <is>
          <t>https://www.sebi.gov.in/sebi_data/attachdocs/1436514431104.pdf</t>
        </is>
      </c>
      <c r="R1311" s="18" t="inlineStr">
        <is>
          <t>https://www.sebi.gov.in/filings/public-issues/jul-2015/paranjape-schemes-construction-limited_30233.html</t>
        </is>
      </c>
      <c r="S1311" s="15" t="n"/>
      <c r="T1311" s="15" t="n"/>
      <c r="U1311" s="15" t="n"/>
      <c r="V1311" s="15" t="n"/>
      <c r="W1311" s="16" t="n"/>
      <c r="X1311" s="16" t="n"/>
      <c r="Y1311" s="16" t="n"/>
      <c r="Z1311" s="15" t="inlineStr">
        <is>
          <t>Withdrawn / approval lapsed</t>
        </is>
      </c>
      <c r="AA1311" s="15" t="inlineStr">
        <is>
          <t>Rs600cr IPO cleared Dec 2015; approval allowed to lapse Dec 2016; never listed</t>
        </is>
      </c>
      <c r="AB1311" s="18" t="inlineStr">
        <is>
          <t>https://mnacritique.mergersindia.com/news/paranjape-schemes-shelves-ipo-plan-begins-talks-with-investors-to-raise-capital/</t>
        </is>
      </c>
    </row>
    <row r="1312" ht="15" customHeight="1" s="12">
      <c r="A1312" s="14" t="n">
        <v>1311</v>
      </c>
      <c r="B1312" s="16" t="n">
        <v>42186</v>
      </c>
      <c r="C1312" s="15" t="n">
        <v>2015</v>
      </c>
      <c r="D1312" s="15" t="inlineStr">
        <is>
          <t>Infibeam Incorporation Limited</t>
        </is>
      </c>
      <c r="E1312" s="15" t="inlineStr">
        <is>
          <t>DRHP</t>
        </is>
      </c>
      <c r="F1312" s="15" t="inlineStr">
        <is>
          <t>Infibeam Incorporation Limited</t>
        </is>
      </c>
      <c r="G1312" s="15" t="inlineStr">
        <is>
          <t>IPO launched</t>
        </is>
      </c>
      <c r="H1312" s="15" t="inlineStr">
        <is>
          <t>Mainboard</t>
        </is>
      </c>
      <c r="I1312" s="16" t="n">
        <v>42450</v>
      </c>
      <c r="J1312" s="16" t="n">
        <v>42452</v>
      </c>
      <c r="K1312" s="16" t="n">
        <v>42464</v>
      </c>
      <c r="L1312" s="17" t="n">
        <v>450</v>
      </c>
      <c r="M1312" s="17" t="n">
        <v>450</v>
      </c>
      <c r="N1312" s="17" t="n">
        <v>0</v>
      </c>
      <c r="O1312" s="15" t="inlineStr">
        <is>
          <t>Final issue (ipoplatform)</t>
        </is>
      </c>
      <c r="P1312" s="15" t="n"/>
      <c r="Q1312" s="18" t="inlineStr">
        <is>
          <t>https://www.sebi.gov.in/sebi_data/attachdocs/1435726888407.pdf</t>
        </is>
      </c>
      <c r="R1312" s="18" t="inlineStr">
        <is>
          <t>https://www.sebi.gov.in/filings/public-issues/jul-2015/infibeam-incorporation-limited_30174.html</t>
        </is>
      </c>
      <c r="S1312" s="15" t="n"/>
      <c r="T1312" s="15" t="inlineStr">
        <is>
          <t>SEBI filing link</t>
        </is>
      </c>
      <c r="U1312" s="15" t="inlineStr">
        <is>
          <t>Infibeam Avenues Limited (Infibeam Incorporation Limited)</t>
        </is>
      </c>
      <c r="V1312" s="15" t="n"/>
      <c r="W1312" s="15" t="n"/>
      <c r="X1312" s="15" t="n"/>
      <c r="Y1312" s="15" t="n"/>
      <c r="Z1312" s="15" t="n"/>
      <c r="AA1312" s="15" t="n"/>
      <c r="AB1312" s="15" t="n"/>
    </row>
    <row r="1313" ht="15" customHeight="1" s="12">
      <c r="A1313" s="14" t="n">
        <v>1312</v>
      </c>
      <c r="B1313" s="16" t="n">
        <v>42186</v>
      </c>
      <c r="C1313" s="15" t="n">
        <v>2015</v>
      </c>
      <c r="D1313" s="15" t="inlineStr">
        <is>
          <t>Interglobe Aviation Limited</t>
        </is>
      </c>
      <c r="E1313" s="15" t="inlineStr">
        <is>
          <t>DRHP</t>
        </is>
      </c>
      <c r="F1313" s="15" t="inlineStr">
        <is>
          <t>Interglobe Aviation Limited</t>
        </is>
      </c>
      <c r="G1313" s="15" t="inlineStr">
        <is>
          <t>IPO launched</t>
        </is>
      </c>
      <c r="H1313" s="15" t="inlineStr">
        <is>
          <t>Mainboard</t>
        </is>
      </c>
      <c r="I1313" s="16" t="n">
        <v>42304</v>
      </c>
      <c r="J1313" s="16" t="n">
        <v>42306</v>
      </c>
      <c r="K1313" s="16" t="n">
        <v>42318</v>
      </c>
      <c r="L1313" s="17" t="n">
        <v>3018.24</v>
      </c>
      <c r="M1313" s="17" t="n">
        <v>3018.24</v>
      </c>
      <c r="N1313" s="17" t="n">
        <v>0</v>
      </c>
      <c r="O1313" s="15" t="inlineStr">
        <is>
          <t>Final issue (ipoplatform)</t>
        </is>
      </c>
      <c r="P1313" s="15" t="n"/>
      <c r="Q1313" s="18" t="inlineStr">
        <is>
          <t>https://www.sebi.gov.in/sebi_data/attachdocs/1435745197623.pdf</t>
        </is>
      </c>
      <c r="R1313" s="18" t="inlineStr">
        <is>
          <t>https://www.sebi.gov.in/filings/public-issues/jul-2015/interglobe-aviation-limited_30181.html</t>
        </is>
      </c>
      <c r="S1313" s="15" t="n"/>
      <c r="T1313" s="15" t="inlineStr">
        <is>
          <t>SEBI filing link</t>
        </is>
      </c>
      <c r="U1313" s="15" t="inlineStr">
        <is>
          <t>InterGlobe Aviation Limited</t>
        </is>
      </c>
      <c r="V1313" s="15" t="n"/>
      <c r="W1313" s="15" t="n"/>
      <c r="X1313" s="15" t="n"/>
      <c r="Y1313" s="15" t="n"/>
      <c r="Z1313" s="15" t="n"/>
      <c r="AA1313" s="15" t="n"/>
      <c r="AB1313" s="15" t="n"/>
    </row>
    <row r="1314" ht="15" customHeight="1" s="12">
      <c r="A1314" s="14" t="n">
        <v>1313</v>
      </c>
      <c r="B1314" s="16" t="n">
        <v>42185</v>
      </c>
      <c r="C1314" s="15" t="n">
        <v>2015</v>
      </c>
      <c r="D1314" s="15" t="inlineStr">
        <is>
          <t>Coffee Day Enterprises Limited</t>
        </is>
      </c>
      <c r="E1314" s="15" t="inlineStr">
        <is>
          <t>DRHP</t>
        </is>
      </c>
      <c r="F1314" s="15" t="inlineStr">
        <is>
          <t>Coffee Day Enterprises Limited</t>
        </is>
      </c>
      <c r="G1314" s="15" t="inlineStr">
        <is>
          <t>IPO launched</t>
        </is>
      </c>
      <c r="H1314" s="15" t="inlineStr">
        <is>
          <t>Mainboard</t>
        </is>
      </c>
      <c r="I1314" s="16" t="n">
        <v>42291</v>
      </c>
      <c r="J1314" s="16" t="n">
        <v>42293</v>
      </c>
      <c r="K1314" s="16" t="n">
        <v>42310</v>
      </c>
      <c r="L1314" s="17" t="n">
        <v>1150</v>
      </c>
      <c r="M1314" s="17" t="n">
        <v>1150</v>
      </c>
      <c r="N1314" s="17" t="n">
        <v>0</v>
      </c>
      <c r="O1314" s="15" t="inlineStr">
        <is>
          <t>Final issue (ipoplatform)</t>
        </is>
      </c>
      <c r="P1314" s="15" t="n"/>
      <c r="Q1314" s="18" t="inlineStr">
        <is>
          <t>https://www.sebi.gov.in/sebi_data/attachdocs/1435720745997.pdf</t>
        </is>
      </c>
      <c r="R1314" s="18" t="inlineStr">
        <is>
          <t>https://www.sebi.gov.in/filings/public-issues/jun-2015/coffee-day-enterprises-limited_30173.html</t>
        </is>
      </c>
      <c r="S1314" s="15" t="n"/>
      <c r="T1314" s="15" t="inlineStr">
        <is>
          <t>SEBI filing link</t>
        </is>
      </c>
      <c r="U1314" s="15" t="inlineStr">
        <is>
          <t>Coffee Day Enterprises Limited</t>
        </is>
      </c>
      <c r="V1314" s="15" t="n"/>
      <c r="W1314" s="15" t="n"/>
      <c r="X1314" s="15" t="n"/>
      <c r="Y1314" s="15" t="n"/>
      <c r="Z1314" s="15" t="n"/>
      <c r="AA1314" s="15" t="n"/>
      <c r="AB1314" s="15" t="n"/>
    </row>
    <row r="1315" ht="15" customHeight="1" s="12">
      <c r="A1315" s="14" t="n">
        <v>1314</v>
      </c>
      <c r="B1315" s="16" t="n">
        <v>42181</v>
      </c>
      <c r="C1315" s="15" t="n">
        <v>2015</v>
      </c>
      <c r="D1315" s="15" t="inlineStr">
        <is>
          <t>RBL Bank Limited</t>
        </is>
      </c>
      <c r="E1315" s="15" t="inlineStr">
        <is>
          <t>DRHP</t>
        </is>
      </c>
      <c r="F1315" s="15" t="inlineStr">
        <is>
          <t>RBL Bank Limited</t>
        </is>
      </c>
      <c r="G1315" s="15" t="inlineStr">
        <is>
          <t>IPO launched</t>
        </is>
      </c>
      <c r="H1315" s="15" t="inlineStr">
        <is>
          <t>Mainboard</t>
        </is>
      </c>
      <c r="I1315" s="16" t="n">
        <v>42601</v>
      </c>
      <c r="J1315" s="16" t="n">
        <v>42605</v>
      </c>
      <c r="K1315" s="16" t="n">
        <v>42613</v>
      </c>
      <c r="L1315" s="17" t="n">
        <v>1212.97</v>
      </c>
      <c r="M1315" s="17" t="n">
        <v>1212.97</v>
      </c>
      <c r="N1315" s="17" t="n">
        <v>0</v>
      </c>
      <c r="O1315" s="15" t="inlineStr">
        <is>
          <t>Final issue (ipoplatform)</t>
        </is>
      </c>
      <c r="P1315" s="15" t="n"/>
      <c r="Q1315" s="18" t="inlineStr">
        <is>
          <t>https://www.sebi.gov.in/sebi_data/attachdocs/1435309201566.pdf</t>
        </is>
      </c>
      <c r="R1315" s="18" t="inlineStr">
        <is>
          <t>https://www.sebi.gov.in/filings/public-issues/jun-2015/rbl-bank-limited_30125.html</t>
        </is>
      </c>
      <c r="S1315" s="15" t="n"/>
      <c r="T1315" s="15" t="inlineStr">
        <is>
          <t>Company name + date window</t>
        </is>
      </c>
      <c r="U1315" s="15" t="inlineStr">
        <is>
          <t>RBL Bank Limited</t>
        </is>
      </c>
      <c r="V1315" s="15" t="n"/>
      <c r="W1315" s="15" t="n"/>
      <c r="X1315" s="15" t="n"/>
      <c r="Y1315" s="15" t="n"/>
      <c r="Z1315" s="15" t="n"/>
      <c r="AA1315" s="15" t="n"/>
      <c r="AB1315" s="15" t="n"/>
    </row>
    <row r="1316" ht="15" customHeight="1" s="12">
      <c r="A1316" s="14" t="n">
        <v>1315</v>
      </c>
      <c r="B1316" s="16" t="n">
        <v>42178</v>
      </c>
      <c r="C1316" s="15" t="n">
        <v>2015</v>
      </c>
      <c r="D1316" s="15" t="inlineStr">
        <is>
          <t>Matrix Cellular (International) Services Limited</t>
        </is>
      </c>
      <c r="E1316" s="15" t="inlineStr">
        <is>
          <t>DRHP</t>
        </is>
      </c>
      <c r="F1316" s="15" t="inlineStr">
        <is>
          <t>Matrix Cellular (International) Services Limited</t>
        </is>
      </c>
      <c r="G1316" s="15" t="inlineStr">
        <is>
          <t>No launched IPO found</t>
        </is>
      </c>
      <c r="H1316" s="15" t="n"/>
      <c r="I1316" s="16" t="n"/>
      <c r="J1316" s="16" t="n"/>
      <c r="K1316" s="16" t="n"/>
      <c r="L1316" s="17" t="n"/>
      <c r="M1316" s="17" t="n"/>
      <c r="N1316" s="17" t="n"/>
      <c r="O1316" s="15" t="n"/>
      <c r="P1316" s="15" t="n"/>
      <c r="Q1316" s="18" t="inlineStr">
        <is>
          <t>https://www.sebi.gov.in/sebi_data/attachdocs/1435043879942.pdf</t>
        </is>
      </c>
      <c r="R1316" s="18" t="inlineStr">
        <is>
          <t>https://www.sebi.gov.in/filings/public-issues/jun-2015/matrix-cellular-international-services-limited_30032.html</t>
        </is>
      </c>
      <c r="S1316" s="15" t="n"/>
      <c r="T1316" s="15" t="n"/>
      <c r="U1316" s="15" t="n"/>
      <c r="V1316" s="15" t="n"/>
      <c r="W1316" s="16" t="n"/>
      <c r="X1316" s="16" t="n"/>
      <c r="Y1316" s="16" t="n"/>
      <c r="Z1316" s="15" t="inlineStr">
        <is>
          <t>Withdrawn / approval lapsed</t>
        </is>
      </c>
      <c r="AA1316" s="15" t="inlineStr">
        <is>
          <t>OFS IPO; SEBI obs 26 Aug 2015 but issue never launched; approval lapsed</t>
        </is>
      </c>
      <c r="AB1316" s="18" t="inlineStr">
        <is>
          <t>https://www.sebi.gov.in/sebi_data/commondocs/feb-2020/Issues%20Obs%20Issued%2031012020_p.pdf</t>
        </is>
      </c>
    </row>
    <row r="1317" ht="15" customHeight="1" s="12">
      <c r="A1317" s="14" t="n">
        <v>1316</v>
      </c>
      <c r="B1317" s="16" t="n">
        <v>42151</v>
      </c>
      <c r="C1317" s="15" t="n">
        <v>2015</v>
      </c>
      <c r="D1317" s="15" t="inlineStr">
        <is>
          <t>Sadbhav Infrastructure Project Limited</t>
        </is>
      </c>
      <c r="E1317" s="15" t="inlineStr">
        <is>
          <t>DRHP</t>
        </is>
      </c>
      <c r="F1317" s="15" t="inlineStr">
        <is>
          <t>Sadbhav Infrastructure Project Limited</t>
        </is>
      </c>
      <c r="G1317" s="15" t="inlineStr">
        <is>
          <t>IPO launched</t>
        </is>
      </c>
      <c r="H1317" s="15" t="inlineStr">
        <is>
          <t>Mainboard</t>
        </is>
      </c>
      <c r="I1317" s="16" t="n">
        <v>42247</v>
      </c>
      <c r="J1317" s="16" t="n">
        <v>42249</v>
      </c>
      <c r="K1317" s="16" t="n">
        <v>42263</v>
      </c>
      <c r="L1317" s="17" t="n">
        <v>491.66</v>
      </c>
      <c r="M1317" s="17" t="n">
        <v>491.66</v>
      </c>
      <c r="N1317" s="17" t="n">
        <v>0</v>
      </c>
      <c r="O1317" s="15" t="inlineStr">
        <is>
          <t>Final issue (ipoplatform)</t>
        </is>
      </c>
      <c r="P1317" s="15" t="n"/>
      <c r="Q1317" s="18" t="inlineStr">
        <is>
          <t>https://www.sebi.gov.in/sebi_data/attachdocs/1432713714727.pdf</t>
        </is>
      </c>
      <c r="R1317" s="18" t="inlineStr">
        <is>
          <t>https://www.sebi.gov.in/filings/public-issues/may-2015/sadbhav-infrastructure-project-limited_29852.html</t>
        </is>
      </c>
      <c r="S1317" s="15" t="n"/>
      <c r="T1317" s="15" t="inlineStr">
        <is>
          <t>SEBI filing link</t>
        </is>
      </c>
      <c r="U1317" s="15" t="inlineStr">
        <is>
          <t>Sadbhav Infrastructure Project Limited</t>
        </is>
      </c>
      <c r="V1317" s="15" t="n"/>
      <c r="W1317" s="15" t="n"/>
      <c r="X1317" s="15" t="n"/>
      <c r="Y1317" s="15" t="n"/>
      <c r="Z1317" s="15" t="n"/>
      <c r="AA1317" s="15" t="n"/>
      <c r="AB1317" s="15" t="n"/>
    </row>
    <row r="1318" ht="15" customHeight="1" s="12">
      <c r="A1318" s="14" t="n">
        <v>1317</v>
      </c>
      <c r="B1318" s="16" t="n">
        <v>42125</v>
      </c>
      <c r="C1318" s="15" t="n">
        <v>2015</v>
      </c>
      <c r="D1318" s="15" t="inlineStr">
        <is>
          <t>NUMERO UNO CLOTHING LIMITED</t>
        </is>
      </c>
      <c r="E1318" s="15" t="inlineStr">
        <is>
          <t>DRHP</t>
        </is>
      </c>
      <c r="F1318" s="15" t="inlineStr">
        <is>
          <t>NUMERO UNO CLOTHING LIMITED</t>
        </is>
      </c>
      <c r="G1318" s="15" t="inlineStr">
        <is>
          <t>No launched IPO found</t>
        </is>
      </c>
      <c r="H1318" s="15" t="n"/>
      <c r="I1318" s="16" t="n"/>
      <c r="J1318" s="16" t="n"/>
      <c r="K1318" s="16" t="n"/>
      <c r="L1318" s="17" t="n"/>
      <c r="M1318" s="17" t="n"/>
      <c r="N1318" s="17" t="n"/>
      <c r="O1318" s="15" t="n"/>
      <c r="P1318" s="15" t="n"/>
      <c r="Q1318" s="18" t="inlineStr">
        <is>
          <t>https://www.sebi.gov.in/sebi_data/attachdocs/1430568646805.pdf</t>
        </is>
      </c>
      <c r="R1318" s="18" t="inlineStr">
        <is>
          <t>https://www.sebi.gov.in/filings/public-issues/may-2015/numero-uno-clothing-limited_29705.html</t>
        </is>
      </c>
      <c r="S1318" s="15" t="n"/>
      <c r="T1318" s="15" t="n"/>
      <c r="U1318" s="15" t="n"/>
      <c r="V1318" s="15" t="n"/>
      <c r="W1318" s="16" t="n"/>
      <c r="X1318" s="16" t="n"/>
      <c r="Y1318" s="16" t="n"/>
      <c r="Z1318" s="15" t="inlineStr">
        <is>
          <t>No issue found</t>
        </is>
      </c>
      <c r="AA1318" s="15" t="inlineStr">
        <is>
          <t>Business Standard lists the company but shows no issue dates; web search limit reached</t>
        </is>
      </c>
      <c r="AB1318" s="18" t="inlineStr">
        <is>
          <t>https://www.business-standard.com/markets/ipo/numero-uno-clothing-ltd-ipo-33420</t>
        </is>
      </c>
    </row>
    <row r="1319" ht="15" customHeight="1" s="12">
      <c r="A1319" s="14" t="n">
        <v>1318</v>
      </c>
      <c r="B1319" s="16" t="n">
        <v>42117</v>
      </c>
      <c r="C1319" s="15" t="n">
        <v>2015</v>
      </c>
      <c r="D1319" s="15" t="inlineStr">
        <is>
          <t>Nuziveedu Seeds Limited</t>
        </is>
      </c>
      <c r="E1319" s="15" t="inlineStr">
        <is>
          <t>DRHP</t>
        </is>
      </c>
      <c r="F1319" s="15" t="inlineStr">
        <is>
          <t>Nuziveedu Seeds Limited</t>
        </is>
      </c>
      <c r="G1319" s="15" t="inlineStr">
        <is>
          <t>No launched IPO found</t>
        </is>
      </c>
      <c r="H1319" s="15" t="n"/>
      <c r="I1319" s="16" t="n"/>
      <c r="J1319" s="16" t="n"/>
      <c r="K1319" s="16" t="n"/>
      <c r="L1319" s="17" t="n"/>
      <c r="M1319" s="17" t="n"/>
      <c r="N1319" s="17" t="n"/>
      <c r="O1319" s="15" t="n"/>
      <c r="P1319" s="15" t="n"/>
      <c r="Q1319" s="18" t="inlineStr">
        <is>
          <t>https://www.sebi.gov.in/sebi_data/attachdocs/1429780624226.pdf</t>
        </is>
      </c>
      <c r="R1319" s="18" t="inlineStr">
        <is>
          <t>https://www.sebi.gov.in/filings/public-issues/apr-2015/nuziveedu-seeds-limited_29642.html</t>
        </is>
      </c>
      <c r="S1319" s="15" t="n"/>
      <c r="T1319" s="15" t="n"/>
      <c r="U1319" s="15" t="n"/>
      <c r="V1319" s="15" t="n"/>
      <c r="W1319" s="16" t="n"/>
      <c r="X1319" s="16" t="n"/>
      <c r="Y1319" s="16" t="n"/>
      <c r="Z1319" s="15" t="inlineStr">
        <is>
          <t>No issue found</t>
        </is>
      </c>
      <c r="AA1319" s="15" t="inlineStr">
        <is>
          <t>Business Standard lists the company but shows no issue dates; web search limit reached</t>
        </is>
      </c>
      <c r="AB1319" s="18" t="inlineStr">
        <is>
          <t>https://www.business-standard.com/markets/ipo/nuziveedu-seeds-ltd-ipo-40516</t>
        </is>
      </c>
    </row>
    <row r="1320" ht="15" customHeight="1" s="12">
      <c r="A1320" s="14" t="n">
        <v>1319</v>
      </c>
      <c r="B1320" s="16" t="n">
        <v>42117</v>
      </c>
      <c r="C1320" s="15" t="n">
        <v>2015</v>
      </c>
      <c r="D1320" s="15" t="inlineStr">
        <is>
          <t>Syngene International Limited</t>
        </is>
      </c>
      <c r="E1320" s="15" t="inlineStr">
        <is>
          <t>DRHP</t>
        </is>
      </c>
      <c r="F1320" s="15" t="inlineStr">
        <is>
          <t>Syngene International Limited</t>
        </is>
      </c>
      <c r="G1320" s="15" t="inlineStr">
        <is>
          <t>IPO launched</t>
        </is>
      </c>
      <c r="H1320" s="15" t="inlineStr">
        <is>
          <t>Mainboard</t>
        </is>
      </c>
      <c r="I1320" s="16" t="n">
        <v>42212</v>
      </c>
      <c r="J1320" s="16" t="n">
        <v>42214</v>
      </c>
      <c r="K1320" s="16" t="n">
        <v>42227</v>
      </c>
      <c r="L1320" s="17" t="n">
        <v>550</v>
      </c>
      <c r="M1320" s="17" t="n">
        <v>550</v>
      </c>
      <c r="N1320" s="17" t="n">
        <v>0</v>
      </c>
      <c r="O1320" s="15" t="inlineStr">
        <is>
          <t>Final issue (ipoplatform)</t>
        </is>
      </c>
      <c r="P1320" s="15" t="n"/>
      <c r="Q1320" s="18" t="inlineStr">
        <is>
          <t>https://www.sebi.gov.in/sebi_data/attachdocs/1429780781957.pdf</t>
        </is>
      </c>
      <c r="R1320" s="18" t="inlineStr">
        <is>
          <t>https://www.sebi.gov.in/filings/public-issues/apr-2015/syngene-international-limited_29643.html</t>
        </is>
      </c>
      <c r="S1320" s="15" t="n"/>
      <c r="T1320" s="15" t="inlineStr">
        <is>
          <t>SEBI filing link</t>
        </is>
      </c>
      <c r="U1320" s="15" t="inlineStr">
        <is>
          <t>Syngene International Limited</t>
        </is>
      </c>
      <c r="V1320" s="15" t="n"/>
      <c r="W1320" s="15" t="n"/>
      <c r="X1320" s="15" t="n"/>
      <c r="Y1320" s="15" t="n"/>
      <c r="Z1320" s="15" t="n"/>
      <c r="AA1320" s="15" t="n"/>
      <c r="AB1320" s="15" t="n"/>
    </row>
    <row r="1321" ht="15" customHeight="1" s="12">
      <c r="A1321" s="14" t="n">
        <v>1320</v>
      </c>
      <c r="B1321" s="16" t="n">
        <v>42095</v>
      </c>
      <c r="C1321" s="15" t="n">
        <v>2015</v>
      </c>
      <c r="D1321" s="15" t="inlineStr">
        <is>
          <t>Dilip Buildcon Limited</t>
        </is>
      </c>
      <c r="E1321" s="15" t="inlineStr">
        <is>
          <t>DRHP</t>
        </is>
      </c>
      <c r="F1321" s="15" t="inlineStr">
        <is>
          <t>Dilip Buildcon Limited</t>
        </is>
      </c>
      <c r="G1321" s="15" t="inlineStr">
        <is>
          <t>IPO launched</t>
        </is>
      </c>
      <c r="H1321" s="15" t="inlineStr">
        <is>
          <t>Mainboard</t>
        </is>
      </c>
      <c r="I1321" s="16" t="n">
        <v>42583</v>
      </c>
      <c r="J1321" s="16" t="n">
        <v>42585</v>
      </c>
      <c r="K1321" s="16" t="n">
        <v>42593</v>
      </c>
      <c r="L1321" s="17" t="n">
        <v>653.98</v>
      </c>
      <c r="M1321" s="17" t="n">
        <v>653.98</v>
      </c>
      <c r="N1321" s="17" t="n">
        <v>0</v>
      </c>
      <c r="O1321" s="15" t="inlineStr">
        <is>
          <t>Final issue (ipoplatform)</t>
        </is>
      </c>
      <c r="P1321" s="15" t="n"/>
      <c r="Q1321" s="18" t="inlineStr">
        <is>
          <t>https://www.sebi.gov.in/sebi_data/attachdocs/1427880821742.pdf</t>
        </is>
      </c>
      <c r="R1321" s="18" t="inlineStr">
        <is>
          <t>https://www.sebi.gov.in/filings/public-issues/apr-2015/dilip-buildcon-limited_29541.html</t>
        </is>
      </c>
      <c r="S1321" s="15" t="n"/>
      <c r="T1321" s="15" t="inlineStr">
        <is>
          <t>Company name + date window</t>
        </is>
      </c>
      <c r="U1321" s="15" t="inlineStr">
        <is>
          <t>Dilip Buildcon Limited</t>
        </is>
      </c>
      <c r="V1321" s="15" t="n"/>
      <c r="W1321" s="15" t="n"/>
      <c r="X1321" s="15" t="n"/>
      <c r="Y1321" s="15" t="n"/>
      <c r="Z1321" s="15" t="n"/>
      <c r="AA1321" s="15" t="n"/>
      <c r="AB1321" s="15" t="n"/>
    </row>
    <row r="1322" ht="15" customHeight="1" s="12">
      <c r="A1322" s="14" t="n">
        <v>1321</v>
      </c>
      <c r="B1322" s="16" t="n">
        <v>42095</v>
      </c>
      <c r="C1322" s="15" t="n">
        <v>2015</v>
      </c>
      <c r="D1322" s="15" t="inlineStr">
        <is>
          <t>MM Auto Industries Limited</t>
        </is>
      </c>
      <c r="E1322" s="15" t="inlineStr">
        <is>
          <t>DRHP</t>
        </is>
      </c>
      <c r="F1322" s="15" t="inlineStr">
        <is>
          <t>MM Auto Industries Limited</t>
        </is>
      </c>
      <c r="G1322" s="15" t="inlineStr">
        <is>
          <t>No launched IPO found</t>
        </is>
      </c>
      <c r="H1322" s="15" t="n"/>
      <c r="I1322" s="16" t="n"/>
      <c r="J1322" s="16" t="n"/>
      <c r="K1322" s="16" t="n"/>
      <c r="L1322" s="17" t="n"/>
      <c r="M1322" s="17" t="n"/>
      <c r="N1322" s="17" t="n"/>
      <c r="O1322" s="15" t="n"/>
      <c r="P1322" s="15" t="n"/>
      <c r="Q1322" s="18" t="inlineStr">
        <is>
          <t>https://www.sebi.gov.in/sebi_data/attachdocs/1427884524256.pdf</t>
        </is>
      </c>
      <c r="R1322" s="18" t="inlineStr">
        <is>
          <t>https://www.sebi.gov.in/filings/public-issues/apr-2015/mm-auto-industries-limited_29544.html</t>
        </is>
      </c>
      <c r="S1322" s="15" t="n"/>
      <c r="T1322" s="15" t="n"/>
      <c r="U1322" s="15" t="n"/>
      <c r="V1322" s="15" t="n"/>
      <c r="W1322" s="16" t="n"/>
      <c r="X1322" s="16" t="n"/>
      <c r="Y1322" s="16" t="n"/>
      <c r="Z1322" s="15" t="inlineStr">
        <is>
          <t>No issue found</t>
        </is>
      </c>
      <c r="AA1322" s="15" t="inlineStr">
        <is>
          <t>Business Standard lists the company but shows no issue dates; web search limit reached</t>
        </is>
      </c>
      <c r="AB1322" s="18" t="inlineStr">
        <is>
          <t>https://www.business-standard.com/markets/ipo/mm-auto-industries-ltd-ipo-65956</t>
        </is>
      </c>
    </row>
    <row r="1323" ht="15" customHeight="1" s="12">
      <c r="A1323" s="14" t="n">
        <v>1322</v>
      </c>
      <c r="B1323" s="16" t="n">
        <v>42095</v>
      </c>
      <c r="C1323" s="15" t="n">
        <v>2015</v>
      </c>
      <c r="D1323" s="15" t="inlineStr">
        <is>
          <t>Navkar Corporation Limited</t>
        </is>
      </c>
      <c r="E1323" s="15" t="inlineStr">
        <is>
          <t>DRHP</t>
        </is>
      </c>
      <c r="F1323" s="15" t="inlineStr">
        <is>
          <t>Navkar Corporation Limited</t>
        </is>
      </c>
      <c r="G1323" s="15" t="inlineStr">
        <is>
          <t>IPO launched</t>
        </is>
      </c>
      <c r="H1323" s="15" t="inlineStr">
        <is>
          <t>Mainboard</t>
        </is>
      </c>
      <c r="I1323" s="16" t="n">
        <v>42240</v>
      </c>
      <c r="J1323" s="16" t="n">
        <v>42242</v>
      </c>
      <c r="K1323" s="16" t="n">
        <v>42256</v>
      </c>
      <c r="L1323" s="17" t="n">
        <v>600</v>
      </c>
      <c r="M1323" s="17" t="n">
        <v>600</v>
      </c>
      <c r="N1323" s="17" t="n">
        <v>0</v>
      </c>
      <c r="O1323" s="15" t="inlineStr">
        <is>
          <t>Final issue (ipoplatform)</t>
        </is>
      </c>
      <c r="P1323" s="15" t="n"/>
      <c r="Q1323" s="18" t="inlineStr">
        <is>
          <t>https://www.sebi.gov.in/sebi_data/attachdocs/1427867739888.pdf</t>
        </is>
      </c>
      <c r="R1323" s="18" t="inlineStr">
        <is>
          <t>https://www.sebi.gov.in/filings/public-issues/apr-2015/navkar-corporation-limited_29518.html</t>
        </is>
      </c>
      <c r="S1323" s="15" t="n"/>
      <c r="T1323" s="15" t="inlineStr">
        <is>
          <t>SEBI filing link</t>
        </is>
      </c>
      <c r="U1323" s="15" t="inlineStr">
        <is>
          <t>Navkar Corporation Limited</t>
        </is>
      </c>
      <c r="V1323" s="15" t="n"/>
      <c r="W1323" s="15" t="n"/>
      <c r="X1323" s="15" t="n"/>
      <c r="Y1323" s="15" t="n"/>
      <c r="Z1323" s="15" t="n"/>
      <c r="AA1323" s="15" t="n"/>
      <c r="AB1323" s="15" t="n"/>
    </row>
    <row r="1324" ht="15" customHeight="1" s="12">
      <c r="A1324" s="14" t="n">
        <v>1323</v>
      </c>
      <c r="B1324" s="16" t="n">
        <v>42095</v>
      </c>
      <c r="C1324" s="15" t="n">
        <v>2015</v>
      </c>
      <c r="D1324" s="15" t="inlineStr">
        <is>
          <t>Prabhat Dairy Limited</t>
        </is>
      </c>
      <c r="E1324" s="15" t="inlineStr">
        <is>
          <t>DRHP</t>
        </is>
      </c>
      <c r="F1324" s="15" t="inlineStr">
        <is>
          <t>Prabhat Dairy Limited</t>
        </is>
      </c>
      <c r="G1324" s="15" t="inlineStr">
        <is>
          <t>IPO launched</t>
        </is>
      </c>
      <c r="H1324" s="15" t="inlineStr">
        <is>
          <t>Mainboard</t>
        </is>
      </c>
      <c r="I1324" s="16" t="n">
        <v>42244</v>
      </c>
      <c r="J1324" s="16" t="n">
        <v>42251</v>
      </c>
      <c r="K1324" s="16" t="n">
        <v>42268</v>
      </c>
      <c r="L1324" s="17" t="n">
        <v>356.19</v>
      </c>
      <c r="M1324" s="17" t="n">
        <v>356.19</v>
      </c>
      <c r="N1324" s="17" t="n">
        <v>0</v>
      </c>
      <c r="O1324" s="15" t="inlineStr">
        <is>
          <t>Final issue (ipoplatform)</t>
        </is>
      </c>
      <c r="P1324" s="15" t="n"/>
      <c r="Q1324" s="18" t="inlineStr">
        <is>
          <t>https://www.sebi.gov.in/sebi_data/attachdocs/1427884590814.pdf</t>
        </is>
      </c>
      <c r="R1324" s="18" t="inlineStr">
        <is>
          <t>https://www.sebi.gov.in/filings/public-issues/apr-2015/prabhat-dairy-limited_29545.html</t>
        </is>
      </c>
      <c r="S1324" s="15" t="n"/>
      <c r="T1324" s="15" t="inlineStr">
        <is>
          <t>SEBI filing link</t>
        </is>
      </c>
      <c r="U1324" s="15" t="inlineStr">
        <is>
          <t>Prabhat Dairy Limited</t>
        </is>
      </c>
      <c r="V1324" s="15" t="n"/>
      <c r="W1324" s="15" t="n"/>
      <c r="X1324" s="15" t="n"/>
      <c r="Y1324" s="15" t="n"/>
      <c r="Z1324" s="15" t="n"/>
      <c r="AA1324" s="15" t="n"/>
      <c r="AB1324" s="15" t="n"/>
    </row>
    <row r="1325" ht="15" customHeight="1" s="12">
      <c r="A1325" s="14" t="n">
        <v>1324</v>
      </c>
      <c r="B1325" s="16" t="n">
        <v>42095</v>
      </c>
      <c r="C1325" s="15" t="n">
        <v>2015</v>
      </c>
      <c r="D1325" s="15" t="inlineStr">
        <is>
          <t>The Catholic Syrian Bank limited</t>
        </is>
      </c>
      <c r="E1325" s="15" t="inlineStr">
        <is>
          <t>DRHP</t>
        </is>
      </c>
      <c r="F1325" s="15" t="inlineStr">
        <is>
          <t>The Catholic Syrian Bank limited</t>
        </is>
      </c>
      <c r="G1325" s="15" t="inlineStr">
        <is>
          <t>No launched IPO found</t>
        </is>
      </c>
      <c r="H1325" s="15" t="n"/>
      <c r="I1325" s="16" t="n"/>
      <c r="J1325" s="16" t="n"/>
      <c r="K1325" s="16" t="n"/>
      <c r="L1325" s="17" t="n"/>
      <c r="M1325" s="17" t="n"/>
      <c r="N1325" s="17" t="n"/>
      <c r="O1325" s="15" t="n"/>
      <c r="P1325" s="15" t="n"/>
      <c r="Q1325" s="18" t="inlineStr">
        <is>
          <t>https://www.sebi.gov.in/sebi_data/attachdocs/1427863525884.pdf</t>
        </is>
      </c>
      <c r="R1325" s="18" t="inlineStr">
        <is>
          <t>https://www.sebi.gov.in/filings/public-issues/apr-2015/the-catholic-syrian-bank-limited_29516.html</t>
        </is>
      </c>
      <c r="S1325" s="15" t="n"/>
      <c r="T1325" s="15" t="n"/>
      <c r="U1325" s="15" t="n"/>
      <c r="V1325" s="15" t="n"/>
      <c r="W1325" s="25" t="n">
        <v>43791</v>
      </c>
      <c r="X1325" s="25" t="n">
        <v>43795</v>
      </c>
      <c r="Y1325" s="25" t="n">
        <v>43803</v>
      </c>
      <c r="Z1325" s="26" t="inlineStr">
        <is>
          <t>Later IPO — not from this draft</t>
        </is>
      </c>
      <c r="AA1325" s="15" t="inlineStr">
        <is>
          <t>Opened 4.6 yrs after this filing, under a later draft; IPO as CSB Bank in 2019 (&gt;3 yrs after 2015 DRHP); Rs409.68cr @Rs195</t>
        </is>
      </c>
      <c r="AB1325" s="18" t="inlineStr">
        <is>
          <t>https://www.chittorgarh.com/ipo/csb-bank-ipo/1021/</t>
        </is>
      </c>
    </row>
    <row r="1326" ht="15" customHeight="1" s="12">
      <c r="A1326" s="14" t="n">
        <v>1325</v>
      </c>
      <c r="B1326" s="16" t="n">
        <v>42094</v>
      </c>
      <c r="C1326" s="15" t="n">
        <v>2015</v>
      </c>
      <c r="D1326" s="15" t="inlineStr">
        <is>
          <t>Amar Ujala Publications Limited</t>
        </is>
      </c>
      <c r="E1326" s="15" t="inlineStr">
        <is>
          <t>DRHP</t>
        </is>
      </c>
      <c r="F1326" s="15" t="inlineStr">
        <is>
          <t>Amar Ujala Publications Limited</t>
        </is>
      </c>
      <c r="G1326" s="15" t="inlineStr">
        <is>
          <t>No launched IPO found</t>
        </is>
      </c>
      <c r="H1326" s="15" t="n"/>
      <c r="I1326" s="16" t="n"/>
      <c r="J1326" s="16" t="n"/>
      <c r="K1326" s="16" t="n"/>
      <c r="L1326" s="17" t="n"/>
      <c r="M1326" s="17" t="n"/>
      <c r="N1326" s="17" t="n"/>
      <c r="O1326" s="15" t="n"/>
      <c r="P1326" s="15" t="n"/>
      <c r="Q1326" s="18" t="inlineStr">
        <is>
          <t>https://www.sebi.gov.in/sebi_data/attachdocs/1427781195107.pdf</t>
        </is>
      </c>
      <c r="R1326" s="18" t="inlineStr">
        <is>
          <t>https://www.sebi.gov.in/filings/public-issues/mar-2015/amar-ujala-publications-limited_29486.html</t>
        </is>
      </c>
      <c r="S1326" s="15" t="n"/>
      <c r="T1326" s="15" t="n"/>
      <c r="U1326" s="15" t="n"/>
      <c r="V1326" s="15" t="n"/>
      <c r="W1326" s="16" t="n"/>
      <c r="X1326" s="16" t="n"/>
      <c r="Y1326" s="16" t="n"/>
      <c r="Z1326" s="15" t="inlineStr">
        <is>
          <t>Withdrawn / approval lapsed</t>
        </is>
      </c>
      <c r="AA1326" s="15" t="inlineStr">
        <is>
          <t>SEBI observations Jun 3 2015 for Rs50cr IPO; issue never launched, company still unlisted (lapse inferred)</t>
        </is>
      </c>
      <c r="AB1326" s="18" t="inlineStr">
        <is>
          <t>https://ipocentral.in/amar-ujala-publications-gets-sebi-nod-for-ipo/</t>
        </is>
      </c>
    </row>
    <row r="1327" ht="15" customHeight="1" s="12">
      <c r="A1327" s="14" t="n">
        <v>1326</v>
      </c>
      <c r="B1327" s="16" t="n">
        <v>42093</v>
      </c>
      <c r="C1327" s="15" t="n">
        <v>2015</v>
      </c>
      <c r="D1327" s="15" t="inlineStr">
        <is>
          <t>Pennar Engineered Building Systems Limited</t>
        </is>
      </c>
      <c r="E1327" s="15" t="inlineStr">
        <is>
          <t>DRHP</t>
        </is>
      </c>
      <c r="F1327" s="15" t="inlineStr">
        <is>
          <t>Pennar Engineered Building Systems Limited</t>
        </is>
      </c>
      <c r="G1327" s="15" t="inlineStr">
        <is>
          <t>IPO launched</t>
        </is>
      </c>
      <c r="H1327" s="15" t="inlineStr">
        <is>
          <t>Mainboard</t>
        </is>
      </c>
      <c r="I1327" s="16" t="n">
        <v>42241</v>
      </c>
      <c r="J1327" s="16" t="n">
        <v>42243</v>
      </c>
      <c r="K1327" s="16" t="n">
        <v>42257</v>
      </c>
      <c r="L1327" s="17" t="n">
        <v>156.19</v>
      </c>
      <c r="M1327" s="17" t="n">
        <v>156.19</v>
      </c>
      <c r="N1327" s="17" t="n">
        <v>0</v>
      </c>
      <c r="O1327" s="15" t="inlineStr">
        <is>
          <t>Final issue (ipoplatform)</t>
        </is>
      </c>
      <c r="P1327" s="15" t="n"/>
      <c r="Q1327" s="18" t="inlineStr">
        <is>
          <t>https://www.sebi.gov.in/sebi_data/attachdocs/1427701205509.pdf</t>
        </is>
      </c>
      <c r="R1327" s="18" t="inlineStr">
        <is>
          <t>https://www.sebi.gov.in/filings/public-issues/mar-2015/pennar-engineered-building-systems-limited_29469.html</t>
        </is>
      </c>
      <c r="S1327" s="15" t="n"/>
      <c r="T1327" s="15" t="inlineStr">
        <is>
          <t>SEBI filing link</t>
        </is>
      </c>
      <c r="U1327" s="15" t="inlineStr">
        <is>
          <t>Pennar Engineered Building Systems Limited</t>
        </is>
      </c>
      <c r="V1327" s="15" t="n"/>
      <c r="W1327" s="15" t="n"/>
      <c r="X1327" s="15" t="n"/>
      <c r="Y1327" s="15" t="n"/>
      <c r="Z1327" s="15" t="n"/>
      <c r="AA1327" s="15" t="n"/>
      <c r="AB1327" s="15" t="n"/>
    </row>
    <row r="1328" ht="15" customHeight="1" s="12">
      <c r="A1328" s="14" t="n">
        <v>1327</v>
      </c>
      <c r="B1328" s="16" t="n">
        <v>42089</v>
      </c>
      <c r="C1328" s="15" t="n">
        <v>2015</v>
      </c>
      <c r="D1328" s="15" t="inlineStr">
        <is>
          <t>S H Kelkar and Company Limited</t>
        </is>
      </c>
      <c r="E1328" s="15" t="inlineStr">
        <is>
          <t>DRHP</t>
        </is>
      </c>
      <c r="F1328" s="15" t="inlineStr">
        <is>
          <t>S H Kelkar and Company Limited</t>
        </is>
      </c>
      <c r="G1328" s="15" t="inlineStr">
        <is>
          <t>IPO launched</t>
        </is>
      </c>
      <c r="H1328" s="15" t="inlineStr">
        <is>
          <t>Mainboard</t>
        </is>
      </c>
      <c r="I1328" s="16" t="n">
        <v>42305</v>
      </c>
      <c r="J1328" s="16" t="n">
        <v>42307</v>
      </c>
      <c r="K1328" s="16" t="n">
        <v>42324</v>
      </c>
      <c r="L1328" s="17" t="n">
        <v>508.17</v>
      </c>
      <c r="M1328" s="17" t="n">
        <v>508.17</v>
      </c>
      <c r="N1328" s="17" t="n">
        <v>0</v>
      </c>
      <c r="O1328" s="15" t="inlineStr">
        <is>
          <t>Final issue (ipoplatform)</t>
        </is>
      </c>
      <c r="P1328" s="15" t="n"/>
      <c r="Q1328" s="18" t="inlineStr">
        <is>
          <t>https://www.sebi.gov.in/sebi_data/attachdocs/1427358944543.pdf</t>
        </is>
      </c>
      <c r="R1328" s="18" t="inlineStr">
        <is>
          <t>https://www.sebi.gov.in/filings/public-issues/mar-2015/s-h-kelkar-and-company-limited_29445.html</t>
        </is>
      </c>
      <c r="S1328" s="15" t="n"/>
      <c r="T1328" s="15" t="inlineStr">
        <is>
          <t>SEBI filing link</t>
        </is>
      </c>
      <c r="U1328" s="15" t="inlineStr">
        <is>
          <t>S H Kelkar &amp; Company Limited</t>
        </is>
      </c>
      <c r="V1328" s="15" t="n"/>
      <c r="W1328" s="15" t="n"/>
      <c r="X1328" s="15" t="n"/>
      <c r="Y1328" s="15" t="n"/>
      <c r="Z1328" s="15" t="n"/>
      <c r="AA1328" s="15" t="n"/>
      <c r="AB1328" s="15" t="n"/>
    </row>
    <row r="1329" ht="15" customHeight="1" s="12">
      <c r="A1329" s="14" t="n">
        <v>1328</v>
      </c>
      <c r="B1329" s="16" t="n">
        <v>42088</v>
      </c>
      <c r="C1329" s="15" t="n">
        <v>2015</v>
      </c>
      <c r="D1329" s="15" t="inlineStr">
        <is>
          <t>AGS Transact Technologies Limited</t>
        </is>
      </c>
      <c r="E1329" s="15" t="inlineStr">
        <is>
          <t>DRHP</t>
        </is>
      </c>
      <c r="F1329" s="15" t="inlineStr">
        <is>
          <t>AGS Transact Technologies Limited</t>
        </is>
      </c>
      <c r="G1329" s="15" t="inlineStr">
        <is>
          <t>No launched IPO found</t>
        </is>
      </c>
      <c r="H1329" s="15" t="n"/>
      <c r="I1329" s="16" t="n"/>
      <c r="J1329" s="16" t="n"/>
      <c r="K1329" s="16" t="n"/>
      <c r="L1329" s="17" t="n"/>
      <c r="M1329" s="17" t="n"/>
      <c r="N1329" s="17" t="n"/>
      <c r="O1329" s="15" t="n"/>
      <c r="P1329" s="15" t="n"/>
      <c r="Q1329" s="18" t="inlineStr">
        <is>
          <t>https://www.sebi.gov.in/sebi_data/attachdocs/1427262791052.pdf</t>
        </is>
      </c>
      <c r="R1329" s="18" t="inlineStr">
        <is>
          <t>https://www.sebi.gov.in/filings/public-issues/mar-2015/ags-transact-technologies-limited_29429.html</t>
        </is>
      </c>
      <c r="S1329" s="15" t="n"/>
      <c r="T1329" s="15" t="n"/>
      <c r="U1329" s="15" t="n"/>
      <c r="V1329" s="15" t="inlineStr">
        <is>
          <t>Same-name IPO opened 19-Jan-2022 — outside 2 years of this filing, so not linked</t>
        </is>
      </c>
      <c r="W1329" s="25" t="n">
        <v>44580</v>
      </c>
      <c r="X1329" s="25" t="n">
        <v>44582</v>
      </c>
      <c r="Y1329" s="25" t="n">
        <v>44592</v>
      </c>
      <c r="Z1329" s="26" t="inlineStr">
        <is>
          <t>Later IPO — not from this draft</t>
        </is>
      </c>
      <c r="AA1329" s="15" t="inlineStr">
        <is>
          <t>IPO opened over 3 years after last_filed (2015); later listing, likely fresh DRHP.</t>
        </is>
      </c>
      <c r="AB1329" s="18" t="inlineStr">
        <is>
          <t>https://www.chittorgarh.com/ipo/ags-transact-ipo/1209/</t>
        </is>
      </c>
    </row>
    <row r="1330" ht="15" customHeight="1" s="12">
      <c r="A1330" s="14" t="n">
        <v>1329</v>
      </c>
      <c r="B1330" s="16" t="n">
        <v>42079</v>
      </c>
      <c r="C1330" s="15" t="n">
        <v>2015</v>
      </c>
      <c r="D1330" s="15" t="inlineStr">
        <is>
          <t>SSIPL Retail Limited</t>
        </is>
      </c>
      <c r="E1330" s="15" t="inlineStr">
        <is>
          <t>DRHP</t>
        </is>
      </c>
      <c r="F1330" s="15" t="inlineStr">
        <is>
          <t>SSIPL Retail Limited</t>
        </is>
      </c>
      <c r="G1330" s="15" t="inlineStr">
        <is>
          <t>No launched IPO found</t>
        </is>
      </c>
      <c r="H1330" s="15" t="n"/>
      <c r="I1330" s="16" t="n"/>
      <c r="J1330" s="16" t="n"/>
      <c r="K1330" s="16" t="n"/>
      <c r="L1330" s="17" t="n"/>
      <c r="M1330" s="17" t="n"/>
      <c r="N1330" s="17" t="n"/>
      <c r="O1330" s="15" t="n"/>
      <c r="P1330" s="15" t="n"/>
      <c r="Q1330" s="18" t="inlineStr">
        <is>
          <t>https://www.sebi.gov.in/sebi_data/attachdocs/1426594177338.pdf</t>
        </is>
      </c>
      <c r="R1330" s="18" t="inlineStr">
        <is>
          <t>https://www.sebi.gov.in/filings/public-issues/mar-2015/ssipl-retail-limited_29309.html</t>
        </is>
      </c>
      <c r="S1330" s="15" t="n"/>
      <c r="T1330" s="15" t="n"/>
      <c r="U1330" s="15" t="n"/>
      <c r="V1330" s="15" t="n"/>
      <c r="W1330" s="16" t="n"/>
      <c r="X1330" s="16" t="n"/>
      <c r="Y1330" s="16" t="n"/>
      <c r="Z1330" s="15" t="inlineStr">
        <is>
          <t>No issue found</t>
        </is>
      </c>
      <c r="AA1330" s="15" t="inlineStr">
        <is>
          <t>Business Standard lists the company but shows no issue dates; web search limit reached</t>
        </is>
      </c>
      <c r="AB1330" s="18" t="inlineStr">
        <is>
          <t>https://www.business-standard.com/markets/ipo/ssipl-retail-ltd-ipo-35618</t>
        </is>
      </c>
    </row>
    <row r="1331" ht="15" customHeight="1" s="12">
      <c r="A1331" s="14" t="n">
        <v>1330</v>
      </c>
      <c r="B1331" s="16" t="n">
        <v>42075</v>
      </c>
      <c r="C1331" s="15" t="n">
        <v>2015</v>
      </c>
      <c r="D1331" s="15" t="inlineStr">
        <is>
          <t>Precision Camshafts Limited</t>
        </is>
      </c>
      <c r="E1331" s="15" t="inlineStr">
        <is>
          <t>DRHP</t>
        </is>
      </c>
      <c r="F1331" s="15" t="inlineStr">
        <is>
          <t>Precision Camshafts Limited</t>
        </is>
      </c>
      <c r="G1331" s="15" t="inlineStr">
        <is>
          <t>IPO launched</t>
        </is>
      </c>
      <c r="H1331" s="15" t="inlineStr">
        <is>
          <t>Mainboard</t>
        </is>
      </c>
      <c r="I1331" s="16" t="n">
        <v>42396</v>
      </c>
      <c r="J1331" s="16" t="n">
        <v>42398</v>
      </c>
      <c r="K1331" s="16" t="n">
        <v>42408</v>
      </c>
      <c r="L1331" s="17" t="n">
        <v>410</v>
      </c>
      <c r="M1331" s="17" t="n">
        <v>410</v>
      </c>
      <c r="N1331" s="17" t="n">
        <v>0</v>
      </c>
      <c r="O1331" s="15" t="inlineStr">
        <is>
          <t>Final issue (ipoplatform)</t>
        </is>
      </c>
      <c r="P1331" s="15" t="n"/>
      <c r="Q1331" s="18" t="inlineStr">
        <is>
          <t>https://www.sebi.gov.in/sebi_data/attachdocs/1426145620337.pdf</t>
        </is>
      </c>
      <c r="R1331" s="18" t="inlineStr">
        <is>
          <t>https://www.sebi.gov.in/filings/public-issues/mar-2015/precision-camshafts-limited_29264.html</t>
        </is>
      </c>
      <c r="S1331" s="15" t="n"/>
      <c r="T1331" s="15" t="inlineStr">
        <is>
          <t>SEBI filing link</t>
        </is>
      </c>
      <c r="U1331" s="15" t="inlineStr">
        <is>
          <t>Precision Camshafts Limited</t>
        </is>
      </c>
      <c r="V1331" s="15" t="n"/>
      <c r="W1331" s="15" t="n"/>
      <c r="X1331" s="15" t="n"/>
      <c r="Y1331" s="15" t="n"/>
      <c r="Z1331" s="15" t="n"/>
      <c r="AA1331" s="15" t="n"/>
      <c r="AB1331" s="15" t="n"/>
    </row>
    <row r="1332" ht="15" customHeight="1" s="12">
      <c r="A1332" s="14" t="n">
        <v>1331</v>
      </c>
      <c r="B1332" s="16" t="n">
        <v>42058</v>
      </c>
      <c r="C1332" s="15" t="n">
        <v>2015</v>
      </c>
      <c r="D1332" s="15" t="inlineStr">
        <is>
          <t>Shree Shubham Logistics Limited</t>
        </is>
      </c>
      <c r="E1332" s="15" t="inlineStr">
        <is>
          <t>DRHP</t>
        </is>
      </c>
      <c r="F1332" s="15" t="inlineStr">
        <is>
          <t>Shree Shubham Logistics Limited</t>
        </is>
      </c>
      <c r="G1332" s="15" t="inlineStr">
        <is>
          <t>No launched IPO found</t>
        </is>
      </c>
      <c r="H1332" s="15" t="n"/>
      <c r="I1332" s="16" t="n"/>
      <c r="J1332" s="16" t="n"/>
      <c r="K1332" s="16" t="n"/>
      <c r="L1332" s="17" t="n"/>
      <c r="M1332" s="17" t="n"/>
      <c r="N1332" s="17" t="n"/>
      <c r="O1332" s="15" t="n"/>
      <c r="P1332" s="15" t="n"/>
      <c r="Q1332" s="18" t="inlineStr">
        <is>
          <t>https://www.sebi.gov.in/sebi_data/attachdocs/1424672870172.pdf</t>
        </is>
      </c>
      <c r="R1332" s="18" t="inlineStr">
        <is>
          <t>https://www.sebi.gov.in/filings/public-issues/feb-2015/shree-shubham-logistics-limited_29082.html</t>
        </is>
      </c>
      <c r="S1332" s="15" t="n"/>
      <c r="T1332" s="15" t="n"/>
      <c r="U1332" s="15" t="n"/>
      <c r="V1332" s="15" t="n"/>
      <c r="W1332" s="16" t="n"/>
      <c r="X1332" s="16" t="n"/>
      <c r="Y1332" s="16" t="n"/>
      <c r="Z1332" s="15" t="inlineStr">
        <is>
          <t>No issue found</t>
        </is>
      </c>
      <c r="AA1332" s="15" t="inlineStr">
        <is>
          <t>Business Standard lists the company but shows no issue dates; web search limit reached</t>
        </is>
      </c>
      <c r="AB1332" s="18" t="inlineStr">
        <is>
          <t>https://www.business-standard.com/markets/ipo/shree-shubham-logistics-ltd-ipo-39134</t>
        </is>
      </c>
    </row>
    <row r="1333" ht="15" customHeight="1" s="12">
      <c r="A1333" s="14" t="n">
        <v>1332</v>
      </c>
      <c r="B1333" s="16" t="n">
        <v>41995</v>
      </c>
      <c r="C1333" s="15" t="n">
        <v>2014</v>
      </c>
      <c r="D1333" s="15" t="inlineStr">
        <is>
          <t>UFO Moviez India Limited</t>
        </is>
      </c>
      <c r="E1333" s="15" t="inlineStr">
        <is>
          <t>DRHP</t>
        </is>
      </c>
      <c r="F1333" s="15" t="inlineStr">
        <is>
          <t>UFO Moviez India Limited</t>
        </is>
      </c>
      <c r="G1333" s="15" t="inlineStr">
        <is>
          <t>IPO launched</t>
        </is>
      </c>
      <c r="H1333" s="15" t="inlineStr">
        <is>
          <t>Mainboard</t>
        </is>
      </c>
      <c r="I1333" s="16" t="n">
        <v>42122</v>
      </c>
      <c r="J1333" s="16" t="n">
        <v>42124</v>
      </c>
      <c r="K1333" s="16" t="n">
        <v>42138</v>
      </c>
      <c r="L1333" s="17" t="n">
        <v>600</v>
      </c>
      <c r="M1333" s="17" t="n">
        <v>600</v>
      </c>
      <c r="N1333" s="17" t="n">
        <v>0</v>
      </c>
      <c r="O1333" s="15" t="inlineStr">
        <is>
          <t>Final issue (ipoplatform)</t>
        </is>
      </c>
      <c r="P1333" s="15" t="n"/>
      <c r="Q1333" s="18" t="inlineStr">
        <is>
          <t>https://www.sebi.gov.in/sebi_data/attachdocs/1419220339596.pdf</t>
        </is>
      </c>
      <c r="R1333" s="18" t="inlineStr">
        <is>
          <t>https://www.sebi.gov.in/filings/public-issues/dec-2014/ufo-moviez-india-limited_28718.html</t>
        </is>
      </c>
      <c r="S1333" s="15" t="n"/>
      <c r="T1333" s="15" t="inlineStr">
        <is>
          <t>SEBI filing link</t>
        </is>
      </c>
      <c r="U1333" s="15" t="inlineStr">
        <is>
          <t>UFO Moviez Limited</t>
        </is>
      </c>
      <c r="V1333" s="15" t="n"/>
      <c r="W1333" s="15" t="n"/>
      <c r="X1333" s="15" t="n"/>
      <c r="Y1333" s="15" t="n"/>
      <c r="Z1333" s="15" t="n"/>
      <c r="AA1333" s="15" t="n"/>
      <c r="AB1333" s="15" t="n"/>
    </row>
    <row r="1334" ht="15" customHeight="1" s="12">
      <c r="A1334" s="14" t="n">
        <v>1333</v>
      </c>
      <c r="B1334" s="16" t="n">
        <v>41995</v>
      </c>
      <c r="C1334" s="15" t="n">
        <v>2014</v>
      </c>
      <c r="D1334" s="15" t="inlineStr">
        <is>
          <t>VRL Logistics Limited</t>
        </is>
      </c>
      <c r="E1334" s="15" t="inlineStr">
        <is>
          <t>DRHP</t>
        </is>
      </c>
      <c r="F1334" s="15" t="inlineStr">
        <is>
          <t>VRL Logistics Limited</t>
        </is>
      </c>
      <c r="G1334" s="15" t="inlineStr">
        <is>
          <t>IPO launched</t>
        </is>
      </c>
      <c r="H1334" s="15" t="inlineStr">
        <is>
          <t>Mainboard</t>
        </is>
      </c>
      <c r="I1334" s="16" t="n">
        <v>42109</v>
      </c>
      <c r="J1334" s="16" t="n">
        <v>42111</v>
      </c>
      <c r="K1334" s="16" t="n">
        <v>42124</v>
      </c>
      <c r="L1334" s="17" t="n">
        <v>473.88</v>
      </c>
      <c r="M1334" s="17" t="n">
        <v>473.88</v>
      </c>
      <c r="N1334" s="17" t="n">
        <v>0</v>
      </c>
      <c r="O1334" s="15" t="inlineStr">
        <is>
          <t>Final issue (ipoplatform)</t>
        </is>
      </c>
      <c r="P1334" s="15" t="n"/>
      <c r="Q1334" s="18" t="inlineStr">
        <is>
          <t>https://www.sebi.gov.in/sebi_data/attachdocs/1419220116463.pdf</t>
        </is>
      </c>
      <c r="R1334" s="18" t="inlineStr">
        <is>
          <t>https://www.sebi.gov.in/filings/public-issues/dec-2014/vrl-logistics-limited_28717.html</t>
        </is>
      </c>
      <c r="S1334" s="15" t="n"/>
      <c r="T1334" s="15" t="inlineStr">
        <is>
          <t>SEBI filing link</t>
        </is>
      </c>
      <c r="U1334" s="15" t="inlineStr">
        <is>
          <t>VRL Logistics Limited</t>
        </is>
      </c>
      <c r="V1334" s="15" t="n"/>
      <c r="W1334" s="15" t="n"/>
      <c r="X1334" s="15" t="n"/>
      <c r="Y1334" s="15" t="n"/>
      <c r="Z1334" s="15" t="n"/>
      <c r="AA1334" s="15" t="n"/>
      <c r="AB1334" s="15" t="n"/>
    </row>
    <row r="1335" ht="15" customHeight="1" s="12">
      <c r="A1335" s="14" t="n">
        <v>1334</v>
      </c>
      <c r="B1335" s="16" t="n">
        <v>41978</v>
      </c>
      <c r="C1335" s="15" t="n">
        <v>2014</v>
      </c>
      <c r="D1335" s="15" t="inlineStr">
        <is>
          <t>Sadbhav Infrastructure Project Limited</t>
        </is>
      </c>
      <c r="E1335" s="15" t="inlineStr">
        <is>
          <t>DRHP</t>
        </is>
      </c>
      <c r="F1335" s="15" t="inlineStr">
        <is>
          <t>Sadbhav Infrastructure Project Limited</t>
        </is>
      </c>
      <c r="G1335" s="15" t="inlineStr">
        <is>
          <t>IPO launched</t>
        </is>
      </c>
      <c r="H1335" s="15" t="inlineStr">
        <is>
          <t>Mainboard</t>
        </is>
      </c>
      <c r="I1335" s="16" t="n">
        <v>42247</v>
      </c>
      <c r="J1335" s="16" t="n">
        <v>42249</v>
      </c>
      <c r="K1335" s="16" t="n">
        <v>42263</v>
      </c>
      <c r="L1335" s="17" t="n">
        <v>491.66</v>
      </c>
      <c r="M1335" s="17" t="n">
        <v>491.66</v>
      </c>
      <c r="N1335" s="17" t="n">
        <v>0</v>
      </c>
      <c r="O1335" s="15" t="inlineStr">
        <is>
          <t>Final issue (ipoplatform)</t>
        </is>
      </c>
      <c r="P1335" s="15" t="n"/>
      <c r="Q1335" s="18" t="inlineStr">
        <is>
          <t>https://www.sebi.gov.in/sebi_data/attachdocs/1417758499107.pdf</t>
        </is>
      </c>
      <c r="R1335" s="18" t="inlineStr">
        <is>
          <t>https://www.sebi.gov.in/filings/public-issues/dec-2014/sadbhav-infrastructure-project-limited_28531.html</t>
        </is>
      </c>
      <c r="S1335" s="15" t="n"/>
      <c r="T1335" s="15" t="inlineStr">
        <is>
          <t>Company name + date window</t>
        </is>
      </c>
      <c r="U1335" s="15" t="inlineStr">
        <is>
          <t>Sadbhav Infrastructure Project Limited</t>
        </is>
      </c>
      <c r="V1335" s="15" t="n"/>
      <c r="W1335" s="15" t="n"/>
      <c r="X1335" s="15" t="n"/>
      <c r="Y1335" s="15" t="n"/>
      <c r="Z1335" s="15" t="n"/>
      <c r="AA1335" s="15" t="n"/>
      <c r="AB1335" s="15" t="n"/>
    </row>
    <row r="1336" ht="15" customHeight="1" s="12">
      <c r="A1336" s="14" t="n">
        <v>1335</v>
      </c>
      <c r="B1336" s="16" t="n">
        <v>41969</v>
      </c>
      <c r="C1336" s="15" t="n">
        <v>2014</v>
      </c>
      <c r="D1336" s="15" t="inlineStr">
        <is>
          <t>Manpasand Beverages Limited</t>
        </is>
      </c>
      <c r="E1336" s="15" t="inlineStr">
        <is>
          <t>DRHP</t>
        </is>
      </c>
      <c r="F1336" s="15" t="inlineStr">
        <is>
          <t>Manpasand Beverages Limited</t>
        </is>
      </c>
      <c r="G1336" s="15" t="inlineStr">
        <is>
          <t>IPO launched</t>
        </is>
      </c>
      <c r="H1336" s="15" t="inlineStr">
        <is>
          <t>Mainboard</t>
        </is>
      </c>
      <c r="I1336" s="16" t="n">
        <v>42179</v>
      </c>
      <c r="J1336" s="16" t="n">
        <v>42181</v>
      </c>
      <c r="K1336" s="16" t="n">
        <v>42194</v>
      </c>
      <c r="L1336" s="17" t="n">
        <v>400</v>
      </c>
      <c r="M1336" s="17" t="n">
        <v>400</v>
      </c>
      <c r="N1336" s="17" t="n">
        <v>0</v>
      </c>
      <c r="O1336" s="15" t="inlineStr">
        <is>
          <t>Final issue (ipoplatform)</t>
        </is>
      </c>
      <c r="P1336" s="15" t="n"/>
      <c r="Q1336" s="18" t="inlineStr">
        <is>
          <t>https://www.sebi.gov.in/sebi_data/attachdocs/1416998361433.pdf</t>
        </is>
      </c>
      <c r="R1336" s="18" t="inlineStr">
        <is>
          <t>https://www.sebi.gov.in/filings/public-issues/nov-2014/manpasand-beverages-limited_28454.html</t>
        </is>
      </c>
      <c r="S1336" s="15" t="n"/>
      <c r="T1336" s="15" t="inlineStr">
        <is>
          <t>SEBI filing link</t>
        </is>
      </c>
      <c r="U1336" s="15" t="inlineStr">
        <is>
          <t>Manpasand Beverages Limited</t>
        </is>
      </c>
      <c r="V1336" s="15" t="n"/>
      <c r="W1336" s="15" t="n"/>
      <c r="X1336" s="15" t="n"/>
      <c r="Y1336" s="15" t="n"/>
      <c r="Z1336" s="15" t="n"/>
      <c r="AA1336" s="15" t="n"/>
      <c r="AB1336" s="15" t="n"/>
    </row>
    <row r="1337" ht="15" customHeight="1" s="12">
      <c r="A1337" s="14" t="n">
        <v>1336</v>
      </c>
      <c r="B1337" s="16" t="n">
        <v>41943</v>
      </c>
      <c r="C1337" s="15" t="n">
        <v>2014</v>
      </c>
      <c r="D1337" s="15" t="inlineStr">
        <is>
          <t>Power Mech Projects Limited</t>
        </is>
      </c>
      <c r="E1337" s="15" t="inlineStr">
        <is>
          <t>DRHP</t>
        </is>
      </c>
      <c r="F1337" s="15" t="inlineStr">
        <is>
          <t>Power Mech Projects Limited</t>
        </is>
      </c>
      <c r="G1337" s="15" t="inlineStr">
        <is>
          <t>IPO launched</t>
        </is>
      </c>
      <c r="H1337" s="15" t="inlineStr">
        <is>
          <t>Mainboard</t>
        </is>
      </c>
      <c r="I1337" s="16" t="n">
        <v>42223</v>
      </c>
      <c r="J1337" s="16" t="n">
        <v>42227</v>
      </c>
      <c r="K1337" s="16" t="n">
        <v>42242</v>
      </c>
      <c r="L1337" s="17" t="n">
        <v>273.22</v>
      </c>
      <c r="M1337" s="17" t="n">
        <v>273.22</v>
      </c>
      <c r="N1337" s="17" t="n">
        <v>0</v>
      </c>
      <c r="O1337" s="15" t="inlineStr">
        <is>
          <t>Final issue (ipoplatform)</t>
        </is>
      </c>
      <c r="P1337" s="15" t="n"/>
      <c r="Q1337" s="18" t="inlineStr">
        <is>
          <t>https://www.sebi.gov.in/sebi_data/attachdocs/1414740811470.pdf</t>
        </is>
      </c>
      <c r="R1337" s="18" t="inlineStr">
        <is>
          <t>https://www.sebi.gov.in/filings/public-issues/oct-2014/power-mech-projects-limited_28310.html</t>
        </is>
      </c>
      <c r="S1337" s="15" t="n"/>
      <c r="T1337" s="15" t="inlineStr">
        <is>
          <t>Company name + date window</t>
        </is>
      </c>
      <c r="U1337" s="15" t="inlineStr">
        <is>
          <t>Power Mech Projects Limited</t>
        </is>
      </c>
      <c r="V1337" s="15" t="n"/>
      <c r="W1337" s="15" t="n"/>
      <c r="X1337" s="15" t="n"/>
      <c r="Y1337" s="15" t="n"/>
      <c r="Z1337" s="15" t="n"/>
      <c r="AA1337" s="15" t="n"/>
      <c r="AB1337" s="15" t="n"/>
    </row>
    <row r="1338" ht="15" customHeight="1" s="12">
      <c r="A1338" s="14" t="n">
        <v>1337</v>
      </c>
      <c r="B1338" s="16" t="n">
        <v>41932</v>
      </c>
      <c r="C1338" s="15" t="n">
        <v>2014</v>
      </c>
      <c r="D1338" s="15" t="inlineStr">
        <is>
          <t>SMC Global Securities Limited</t>
        </is>
      </c>
      <c r="E1338" s="15" t="inlineStr">
        <is>
          <t>DRHP</t>
        </is>
      </c>
      <c r="F1338" s="15" t="inlineStr">
        <is>
          <t>SMC Global Securities Limited</t>
        </is>
      </c>
      <c r="G1338" s="15" t="inlineStr">
        <is>
          <t>No launched IPO found</t>
        </is>
      </c>
      <c r="H1338" s="15" t="n"/>
      <c r="I1338" s="16" t="n"/>
      <c r="J1338" s="16" t="n"/>
      <c r="K1338" s="16" t="n"/>
      <c r="L1338" s="17" t="n"/>
      <c r="M1338" s="17" t="n"/>
      <c r="N1338" s="17" t="n"/>
      <c r="O1338" s="15" t="n"/>
      <c r="P1338" s="15" t="n"/>
      <c r="Q1338" s="18" t="inlineStr">
        <is>
          <t>https://www.sebi.gov.in/sebi_data/attachdocs/1413862263083.pdf</t>
        </is>
      </c>
      <c r="R1338" s="18" t="inlineStr">
        <is>
          <t>https://www.sebi.gov.in/filings/public-issues/oct-2014/smc-global-securities-limited_28239.html</t>
        </is>
      </c>
      <c r="S1338" s="15" t="n"/>
      <c r="T1338" s="15" t="n"/>
      <c r="U1338" s="15" t="n"/>
      <c r="V1338" s="15" t="n"/>
      <c r="W1338" s="16" t="n"/>
      <c r="X1338" s="16" t="n"/>
      <c r="Y1338" s="16" t="n"/>
      <c r="Z1338" s="15" t="inlineStr">
        <is>
          <t>No issue found</t>
        </is>
      </c>
      <c r="AA1338" s="15" t="inlineStr">
        <is>
          <t>Business Standard lists the company but shows no issue dates; web search limit reached</t>
        </is>
      </c>
      <c r="AB1338" s="18" t="inlineStr">
        <is>
          <t>https://www.business-standard.com/markets/ipo/smc-global-securities-ltd-ipo-6691</t>
        </is>
      </c>
    </row>
    <row r="1339" ht="15" customHeight="1" s="12">
      <c r="A1339" s="14" t="n">
        <v>1338</v>
      </c>
      <c r="B1339" s="16" t="n">
        <v>41913</v>
      </c>
      <c r="C1339" s="15" t="n">
        <v>2014</v>
      </c>
      <c r="D1339" s="15" t="inlineStr">
        <is>
          <t>ACB (India) Limited</t>
        </is>
      </c>
      <c r="E1339" s="15" t="inlineStr">
        <is>
          <t>DRHP</t>
        </is>
      </c>
      <c r="F1339" s="15" t="inlineStr">
        <is>
          <t>ACB (India) Limited</t>
        </is>
      </c>
      <c r="G1339" s="15" t="inlineStr">
        <is>
          <t>No launched IPO found</t>
        </is>
      </c>
      <c r="H1339" s="15" t="n"/>
      <c r="I1339" s="16" t="n"/>
      <c r="J1339" s="16" t="n"/>
      <c r="K1339" s="16" t="n"/>
      <c r="L1339" s="17" t="n"/>
      <c r="M1339" s="17" t="n"/>
      <c r="N1339" s="17" t="n"/>
      <c r="O1339" s="15" t="n"/>
      <c r="P1339" s="15" t="n"/>
      <c r="Q1339" s="18" t="inlineStr">
        <is>
          <t>https://www.sebi.gov.in/sebi_data/attachdocs/1412159456778.pdf</t>
        </is>
      </c>
      <c r="R1339" s="18" t="inlineStr">
        <is>
          <t>https://www.sebi.gov.in/filings/public-issues/oct-2014/acb-india-limited_28143.html</t>
        </is>
      </c>
      <c r="S1339" s="15" t="n"/>
      <c r="T1339" s="15" t="n"/>
      <c r="U1339" s="15" t="n"/>
      <c r="V1339" s="15" t="n"/>
      <c r="W1339" s="16" t="n"/>
      <c r="X1339" s="16" t="n"/>
      <c r="Y1339" s="16" t="n"/>
      <c r="Z1339" s="15" t="inlineStr">
        <is>
          <t>No issue found</t>
        </is>
      </c>
      <c r="AA1339" s="15" t="inlineStr">
        <is>
          <t>Business Standard lists the company but shows no issue dates; web search limit reached</t>
        </is>
      </c>
      <c r="AB1339" s="18" t="inlineStr">
        <is>
          <t>https://www.business-standard.com/markets/ipo/acb-india-ltd-ipo-34883</t>
        </is>
      </c>
    </row>
    <row r="1340" ht="15" customHeight="1" s="12">
      <c r="A1340" s="14" t="n">
        <v>1339</v>
      </c>
      <c r="B1340" s="16" t="n">
        <v>41912</v>
      </c>
      <c r="C1340" s="15" t="n">
        <v>2014</v>
      </c>
      <c r="D1340" s="15" t="inlineStr">
        <is>
          <t>CL Educate Limited</t>
        </is>
      </c>
      <c r="E1340" s="15" t="inlineStr">
        <is>
          <t>DRHP</t>
        </is>
      </c>
      <c r="F1340" s="15" t="inlineStr">
        <is>
          <t>CL Educate Limited</t>
        </is>
      </c>
      <c r="G1340" s="15" t="inlineStr">
        <is>
          <t>No launched IPO found</t>
        </is>
      </c>
      <c r="H1340" s="15" t="n"/>
      <c r="I1340" s="16" t="n"/>
      <c r="J1340" s="16" t="n"/>
      <c r="K1340" s="16" t="n"/>
      <c r="L1340" s="17" t="n"/>
      <c r="M1340" s="17" t="n"/>
      <c r="N1340" s="17" t="n"/>
      <c r="O1340" s="15" t="n"/>
      <c r="P1340" s="15" t="n"/>
      <c r="Q1340" s="18" t="inlineStr">
        <is>
          <t>https://www.sebi.gov.in/sebi_data/attachdocs/1412048554638.pdf</t>
        </is>
      </c>
      <c r="R1340" s="18" t="inlineStr">
        <is>
          <t>https://www.sebi.gov.in/filings/public-issues/sep-2014/cl-educate-limited_28114.html</t>
        </is>
      </c>
      <c r="S1340" s="15" t="n"/>
      <c r="T1340" s="15" t="n"/>
      <c r="U1340" s="15" t="n"/>
      <c r="V1340" s="15" t="inlineStr">
        <is>
          <t>Same-name IPO opened 20-Mar-2017 — outside 2 years of this filing, so not linked</t>
        </is>
      </c>
      <c r="W1340" s="19" t="n">
        <v>42814</v>
      </c>
      <c r="X1340" s="19" t="n">
        <v>42816</v>
      </c>
      <c r="Y1340" s="19" t="n">
        <v>42825</v>
      </c>
      <c r="Z1340" s="20" t="inlineStr">
        <is>
          <t>Issue opened</t>
        </is>
      </c>
      <c r="AA1340" s="15" t="inlineStr">
        <is>
          <t>Matched on chittorgarh.com</t>
        </is>
      </c>
      <c r="AB1340" s="18" t="inlineStr">
        <is>
          <t>https://www.chittorgarh.com/ipo/cl-educate-ipo/631/</t>
        </is>
      </c>
    </row>
    <row r="1341" ht="15" customHeight="1" s="12">
      <c r="A1341" s="14" t="n">
        <v>1340</v>
      </c>
      <c r="B1341" s="16" t="n">
        <v>41912</v>
      </c>
      <c r="C1341" s="15" t="n">
        <v>2014</v>
      </c>
      <c r="D1341" s="15" t="inlineStr">
        <is>
          <t>MEP Infrastructure Developers Limited</t>
        </is>
      </c>
      <c r="E1341" s="15" t="inlineStr">
        <is>
          <t>DRHP</t>
        </is>
      </c>
      <c r="F1341" s="15" t="inlineStr">
        <is>
          <t>MEP Infrastructure Developers Limited</t>
        </is>
      </c>
      <c r="G1341" s="15" t="inlineStr">
        <is>
          <t>IPO launched</t>
        </is>
      </c>
      <c r="H1341" s="15" t="inlineStr">
        <is>
          <t>Mainboard</t>
        </is>
      </c>
      <c r="I1341" s="16" t="n">
        <v>42115</v>
      </c>
      <c r="J1341" s="16" t="n">
        <v>42117</v>
      </c>
      <c r="K1341" s="16" t="n">
        <v>42130</v>
      </c>
      <c r="L1341" s="17" t="n">
        <v>324</v>
      </c>
      <c r="M1341" s="17" t="n">
        <v>324</v>
      </c>
      <c r="N1341" s="17" t="n">
        <v>0</v>
      </c>
      <c r="O1341" s="15" t="inlineStr">
        <is>
          <t>Final issue (ipoplatform)</t>
        </is>
      </c>
      <c r="P1341" s="15" t="n"/>
      <c r="Q1341" s="18" t="inlineStr">
        <is>
          <t>https://www.sebi.gov.in/sebi_data/attachdocs/1412069092477.pdf</t>
        </is>
      </c>
      <c r="R1341" s="18" t="inlineStr">
        <is>
          <t>https://www.sebi.gov.in/filings/public-issues/sep-2014/mep-infrastructure-developers-limited_28126.html</t>
        </is>
      </c>
      <c r="S1341" s="15" t="n"/>
      <c r="T1341" s="15" t="inlineStr">
        <is>
          <t>SEBI filing link</t>
        </is>
      </c>
      <c r="U1341" s="15" t="inlineStr">
        <is>
          <t>MEP Infrastructure Developers Limited</t>
        </is>
      </c>
      <c r="V1341" s="15" t="n"/>
      <c r="W1341" s="15" t="n"/>
      <c r="X1341" s="15" t="n"/>
      <c r="Y1341" s="15" t="n"/>
      <c r="Z1341" s="15" t="n"/>
      <c r="AA1341" s="15" t="n"/>
      <c r="AB1341" s="15" t="n"/>
    </row>
    <row r="1342" ht="15" customHeight="1" s="12">
      <c r="A1342" s="14" t="n">
        <v>1341</v>
      </c>
      <c r="B1342" s="16" t="n">
        <v>41912</v>
      </c>
      <c r="C1342" s="15" t="n">
        <v>2014</v>
      </c>
      <c r="D1342" s="15" t="inlineStr">
        <is>
          <t>Shree Pushkar Chemicals &amp; Fertilizers Limited</t>
        </is>
      </c>
      <c r="E1342" s="15" t="inlineStr">
        <is>
          <t>DRHP</t>
        </is>
      </c>
      <c r="F1342" s="15" t="inlineStr">
        <is>
          <t>Shree Pushkar Chemicals &amp; Fertilizers Limited</t>
        </is>
      </c>
      <c r="G1342" s="15" t="inlineStr">
        <is>
          <t>IPO launched</t>
        </is>
      </c>
      <c r="H1342" s="15" t="inlineStr">
        <is>
          <t>Mainboard</t>
        </is>
      </c>
      <c r="I1342" s="16" t="n">
        <v>42241</v>
      </c>
      <c r="J1342" s="16" t="n">
        <v>42243</v>
      </c>
      <c r="K1342" s="16" t="n">
        <v>42257</v>
      </c>
      <c r="L1342" s="17" t="n">
        <v>70</v>
      </c>
      <c r="M1342" s="17" t="n">
        <v>70</v>
      </c>
      <c r="N1342" s="17" t="n">
        <v>0</v>
      </c>
      <c r="O1342" s="15" t="inlineStr">
        <is>
          <t>Final issue (ipoplatform)</t>
        </is>
      </c>
      <c r="P1342" s="15" t="n"/>
      <c r="Q1342" s="18" t="inlineStr">
        <is>
          <t>https://www.sebi.gov.in/sebi_data/attachdocs/1412069211536.pdf</t>
        </is>
      </c>
      <c r="R1342" s="18" t="inlineStr">
        <is>
          <t>https://www.sebi.gov.in/filings/public-issues/sep-2014/shree-pushkar-chemicals-and-fertilizers-limited_28127.html</t>
        </is>
      </c>
      <c r="S1342" s="15" t="n"/>
      <c r="T1342" s="15" t="inlineStr">
        <is>
          <t>SEBI filing link</t>
        </is>
      </c>
      <c r="U1342" s="15" t="inlineStr">
        <is>
          <t>Shree Pushkar Chemicals and Fertilisers Limited</t>
        </is>
      </c>
      <c r="V1342" s="15" t="n"/>
      <c r="W1342" s="15" t="n"/>
      <c r="X1342" s="15" t="n"/>
      <c r="Y1342" s="15" t="n"/>
      <c r="Z1342" s="15" t="n"/>
      <c r="AA1342" s="15" t="n"/>
      <c r="AB1342" s="15" t="n"/>
    </row>
    <row r="1343" ht="15" customHeight="1" s="12">
      <c r="A1343" s="14" t="n">
        <v>1342</v>
      </c>
      <c r="B1343" s="16" t="n">
        <v>41912</v>
      </c>
      <c r="C1343" s="15" t="n">
        <v>2014</v>
      </c>
      <c r="D1343" s="15" t="inlineStr">
        <is>
          <t>Videocon D2H Limited</t>
        </is>
      </c>
      <c r="E1343" s="15" t="inlineStr">
        <is>
          <t>DRHP</t>
        </is>
      </c>
      <c r="F1343" s="15" t="inlineStr">
        <is>
          <t>Videocon D2H Limited</t>
        </is>
      </c>
      <c r="G1343" s="15" t="inlineStr">
        <is>
          <t>No launched IPO found</t>
        </is>
      </c>
      <c r="H1343" s="15" t="n"/>
      <c r="I1343" s="16" t="n"/>
      <c r="J1343" s="16" t="n"/>
      <c r="K1343" s="16" t="n"/>
      <c r="L1343" s="17" t="n"/>
      <c r="M1343" s="17" t="n"/>
      <c r="N1343" s="17" t="n"/>
      <c r="O1343" s="15" t="n"/>
      <c r="P1343" s="15" t="n"/>
      <c r="Q1343" s="18" t="inlineStr">
        <is>
          <t>https://www.sebi.gov.in/sebi_data/attachdocs/1412133035557.pdf</t>
        </is>
      </c>
      <c r="R1343" s="18" t="inlineStr">
        <is>
          <t>https://www.sebi.gov.in/filings/public-issues/sep-2014/videocon-d2h-limited_28131.html</t>
        </is>
      </c>
      <c r="S1343" s="15" t="n"/>
      <c r="T1343" s="15" t="n"/>
      <c r="U1343" s="15" t="n"/>
      <c r="V1343" s="15" t="n"/>
      <c r="W1343" s="16" t="n"/>
      <c r="X1343" s="16" t="n"/>
      <c r="Y1343" s="16" t="n"/>
      <c r="Z1343" s="15" t="inlineStr">
        <is>
          <t>No issue found</t>
        </is>
      </c>
      <c r="AA1343" s="15" t="inlineStr">
        <is>
          <t>Business Standard lists the company but shows no issue dates; web search limit reached</t>
        </is>
      </c>
      <c r="AB1343" s="18" t="inlineStr">
        <is>
          <t>https://www.business-standard.com/markets/ipo/videocon-d2h-ltd-merged-ipo-41817</t>
        </is>
      </c>
    </row>
    <row r="1344" ht="15" customHeight="1" s="12">
      <c r="A1344" s="14" t="n">
        <v>1343</v>
      </c>
      <c r="B1344" s="16" t="n">
        <v>41908</v>
      </c>
      <c r="C1344" s="15" t="n">
        <v>2014</v>
      </c>
      <c r="D1344" s="15" t="inlineStr">
        <is>
          <t>PNC Infratech Limited</t>
        </is>
      </c>
      <c r="E1344" s="15" t="inlineStr">
        <is>
          <t>DRHP</t>
        </is>
      </c>
      <c r="F1344" s="15" t="inlineStr">
        <is>
          <t>PNC Infratech Limited</t>
        </is>
      </c>
      <c r="G1344" s="15" t="inlineStr">
        <is>
          <t>IPO launched</t>
        </is>
      </c>
      <c r="H1344" s="15" t="inlineStr">
        <is>
          <t>Mainboard</t>
        </is>
      </c>
      <c r="I1344" s="16" t="n">
        <v>42132</v>
      </c>
      <c r="J1344" s="16" t="n">
        <v>42136</v>
      </c>
      <c r="K1344" s="16" t="n">
        <v>42150</v>
      </c>
      <c r="L1344" s="17" t="n">
        <v>488.44</v>
      </c>
      <c r="M1344" s="17" t="n">
        <v>488.44</v>
      </c>
      <c r="N1344" s="17" t="n">
        <v>0</v>
      </c>
      <c r="O1344" s="15" t="inlineStr">
        <is>
          <t>Final issue (ipoplatform)</t>
        </is>
      </c>
      <c r="P1344" s="15" t="n"/>
      <c r="Q1344" s="18" t="inlineStr">
        <is>
          <t>https://www.sebi.gov.in/sebi_data/attachdocs/1411730042918.pdf</t>
        </is>
      </c>
      <c r="R1344" s="18" t="inlineStr">
        <is>
          <t>https://www.sebi.gov.in/filings/public-issues/sep-2014/pnc-infratech-limited_28092.html</t>
        </is>
      </c>
      <c r="S1344" s="15" t="n"/>
      <c r="T1344" s="15" t="inlineStr">
        <is>
          <t>SEBI filing link</t>
        </is>
      </c>
      <c r="U1344" s="15" t="inlineStr">
        <is>
          <t>PNC Infratech Limited</t>
        </is>
      </c>
      <c r="V1344" s="15" t="n"/>
      <c r="W1344" s="15" t="n"/>
      <c r="X1344" s="15" t="n"/>
      <c r="Y1344" s="15" t="n"/>
      <c r="Z1344" s="15" t="n"/>
      <c r="AA1344" s="15" t="n"/>
      <c r="AB1344" s="15" t="n"/>
    </row>
    <row r="1345" ht="15" customHeight="1" s="12">
      <c r="A1345" s="14" t="n">
        <v>1344</v>
      </c>
      <c r="B1345" s="16" t="n">
        <v>41908</v>
      </c>
      <c r="C1345" s="15" t="n">
        <v>2014</v>
      </c>
      <c r="D1345" s="15" t="inlineStr">
        <is>
          <t>Uniparts India Limited</t>
        </is>
      </c>
      <c r="E1345" s="15" t="inlineStr">
        <is>
          <t>DRHP</t>
        </is>
      </c>
      <c r="F1345" s="15" t="inlineStr">
        <is>
          <t>Uniparts India Limited</t>
        </is>
      </c>
      <c r="G1345" s="15" t="inlineStr">
        <is>
          <t>No launched IPO found</t>
        </is>
      </c>
      <c r="H1345" s="15" t="n"/>
      <c r="I1345" s="16" t="n"/>
      <c r="J1345" s="16" t="n"/>
      <c r="K1345" s="16" t="n"/>
      <c r="L1345" s="17" t="n"/>
      <c r="M1345" s="17" t="n"/>
      <c r="N1345" s="17" t="n"/>
      <c r="O1345" s="15" t="n"/>
      <c r="P1345" s="15" t="n"/>
      <c r="Q1345" s="18" t="inlineStr">
        <is>
          <t>https://www.sebi.gov.in/sebi_data/attachdocs/1411728695258.pdf</t>
        </is>
      </c>
      <c r="R1345" s="18" t="inlineStr">
        <is>
          <t>https://www.sebi.gov.in/filings/public-issues/sep-2014/uniparts-india-limited_28090.html</t>
        </is>
      </c>
      <c r="S1345" s="15" t="n"/>
      <c r="T1345" s="15" t="n"/>
      <c r="U1345" s="15" t="n"/>
      <c r="V1345" s="15" t="inlineStr">
        <is>
          <t>Same-name IPO opened 30-Nov-2022 — outside 2 years of this filing, so not linked</t>
        </is>
      </c>
      <c r="W1345" s="25" t="n">
        <v>44895</v>
      </c>
      <c r="X1345" s="25" t="n">
        <v>44897</v>
      </c>
      <c r="Y1345" s="25" t="n">
        <v>44907</v>
      </c>
      <c r="Z1345" s="26" t="inlineStr">
        <is>
          <t>Later IPO — not from this draft</t>
        </is>
      </c>
      <c r="AA1345" s="15" t="inlineStr">
        <is>
          <t>Opened 8.2 yrs after this filing, under a later draft</t>
        </is>
      </c>
      <c r="AB1345" s="18" t="inlineStr">
        <is>
          <t>https://www.business-standard.com/markets/ipo/uniparts-india-ltd-ipo-45939</t>
        </is>
      </c>
    </row>
    <row r="1346" ht="15" customHeight="1" s="12">
      <c r="A1346" s="14" t="n">
        <v>1345</v>
      </c>
      <c r="B1346" s="16" t="n">
        <v>41904</v>
      </c>
      <c r="C1346" s="15" t="n">
        <v>2014</v>
      </c>
      <c r="D1346" s="15" t="inlineStr">
        <is>
          <t>Rashtriya Ispat Nigam Limited</t>
        </is>
      </c>
      <c r="E1346" s="15" t="inlineStr">
        <is>
          <t>DRHP</t>
        </is>
      </c>
      <c r="F1346" s="15" t="inlineStr">
        <is>
          <t>Rashtriya Ispat Nigam Limited</t>
        </is>
      </c>
      <c r="G1346" s="15" t="inlineStr">
        <is>
          <t>No launched IPO found</t>
        </is>
      </c>
      <c r="H1346" s="15" t="n"/>
      <c r="I1346" s="16" t="n"/>
      <c r="J1346" s="16" t="n"/>
      <c r="K1346" s="16" t="n"/>
      <c r="L1346" s="17" t="n"/>
      <c r="M1346" s="17" t="n"/>
      <c r="N1346" s="17" t="n"/>
      <c r="O1346" s="15" t="n"/>
      <c r="P1346" s="15" t="n"/>
      <c r="Q1346" s="18" t="inlineStr">
        <is>
          <t>https://www.sebi.gov.in/sebi_data/attachdocs/1411380087041.pdf</t>
        </is>
      </c>
      <c r="R1346" s="18" t="inlineStr">
        <is>
          <t>https://www.sebi.gov.in/filings/public-issues/sep-2014/rashtriya-ispat-nigam-limited_28031.html</t>
        </is>
      </c>
      <c r="S1346" s="15" t="n"/>
      <c r="T1346" s="15" t="n"/>
      <c r="U1346" s="15" t="n"/>
      <c r="V1346" s="15" t="n"/>
      <c r="W1346" s="16" t="n"/>
      <c r="X1346" s="16" t="n"/>
      <c r="Y1346" s="16" t="n"/>
      <c r="Z1346" s="15" t="inlineStr">
        <is>
          <t>No issue found</t>
        </is>
      </c>
      <c r="AA1346" s="15" t="inlineStr">
        <is>
          <t>Business Standard lists the company but shows no issue dates; web search limit reached</t>
        </is>
      </c>
      <c r="AB1346" s="18" t="inlineStr">
        <is>
          <t>https://www.business-standard.com/markets/ipo/rashtriya-ispat-nigam-ltd-ipo-12212</t>
        </is>
      </c>
    </row>
    <row r="1347" ht="15" customHeight="1" s="12">
      <c r="A1347" s="14" t="n">
        <v>1346</v>
      </c>
      <c r="B1347" s="16" t="n">
        <v>41894</v>
      </c>
      <c r="C1347" s="15" t="n">
        <v>2014</v>
      </c>
      <c r="D1347" s="15" t="inlineStr">
        <is>
          <t>Ortel Communications Limited</t>
        </is>
      </c>
      <c r="E1347" s="15" t="inlineStr">
        <is>
          <t>DRHP</t>
        </is>
      </c>
      <c r="F1347" s="15" t="inlineStr">
        <is>
          <t>Ortel Communications Limited</t>
        </is>
      </c>
      <c r="G1347" s="15" t="inlineStr">
        <is>
          <t>IPO launched</t>
        </is>
      </c>
      <c r="H1347" s="15" t="inlineStr">
        <is>
          <t>Mainboard</t>
        </is>
      </c>
      <c r="I1347" s="16" t="n">
        <v>42066</v>
      </c>
      <c r="J1347" s="16" t="n">
        <v>42068</v>
      </c>
      <c r="K1347" s="16" t="n">
        <v>42082</v>
      </c>
      <c r="L1347" s="17" t="n">
        <v>66.11</v>
      </c>
      <c r="M1347" s="17" t="n">
        <v>66.11</v>
      </c>
      <c r="N1347" s="17" t="n">
        <v>0</v>
      </c>
      <c r="O1347" s="15" t="inlineStr">
        <is>
          <t>Final issue (ipoplatform)</t>
        </is>
      </c>
      <c r="P1347" s="15" t="n"/>
      <c r="Q1347" s="18" t="inlineStr">
        <is>
          <t>https://www.sebi.gov.in/sebi_data/attachdocs/1410514045903.pdf</t>
        </is>
      </c>
      <c r="R1347" s="18" t="inlineStr">
        <is>
          <t>https://www.sebi.gov.in/filings/public-issues/sep-2014/ortel-communications-limited_27955.html</t>
        </is>
      </c>
      <c r="S1347" s="15" t="n"/>
      <c r="T1347" s="15" t="inlineStr">
        <is>
          <t>SEBI filing link</t>
        </is>
      </c>
      <c r="U1347" s="15" t="inlineStr">
        <is>
          <t>Ortel Communications Limited</t>
        </is>
      </c>
      <c r="V1347" s="15" t="n"/>
      <c r="W1347" s="15" t="n"/>
      <c r="X1347" s="15" t="n"/>
      <c r="Y1347" s="15" t="n"/>
      <c r="Z1347" s="15" t="n"/>
      <c r="AA1347" s="15" t="n"/>
      <c r="AB1347" s="15" t="n"/>
    </row>
    <row r="1348" ht="15" customHeight="1" s="12">
      <c r="A1348" s="14" t="n">
        <v>1347</v>
      </c>
      <c r="B1348" s="16" t="n">
        <v>41834</v>
      </c>
      <c r="C1348" s="15" t="n">
        <v>2014</v>
      </c>
      <c r="D1348" s="15" t="inlineStr">
        <is>
          <t>Monte Carlo Fashions Limited</t>
        </is>
      </c>
      <c r="E1348" s="15" t="inlineStr">
        <is>
          <t>DRHP</t>
        </is>
      </c>
      <c r="F1348" s="15" t="inlineStr">
        <is>
          <t>Monte Carlo Fashions Limited</t>
        </is>
      </c>
      <c r="G1348" s="15" t="inlineStr">
        <is>
          <t>IPO launched</t>
        </is>
      </c>
      <c r="H1348" s="15" t="inlineStr">
        <is>
          <t>Mainboard</t>
        </is>
      </c>
      <c r="I1348" s="16" t="n">
        <v>41976</v>
      </c>
      <c r="J1348" s="16" t="n">
        <v>41978</v>
      </c>
      <c r="K1348" s="16" t="n">
        <v>41992</v>
      </c>
      <c r="L1348" s="17" t="n">
        <v>350.43</v>
      </c>
      <c r="M1348" s="17" t="n">
        <v>350.43</v>
      </c>
      <c r="N1348" s="17" t="n">
        <v>0</v>
      </c>
      <c r="O1348" s="15" t="inlineStr">
        <is>
          <t>Final issue (ipoplatform)</t>
        </is>
      </c>
      <c r="P1348" s="15" t="n"/>
      <c r="Q1348" s="18" t="inlineStr">
        <is>
          <t>https://www.sebi.gov.in/sebi_data/attachdocs/1405331158947.pdf</t>
        </is>
      </c>
      <c r="R1348" s="18" t="inlineStr">
        <is>
          <t>https://www.sebi.gov.in/filings/public-issues/jul-2014/monte-carlo-fashions-limited_27377.html</t>
        </is>
      </c>
      <c r="S1348" s="15" t="n"/>
      <c r="T1348" s="15" t="inlineStr">
        <is>
          <t>SEBI filing link</t>
        </is>
      </c>
      <c r="U1348" s="15" t="inlineStr">
        <is>
          <t>Monte Carlo Fashions Limited</t>
        </is>
      </c>
      <c r="V1348" s="15" t="n"/>
      <c r="W1348" s="15" t="n"/>
      <c r="X1348" s="15" t="n"/>
      <c r="Y1348" s="15" t="n"/>
      <c r="Z1348" s="15" t="n"/>
      <c r="AA1348" s="15" t="n"/>
      <c r="AB1348" s="15" t="n"/>
    </row>
    <row r="1349" ht="15" customHeight="1" s="12">
      <c r="A1349" s="14" t="n">
        <v>1348</v>
      </c>
      <c r="B1349" s="16" t="n">
        <v>41822</v>
      </c>
      <c r="C1349" s="15" t="n">
        <v>2014</v>
      </c>
      <c r="D1349" s="15" t="inlineStr">
        <is>
          <t>Lavasa Corporation Limited</t>
        </is>
      </c>
      <c r="E1349" s="15" t="inlineStr">
        <is>
          <t>DRHP</t>
        </is>
      </c>
      <c r="F1349" s="15" t="inlineStr">
        <is>
          <t>Lavasa Corporation Limited</t>
        </is>
      </c>
      <c r="G1349" s="15" t="inlineStr">
        <is>
          <t>No launched IPO found</t>
        </is>
      </c>
      <c r="H1349" s="15" t="n"/>
      <c r="I1349" s="16" t="n"/>
      <c r="J1349" s="16" t="n"/>
      <c r="K1349" s="16" t="n"/>
      <c r="L1349" s="17" t="n"/>
      <c r="M1349" s="17" t="n"/>
      <c r="N1349" s="17" t="n"/>
      <c r="O1349" s="15" t="n"/>
      <c r="P1349" s="15" t="n"/>
      <c r="Q1349" s="18" t="inlineStr">
        <is>
          <t>https://www.sebi.gov.in/sebi_data/attachdocs/1404296879493.pdf</t>
        </is>
      </c>
      <c r="R1349" s="18" t="inlineStr">
        <is>
          <t>https://www.sebi.gov.in/filings/public-issues/jul-2014/lavasa-corporation-limited_27248.html</t>
        </is>
      </c>
      <c r="S1349" s="15" t="n"/>
      <c r="T1349" s="15" t="n"/>
      <c r="U1349" s="15" t="n"/>
      <c r="V1349" s="15" t="n"/>
      <c r="W1349" s="16" t="n"/>
      <c r="X1349" s="16" t="n"/>
      <c r="Y1349" s="16" t="n"/>
      <c r="Z1349" s="15" t="inlineStr">
        <is>
          <t>No issue found</t>
        </is>
      </c>
      <c r="AA1349" s="15" t="inlineStr">
        <is>
          <t>Business Standard lists the company but shows no issue dates; web search limit reached</t>
        </is>
      </c>
      <c r="AB1349" s="18" t="inlineStr">
        <is>
          <t>https://www.business-standard.com/markets/ipo/lavasa-corporation-ltd-ipo-34370</t>
        </is>
      </c>
    </row>
    <row r="1350" ht="15" customHeight="1" s="12">
      <c r="A1350" s="14" t="n">
        <v>1349</v>
      </c>
      <c r="B1350" s="16" t="n">
        <v>41781</v>
      </c>
      <c r="C1350" s="15" t="n">
        <v>2014</v>
      </c>
      <c r="D1350" s="15" t="inlineStr">
        <is>
          <t>Adlabs Entertainment Limited</t>
        </is>
      </c>
      <c r="E1350" s="15" t="inlineStr">
        <is>
          <t>DRHP</t>
        </is>
      </c>
      <c r="F1350" s="15" t="inlineStr">
        <is>
          <t>Adlabs Entertainment Limited</t>
        </is>
      </c>
      <c r="G1350" s="15" t="inlineStr">
        <is>
          <t>IPO launched</t>
        </is>
      </c>
      <c r="H1350" s="15" t="inlineStr">
        <is>
          <t>Mainboard</t>
        </is>
      </c>
      <c r="I1350" s="16" t="n">
        <v>42073</v>
      </c>
      <c r="J1350" s="16" t="n">
        <v>42075</v>
      </c>
      <c r="K1350" s="16" t="n">
        <v>42100</v>
      </c>
      <c r="L1350" s="17" t="n">
        <v>365.87</v>
      </c>
      <c r="M1350" s="17" t="n">
        <v>365.87</v>
      </c>
      <c r="N1350" s="17" t="n">
        <v>0</v>
      </c>
      <c r="O1350" s="15" t="inlineStr">
        <is>
          <t>Final issue (ipoplatform)</t>
        </is>
      </c>
      <c r="P1350" s="15" t="n"/>
      <c r="Q1350" s="18" t="inlineStr">
        <is>
          <t>https://www.sebi.gov.in/sebi_data/commondocs/1412741679150_p.pdf</t>
        </is>
      </c>
      <c r="R1350" s="18" t="inlineStr">
        <is>
          <t>https://www.sebi.gov.in/filings/public-issues/may-2014/adlabs-entertainment-limited_28258.html</t>
        </is>
      </c>
      <c r="S1350" s="15" t="n"/>
      <c r="T1350" s="15" t="inlineStr">
        <is>
          <t>Company name + date window</t>
        </is>
      </c>
      <c r="U1350" s="15" t="inlineStr">
        <is>
          <t>Adlabs Entertainment Limited</t>
        </is>
      </c>
      <c r="V1350" s="15" t="n"/>
      <c r="W1350" s="15" t="n"/>
      <c r="X1350" s="15" t="n"/>
      <c r="Y1350" s="15" t="n"/>
      <c r="Z1350" s="15" t="n"/>
      <c r="AA1350" s="15" t="n"/>
      <c r="AB1350" s="15" t="n"/>
    </row>
    <row r="1351" ht="15" customHeight="1" s="12">
      <c r="A1351" s="14" t="n">
        <v>1350</v>
      </c>
      <c r="B1351" s="16" t="n">
        <v>41732</v>
      </c>
      <c r="C1351" s="15" t="n">
        <v>2014</v>
      </c>
      <c r="D1351" s="15" t="inlineStr">
        <is>
          <t>GMR Energy Limited</t>
        </is>
      </c>
      <c r="E1351" s="15" t="inlineStr">
        <is>
          <t>DRHP</t>
        </is>
      </c>
      <c r="F1351" s="15" t="inlineStr">
        <is>
          <t>GMR Energy Limited</t>
        </is>
      </c>
      <c r="G1351" s="15" t="inlineStr">
        <is>
          <t>No launched IPO found</t>
        </is>
      </c>
      <c r="H1351" s="15" t="n"/>
      <c r="I1351" s="16" t="n"/>
      <c r="J1351" s="16" t="n"/>
      <c r="K1351" s="16" t="n"/>
      <c r="L1351" s="17" t="n"/>
      <c r="M1351" s="17" t="n"/>
      <c r="N1351" s="17" t="n"/>
      <c r="O1351" s="15" t="n"/>
      <c r="P1351" s="15" t="n"/>
      <c r="Q1351" s="18" t="inlineStr">
        <is>
          <t>https://www.sebi.gov.in/sebi_data/attachdocs/1396504133041.pdf</t>
        </is>
      </c>
      <c r="R1351" s="18" t="inlineStr">
        <is>
          <t>https://www.sebi.gov.in/filings/public-issues/apr-2014/gmr-energy-limited_26621.html</t>
        </is>
      </c>
      <c r="S1351" s="15" t="n"/>
      <c r="T1351" s="15" t="n"/>
      <c r="U1351" s="15" t="n"/>
      <c r="V1351" s="15" t="n"/>
      <c r="W1351" s="16" t="n"/>
      <c r="X1351" s="16" t="n"/>
      <c r="Y1351" s="16" t="n"/>
      <c r="Z1351" s="15" t="inlineStr">
        <is>
          <t>Withdrawn / approval lapsed</t>
        </is>
      </c>
      <c r="AA1351" s="15" t="inlineStr">
        <is>
          <t>DRHP (Rs1,450cr IPO) withdrawn Apr 2014, a month after filing</t>
        </is>
      </c>
      <c r="AB1351" s="18" t="inlineStr">
        <is>
          <t>https://www.business-standard.com/article/markets/gmr-energy-withdraws-ipo-plan-114042800898_1.html</t>
        </is>
      </c>
    </row>
    <row r="1352" ht="15" customHeight="1" s="12">
      <c r="A1352" s="14" t="n">
        <v>1351</v>
      </c>
      <c r="B1352" s="16" t="n">
        <v>41684</v>
      </c>
      <c r="C1352" s="15" t="n">
        <v>2014</v>
      </c>
      <c r="D1352" s="15" t="inlineStr">
        <is>
          <t>Sharda Cropchem Limited</t>
        </is>
      </c>
      <c r="E1352" s="15" t="inlineStr">
        <is>
          <t>DRHP</t>
        </is>
      </c>
      <c r="F1352" s="15" t="inlineStr">
        <is>
          <t>Sharda Cropchem Limited</t>
        </is>
      </c>
      <c r="G1352" s="15" t="inlineStr">
        <is>
          <t>IPO launched</t>
        </is>
      </c>
      <c r="H1352" s="15" t="inlineStr">
        <is>
          <t>Mainboard</t>
        </is>
      </c>
      <c r="I1352" s="16" t="n">
        <v>41887</v>
      </c>
      <c r="J1352" s="16" t="n">
        <v>41891</v>
      </c>
      <c r="K1352" s="16" t="n">
        <v>41905</v>
      </c>
      <c r="L1352" s="17" t="n">
        <v>351.86</v>
      </c>
      <c r="M1352" s="17" t="n">
        <v>351.86</v>
      </c>
      <c r="N1352" s="17" t="n">
        <v>0</v>
      </c>
      <c r="O1352" s="15" t="inlineStr">
        <is>
          <t>Final issue (ipoplatform)</t>
        </is>
      </c>
      <c r="P1352" s="15" t="n"/>
      <c r="Q1352" s="18" t="inlineStr">
        <is>
          <t>https://www.sebi.gov.in/sebi_data/attachdocs/1392372031230.pdf</t>
        </is>
      </c>
      <c r="R1352" s="18" t="inlineStr">
        <is>
          <t>https://www.sebi.gov.in/filings/public-issues/feb-2014/sharda-cropchem-limited_26296.html</t>
        </is>
      </c>
      <c r="S1352" s="15" t="n"/>
      <c r="T1352" s="15" t="inlineStr">
        <is>
          <t>SEBI filing link</t>
        </is>
      </c>
      <c r="U1352" s="15" t="inlineStr">
        <is>
          <t>Sharda Cropchem Limited</t>
        </is>
      </c>
      <c r="V1352" s="15" t="n"/>
      <c r="W1352" s="15" t="n"/>
      <c r="X1352" s="15" t="n"/>
      <c r="Y1352" s="15" t="n"/>
      <c r="Z1352" s="15" t="n"/>
      <c r="AA1352" s="15" t="n"/>
      <c r="AB1352" s="15" t="n"/>
    </row>
    <row r="1353" ht="15" customHeight="1" s="12">
      <c r="A1353" s="14" t="n">
        <v>1352</v>
      </c>
      <c r="B1353" s="16" t="n">
        <v>41534</v>
      </c>
      <c r="C1353" s="15" t="n">
        <v>2013</v>
      </c>
      <c r="D1353" s="15" t="inlineStr">
        <is>
          <t>Great Eastern Energy Corporation Limited</t>
        </is>
      </c>
      <c r="E1353" s="15" t="inlineStr">
        <is>
          <t>DRHP</t>
        </is>
      </c>
      <c r="F1353" s="15" t="inlineStr">
        <is>
          <t>Great Eastern Energy Corporation Limited</t>
        </is>
      </c>
      <c r="G1353" s="15" t="inlineStr">
        <is>
          <t>No launched IPO found</t>
        </is>
      </c>
      <c r="H1353" s="15" t="n"/>
      <c r="I1353" s="16" t="n"/>
      <c r="J1353" s="16" t="n"/>
      <c r="K1353" s="16" t="n"/>
      <c r="L1353" s="17" t="n"/>
      <c r="M1353" s="17" t="n"/>
      <c r="N1353" s="17" t="n"/>
      <c r="O1353" s="15" t="n"/>
      <c r="P1353" s="15" t="n"/>
      <c r="Q1353" s="18" t="inlineStr">
        <is>
          <t>https://www.sebi.gov.in/sebi_data/attachdocs/1379395353546.pdf</t>
        </is>
      </c>
      <c r="R1353" s="18" t="inlineStr">
        <is>
          <t>https://www.sebi.gov.in/filings/public-issues/sep-2013/great-eastern-energy-corporation-limited_25384.html</t>
        </is>
      </c>
      <c r="S1353" s="15" t="n"/>
      <c r="T1353" s="15" t="n"/>
      <c r="U1353" s="15" t="n"/>
      <c r="V1353" s="15" t="n"/>
      <c r="W1353" s="16" t="n"/>
      <c r="X1353" s="16" t="n"/>
      <c r="Y1353" s="16" t="n"/>
      <c r="Z1353" s="15" t="inlineStr">
        <is>
          <t>No issue found</t>
        </is>
      </c>
      <c r="AA1353" s="15" t="inlineStr">
        <is>
          <t>Business Standard lists the company but shows no issue dates; web search limit reached</t>
        </is>
      </c>
      <c r="AB1353" s="18" t="inlineStr">
        <is>
          <t>https://www.business-standard.com/markets/ipo/great-eastern-energy-corporation-ltd-ipo-18693</t>
        </is>
      </c>
    </row>
    <row r="1354" ht="15" customHeight="1" s="12">
      <c r="A1354" s="14" t="n">
        <v>1353</v>
      </c>
      <c r="B1354" s="16" t="n">
        <v>41516</v>
      </c>
      <c r="C1354" s="15" t="n">
        <v>2013</v>
      </c>
      <c r="D1354" s="15" t="inlineStr">
        <is>
          <t>Snowman Logistics Ltd</t>
        </is>
      </c>
      <c r="E1354" s="15" t="inlineStr">
        <is>
          <t>DRHP</t>
        </is>
      </c>
      <c r="F1354" s="15" t="inlineStr">
        <is>
          <t>Snowman Logistics Ltd</t>
        </is>
      </c>
      <c r="G1354" s="15" t="inlineStr">
        <is>
          <t>IPO launched</t>
        </is>
      </c>
      <c r="H1354" s="15" t="inlineStr">
        <is>
          <t>Mainboard</t>
        </is>
      </c>
      <c r="I1354" s="16" t="n">
        <v>41877</v>
      </c>
      <c r="J1354" s="16" t="n">
        <v>41879</v>
      </c>
      <c r="K1354" s="16" t="n">
        <v>41894</v>
      </c>
      <c r="L1354" s="17" t="n">
        <v>197.4</v>
      </c>
      <c r="M1354" s="17" t="n">
        <v>197.4</v>
      </c>
      <c r="N1354" s="17" t="n">
        <v>0</v>
      </c>
      <c r="O1354" s="15" t="inlineStr">
        <is>
          <t>Final issue (ipoplatform)</t>
        </is>
      </c>
      <c r="P1354" s="15" t="n"/>
      <c r="Q1354" s="18" t="inlineStr">
        <is>
          <t>https://www.sebi.gov.in/sebi_data/attachdocs/1378197720977.pdf</t>
        </is>
      </c>
      <c r="R1354" s="18" t="inlineStr">
        <is>
          <t>https://www.sebi.gov.in/filings/public-issues/aug-2013/snowman-logistics-ltd_25267.html</t>
        </is>
      </c>
      <c r="S1354" s="15" t="n"/>
      <c r="T1354" s="15" t="inlineStr">
        <is>
          <t>SEBI filing link</t>
        </is>
      </c>
      <c r="U1354" s="15" t="inlineStr">
        <is>
          <t>Snowman Logistics Limited</t>
        </is>
      </c>
      <c r="V1354" s="15" t="n"/>
      <c r="W1354" s="15" t="n"/>
      <c r="X1354" s="15" t="n"/>
      <c r="Y1354" s="15" t="n"/>
      <c r="Z1354" s="15" t="n"/>
      <c r="AA1354" s="15" t="n"/>
      <c r="AB1354" s="15" t="n"/>
    </row>
    <row r="1355" ht="15" customHeight="1" s="12">
      <c r="A1355" s="14" t="n">
        <v>1354</v>
      </c>
      <c r="B1355" s="16" t="n">
        <v>41486</v>
      </c>
      <c r="C1355" s="15" t="n">
        <v>2013</v>
      </c>
      <c r="D1355" s="15" t="inlineStr">
        <is>
          <t>Trimax IT Infrastructure and Services Limited</t>
        </is>
      </c>
      <c r="E1355" s="15" t="inlineStr">
        <is>
          <t>DRHP</t>
        </is>
      </c>
      <c r="F1355" s="15" t="inlineStr">
        <is>
          <t>Trimax IT Infrastructure and Services Limited</t>
        </is>
      </c>
      <c r="G1355" s="15" t="inlineStr">
        <is>
          <t>No launched IPO found</t>
        </is>
      </c>
      <c r="H1355" s="15" t="n"/>
      <c r="I1355" s="16" t="n"/>
      <c r="J1355" s="16" t="n"/>
      <c r="K1355" s="16" t="n"/>
      <c r="L1355" s="17" t="n"/>
      <c r="M1355" s="17" t="n"/>
      <c r="N1355" s="17" t="n"/>
      <c r="O1355" s="15" t="n"/>
      <c r="P1355" s="15" t="n"/>
      <c r="Q1355" s="18" t="inlineStr">
        <is>
          <t>https://www.sebi.gov.in/sebi_data/attachdocs/1375267145200.pdf</t>
        </is>
      </c>
      <c r="R1355" s="18" t="inlineStr">
        <is>
          <t>https://www.sebi.gov.in/filings/public-issues/jul-2013/trimax-it-infrastructure-and-services-limited_25127.html</t>
        </is>
      </c>
      <c r="S1355" s="15" t="n"/>
      <c r="T1355" s="15" t="n"/>
      <c r="U1355" s="15" t="n"/>
      <c r="V1355" s="15" t="n"/>
      <c r="W1355" s="16" t="n"/>
      <c r="X1355" s="16" t="n"/>
      <c r="Y1355" s="16" t="n"/>
      <c r="Z1355" s="15" t="inlineStr">
        <is>
          <t>No issue found</t>
        </is>
      </c>
      <c r="AA1355" s="15" t="inlineStr">
        <is>
          <t>IPO attempts 2011 and 2013 did not proceed; later CIRP, acquired by Ebix.</t>
        </is>
      </c>
      <c r="AB1355" s="18" t="inlineStr">
        <is>
          <t>https://www.business-standard.com/amp/article/companies/trimax-it-infrastructure-plans-ipo-files-drhp-with-sebi-113073100640_1.html</t>
        </is>
      </c>
    </row>
    <row r="1356" ht="15" customHeight="1" s="12">
      <c r="A1356" s="14" t="n">
        <v>1355</v>
      </c>
      <c r="B1356" s="16" t="n">
        <v>41467</v>
      </c>
      <c r="C1356" s="15" t="n">
        <v>2013</v>
      </c>
      <c r="D1356" s="15" t="inlineStr">
        <is>
          <t>Engineers India Limited</t>
        </is>
      </c>
      <c r="E1356" s="15" t="inlineStr">
        <is>
          <t>DRHP</t>
        </is>
      </c>
      <c r="F1356" s="15" t="inlineStr">
        <is>
          <t>Engineers India Limited</t>
        </is>
      </c>
      <c r="G1356" s="15" t="inlineStr">
        <is>
          <t>IPO launched</t>
        </is>
      </c>
      <c r="H1356" s="15" t="inlineStr">
        <is>
          <t>Mainboard</t>
        </is>
      </c>
      <c r="I1356" s="16" t="n">
        <v>41676</v>
      </c>
      <c r="J1356" s="16" t="n">
        <v>41682</v>
      </c>
      <c r="K1356" s="16" t="n">
        <v>41698</v>
      </c>
      <c r="L1356" s="17" t="n">
        <v>505.4</v>
      </c>
      <c r="M1356" s="17" t="n">
        <v>505.4</v>
      </c>
      <c r="N1356" s="17" t="n">
        <v>0</v>
      </c>
      <c r="O1356" s="15" t="inlineStr">
        <is>
          <t>Final issue (ipoplatform)</t>
        </is>
      </c>
      <c r="P1356" s="15" t="n"/>
      <c r="Q1356" s="18" t="inlineStr">
        <is>
          <t>https://www.sebi.gov.in/sebi_data/attachdocs/1373627733665.pdf</t>
        </is>
      </c>
      <c r="R1356" s="18" t="inlineStr">
        <is>
          <t>https://www.sebi.gov.in/filings/public-issues/jul-2013/engineers-india-limited_25041.html</t>
        </is>
      </c>
      <c r="S1356" s="15" t="n"/>
      <c r="T1356" s="15" t="inlineStr">
        <is>
          <t>Company name + date window</t>
        </is>
      </c>
      <c r="U1356" s="15" t="inlineStr">
        <is>
          <t>Engineers India Limited</t>
        </is>
      </c>
      <c r="V1356" s="15" t="n"/>
      <c r="W1356" s="15" t="n"/>
      <c r="X1356" s="15" t="n"/>
      <c r="Y1356" s="15" t="n"/>
      <c r="Z1356" s="15" t="n"/>
      <c r="AA1356" s="15" t="n"/>
      <c r="AB1356" s="15" t="n"/>
    </row>
    <row r="1357" ht="15" customHeight="1" s="12">
      <c r="A1357" s="14" t="n">
        <v>1356</v>
      </c>
      <c r="B1357" s="16" t="n">
        <v>41464</v>
      </c>
      <c r="C1357" s="15" t="n">
        <v>2013</v>
      </c>
      <c r="D1357" s="15" t="inlineStr">
        <is>
          <t>Shemaroo Entertainment Limited</t>
        </is>
      </c>
      <c r="E1357" s="15" t="inlineStr">
        <is>
          <t>DRHP</t>
        </is>
      </c>
      <c r="F1357" s="15" t="inlineStr">
        <is>
          <t>Shemaroo Entertainment Limited</t>
        </is>
      </c>
      <c r="G1357" s="15" t="inlineStr">
        <is>
          <t>IPO launched</t>
        </is>
      </c>
      <c r="H1357" s="15" t="inlineStr">
        <is>
          <t>Mainboard</t>
        </is>
      </c>
      <c r="I1357" s="16" t="n">
        <v>41898</v>
      </c>
      <c r="J1357" s="16" t="n">
        <v>41900</v>
      </c>
      <c r="K1357" s="16" t="n">
        <v>41913</v>
      </c>
      <c r="L1357" s="17" t="n">
        <v>120</v>
      </c>
      <c r="M1357" s="17" t="n">
        <v>120</v>
      </c>
      <c r="N1357" s="17" t="n">
        <v>0</v>
      </c>
      <c r="O1357" s="15" t="inlineStr">
        <is>
          <t>Final issue (ipoplatform)</t>
        </is>
      </c>
      <c r="P1357" s="15" t="n"/>
      <c r="Q1357" s="18" t="inlineStr">
        <is>
          <t>https://www.sebi.gov.in/sebi_data/attachdocs/1373367772824.pdf</t>
        </is>
      </c>
      <c r="R1357" s="18" t="inlineStr">
        <is>
          <t>https://www.sebi.gov.in/filings/public-issues/jul-2013/shemaroo-entertainment-limited_25025.html</t>
        </is>
      </c>
      <c r="S1357" s="15" t="n"/>
      <c r="T1357" s="15" t="inlineStr">
        <is>
          <t>SEBI filing link</t>
        </is>
      </c>
      <c r="U1357" s="15" t="inlineStr">
        <is>
          <t>Shemaroo Entertainment Limited</t>
        </is>
      </c>
      <c r="V1357" s="15" t="n"/>
      <c r="W1357" s="15" t="n"/>
      <c r="X1357" s="15" t="n"/>
      <c r="Y1357" s="15" t="n"/>
      <c r="Z1357" s="15" t="n"/>
      <c r="AA1357" s="15" t="n"/>
      <c r="AB1357" s="15" t="n"/>
    </row>
    <row r="1358" ht="15" customHeight="1" s="12">
      <c r="A1358" s="14" t="n">
        <v>1357</v>
      </c>
      <c r="B1358" s="16" t="n">
        <v>41463</v>
      </c>
      <c r="C1358" s="15" t="n">
        <v>2013</v>
      </c>
      <c r="D1358" s="15" t="inlineStr">
        <is>
          <t>Inox Wind Limited</t>
        </is>
      </c>
      <c r="E1358" s="15" t="inlineStr">
        <is>
          <t>DRHP</t>
        </is>
      </c>
      <c r="F1358" s="15" t="inlineStr">
        <is>
          <t>Inox Wind Limited</t>
        </is>
      </c>
      <c r="G1358" s="15" t="inlineStr">
        <is>
          <t>IPO launched</t>
        </is>
      </c>
      <c r="H1358" s="15" t="inlineStr">
        <is>
          <t>Mainboard</t>
        </is>
      </c>
      <c r="I1358" s="16" t="n">
        <v>42081</v>
      </c>
      <c r="J1358" s="16" t="n">
        <v>42083</v>
      </c>
      <c r="K1358" s="16" t="n">
        <v>42103</v>
      </c>
      <c r="L1358" s="17" t="n">
        <v>1020.52</v>
      </c>
      <c r="M1358" s="17" t="n">
        <v>1020.52</v>
      </c>
      <c r="N1358" s="17" t="n">
        <v>0</v>
      </c>
      <c r="O1358" s="15" t="inlineStr">
        <is>
          <t>Final issue (ipoplatform)</t>
        </is>
      </c>
      <c r="P1358" s="15" t="n"/>
      <c r="Q1358" s="18" t="inlineStr">
        <is>
          <t>https://www.sebi.gov.in/sebi_data/attachdocs/1373281698531.pdf</t>
        </is>
      </c>
      <c r="R1358" s="18" t="inlineStr">
        <is>
          <t>https://www.sebi.gov.in/filings/public-issues/jul-2013/inox-wind-limited_25016.html</t>
        </is>
      </c>
      <c r="S1358" s="15" t="n"/>
      <c r="T1358" s="15" t="inlineStr">
        <is>
          <t>SEBI filing link</t>
        </is>
      </c>
      <c r="U1358" s="15" t="inlineStr">
        <is>
          <t>Inox Wind Limited</t>
        </is>
      </c>
      <c r="V1358" s="15" t="n"/>
      <c r="W1358" s="15" t="n"/>
      <c r="X1358" s="15" t="n"/>
      <c r="Y1358" s="15" t="n"/>
      <c r="Z1358" s="15" t="n"/>
      <c r="AA1358" s="15" t="n"/>
      <c r="AB1358" s="15" t="n"/>
    </row>
    <row r="1359" ht="15" customHeight="1" s="12">
      <c r="A1359" s="14" t="n">
        <v>1358</v>
      </c>
      <c r="B1359" s="16" t="n">
        <v>41458</v>
      </c>
      <c r="C1359" s="15" t="n">
        <v>2013</v>
      </c>
      <c r="D1359" s="15" t="inlineStr">
        <is>
          <t>Sundaram - Clayton Limited</t>
        </is>
      </c>
      <c r="E1359" s="15" t="inlineStr">
        <is>
          <t>DRHP</t>
        </is>
      </c>
      <c r="F1359" s="15" t="inlineStr">
        <is>
          <t>Sundaram - Clayton Limited</t>
        </is>
      </c>
      <c r="G1359" s="15" t="inlineStr">
        <is>
          <t>No launched IPO found</t>
        </is>
      </c>
      <c r="H1359" s="15" t="n"/>
      <c r="I1359" s="16" t="n"/>
      <c r="J1359" s="16" t="n"/>
      <c r="K1359" s="16" t="n"/>
      <c r="L1359" s="17" t="n"/>
      <c r="M1359" s="17" t="n"/>
      <c r="N1359" s="17" t="n"/>
      <c r="O1359" s="15" t="n"/>
      <c r="P1359" s="15" t="n"/>
      <c r="Q1359" s="18" t="inlineStr">
        <is>
          <t>https://www.sebi.gov.in/sebi_data/attachdocs/1372843761083.pdf</t>
        </is>
      </c>
      <c r="R1359" s="18" t="inlineStr">
        <is>
          <t>https://www.sebi.gov.in/filings/public-issues/jul-2013/sundaram-clayton-limited_24999.html</t>
        </is>
      </c>
      <c r="S1359" s="15" t="n"/>
      <c r="T1359" s="15" t="n"/>
      <c r="U1359" s="15" t="n"/>
      <c r="V1359" s="15" t="n"/>
      <c r="W1359" s="16" t="n"/>
      <c r="X1359" s="16" t="n"/>
      <c r="Y1359" s="16" t="n"/>
      <c r="Z1359" s="15" t="inlineStr">
        <is>
          <t>No issue found</t>
        </is>
      </c>
      <c r="AA1359" s="15" t="inlineStr">
        <is>
          <t>Institutional Placement Programme, prospectus 2013-06-08; Rs37.62 crore at Rs297.50</t>
        </is>
      </c>
      <c r="AB1359" s="18" t="inlineStr">
        <is>
          <t>https://www.sebi.gov.in/sebi_data/attachdocs/1371035252517.pdf</t>
        </is>
      </c>
    </row>
    <row r="1360" ht="15" customHeight="1" s="12">
      <c r="A1360" s="14" t="n">
        <v>1359</v>
      </c>
      <c r="B1360" s="16" t="n">
        <v>41456</v>
      </c>
      <c r="C1360" s="15" t="n">
        <v>2013</v>
      </c>
      <c r="D1360" s="15" t="inlineStr">
        <is>
          <t>Emcure Pharmaceuticals Limited</t>
        </is>
      </c>
      <c r="E1360" s="15" t="inlineStr">
        <is>
          <t>DRHP</t>
        </is>
      </c>
      <c r="F1360" s="15" t="inlineStr">
        <is>
          <t>Emcure Pharmaceuticals Limited</t>
        </is>
      </c>
      <c r="G1360" s="15" t="inlineStr">
        <is>
          <t>No launched IPO found</t>
        </is>
      </c>
      <c r="H1360" s="15" t="n"/>
      <c r="I1360" s="16" t="n"/>
      <c r="J1360" s="16" t="n"/>
      <c r="K1360" s="16" t="n"/>
      <c r="L1360" s="17" t="n"/>
      <c r="M1360" s="17" t="n"/>
      <c r="N1360" s="17" t="n"/>
      <c r="O1360" s="15" t="n"/>
      <c r="P1360" s="15" t="n"/>
      <c r="Q1360" s="18" t="inlineStr">
        <is>
          <t>https://www.sebi.gov.in/sebi_data/attachdocs/1372676629625.pdf</t>
        </is>
      </c>
      <c r="R1360" s="18" t="inlineStr">
        <is>
          <t>https://www.sebi.gov.in/filings/public-issues/jul-2013/emcure-pharmaceuticals-limited_24977.html</t>
        </is>
      </c>
      <c r="S1360" s="15" t="n"/>
      <c r="T1360" s="15" t="n"/>
      <c r="U1360" s="15" t="n"/>
      <c r="V1360" s="15" t="inlineStr">
        <is>
          <t>Same-name IPO opened 03-Jul-2024 — outside 2 years of this filing, so not linked</t>
        </is>
      </c>
      <c r="W1360" s="25" t="n">
        <v>45476</v>
      </c>
      <c r="X1360" s="25" t="n">
        <v>45478</v>
      </c>
      <c r="Y1360" s="25" t="n">
        <v>45483</v>
      </c>
      <c r="Z1360" s="26" t="inlineStr">
        <is>
          <t>Later IPO — not from this draft</t>
        </is>
      </c>
      <c r="AA1360" s="15" t="inlineStr">
        <is>
          <t>IPO opened over 11 years after 2013 DRHP (fresh later DRHP)</t>
        </is>
      </c>
      <c r="AB1360" s="18" t="inlineStr">
        <is>
          <t>https://www.chittorgarh.com/ipo/emcure-pharma-ipo/1766/</t>
        </is>
      </c>
    </row>
    <row r="1361" ht="15" customHeight="1" s="12">
      <c r="A1361" s="14" t="n">
        <v>1360</v>
      </c>
      <c r="B1361" s="16" t="n">
        <v>41449</v>
      </c>
      <c r="C1361" s="15" t="n">
        <v>2013</v>
      </c>
      <c r="D1361" s="15" t="inlineStr">
        <is>
          <t>ACB (India) Limited</t>
        </is>
      </c>
      <c r="E1361" s="15" t="inlineStr">
        <is>
          <t>DRHP</t>
        </is>
      </c>
      <c r="F1361" s="15" t="inlineStr">
        <is>
          <t>ACB (India) Limited</t>
        </is>
      </c>
      <c r="G1361" s="15" t="inlineStr">
        <is>
          <t>No launched IPO found</t>
        </is>
      </c>
      <c r="H1361" s="15" t="n"/>
      <c r="I1361" s="16" t="n"/>
      <c r="J1361" s="16" t="n"/>
      <c r="K1361" s="16" t="n"/>
      <c r="L1361" s="17" t="n"/>
      <c r="M1361" s="17" t="n"/>
      <c r="N1361" s="17" t="n"/>
      <c r="O1361" s="15" t="n"/>
      <c r="P1361" s="15" t="n"/>
      <c r="Q1361" s="18" t="inlineStr">
        <is>
          <t>https://www.sebi.gov.in/sebi_data/attachdocs/1372055999819.pdf</t>
        </is>
      </c>
      <c r="R1361" s="18" t="inlineStr">
        <is>
          <t>https://www.sebi.gov.in/filings/public-issues/jun-2013/acb-india-limited_24934.html</t>
        </is>
      </c>
      <c r="S1361" s="15" t="n"/>
      <c r="T1361" s="15" t="n"/>
      <c r="U1361" s="15" t="n"/>
      <c r="V1361" s="15" t="n"/>
      <c r="W1361" s="16" t="n"/>
      <c r="X1361" s="16" t="n"/>
      <c r="Y1361" s="16" t="n"/>
      <c r="Z1361" s="15" t="inlineStr">
        <is>
          <t>No issue found</t>
        </is>
      </c>
      <c r="AA1361" s="15" t="inlineStr">
        <is>
          <t>Business Standard lists the company but shows no issue dates; web search limit reached</t>
        </is>
      </c>
      <c r="AB1361" s="18" t="inlineStr">
        <is>
          <t>https://www.business-standard.com/markets/ipo/acb-india-ltd-ipo-34883</t>
        </is>
      </c>
    </row>
    <row r="1362" ht="15" customHeight="1" s="12">
      <c r="A1362" s="14" t="n">
        <v>1361</v>
      </c>
      <c r="B1362" s="16" t="n">
        <v>41443</v>
      </c>
      <c r="C1362" s="15" t="n">
        <v>2013</v>
      </c>
      <c r="D1362" s="15" t="inlineStr">
        <is>
          <t>Intas Pharmaceuticals Limited</t>
        </is>
      </c>
      <c r="E1362" s="15" t="inlineStr">
        <is>
          <t>DRHP</t>
        </is>
      </c>
      <c r="F1362" s="15" t="inlineStr">
        <is>
          <t>Intas Pharmaceuticals Limited</t>
        </is>
      </c>
      <c r="G1362" s="15" t="inlineStr">
        <is>
          <t>No launched IPO found</t>
        </is>
      </c>
      <c r="H1362" s="15" t="n"/>
      <c r="I1362" s="16" t="n"/>
      <c r="J1362" s="16" t="n"/>
      <c r="K1362" s="16" t="n"/>
      <c r="L1362" s="17" t="n"/>
      <c r="M1362" s="17" t="n"/>
      <c r="N1362" s="17" t="n"/>
      <c r="O1362" s="15" t="n"/>
      <c r="P1362" s="15" t="n"/>
      <c r="Q1362" s="18" t="inlineStr">
        <is>
          <t>https://www.sebi.gov.in/sebi_data/attachdocs/1371534868962.pdf</t>
        </is>
      </c>
      <c r="R1362" s="18" t="inlineStr">
        <is>
          <t>https://www.sebi.gov.in/filings/public-issues/jun-2013/intas-pharmaceuticals-limited_24908.html</t>
        </is>
      </c>
      <c r="S1362" s="15" t="n"/>
      <c r="T1362" s="15" t="n"/>
      <c r="U1362" s="15" t="n"/>
      <c r="V1362" s="15" t="n"/>
      <c r="W1362" s="16" t="n"/>
      <c r="X1362" s="16" t="n"/>
      <c r="Y1362" s="16" t="n"/>
      <c r="Z1362" s="15" t="inlineStr">
        <is>
          <t>No issue found</t>
        </is>
      </c>
      <c r="AA1362" s="15" t="inlineStr">
        <is>
          <t>Drew back from IPO; remains unlisted</t>
        </is>
      </c>
      <c r="AB1362" s="18" t="inlineStr">
        <is>
          <t>https://www.business-standard.com/markets/ipo/intas-pharmaceuticals-ltd-ipo-19969</t>
        </is>
      </c>
    </row>
    <row r="1363" ht="15" customHeight="1" s="12">
      <c r="A1363" s="14" t="n">
        <v>1362</v>
      </c>
      <c r="B1363" s="16" t="n">
        <v>41411</v>
      </c>
      <c r="C1363" s="15" t="n">
        <v>2013</v>
      </c>
      <c r="D1363" s="15" t="inlineStr">
        <is>
          <t>State Bank of Mysore</t>
        </is>
      </c>
      <c r="E1363" s="15" t="inlineStr">
        <is>
          <t>DRHP</t>
        </is>
      </c>
      <c r="F1363" s="15" t="inlineStr">
        <is>
          <t>State Bank of Mysore</t>
        </is>
      </c>
      <c r="G1363" s="15" t="inlineStr">
        <is>
          <t>No launched IPO found</t>
        </is>
      </c>
      <c r="H1363" s="15" t="n"/>
      <c r="I1363" s="16" t="n"/>
      <c r="J1363" s="16" t="n"/>
      <c r="K1363" s="16" t="n"/>
      <c r="L1363" s="17" t="n"/>
      <c r="M1363" s="17" t="n"/>
      <c r="N1363" s="17" t="n"/>
      <c r="O1363" s="15" t="n"/>
      <c r="P1363" s="15" t="n"/>
      <c r="Q1363" s="18" t="inlineStr">
        <is>
          <t>https://www.sebi.gov.in/sebi_data/attachdocs/1368786390318.pdf</t>
        </is>
      </c>
      <c r="R1363" s="18" t="inlineStr">
        <is>
          <t>https://www.sebi.gov.in/filings/public-issues/may-2013/state-bank-of-mysore_24781.html</t>
        </is>
      </c>
      <c r="S1363" s="15" t="n"/>
      <c r="T1363" s="15" t="n"/>
      <c r="U1363" s="15" t="n"/>
      <c r="V1363" s="15" t="n"/>
      <c r="W1363" s="16" t="n"/>
      <c r="X1363" s="16" t="n"/>
      <c r="Y1363" s="16" t="n"/>
      <c r="Z1363" s="15" t="inlineStr">
        <is>
          <t>No issue found</t>
        </is>
      </c>
      <c r="AA1363" s="15" t="inlineStr">
        <is>
          <t>Institutional Placement Programme, offer document dated 2013-06-04, price Rs545; exact dates not retrieved</t>
        </is>
      </c>
      <c r="AB1363" s="18" t="inlineStr">
        <is>
          <t>https://www.sebi.gov.in/sebi_data/attachdocs/1370593788801.pdf</t>
        </is>
      </c>
    </row>
    <row r="1364" ht="15" customHeight="1" s="12">
      <c r="A1364" s="14" t="n">
        <v>1363</v>
      </c>
      <c r="B1364" s="16" t="n">
        <v>41401</v>
      </c>
      <c r="C1364" s="15" t="n">
        <v>2013</v>
      </c>
      <c r="D1364" s="15" t="inlineStr">
        <is>
          <t>DLF Limited</t>
        </is>
      </c>
      <c r="E1364" s="15" t="inlineStr">
        <is>
          <t>DRHP</t>
        </is>
      </c>
      <c r="F1364" s="15" t="inlineStr">
        <is>
          <t>DLF Limited</t>
        </is>
      </c>
      <c r="G1364" s="15" t="inlineStr">
        <is>
          <t>No launched IPO found</t>
        </is>
      </c>
      <c r="H1364" s="15" t="n"/>
      <c r="I1364" s="16" t="n"/>
      <c r="J1364" s="16" t="n"/>
      <c r="K1364" s="16" t="n"/>
      <c r="L1364" s="17" t="n"/>
      <c r="M1364" s="17" t="n"/>
      <c r="N1364" s="17" t="n"/>
      <c r="O1364" s="15" t="n"/>
      <c r="P1364" s="15" t="n"/>
      <c r="Q1364" s="18" t="inlineStr">
        <is>
          <t>https://www.sebi.gov.in/sebi_data/attachdocs/1367904996093.pdf</t>
        </is>
      </c>
      <c r="R1364" s="18" t="inlineStr">
        <is>
          <t>https://www.sebi.gov.in/filings/public-issues/may-2013/dlf-limited_24712.html</t>
        </is>
      </c>
      <c r="S1364" s="15" t="n"/>
      <c r="T1364" s="15" t="n"/>
      <c r="U1364" s="15" t="n"/>
      <c r="V1364" s="15" t="n"/>
      <c r="W1364" s="16" t="n"/>
      <c r="X1364" s="16" t="n"/>
      <c r="Y1364" s="16" t="n"/>
      <c r="Z1364" s="15" t="inlineStr">
        <is>
          <t>No issue found</t>
        </is>
      </c>
      <c r="AA1364" s="15" t="inlineStr">
        <is>
          <t>Only IPO was 2007 (before filing); no 2013 issue found in search</t>
        </is>
      </c>
      <c r="AB1364" s="18" t="inlineStr">
        <is>
          <t>https://www.chittorgarh.com/ipo/dlf_ipo/86/</t>
        </is>
      </c>
    </row>
    <row r="1365" ht="15" customHeight="1" s="12">
      <c r="A1365" s="14" t="n">
        <v>1364</v>
      </c>
      <c r="B1365" s="16" t="n">
        <v>41401</v>
      </c>
      <c r="C1365" s="15" t="n">
        <v>2013</v>
      </c>
      <c r="D1365" s="15" t="inlineStr">
        <is>
          <t>Fortis Healthcare Limited</t>
        </is>
      </c>
      <c r="E1365" s="15" t="inlineStr">
        <is>
          <t>DRHP</t>
        </is>
      </c>
      <c r="F1365" s="15" t="inlineStr">
        <is>
          <t>Fortis Healthcare Limited</t>
        </is>
      </c>
      <c r="G1365" s="15" t="inlineStr">
        <is>
          <t>No launched IPO found</t>
        </is>
      </c>
      <c r="H1365" s="15" t="n"/>
      <c r="I1365" s="16" t="n"/>
      <c r="J1365" s="16" t="n"/>
      <c r="K1365" s="16" t="n"/>
      <c r="L1365" s="17" t="n"/>
      <c r="M1365" s="17" t="n"/>
      <c r="N1365" s="17" t="n"/>
      <c r="O1365" s="15" t="n"/>
      <c r="P1365" s="15" t="n"/>
      <c r="Q1365" s="18" t="inlineStr">
        <is>
          <t>https://www.sebi.gov.in/sebi_data/attachdocs/1367985961896.pdf</t>
        </is>
      </c>
      <c r="R1365" s="18" t="inlineStr">
        <is>
          <t>https://www.sebi.gov.in/filings/public-issues/may-2013/fortis-healthcare-limited_24722.html</t>
        </is>
      </c>
      <c r="S1365" s="15" t="n"/>
      <c r="T1365" s="15" t="n"/>
      <c r="U1365" s="15" t="n"/>
      <c r="V1365" s="15" t="inlineStr">
        <is>
          <t>Same-name IPO opened 16-Apr-2007 — outside 2 years of this filing, so not linked</t>
        </is>
      </c>
      <c r="W1365" s="16" t="n"/>
      <c r="X1365" s="16" t="n"/>
      <c r="Y1365" s="16" t="n"/>
      <c r="Z1365" s="15" t="inlineStr">
        <is>
          <t>No issue found</t>
        </is>
      </c>
      <c r="AA1365" s="15" t="inlineStr">
        <is>
          <t>IPO opened 2007-04-16, before first_filed 2007-04-19; no later public issue found.</t>
        </is>
      </c>
      <c r="AB1365" s="18" t="inlineStr">
        <is>
          <t>https://www.chittorgarh.com/ipo/x/76/</t>
        </is>
      </c>
    </row>
    <row r="1366" ht="15" customHeight="1" s="12">
      <c r="A1366" s="14" t="n">
        <v>1365</v>
      </c>
      <c r="B1366" s="16" t="n">
        <v>41382</v>
      </c>
      <c r="C1366" s="15" t="n">
        <v>2013</v>
      </c>
      <c r="D1366" s="15" t="inlineStr">
        <is>
          <t>Wonderla Holidays Limited</t>
        </is>
      </c>
      <c r="E1366" s="15" t="inlineStr">
        <is>
          <t>DRHP</t>
        </is>
      </c>
      <c r="F1366" s="15" t="inlineStr">
        <is>
          <t>Wonderla Holidays Limited</t>
        </is>
      </c>
      <c r="G1366" s="15" t="inlineStr">
        <is>
          <t>IPO launched</t>
        </is>
      </c>
      <c r="H1366" s="15" t="inlineStr">
        <is>
          <t>Mainboard</t>
        </is>
      </c>
      <c r="I1366" s="16" t="n">
        <v>41750</v>
      </c>
      <c r="J1366" s="16" t="n">
        <v>41752</v>
      </c>
      <c r="K1366" s="16" t="n"/>
      <c r="L1366" s="17" t="n">
        <v>181.25</v>
      </c>
      <c r="M1366" s="17" t="n">
        <v>181.25</v>
      </c>
      <c r="N1366" s="17" t="n">
        <v>0</v>
      </c>
      <c r="O1366" s="15" t="inlineStr">
        <is>
          <t>Final issue (ipoplatform)</t>
        </is>
      </c>
      <c r="P1366" s="15" t="n"/>
      <c r="Q1366" s="18" t="inlineStr">
        <is>
          <t>https://www.sebi.gov.in/sebi_data/attachdocs/1366268567671.pdf</t>
        </is>
      </c>
      <c r="R1366" s="18" t="inlineStr">
        <is>
          <t>https://www.sebi.gov.in/filings/public-issues/apr-2013/wonderla-holidays-limited_24637.html</t>
        </is>
      </c>
      <c r="S1366" s="15" t="n"/>
      <c r="T1366" s="15" t="inlineStr">
        <is>
          <t>SEBI filing link</t>
        </is>
      </c>
      <c r="U1366" s="15" t="inlineStr">
        <is>
          <t>Wonderla Holidays Limited</t>
        </is>
      </c>
      <c r="V1366" s="15" t="inlineStr">
        <is>
          <t>CHECK — source close/listing date inconsistent with open date</t>
        </is>
      </c>
      <c r="W1366" s="15" t="n"/>
      <c r="X1366" s="15" t="n"/>
      <c r="Y1366" s="15" t="n"/>
      <c r="Z1366" s="15" t="n"/>
      <c r="AA1366" s="15" t="n"/>
      <c r="AB1366" s="15" t="n"/>
    </row>
    <row r="1367" ht="15" customHeight="1" s="12">
      <c r="A1367" s="14" t="n">
        <v>1366</v>
      </c>
      <c r="B1367" s="16" t="n">
        <v>41366</v>
      </c>
      <c r="C1367" s="15" t="n">
        <v>2013</v>
      </c>
      <c r="D1367" s="15" t="inlineStr">
        <is>
          <t>Advanced Enzyme Technologies Limited</t>
        </is>
      </c>
      <c r="E1367" s="15" t="inlineStr">
        <is>
          <t>DRHP</t>
        </is>
      </c>
      <c r="F1367" s="15" t="inlineStr">
        <is>
          <t>Advanced Enzyme Technologies Limited</t>
        </is>
      </c>
      <c r="G1367" s="15" t="inlineStr">
        <is>
          <t>No launched IPO found</t>
        </is>
      </c>
      <c r="H1367" s="15" t="n"/>
      <c r="I1367" s="16" t="n"/>
      <c r="J1367" s="16" t="n"/>
      <c r="K1367" s="16" t="n"/>
      <c r="L1367" s="17" t="n"/>
      <c r="M1367" s="17" t="n"/>
      <c r="N1367" s="17" t="n"/>
      <c r="O1367" s="15" t="n"/>
      <c r="P1367" s="15" t="n"/>
      <c r="Q1367" s="18" t="inlineStr">
        <is>
          <t>https://www.sebi.gov.in/sebi_data/attachdocs/1364893351986.pdf</t>
        </is>
      </c>
      <c r="R1367" s="18" t="inlineStr">
        <is>
          <t>https://www.sebi.gov.in/filings/public-issues/apr-2013/advanced-enzyme-technologies-limited_24561.html</t>
        </is>
      </c>
      <c r="S1367" s="15" t="n"/>
      <c r="T1367" s="15" t="n"/>
      <c r="U1367" s="15" t="n"/>
      <c r="V1367" s="15" t="inlineStr">
        <is>
          <t>Same-name IPO opened 20-Jul-2016 — outside 2 years of this filing, so not linked</t>
        </is>
      </c>
      <c r="W1367" s="25" t="n">
        <v>42571</v>
      </c>
      <c r="X1367" s="25" t="n">
        <v>42573</v>
      </c>
      <c r="Y1367" s="25" t="n">
        <v>42583</v>
      </c>
      <c r="Z1367" s="26" t="inlineStr">
        <is>
          <t>Later IPO — not from this draft</t>
        </is>
      </c>
      <c r="AA1367" s="15" t="inlineStr">
        <is>
          <t>IPO opened about 3.3 years after 2013 filing</t>
        </is>
      </c>
      <c r="AB1367" s="18" t="inlineStr">
        <is>
          <t>https://www.chittorgarh.com/ipo/advanced_enzyme_ipo/560/</t>
        </is>
      </c>
    </row>
    <row r="1368" ht="15" customHeight="1" s="12">
      <c r="A1368" s="14" t="n">
        <v>1367</v>
      </c>
      <c r="B1368" s="16" t="n">
        <v>41365</v>
      </c>
      <c r="C1368" s="15" t="n">
        <v>2013</v>
      </c>
      <c r="D1368" s="15" t="inlineStr">
        <is>
          <t>NCML Industries Limited</t>
        </is>
      </c>
      <c r="E1368" s="15" t="inlineStr">
        <is>
          <t>DRHP</t>
        </is>
      </c>
      <c r="F1368" s="15" t="inlineStr">
        <is>
          <t>NCML Industries Limited</t>
        </is>
      </c>
      <c r="G1368" s="15" t="inlineStr">
        <is>
          <t>No launched IPO found</t>
        </is>
      </c>
      <c r="H1368" s="15" t="n"/>
      <c r="I1368" s="16" t="n"/>
      <c r="J1368" s="16" t="n"/>
      <c r="K1368" s="16" t="n"/>
      <c r="L1368" s="17" t="n"/>
      <c r="M1368" s="17" t="n"/>
      <c r="N1368" s="17" t="n"/>
      <c r="O1368" s="15" t="n"/>
      <c r="P1368" s="15" t="n"/>
      <c r="Q1368" s="18" t="inlineStr">
        <is>
          <t>https://www.sebi.gov.in/sebi_data/attachdocs/1364794031230.pdf</t>
        </is>
      </c>
      <c r="R1368" s="18" t="inlineStr">
        <is>
          <t>https://www.sebi.gov.in/filings/public-issues/apr-2013/ncml-industries-limited_24542.html</t>
        </is>
      </c>
      <c r="S1368" s="15" t="n"/>
      <c r="T1368" s="15" t="n"/>
      <c r="U1368" s="15" t="n"/>
      <c r="V1368" s="15" t="n"/>
      <c r="W1368" s="19" t="n">
        <v>42002</v>
      </c>
      <c r="X1368" s="19" t="n">
        <v>42013</v>
      </c>
      <c r="Y1368" s="19" t="n"/>
      <c r="Z1368" s="20" t="inlineStr">
        <is>
          <t>Issue opened</t>
        </is>
      </c>
      <c r="AA1368" s="15" t="inlineStr">
        <is>
          <t>Matched on chittorgarh.com</t>
        </is>
      </c>
      <c r="AB1368" s="18" t="inlineStr">
        <is>
          <t>https://www.chittorgarh.com/ipo/ncml_industries_ipo/451/</t>
        </is>
      </c>
    </row>
    <row r="1369" ht="15" customHeight="1" s="12">
      <c r="A1369" s="14" t="n">
        <v>1368</v>
      </c>
      <c r="B1369" s="16" t="n">
        <v>41361</v>
      </c>
      <c r="C1369" s="15" t="n">
        <v>2013</v>
      </c>
      <c r="D1369" s="15" t="inlineStr">
        <is>
          <t>Aastha Minmet (India) Limited</t>
        </is>
      </c>
      <c r="E1369" s="15" t="inlineStr">
        <is>
          <t>DRHP</t>
        </is>
      </c>
      <c r="F1369" s="15" t="inlineStr">
        <is>
          <t>Aastha Minmet (India) Limited</t>
        </is>
      </c>
      <c r="G1369" s="15" t="inlineStr">
        <is>
          <t>No launched IPO found</t>
        </is>
      </c>
      <c r="H1369" s="15" t="n"/>
      <c r="I1369" s="16" t="n"/>
      <c r="J1369" s="16" t="n"/>
      <c r="K1369" s="16" t="n"/>
      <c r="L1369" s="17" t="n"/>
      <c r="M1369" s="17" t="n"/>
      <c r="N1369" s="17" t="n"/>
      <c r="O1369" s="15" t="n"/>
      <c r="P1369" s="15" t="n"/>
      <c r="Q1369" s="18" t="inlineStr">
        <is>
          <t>https://www.sebi.gov.in/sebi_data/attachdocs/1364455619593.pdf</t>
        </is>
      </c>
      <c r="R1369" s="18" t="inlineStr">
        <is>
          <t>https://www.sebi.gov.in/filings/public-issues/mar-2013/aastha-minmet-india-limited_24525.html</t>
        </is>
      </c>
      <c r="S1369" s="15" t="n"/>
      <c r="T1369" s="15" t="n"/>
      <c r="U1369" s="15" t="n"/>
      <c r="V1369" s="15" t="n"/>
      <c r="W1369" s="16" t="n"/>
      <c r="X1369" s="16" t="n"/>
      <c r="Y1369" s="16" t="n"/>
      <c r="Z1369" s="15" t="inlineStr">
        <is>
          <t>No issue found</t>
        </is>
      </c>
      <c r="AA1369" s="15" t="inlineStr">
        <is>
          <t>Only 2013 draft prospectus found; no issue</t>
        </is>
      </c>
      <c r="AB1369" s="15" t="n"/>
    </row>
    <row r="1370" ht="15" customHeight="1" s="12">
      <c r="A1370" s="14" t="n">
        <v>1369</v>
      </c>
      <c r="B1370" s="16" t="n">
        <v>41344</v>
      </c>
      <c r="C1370" s="15" t="n">
        <v>2013</v>
      </c>
      <c r="D1370" s="15" t="inlineStr">
        <is>
          <t>Jyoti CNC Automation Ltd</t>
        </is>
      </c>
      <c r="E1370" s="15" t="inlineStr">
        <is>
          <t>DRHP</t>
        </is>
      </c>
      <c r="F1370" s="15" t="inlineStr">
        <is>
          <t>Jyoti CNC Automation Ltd</t>
        </is>
      </c>
      <c r="G1370" s="15" t="inlineStr">
        <is>
          <t>No launched IPO found</t>
        </is>
      </c>
      <c r="H1370" s="15" t="n"/>
      <c r="I1370" s="16" t="n"/>
      <c r="J1370" s="16" t="n"/>
      <c r="K1370" s="16" t="n"/>
      <c r="L1370" s="17" t="n"/>
      <c r="M1370" s="17" t="n"/>
      <c r="N1370" s="17" t="n"/>
      <c r="O1370" s="15" t="n"/>
      <c r="P1370" s="15" t="n"/>
      <c r="Q1370" s="18" t="inlineStr">
        <is>
          <t>https://www.sebi.gov.in/sebi_data/attachdocs/1362981537666.pdf</t>
        </is>
      </c>
      <c r="R1370" s="18" t="inlineStr">
        <is>
          <t>https://www.sebi.gov.in/filings/public-issues/mar-2013/jyoti-cnc-automation-ltd_24427.html</t>
        </is>
      </c>
      <c r="S1370" s="15" t="n"/>
      <c r="T1370" s="15" t="n"/>
      <c r="U1370" s="15" t="n"/>
      <c r="V1370" s="15" t="inlineStr">
        <is>
          <t>Same-name IPO opened 09-Jan-2024 — outside 2 years of this filing, so not linked</t>
        </is>
      </c>
      <c r="W1370" s="25" t="n">
        <v>45300</v>
      </c>
      <c r="X1370" s="25" t="n">
        <v>45302</v>
      </c>
      <c r="Y1370" s="25" t="n">
        <v>45307</v>
      </c>
      <c r="Z1370" s="26" t="inlineStr">
        <is>
          <t>Later IPO — not from this draft</t>
        </is>
      </c>
      <c r="AA1370" s="15" t="inlineStr">
        <is>
          <t>IPO opened over 10 years after 2013 DRHP (fresh later DRHP)</t>
        </is>
      </c>
      <c r="AB1370" s="18" t="inlineStr">
        <is>
          <t>https://www.chittorgarh.com/ipo/jyoti-cnc-automation-ipo/1611/</t>
        </is>
      </c>
    </row>
    <row r="1371" ht="15" customHeight="1" s="12">
      <c r="A1371" s="14" t="n">
        <v>1370</v>
      </c>
      <c r="B1371" s="16" t="n">
        <v>41340</v>
      </c>
      <c r="C1371" s="15" t="n">
        <v>2013</v>
      </c>
      <c r="D1371" s="15" t="inlineStr">
        <is>
          <t>BSCPL Infrastructure Limited</t>
        </is>
      </c>
      <c r="E1371" s="15" t="inlineStr">
        <is>
          <t>DRHP</t>
        </is>
      </c>
      <c r="F1371" s="15" t="inlineStr">
        <is>
          <t>BSCPL Infrastructure Limited</t>
        </is>
      </c>
      <c r="G1371" s="15" t="inlineStr">
        <is>
          <t>No launched IPO found</t>
        </is>
      </c>
      <c r="H1371" s="15" t="n"/>
      <c r="I1371" s="16" t="n"/>
      <c r="J1371" s="16" t="n"/>
      <c r="K1371" s="16" t="n"/>
      <c r="L1371" s="17" t="n"/>
      <c r="M1371" s="17" t="n"/>
      <c r="N1371" s="17" t="n"/>
      <c r="O1371" s="15" t="n"/>
      <c r="P1371" s="15" t="n"/>
      <c r="Q1371" s="18" t="inlineStr">
        <is>
          <t>https://www.sebi.gov.in/sebi_data/attachdocs/1362648383849.pdf</t>
        </is>
      </c>
      <c r="R1371" s="18" t="inlineStr">
        <is>
          <t>https://www.sebi.gov.in/filings/public-issues/mar-2013/bscpl-infrastructure-limited_24411.html</t>
        </is>
      </c>
      <c r="S1371" s="15" t="n"/>
      <c r="T1371" s="15" t="n"/>
      <c r="U1371" s="15" t="n"/>
      <c r="V1371" s="15" t="n"/>
      <c r="W1371" s="16" t="n"/>
      <c r="X1371" s="16" t="n"/>
      <c r="Y1371" s="16" t="n"/>
      <c r="Z1371" s="15" t="inlineStr">
        <is>
          <t>No issue found</t>
        </is>
      </c>
      <c r="AA1371" s="15" t="inlineStr">
        <is>
          <t>Still unlisted; no IPO found</t>
        </is>
      </c>
      <c r="AB1371" s="18" t="inlineStr">
        <is>
          <t>https://www.zaubacorp.com/BSCPL-INFRASTRUCTURE-LIMITED-U45203TG1998PLC029154</t>
        </is>
      </c>
    </row>
    <row r="1372" ht="15" customHeight="1" s="12">
      <c r="A1372" s="14" t="n">
        <v>1371</v>
      </c>
      <c r="B1372" s="16" t="n">
        <v>41305</v>
      </c>
      <c r="C1372" s="15" t="n">
        <v>2013</v>
      </c>
      <c r="D1372" s="15" t="inlineStr">
        <is>
          <t>Ortel Communications Limited</t>
        </is>
      </c>
      <c r="E1372" s="15" t="inlineStr">
        <is>
          <t>DRHP</t>
        </is>
      </c>
      <c r="F1372" s="15" t="inlineStr">
        <is>
          <t>Ortel Communications Limited</t>
        </is>
      </c>
      <c r="G1372" s="15" t="inlineStr">
        <is>
          <t>No launched IPO found</t>
        </is>
      </c>
      <c r="H1372" s="15" t="n"/>
      <c r="I1372" s="16" t="n"/>
      <c r="J1372" s="16" t="n"/>
      <c r="K1372" s="16" t="n"/>
      <c r="L1372" s="17" t="n"/>
      <c r="M1372" s="17" t="n"/>
      <c r="N1372" s="17" t="n"/>
      <c r="O1372" s="15" t="n"/>
      <c r="P1372" s="15" t="n"/>
      <c r="Q1372" s="18" t="inlineStr">
        <is>
          <t>https://www.sebi.gov.in/sebi_data/attachdocs/1360668712242.pdf</t>
        </is>
      </c>
      <c r="R1372" s="18" t="inlineStr">
        <is>
          <t>https://www.sebi.gov.in/filings/public-issues/jan-2013/ortel-communications-limited_24237.html</t>
        </is>
      </c>
      <c r="S1372" s="15" t="n"/>
      <c r="T1372" s="15" t="n"/>
      <c r="U1372" s="15" t="n"/>
      <c r="V1372" s="15" t="inlineStr">
        <is>
          <t>Same-name IPO opened 03-Mar-2015 — outside 2 years of this filing, so not linked</t>
        </is>
      </c>
      <c r="W1372" s="19" t="n">
        <v>42066</v>
      </c>
      <c r="X1372" s="19" t="n">
        <v>42068</v>
      </c>
      <c r="Y1372" s="19" t="n"/>
      <c r="Z1372" s="20" t="inlineStr">
        <is>
          <t>Issue opened</t>
        </is>
      </c>
      <c r="AA1372" s="15" t="inlineStr">
        <is>
          <t>Matched on chittorgarh.com</t>
        </is>
      </c>
      <c r="AB1372" s="18" t="inlineStr">
        <is>
          <t>https://www.chittorgarh.com/ipo/ortel_communications_ipo/455/</t>
        </is>
      </c>
    </row>
    <row r="1373" ht="15" customHeight="1" s="12">
      <c r="A1373" s="14" t="n">
        <v>1372</v>
      </c>
      <c r="B1373" s="16" t="n">
        <v>41263</v>
      </c>
      <c r="C1373" s="15" t="n">
        <v>2012</v>
      </c>
      <c r="D1373" s="15" t="inlineStr">
        <is>
          <t>Loha Ispaat Limited</t>
        </is>
      </c>
      <c r="E1373" s="15" t="inlineStr">
        <is>
          <t>DRHP</t>
        </is>
      </c>
      <c r="F1373" s="15" t="inlineStr">
        <is>
          <t>Loha Ispaat Limited</t>
        </is>
      </c>
      <c r="G1373" s="15" t="inlineStr">
        <is>
          <t>No launched IPO found</t>
        </is>
      </c>
      <c r="H1373" s="15" t="n"/>
      <c r="I1373" s="16" t="n"/>
      <c r="J1373" s="16" t="n"/>
      <c r="K1373" s="16" t="n"/>
      <c r="L1373" s="17" t="n"/>
      <c r="M1373" s="17" t="n"/>
      <c r="N1373" s="17" t="n"/>
      <c r="O1373" s="15" t="n"/>
      <c r="P1373" s="15" t="n"/>
      <c r="Q1373" s="18" t="inlineStr">
        <is>
          <t>https://www.sebi.gov.in/sebi_data/attachdocs/1356001396781.pdf</t>
        </is>
      </c>
      <c r="R1373" s="18" t="inlineStr">
        <is>
          <t>https://www.sebi.gov.in/filings/public-issues/dec-2012/loha-ispaat-limited_23996.html</t>
        </is>
      </c>
      <c r="S1373" s="15" t="n"/>
      <c r="T1373" s="15" t="n"/>
      <c r="U1373" s="15" t="n"/>
      <c r="V1373" s="15" t="n"/>
      <c r="W1373" s="19" t="n">
        <v>41709</v>
      </c>
      <c r="X1373" s="19" t="n">
        <v>41723</v>
      </c>
      <c r="Y1373" s="19" t="n"/>
      <c r="Z1373" s="20" t="inlineStr">
        <is>
          <t>Issue opened</t>
        </is>
      </c>
      <c r="AA1373" s="15" t="inlineStr">
        <is>
          <t>Matched on chittorgarh.com</t>
        </is>
      </c>
      <c r="AB1373" s="18" t="inlineStr">
        <is>
          <t>https://www.chittorgarh.com/ipo/loha_ispaat_ipo/413/</t>
        </is>
      </c>
    </row>
    <row r="1374" ht="15" customHeight="1" s="12">
      <c r="A1374" s="14" t="n">
        <v>1373</v>
      </c>
      <c r="B1374" s="16" t="n">
        <v>41260</v>
      </c>
      <c r="C1374" s="15" t="n">
        <v>2012</v>
      </c>
      <c r="D1374" s="15" t="inlineStr">
        <is>
          <t>Bharat Business Channel Limited</t>
        </is>
      </c>
      <c r="E1374" s="15" t="inlineStr">
        <is>
          <t>DRHP</t>
        </is>
      </c>
      <c r="F1374" s="15" t="inlineStr">
        <is>
          <t>Bharat Business Channel Limited</t>
        </is>
      </c>
      <c r="G1374" s="15" t="inlineStr">
        <is>
          <t>No launched IPO found</t>
        </is>
      </c>
      <c r="H1374" s="15" t="n"/>
      <c r="I1374" s="16" t="n"/>
      <c r="J1374" s="16" t="n"/>
      <c r="K1374" s="16" t="n"/>
      <c r="L1374" s="17" t="n"/>
      <c r="M1374" s="17" t="n"/>
      <c r="N1374" s="17" t="n"/>
      <c r="O1374" s="15" t="n"/>
      <c r="P1374" s="15" t="n"/>
      <c r="Q1374" s="18" t="inlineStr">
        <is>
          <t>https://www.sebi.gov.in/sebi_data/attachdocs/1355742612093.pdf</t>
        </is>
      </c>
      <c r="R1374" s="18" t="inlineStr">
        <is>
          <t>https://www.sebi.gov.in/filings/public-issues/dec-2012/bharat-business-channel-limited_23965.html</t>
        </is>
      </c>
      <c r="S1374" s="15" t="n"/>
      <c r="T1374" s="15" t="n"/>
      <c r="U1374" s="15" t="n"/>
      <c r="V1374" s="15" t="n"/>
      <c r="W1374" s="16" t="n"/>
      <c r="X1374" s="16" t="n"/>
      <c r="Y1374" s="16" t="n"/>
      <c r="Z1374" s="15" t="inlineStr">
        <is>
          <t>No issue found</t>
        </is>
      </c>
      <c r="AA1374" s="15" t="inlineStr">
        <is>
          <t>No IPO found in search</t>
        </is>
      </c>
      <c r="AB1374" s="15" t="n"/>
    </row>
    <row r="1375" ht="15" customHeight="1" s="12">
      <c r="A1375" s="14" t="n">
        <v>1374</v>
      </c>
      <c r="B1375" s="16" t="n">
        <v>41242</v>
      </c>
      <c r="C1375" s="15" t="n">
        <v>2012</v>
      </c>
      <c r="D1375" s="15" t="inlineStr">
        <is>
          <t>Madhya Bharat Agro Products Ltd</t>
        </is>
      </c>
      <c r="E1375" s="15" t="inlineStr">
        <is>
          <t>DRHP</t>
        </is>
      </c>
      <c r="F1375" s="15" t="inlineStr">
        <is>
          <t>Madhya Bharat Agro Products Ltd</t>
        </is>
      </c>
      <c r="G1375" s="15" t="inlineStr">
        <is>
          <t>No launched IPO found</t>
        </is>
      </c>
      <c r="H1375" s="15" t="n"/>
      <c r="I1375" s="16" t="n"/>
      <c r="J1375" s="16" t="n"/>
      <c r="K1375" s="16" t="n"/>
      <c r="L1375" s="17" t="n"/>
      <c r="M1375" s="17" t="n"/>
      <c r="N1375" s="17" t="n"/>
      <c r="O1375" s="15" t="n"/>
      <c r="P1375" s="15" t="n"/>
      <c r="Q1375" s="18" t="inlineStr">
        <is>
          <t>https://www.sebi.gov.in/sebi_data/attachdocs/1354170859938.pdf</t>
        </is>
      </c>
      <c r="R1375" s="18" t="inlineStr">
        <is>
          <t>https://www.sebi.gov.in/filings/public-issues/nov-2012/madhya-bharat-agro-products-ltd_23853.html</t>
        </is>
      </c>
      <c r="S1375" s="15" t="n"/>
      <c r="T1375" s="15" t="n"/>
      <c r="U1375" s="15" t="n"/>
      <c r="V1375" s="15" t="inlineStr">
        <is>
          <t>Same-name IPO opened 29-Aug-2016 — outside 2 years of this filing, so not linked</t>
        </is>
      </c>
      <c r="W1375" s="25" t="n">
        <v>42611</v>
      </c>
      <c r="X1375" s="25" t="n">
        <v>42615</v>
      </c>
      <c r="Y1375" s="25" t="n">
        <v>42625</v>
      </c>
      <c r="Z1375" s="26" t="inlineStr">
        <is>
          <t>Later IPO — not from this draft</t>
        </is>
      </c>
      <c r="AA1375" s="15" t="inlineStr">
        <is>
          <t>Opened 3.7 yrs after this filing, under a later draft</t>
        </is>
      </c>
      <c r="AB1375" s="18" t="inlineStr">
        <is>
          <t>https://www.business-standard.com/markets/ipo/madhya-bharat-agro-products-ltd-ipo-41290</t>
        </is>
      </c>
    </row>
    <row r="1376" ht="15" customHeight="1" s="12">
      <c r="A1376" s="14" t="n">
        <v>1375</v>
      </c>
      <c r="B1376" s="16" t="n">
        <v>41215</v>
      </c>
      <c r="C1376" s="15" t="n">
        <v>2012</v>
      </c>
      <c r="D1376" s="15" t="inlineStr">
        <is>
          <t>SMC Global Securities Limited</t>
        </is>
      </c>
      <c r="E1376" s="15" t="inlineStr">
        <is>
          <t>DRHP</t>
        </is>
      </c>
      <c r="F1376" s="15" t="inlineStr">
        <is>
          <t>SMC Global Securities Limited</t>
        </is>
      </c>
      <c r="G1376" s="15" t="inlineStr">
        <is>
          <t>No launched IPO found</t>
        </is>
      </c>
      <c r="H1376" s="15" t="n"/>
      <c r="I1376" s="16" t="n"/>
      <c r="J1376" s="16" t="n"/>
      <c r="K1376" s="16" t="n"/>
      <c r="L1376" s="17" t="n"/>
      <c r="M1376" s="17" t="n"/>
      <c r="N1376" s="17" t="n"/>
      <c r="O1376" s="15" t="n"/>
      <c r="P1376" s="15" t="n"/>
      <c r="Q1376" s="18" t="inlineStr">
        <is>
          <t>https://www.sebi.gov.in/sebi_data/attachdocs/1351830030783.pdf</t>
        </is>
      </c>
      <c r="R1376" s="18" t="inlineStr">
        <is>
          <t>https://www.sebi.gov.in/filings/public-issues/nov-2012/smc-global-securities-limited_23694.html</t>
        </is>
      </c>
      <c r="S1376" s="15" t="n"/>
      <c r="T1376" s="15" t="n"/>
      <c r="U1376" s="15" t="n"/>
      <c r="V1376" s="15" t="n"/>
      <c r="W1376" s="16" t="n"/>
      <c r="X1376" s="16" t="n"/>
      <c r="Y1376" s="16" t="n"/>
      <c r="Z1376" s="15" t="inlineStr">
        <is>
          <t>No issue found</t>
        </is>
      </c>
      <c r="AA1376" s="15" t="inlineStr">
        <is>
          <t>Business Standard lists the company but shows no issue dates; web search limit reached</t>
        </is>
      </c>
      <c r="AB1376" s="18" t="inlineStr">
        <is>
          <t>https://www.business-standard.com/markets/ipo/smc-global-securities-ltd-ipo-6691</t>
        </is>
      </c>
    </row>
    <row r="1377" ht="15" customHeight="1" s="12">
      <c r="A1377" s="14" t="n">
        <v>1376</v>
      </c>
      <c r="B1377" s="16" t="n">
        <v>41194</v>
      </c>
      <c r="C1377" s="15" t="n">
        <v>2012</v>
      </c>
      <c r="D1377" s="15" t="inlineStr">
        <is>
          <t>Madhya Bharat Agro Products Ltd</t>
        </is>
      </c>
      <c r="E1377" s="15" t="inlineStr">
        <is>
          <t>DRHP</t>
        </is>
      </c>
      <c r="F1377" s="15" t="inlineStr">
        <is>
          <t>Madhya Bharat Agro Products Ltd</t>
        </is>
      </c>
      <c r="G1377" s="15" t="inlineStr">
        <is>
          <t>No launched IPO found</t>
        </is>
      </c>
      <c r="H1377" s="15" t="n"/>
      <c r="I1377" s="16" t="n"/>
      <c r="J1377" s="16" t="n"/>
      <c r="K1377" s="16" t="n"/>
      <c r="L1377" s="17" t="n"/>
      <c r="M1377" s="17" t="n"/>
      <c r="N1377" s="17" t="n"/>
      <c r="O1377" s="15" t="n"/>
      <c r="P1377" s="15" t="n"/>
      <c r="Q1377" s="18" t="inlineStr">
        <is>
          <t>https://www.sebi.gov.in/sebi_data/attachdocs/1350038027092.pdf</t>
        </is>
      </c>
      <c r="R1377" s="18" t="inlineStr">
        <is>
          <t>https://www.sebi.gov.in/filings/public-issues/oct-2012/madhya-bharat-agro-products-ltd_23622.html</t>
        </is>
      </c>
      <c r="S1377" s="15" t="n"/>
      <c r="T1377" s="15" t="n"/>
      <c r="U1377" s="15" t="n"/>
      <c r="V1377" s="15" t="inlineStr">
        <is>
          <t>Same-name IPO opened 29-Aug-2016 — outside 2 years of this filing, so not linked</t>
        </is>
      </c>
      <c r="W1377" s="25" t="n">
        <v>42611</v>
      </c>
      <c r="X1377" s="25" t="n">
        <v>42615</v>
      </c>
      <c r="Y1377" s="25" t="n">
        <v>42625</v>
      </c>
      <c r="Z1377" s="26" t="inlineStr">
        <is>
          <t>Later IPO — not from this draft</t>
        </is>
      </c>
      <c r="AA1377" s="15" t="inlineStr">
        <is>
          <t>Opened 3.9 yrs after this filing, under a later draft</t>
        </is>
      </c>
      <c r="AB1377" s="18" t="inlineStr">
        <is>
          <t>https://www.business-standard.com/markets/ipo/madhya-bharat-agro-products-ltd-ipo-41290</t>
        </is>
      </c>
    </row>
    <row r="1378" ht="15" customHeight="1" s="12">
      <c r="A1378" s="14" t="n">
        <v>1377</v>
      </c>
      <c r="B1378" s="16" t="n">
        <v>41183</v>
      </c>
      <c r="C1378" s="15" t="n">
        <v>2012</v>
      </c>
      <c r="D1378" s="15" t="inlineStr">
        <is>
          <t>Calyx Chemicals and Pharmaceuticals Limited</t>
        </is>
      </c>
      <c r="E1378" s="15" t="inlineStr">
        <is>
          <t>DRHP</t>
        </is>
      </c>
      <c r="F1378" s="15" t="inlineStr">
        <is>
          <t>Calyx Chemicals and Pharmaceuticals Limited</t>
        </is>
      </c>
      <c r="G1378" s="15" t="inlineStr">
        <is>
          <t>No launched IPO found</t>
        </is>
      </c>
      <c r="H1378" s="15" t="n"/>
      <c r="I1378" s="16" t="n"/>
      <c r="J1378" s="16" t="n"/>
      <c r="K1378" s="16" t="n"/>
      <c r="L1378" s="17" t="n"/>
      <c r="M1378" s="17" t="n"/>
      <c r="N1378" s="17" t="n"/>
      <c r="O1378" s="15" t="n"/>
      <c r="P1378" s="15" t="n"/>
      <c r="Q1378" s="18" t="inlineStr">
        <is>
          <t>https://www.sebi.gov.in/sebi_data/attachdocs/1349088699140.pdf</t>
        </is>
      </c>
      <c r="R1378" s="18" t="inlineStr">
        <is>
          <t>https://www.sebi.gov.in/filings/public-issues/oct-2012/calyx-chemicals-and-pharmaceuticals-limited_23530.html</t>
        </is>
      </c>
      <c r="S1378" s="15" t="n"/>
      <c r="T1378" s="15" t="n"/>
      <c r="U1378" s="15" t="n"/>
      <c r="V1378" s="15" t="n"/>
      <c r="W1378" s="16" t="n"/>
      <c r="X1378" s="16" t="n"/>
      <c r="Y1378" s="16" t="n"/>
      <c r="Z1378" s="15" t="inlineStr">
        <is>
          <t>No issue found</t>
        </is>
      </c>
      <c r="AA1378" s="15" t="inlineStr">
        <is>
          <t>Business Standard lists the company but shows no issue dates; web search limit reached</t>
        </is>
      </c>
      <c r="AB1378" s="18" t="inlineStr">
        <is>
          <t>https://www.business-standard.com/markets/ipo/calyx-chemicals-pharmaceuticals-ltd-ipo-27877</t>
        </is>
      </c>
    </row>
    <row r="1379" ht="15" customHeight="1" s="12">
      <c r="A1379" s="14" t="n">
        <v>1378</v>
      </c>
      <c r="B1379" s="16" t="n">
        <v>41169</v>
      </c>
      <c r="C1379" s="15" t="n">
        <v>2012</v>
      </c>
      <c r="D1379" s="15" t="inlineStr">
        <is>
          <t>Bharti Infratel Limited</t>
        </is>
      </c>
      <c r="E1379" s="15" t="inlineStr">
        <is>
          <t>DRHP</t>
        </is>
      </c>
      <c r="F1379" s="15" t="inlineStr">
        <is>
          <t>Bharti Infratel Limited</t>
        </is>
      </c>
      <c r="G1379" s="15" t="inlineStr">
        <is>
          <t>IPO launched</t>
        </is>
      </c>
      <c r="H1379" s="15" t="inlineStr">
        <is>
          <t>Mainboard</t>
        </is>
      </c>
      <c r="I1379" s="16" t="n">
        <v>41254</v>
      </c>
      <c r="J1379" s="16" t="n">
        <v>41257</v>
      </c>
      <c r="K1379" s="16" t="n">
        <v>41271</v>
      </c>
      <c r="L1379" s="17" t="n">
        <v>4155.8</v>
      </c>
      <c r="M1379" s="17" t="n">
        <v>4155.8</v>
      </c>
      <c r="N1379" s="17" t="n">
        <v>0</v>
      </c>
      <c r="O1379" s="15" t="inlineStr">
        <is>
          <t>Final issue (ipoplatform)</t>
        </is>
      </c>
      <c r="P1379" s="15" t="n"/>
      <c r="Q1379" s="18" t="inlineStr">
        <is>
          <t>https://www.sebi.gov.in/sebi_data/attachdocs/1347880678654.pdf</t>
        </is>
      </c>
      <c r="R1379" s="18" t="inlineStr">
        <is>
          <t>https://www.sebi.gov.in/filings/public-issues/sep-2012/bharti-infratel-limited_23458.html</t>
        </is>
      </c>
      <c r="S1379" s="15" t="n"/>
      <c r="T1379" s="15" t="inlineStr">
        <is>
          <t>SEBI filing link</t>
        </is>
      </c>
      <c r="U1379" s="15" t="inlineStr">
        <is>
          <t>Bharti Infratel Limited</t>
        </is>
      </c>
      <c r="V1379" s="15" t="n"/>
      <c r="W1379" s="15" t="n"/>
      <c r="X1379" s="15" t="n"/>
      <c r="Y1379" s="15" t="n"/>
      <c r="Z1379" s="15" t="n"/>
      <c r="AA1379" s="15" t="n"/>
      <c r="AB1379" s="15" t="n"/>
    </row>
    <row r="1380" ht="15" customHeight="1" s="12">
      <c r="A1380" s="14" t="n">
        <v>1379</v>
      </c>
      <c r="B1380" s="16" t="n">
        <v>41163</v>
      </c>
      <c r="C1380" s="15" t="n">
        <v>2012</v>
      </c>
      <c r="D1380" s="15" t="inlineStr">
        <is>
          <t>G B Tools and Forgings Limited</t>
        </is>
      </c>
      <c r="E1380" s="15" t="inlineStr">
        <is>
          <t>DRHP</t>
        </is>
      </c>
      <c r="F1380" s="15" t="inlineStr">
        <is>
          <t>G B Tools and Forgings Limited</t>
        </is>
      </c>
      <c r="G1380" s="15" t="inlineStr">
        <is>
          <t>No launched IPO found</t>
        </is>
      </c>
      <c r="H1380" s="15" t="n"/>
      <c r="I1380" s="16" t="n"/>
      <c r="J1380" s="16" t="n"/>
      <c r="K1380" s="16" t="n"/>
      <c r="L1380" s="17" t="n"/>
      <c r="M1380" s="17" t="n"/>
      <c r="N1380" s="17" t="n"/>
      <c r="O1380" s="15" t="n"/>
      <c r="P1380" s="15" t="n"/>
      <c r="Q1380" s="18" t="inlineStr">
        <is>
          <t>https://www.sebi.gov.in/sebi_data/attachdocs/1347359177735.pdf</t>
        </is>
      </c>
      <c r="R1380" s="18" t="inlineStr">
        <is>
          <t>https://www.sebi.gov.in/filings/public-issues/sep-2012/g-b-tools-and-forgings-limited_23418.html</t>
        </is>
      </c>
      <c r="S1380" s="15" t="n"/>
      <c r="T1380" s="15" t="n"/>
      <c r="U1380" s="15" t="n"/>
      <c r="V1380" s="15" t="n"/>
      <c r="W1380" s="16" t="n"/>
      <c r="X1380" s="16" t="n"/>
      <c r="Y1380" s="16" t="n"/>
      <c r="Z1380" s="15" t="inlineStr">
        <is>
          <t>No issue found</t>
        </is>
      </c>
      <c r="AA1380" s="15" t="inlineStr">
        <is>
          <t>Business Standard lists the company but shows no issue dates; web search limit reached</t>
        </is>
      </c>
      <c r="AB1380" s="18" t="inlineStr">
        <is>
          <t>https://www.business-standard.com/markets/ipo/g-b-tools-forgings-ltd-ipo-42783</t>
        </is>
      </c>
    </row>
    <row r="1381" ht="15" customHeight="1" s="12">
      <c r="A1381" s="14" t="n">
        <v>1380</v>
      </c>
      <c r="B1381" s="16" t="n">
        <v>41137</v>
      </c>
      <c r="C1381" s="15" t="n">
        <v>2012</v>
      </c>
      <c r="D1381" s="15" t="inlineStr">
        <is>
          <t>Just Dial Limited</t>
        </is>
      </c>
      <c r="E1381" s="15" t="inlineStr">
        <is>
          <t>DRHP</t>
        </is>
      </c>
      <c r="F1381" s="15" t="inlineStr">
        <is>
          <t>Just Dial Limited</t>
        </is>
      </c>
      <c r="G1381" s="15" t="inlineStr">
        <is>
          <t>IPO launched</t>
        </is>
      </c>
      <c r="H1381" s="15" t="inlineStr">
        <is>
          <t>Mainboard</t>
        </is>
      </c>
      <c r="I1381" s="16" t="n">
        <v>41414</v>
      </c>
      <c r="J1381" s="16" t="n">
        <v>41416</v>
      </c>
      <c r="K1381" s="16" t="n">
        <v>41430</v>
      </c>
      <c r="L1381" s="17" t="n">
        <v>919.14</v>
      </c>
      <c r="M1381" s="17" t="n">
        <v>919.14</v>
      </c>
      <c r="N1381" s="17" t="n">
        <v>0</v>
      </c>
      <c r="O1381" s="15" t="inlineStr">
        <is>
          <t>Final issue (ipoplatform)</t>
        </is>
      </c>
      <c r="P1381" s="15" t="n"/>
      <c r="Q1381" s="18" t="inlineStr">
        <is>
          <t>https://www.sebi.gov.in/sebi_data/attachdocs/1345542838751.pdf</t>
        </is>
      </c>
      <c r="R1381" s="18" t="inlineStr">
        <is>
          <t>https://www.sebi.gov.in/filings/public-issues/aug-2012/just-dial-limited_23271.html</t>
        </is>
      </c>
      <c r="S1381" s="15" t="n"/>
      <c r="T1381" s="15" t="inlineStr">
        <is>
          <t>Company name + date window</t>
        </is>
      </c>
      <c r="U1381" s="15" t="inlineStr">
        <is>
          <t>Just Dial Limited</t>
        </is>
      </c>
      <c r="V1381" s="15" t="n"/>
      <c r="W1381" s="15" t="n"/>
      <c r="X1381" s="15" t="n"/>
      <c r="Y1381" s="15" t="n"/>
      <c r="Z1381" s="15" t="n"/>
      <c r="AA1381" s="15" t="n"/>
      <c r="AB1381" s="15" t="n"/>
    </row>
    <row r="1382" ht="15" customHeight="1" s="12">
      <c r="A1382" s="14" t="n">
        <v>1381</v>
      </c>
      <c r="B1382" s="16" t="n">
        <v>41115</v>
      </c>
      <c r="C1382" s="15" t="n">
        <v>2012</v>
      </c>
      <c r="D1382" s="15" t="inlineStr">
        <is>
          <t>Godrej Industries Limited</t>
        </is>
      </c>
      <c r="E1382" s="15" t="inlineStr">
        <is>
          <t>DRHP</t>
        </is>
      </c>
      <c r="F1382" s="15" t="inlineStr">
        <is>
          <t>Godrej Industries Limited</t>
        </is>
      </c>
      <c r="G1382" s="15" t="inlineStr">
        <is>
          <t>No launched IPO found</t>
        </is>
      </c>
      <c r="H1382" s="15" t="n"/>
      <c r="I1382" s="16" t="n"/>
      <c r="J1382" s="16" t="n"/>
      <c r="K1382" s="16" t="n"/>
      <c r="L1382" s="17" t="n"/>
      <c r="M1382" s="17" t="n"/>
      <c r="N1382" s="17" t="n"/>
      <c r="O1382" s="15" t="n"/>
      <c r="P1382" s="15" t="n"/>
      <c r="Q1382" s="18" t="inlineStr">
        <is>
          <t>https://www.sebi.gov.in/sebi_data/attachdocs/1343212300941.pdf</t>
        </is>
      </c>
      <c r="R1382" s="18" t="inlineStr">
        <is>
          <t>https://www.sebi.gov.in/filings/public-issues/jul-2012/godrej-industries-limited_23149.html</t>
        </is>
      </c>
      <c r="S1382" s="15" t="n"/>
      <c r="T1382" s="15" t="n"/>
      <c r="U1382" s="15" t="n"/>
      <c r="V1382" s="15" t="n"/>
      <c r="W1382" s="16" t="n"/>
      <c r="X1382" s="16" t="n"/>
      <c r="Y1382" s="16" t="n"/>
      <c r="Z1382" s="15" t="inlineStr">
        <is>
          <t>No issue found</t>
        </is>
      </c>
      <c r="AA1382" s="15" t="inlineStr">
        <is>
          <t>Institutional Placement Programme (QIB-only), not IPO/FPO: 24-Jul-2012 at Rs215 for minimum public shareholding</t>
        </is>
      </c>
      <c r="AB1382" s="18" t="inlineStr">
        <is>
          <t>https://www.sebi.gov.in/sebi_data/attachdocs/1343712297883.pdf</t>
        </is>
      </c>
    </row>
    <row r="1383" ht="15" customHeight="1" s="12">
      <c r="A1383" s="14" t="n">
        <v>1382</v>
      </c>
      <c r="B1383" s="16" t="n">
        <v>41113</v>
      </c>
      <c r="C1383" s="15" t="n">
        <v>2012</v>
      </c>
      <c r="D1383" s="15" t="inlineStr">
        <is>
          <t>V -Mart Retail Limited</t>
        </is>
      </c>
      <c r="E1383" s="15" t="inlineStr">
        <is>
          <t>DRHP</t>
        </is>
      </c>
      <c r="F1383" s="15" t="inlineStr">
        <is>
          <t>V -Mart Retail Limited</t>
        </is>
      </c>
      <c r="G1383" s="15" t="inlineStr">
        <is>
          <t>IPO launched</t>
        </is>
      </c>
      <c r="H1383" s="15" t="inlineStr">
        <is>
          <t>Mainboard</t>
        </is>
      </c>
      <c r="I1383" s="16" t="n">
        <v>41306</v>
      </c>
      <c r="J1383" s="16" t="n">
        <v>41310</v>
      </c>
      <c r="K1383" s="16" t="n">
        <v>41325</v>
      </c>
      <c r="L1383" s="17" t="n">
        <v>94.42</v>
      </c>
      <c r="M1383" s="17" t="n">
        <v>94.42</v>
      </c>
      <c r="N1383" s="17" t="n">
        <v>0</v>
      </c>
      <c r="O1383" s="15" t="inlineStr">
        <is>
          <t>Final issue (ipoplatform)</t>
        </is>
      </c>
      <c r="P1383" s="15" t="n"/>
      <c r="Q1383" s="18" t="inlineStr">
        <is>
          <t>https://www.sebi.gov.in/sebi_data/attachdocs/1343041803906.pdf</t>
        </is>
      </c>
      <c r="R1383" s="18" t="inlineStr">
        <is>
          <t>https://www.sebi.gov.in/filings/public-issues/jul-2012/v-mart-retail-limited_23129.html</t>
        </is>
      </c>
      <c r="S1383" s="15" t="n"/>
      <c r="T1383" s="15" t="inlineStr">
        <is>
          <t>Company name + date window</t>
        </is>
      </c>
      <c r="U1383" s="15" t="inlineStr">
        <is>
          <t>V-Mart Retail Limited</t>
        </is>
      </c>
      <c r="V1383" s="15" t="n"/>
      <c r="W1383" s="15" t="n"/>
      <c r="X1383" s="15" t="n"/>
      <c r="Y1383" s="15" t="n"/>
      <c r="Z1383" s="15" t="n"/>
      <c r="AA1383" s="15" t="n"/>
      <c r="AB1383" s="15" t="n"/>
    </row>
    <row r="1384" ht="15" customHeight="1" s="12">
      <c r="A1384" s="14" t="n">
        <v>1383</v>
      </c>
      <c r="B1384" s="16" t="n">
        <v>41047</v>
      </c>
      <c r="C1384" s="15" t="n">
        <v>2012</v>
      </c>
      <c r="D1384" s="15" t="inlineStr">
        <is>
          <t>Rashtriya Ispat Nigam Limited</t>
        </is>
      </c>
      <c r="E1384" s="15" t="inlineStr">
        <is>
          <t>DRHP</t>
        </is>
      </c>
      <c r="F1384" s="15" t="inlineStr">
        <is>
          <t>Rashtriya Ispat Nigam Limited</t>
        </is>
      </c>
      <c r="G1384" s="15" t="inlineStr">
        <is>
          <t>No launched IPO found</t>
        </is>
      </c>
      <c r="H1384" s="15" t="n"/>
      <c r="I1384" s="16" t="n"/>
      <c r="J1384" s="16" t="n"/>
      <c r="K1384" s="16" t="n"/>
      <c r="L1384" s="17" t="n"/>
      <c r="M1384" s="17" t="n"/>
      <c r="N1384" s="17" t="n"/>
      <c r="O1384" s="15" t="n"/>
      <c r="P1384" s="15" t="n"/>
      <c r="Q1384" s="18" t="inlineStr">
        <is>
          <t>https://www.sebi.gov.in/sebi_data/attachdocs/1337338940901.pdf</t>
        </is>
      </c>
      <c r="R1384" s="18" t="inlineStr">
        <is>
          <t>https://www.sebi.gov.in/filings/public-issues/may-2012/rashtriya-ispat-nigam-limited_22798.html</t>
        </is>
      </c>
      <c r="S1384" s="15" t="n"/>
      <c r="T1384" s="15" t="n"/>
      <c r="U1384" s="15" t="n"/>
      <c r="V1384" s="15" t="n"/>
      <c r="W1384" s="19" t="n">
        <v>41197</v>
      </c>
      <c r="X1384" s="19" t="n">
        <v>41200</v>
      </c>
      <c r="Y1384" s="19" t="n"/>
      <c r="Z1384" s="20" t="inlineStr">
        <is>
          <t>Issue opened</t>
        </is>
      </c>
      <c r="AA1384" s="15" t="inlineStr">
        <is>
          <t>Business Standard IPO page</t>
        </is>
      </c>
      <c r="AB1384" s="18" t="inlineStr">
        <is>
          <t>https://www.business-standard.com/markets/ipo/rashtriya-ispat-nigam-ltd-ipo-12212</t>
        </is>
      </c>
    </row>
    <row r="1385" ht="15" customHeight="1" s="12">
      <c r="A1385" s="14" t="n">
        <v>1384</v>
      </c>
      <c r="B1385" s="16" t="n">
        <v>41037</v>
      </c>
      <c r="C1385" s="15" t="n">
        <v>2012</v>
      </c>
      <c r="D1385" s="15" t="inlineStr">
        <is>
          <t>Goodwill Hospital and Research Centre Limited</t>
        </is>
      </c>
      <c r="E1385" s="15" t="inlineStr">
        <is>
          <t>DRHP</t>
        </is>
      </c>
      <c r="F1385" s="15" t="inlineStr">
        <is>
          <t>Goodwill Hospital and Research Centre Limited</t>
        </is>
      </c>
      <c r="G1385" s="15" t="inlineStr">
        <is>
          <t>No launched IPO found</t>
        </is>
      </c>
      <c r="H1385" s="15" t="n"/>
      <c r="I1385" s="16" t="n"/>
      <c r="J1385" s="16" t="n"/>
      <c r="K1385" s="16" t="n"/>
      <c r="L1385" s="17" t="n"/>
      <c r="M1385" s="17" t="n"/>
      <c r="N1385" s="17" t="n"/>
      <c r="O1385" s="15" t="n"/>
      <c r="P1385" s="15" t="n"/>
      <c r="Q1385" s="18" t="inlineStr">
        <is>
          <t>https://www.sebi.gov.in/sebi_data/attachdocs/1336535597422.pdf</t>
        </is>
      </c>
      <c r="R1385" s="18" t="inlineStr">
        <is>
          <t>https://www.sebi.gov.in/filings/public-issues/may-2012/goodwill-hospital-and-research-centre-limited_22710.html</t>
        </is>
      </c>
      <c r="S1385" s="15" t="n"/>
      <c r="T1385" s="15" t="n"/>
      <c r="U1385" s="15" t="n"/>
      <c r="V1385" s="15" t="n"/>
      <c r="W1385" s="16" t="n"/>
      <c r="X1385" s="16" t="n"/>
      <c r="Y1385" s="16" t="n"/>
      <c r="Z1385" s="15" t="inlineStr">
        <is>
          <t>No issue found</t>
        </is>
      </c>
      <c r="AA1385" s="15" t="inlineStr">
        <is>
          <t>Business Standard lists the company but shows no issue dates; web search limit reached</t>
        </is>
      </c>
      <c r="AB1385" s="18" t="inlineStr">
        <is>
          <t>https://www.business-standard.com/markets/ipo/goodwill-hospital-research-centre-ltd-ipo-40565</t>
        </is>
      </c>
    </row>
    <row r="1386" ht="15" customHeight="1" s="12">
      <c r="A1386" s="14" t="n">
        <v>1385</v>
      </c>
      <c r="B1386" s="16" t="n">
        <v>41036</v>
      </c>
      <c r="C1386" s="15" t="n">
        <v>2012</v>
      </c>
      <c r="D1386" s="15" t="inlineStr">
        <is>
          <t>Fast Train Cargo Limited</t>
        </is>
      </c>
      <c r="E1386" s="15" t="inlineStr">
        <is>
          <t>DRHP</t>
        </is>
      </c>
      <c r="F1386" s="15" t="inlineStr">
        <is>
          <t>Fast Train Cargo Limited</t>
        </is>
      </c>
      <c r="G1386" s="15" t="inlineStr">
        <is>
          <t>No launched IPO found</t>
        </is>
      </c>
      <c r="H1386" s="15" t="n"/>
      <c r="I1386" s="16" t="n"/>
      <c r="J1386" s="16" t="n"/>
      <c r="K1386" s="16" t="n"/>
      <c r="L1386" s="17" t="n"/>
      <c r="M1386" s="17" t="n"/>
      <c r="N1386" s="17" t="n"/>
      <c r="O1386" s="15" t="n"/>
      <c r="P1386" s="15" t="n"/>
      <c r="Q1386" s="18" t="inlineStr">
        <is>
          <t>https://www.sebi.gov.in/sebi_data/attachdocs/1336381880333.pdf</t>
        </is>
      </c>
      <c r="R1386" s="18" t="inlineStr">
        <is>
          <t>https://www.sebi.gov.in/filings/public-issues/may-2012/fast-train-cargo-limited_22694.html</t>
        </is>
      </c>
      <c r="S1386" s="15" t="n"/>
      <c r="T1386" s="15" t="n"/>
      <c r="U1386" s="15" t="n"/>
      <c r="V1386" s="15" t="n"/>
      <c r="W1386" s="16" t="n"/>
      <c r="X1386" s="16" t="n"/>
      <c r="Y1386" s="16" t="n"/>
      <c r="Z1386" s="15" t="inlineStr">
        <is>
          <t>No issue found</t>
        </is>
      </c>
      <c r="AA1386" s="15" t="inlineStr">
        <is>
          <t>Business Standard lists the company but shows no issue dates; web search limit reached</t>
        </is>
      </c>
      <c r="AB1386" s="18" t="inlineStr">
        <is>
          <t>https://www.business-standard.com/markets/ipo/fast-train-cargo-ltd-ipo-42438</t>
        </is>
      </c>
    </row>
    <row r="1387" ht="15" customHeight="1" s="12">
      <c r="A1387" s="14" t="n">
        <v>1386</v>
      </c>
      <c r="B1387" s="16" t="n">
        <v>41012</v>
      </c>
      <c r="C1387" s="15" t="n">
        <v>2012</v>
      </c>
      <c r="D1387" s="15" t="inlineStr">
        <is>
          <t>Ace Tours Worldwide Limited</t>
        </is>
      </c>
      <c r="E1387" s="15" t="inlineStr">
        <is>
          <t>DRHP</t>
        </is>
      </c>
      <c r="F1387" s="15" t="inlineStr">
        <is>
          <t>Ace Tours Worldwide Limited</t>
        </is>
      </c>
      <c r="G1387" s="15" t="inlineStr">
        <is>
          <t>IPO launched</t>
        </is>
      </c>
      <c r="H1387" s="15" t="inlineStr">
        <is>
          <t>SME</t>
        </is>
      </c>
      <c r="I1387" s="16" t="n">
        <v>41526</v>
      </c>
      <c r="J1387" s="16" t="n">
        <v>41529</v>
      </c>
      <c r="K1387" s="16" t="n">
        <v>41543</v>
      </c>
      <c r="L1387" s="17" t="n">
        <v>8</v>
      </c>
      <c r="M1387" s="17" t="n">
        <v>8</v>
      </c>
      <c r="N1387" s="17" t="n">
        <v>0</v>
      </c>
      <c r="O1387" s="15" t="inlineStr">
        <is>
          <t>Final issue (ipoplatform)</t>
        </is>
      </c>
      <c r="P1387" s="15" t="n"/>
      <c r="Q1387" s="18" t="inlineStr">
        <is>
          <t>https://www.sebi.gov.in/sebi_data/attachdocs/1334297385746.pdf</t>
        </is>
      </c>
      <c r="R1387" s="18" t="inlineStr">
        <is>
          <t>https://www.sebi.gov.in/filings/public-issues/apr-2012/ace-tours-worldwide-limited_22551.html</t>
        </is>
      </c>
      <c r="S1387" s="15" t="n"/>
      <c r="T1387" s="15" t="inlineStr">
        <is>
          <t>SEBI filing link</t>
        </is>
      </c>
      <c r="U1387" s="15" t="inlineStr">
        <is>
          <t>Ace Tours Worldwide Limited</t>
        </is>
      </c>
      <c r="V1387" s="15" t="n"/>
      <c r="W1387" s="15" t="n"/>
      <c r="X1387" s="15" t="n"/>
      <c r="Y1387" s="15" t="n"/>
      <c r="Z1387" s="15" t="n"/>
      <c r="AA1387" s="15" t="n"/>
      <c r="AB1387" s="15" t="n"/>
    </row>
    <row r="1388" ht="15" customHeight="1" s="12">
      <c r="A1388" s="14" t="n">
        <v>1387</v>
      </c>
      <c r="B1388" s="16" t="n">
        <v>41002</v>
      </c>
      <c r="C1388" s="15" t="n">
        <v>2012</v>
      </c>
      <c r="D1388" s="15" t="inlineStr">
        <is>
          <t>Tristar Retail Limited</t>
        </is>
      </c>
      <c r="E1388" s="15" t="inlineStr">
        <is>
          <t>DRHP</t>
        </is>
      </c>
      <c r="F1388" s="15" t="inlineStr">
        <is>
          <t>Tristar Retail Limited</t>
        </is>
      </c>
      <c r="G1388" s="15" t="inlineStr">
        <is>
          <t>No launched IPO found</t>
        </is>
      </c>
      <c r="H1388" s="15" t="n"/>
      <c r="I1388" s="16" t="n"/>
      <c r="J1388" s="16" t="n"/>
      <c r="K1388" s="16" t="n"/>
      <c r="L1388" s="17" t="n"/>
      <c r="M1388" s="17" t="n"/>
      <c r="N1388" s="17" t="n"/>
      <c r="O1388" s="15" t="n"/>
      <c r="P1388" s="15" t="n"/>
      <c r="Q1388" s="18" t="inlineStr">
        <is>
          <t>https://www.sebi.gov.in/sebi_data/attachdocs/1333446031669.pdf</t>
        </is>
      </c>
      <c r="R1388" s="18" t="inlineStr">
        <is>
          <t>https://www.sebi.gov.in/filings/public-issues/apr-2012/tristar-retail-limited_22485.html</t>
        </is>
      </c>
      <c r="S1388" s="15" t="n"/>
      <c r="T1388" s="15" t="n"/>
      <c r="U1388" s="15" t="n"/>
      <c r="V1388" s="15" t="n"/>
      <c r="W1388" s="16" t="n"/>
      <c r="X1388" s="16" t="n"/>
      <c r="Y1388" s="16" t="n"/>
      <c r="Z1388" s="15" t="inlineStr">
        <is>
          <t>No issue found</t>
        </is>
      </c>
      <c r="AA1388" s="15" t="inlineStr">
        <is>
          <t>Business Standard lists the company but shows no issue dates; web search limit reached</t>
        </is>
      </c>
      <c r="AB1388" s="18" t="inlineStr">
        <is>
          <t>https://www.business-standard.com/markets/ipo/tristar-retail-ltd-ipo-42282</t>
        </is>
      </c>
    </row>
    <row r="1389" ht="15" customHeight="1" s="12">
      <c r="A1389" s="14" t="n">
        <v>1388</v>
      </c>
      <c r="B1389" s="16" t="n">
        <v>41001</v>
      </c>
      <c r="C1389" s="15" t="n">
        <v>2012</v>
      </c>
      <c r="D1389" s="15" t="inlineStr">
        <is>
          <t>C.Mahendra Infojewels Limited</t>
        </is>
      </c>
      <c r="E1389" s="15" t="inlineStr">
        <is>
          <t>DRHP</t>
        </is>
      </c>
      <c r="F1389" s="15" t="inlineStr">
        <is>
          <t>C.Mahendra Infojewels Limited</t>
        </is>
      </c>
      <c r="G1389" s="15" t="inlineStr">
        <is>
          <t>No launched IPO found</t>
        </is>
      </c>
      <c r="H1389" s="15" t="n"/>
      <c r="I1389" s="16" t="n"/>
      <c r="J1389" s="16" t="n"/>
      <c r="K1389" s="16" t="n"/>
      <c r="L1389" s="17" t="n"/>
      <c r="M1389" s="17" t="n"/>
      <c r="N1389" s="17" t="n"/>
      <c r="O1389" s="15" t="n"/>
      <c r="P1389" s="15" t="n"/>
      <c r="Q1389" s="18" t="inlineStr">
        <is>
          <t>https://www.sebi.gov.in/sebi_data/attachdocs/1333364667713.pdf</t>
        </is>
      </c>
      <c r="R1389" s="18" t="inlineStr">
        <is>
          <t>https://www.sebi.gov.in/filings/public-issues/apr-2012/c-mahendra-infojewels-limited_22478.html</t>
        </is>
      </c>
      <c r="S1389" s="15" t="n"/>
      <c r="T1389" s="15" t="n"/>
      <c r="U1389" s="15" t="n"/>
      <c r="V1389" s="15" t="n"/>
      <c r="W1389" s="16" t="n"/>
      <c r="X1389" s="16" t="n"/>
      <c r="Y1389" s="16" t="n"/>
      <c r="Z1389" s="15" t="inlineStr">
        <is>
          <t>Withdrawn / approval lapsed</t>
        </is>
      </c>
      <c r="AA1389" s="15" t="inlineStr">
        <is>
          <t>IPO DRHP withdrawn by LM vide letter 15 Apr 2013 (SEBI status list); never listed</t>
        </is>
      </c>
      <c r="AB1389" s="18" t="inlineStr">
        <is>
          <t>https://www.sebi.gov.in/sebi_data/commondocs/feb-2020/Issues%20Obs%20Issued%2031012020_p.pdf</t>
        </is>
      </c>
    </row>
    <row r="1390" ht="15" customHeight="1" s="12">
      <c r="A1390" s="14" t="n">
        <v>1389</v>
      </c>
      <c r="B1390" s="16" t="n">
        <v>40988</v>
      </c>
      <c r="C1390" s="15" t="n">
        <v>2012</v>
      </c>
      <c r="D1390" s="15" t="inlineStr">
        <is>
          <t>Godrej Properties Limited</t>
        </is>
      </c>
      <c r="E1390" s="15" t="inlineStr">
        <is>
          <t>DRHP</t>
        </is>
      </c>
      <c r="F1390" s="15" t="inlineStr">
        <is>
          <t>Godrej Properties Limited</t>
        </is>
      </c>
      <c r="G1390" s="15" t="inlineStr">
        <is>
          <t>No launched IPO found</t>
        </is>
      </c>
      <c r="H1390" s="15" t="n"/>
      <c r="I1390" s="16" t="n"/>
      <c r="J1390" s="16" t="n"/>
      <c r="K1390" s="16" t="n"/>
      <c r="L1390" s="17" t="n"/>
      <c r="M1390" s="17" t="n"/>
      <c r="N1390" s="17" t="n"/>
      <c r="O1390" s="15" t="n"/>
      <c r="P1390" s="15" t="n"/>
      <c r="Q1390" s="18" t="inlineStr">
        <is>
          <t>https://www.sebi.gov.in/sebi_data/attachdocs/1332242504174.pdf</t>
        </is>
      </c>
      <c r="R1390" s="18" t="inlineStr">
        <is>
          <t>https://www.sebi.gov.in/filings/public-issues/mar-2012/godrej-properties-limited_22370.html</t>
        </is>
      </c>
      <c r="S1390" s="15" t="n"/>
      <c r="T1390" s="15" t="n"/>
      <c r="U1390" s="15" t="n"/>
      <c r="V1390" s="15" t="inlineStr">
        <is>
          <t>Same-name IPO opened 09-Dec-2009 — outside 2 years of this filing, so not linked</t>
        </is>
      </c>
      <c r="W1390" s="16" t="n"/>
      <c r="X1390" s="16" t="n"/>
      <c r="Y1390" s="16" t="n"/>
      <c r="Z1390" s="15" t="inlineStr">
        <is>
          <t>No issue found</t>
        </is>
      </c>
      <c r="AA1390" s="15" t="inlineStr">
        <is>
          <t>Business Standard lists the company but shows no issue dates; web search limit reached</t>
        </is>
      </c>
      <c r="AB1390" s="18" t="inlineStr">
        <is>
          <t>https://www.business-standard.com/markets/ipo/godrej-properties-ltd-ipo-15613</t>
        </is>
      </c>
    </row>
    <row r="1391" ht="15" customHeight="1" s="12">
      <c r="A1391" s="14" t="n">
        <v>1390</v>
      </c>
      <c r="B1391" s="16" t="n">
        <v>40983</v>
      </c>
      <c r="C1391" s="15" t="n">
        <v>2012</v>
      </c>
      <c r="D1391" s="15" t="inlineStr">
        <is>
          <t>Harisons Steel Limited</t>
        </is>
      </c>
      <c r="E1391" s="15" t="inlineStr">
        <is>
          <t>DRHP</t>
        </is>
      </c>
      <c r="F1391" s="15" t="inlineStr">
        <is>
          <t>Harisons Steel Limited</t>
        </is>
      </c>
      <c r="G1391" s="15" t="inlineStr">
        <is>
          <t>No launched IPO found</t>
        </is>
      </c>
      <c r="H1391" s="15" t="n"/>
      <c r="I1391" s="16" t="n"/>
      <c r="J1391" s="16" t="n"/>
      <c r="K1391" s="16" t="n"/>
      <c r="L1391" s="17" t="n"/>
      <c r="M1391" s="17" t="n"/>
      <c r="N1391" s="17" t="n"/>
      <c r="O1391" s="15" t="n"/>
      <c r="P1391" s="15" t="n"/>
      <c r="Q1391" s="18" t="inlineStr">
        <is>
          <t>https://www.sebi.gov.in/sebi_data/attachdocs/1331787517047.pdf</t>
        </is>
      </c>
      <c r="R1391" s="18" t="inlineStr">
        <is>
          <t>https://www.sebi.gov.in/filings/public-issues/mar-2012/harisons-steel-limited_22334.html</t>
        </is>
      </c>
      <c r="S1391" s="15" t="n"/>
      <c r="T1391" s="15" t="n"/>
      <c r="U1391" s="15" t="n"/>
      <c r="V1391" s="15" t="n"/>
      <c r="W1391" s="16" t="n"/>
      <c r="X1391" s="16" t="n"/>
      <c r="Y1391" s="16" t="n"/>
      <c r="Z1391" s="15" t="inlineStr">
        <is>
          <t>No issue found</t>
        </is>
      </c>
      <c r="AA1391" s="15" t="inlineStr">
        <is>
          <t>Business Standard lists the company but shows no issue dates; web search limit reached</t>
        </is>
      </c>
      <c r="AB1391" s="18" t="inlineStr">
        <is>
          <t>https://www.business-standard.com/markets/ipo/harisons-steel-ltd-ipo-40048</t>
        </is>
      </c>
    </row>
    <row r="1392" ht="15" customHeight="1" s="12">
      <c r="A1392" s="14" t="n">
        <v>1391</v>
      </c>
      <c r="B1392" s="16" t="n">
        <v>40980</v>
      </c>
      <c r="C1392" s="15" t="n">
        <v>2012</v>
      </c>
      <c r="D1392" s="15" t="inlineStr">
        <is>
          <t>R.K. Infratel Limited</t>
        </is>
      </c>
      <c r="E1392" s="15" t="inlineStr">
        <is>
          <t>DRHP</t>
        </is>
      </c>
      <c r="F1392" s="15" t="inlineStr">
        <is>
          <t>R.K. Infratel Limited</t>
        </is>
      </c>
      <c r="G1392" s="15" t="inlineStr">
        <is>
          <t>No launched IPO found</t>
        </is>
      </c>
      <c r="H1392" s="15" t="n"/>
      <c r="I1392" s="16" t="n"/>
      <c r="J1392" s="16" t="n"/>
      <c r="K1392" s="16" t="n"/>
      <c r="L1392" s="17" t="n"/>
      <c r="M1392" s="17" t="n"/>
      <c r="N1392" s="17" t="n"/>
      <c r="O1392" s="15" t="n"/>
      <c r="P1392" s="15" t="n"/>
      <c r="Q1392" s="18" t="inlineStr">
        <is>
          <t>https://www.sebi.gov.in/sebi_data/attachdocs/1331551783869.pdf</t>
        </is>
      </c>
      <c r="R1392" s="18" t="inlineStr">
        <is>
          <t>https://www.sebi.gov.in/filings/public-issues/mar-2012/r-k-infratel-limited_22325.html</t>
        </is>
      </c>
      <c r="S1392" s="15" t="n"/>
      <c r="T1392" s="15" t="n"/>
      <c r="U1392" s="15" t="n"/>
      <c r="V1392" s="15" t="n"/>
      <c r="W1392" s="16" t="n"/>
      <c r="X1392" s="16" t="n"/>
      <c r="Y1392" s="16" t="n"/>
      <c r="Z1392" s="15" t="inlineStr">
        <is>
          <t>No issue found</t>
        </is>
      </c>
      <c r="AA1392" s="15" t="inlineStr">
        <is>
          <t>Business Standard lists the company but shows no issue dates; web search limit reached</t>
        </is>
      </c>
      <c r="AB1392" s="18" t="inlineStr">
        <is>
          <t>https://www.business-standard.com/markets/ipo/r-k-infratel-ltd-ipo-42138</t>
        </is>
      </c>
    </row>
    <row r="1393" ht="15" customHeight="1" s="12">
      <c r="A1393" s="14" t="n">
        <v>1392</v>
      </c>
      <c r="B1393" s="16" t="n">
        <v>40977</v>
      </c>
      <c r="C1393" s="15" t="n">
        <v>2012</v>
      </c>
      <c r="D1393" s="15" t="inlineStr">
        <is>
          <t>UIC Udyog Limited</t>
        </is>
      </c>
      <c r="E1393" s="15" t="inlineStr">
        <is>
          <t>DRHP</t>
        </is>
      </c>
      <c r="F1393" s="15" t="inlineStr">
        <is>
          <t>UIC Udyog Limited</t>
        </is>
      </c>
      <c r="G1393" s="15" t="inlineStr">
        <is>
          <t>No launched IPO found</t>
        </is>
      </c>
      <c r="H1393" s="15" t="n"/>
      <c r="I1393" s="16" t="n"/>
      <c r="J1393" s="16" t="n"/>
      <c r="K1393" s="16" t="n"/>
      <c r="L1393" s="17" t="n"/>
      <c r="M1393" s="17" t="n"/>
      <c r="N1393" s="17" t="n"/>
      <c r="O1393" s="15" t="n"/>
      <c r="P1393" s="15" t="n"/>
      <c r="Q1393" s="18" t="inlineStr">
        <is>
          <t>https://www.sebi.gov.in/sebi_data/attachdocs/1331289706300.pdf</t>
        </is>
      </c>
      <c r="R1393" s="18" t="inlineStr">
        <is>
          <t>https://www.sebi.gov.in/filings/public-issues/mar-2012/uic-udyog-limited_22318.html</t>
        </is>
      </c>
      <c r="S1393" s="15" t="n"/>
      <c r="T1393" s="15" t="n"/>
      <c r="U1393" s="15" t="n"/>
      <c r="V1393" s="15" t="n"/>
      <c r="W1393" s="16" t="n"/>
      <c r="X1393" s="16" t="n"/>
      <c r="Y1393" s="16" t="n"/>
      <c r="Z1393" s="15" t="inlineStr">
        <is>
          <t>No issue found</t>
        </is>
      </c>
      <c r="AA1393" s="15" t="inlineStr">
        <is>
          <t>Business Standard lists the company but shows no issue dates; web search limit reached</t>
        </is>
      </c>
      <c r="AB1393" s="18" t="inlineStr">
        <is>
          <t>https://www.business-standard.com/markets/ipo/uic-udyog-ltd-ipo-25004</t>
        </is>
      </c>
    </row>
    <row r="1394" ht="15" customHeight="1" s="12">
      <c r="A1394" s="14" t="n">
        <v>1393</v>
      </c>
      <c r="B1394" s="16" t="n">
        <v>40956</v>
      </c>
      <c r="C1394" s="15" t="n">
        <v>2012</v>
      </c>
      <c r="D1394" s="15" t="inlineStr">
        <is>
          <t>Altret Biotech Limited</t>
        </is>
      </c>
      <c r="E1394" s="15" t="inlineStr">
        <is>
          <t>DRHP</t>
        </is>
      </c>
      <c r="F1394" s="15" t="inlineStr">
        <is>
          <t>Altret Biotech Limited</t>
        </is>
      </c>
      <c r="G1394" s="15" t="inlineStr">
        <is>
          <t>No launched IPO found</t>
        </is>
      </c>
      <c r="H1394" s="15" t="n"/>
      <c r="I1394" s="16" t="n"/>
      <c r="J1394" s="16" t="n"/>
      <c r="K1394" s="16" t="n"/>
      <c r="L1394" s="17" t="n"/>
      <c r="M1394" s="17" t="n"/>
      <c r="N1394" s="17" t="n"/>
      <c r="O1394" s="15" t="n"/>
      <c r="P1394" s="15" t="n"/>
      <c r="Q1394" s="18" t="inlineStr">
        <is>
          <t>https://www.sebi.gov.in/sebi_data/attachdocs/1329451755471.pdf</t>
        </is>
      </c>
      <c r="R1394" s="18" t="inlineStr">
        <is>
          <t>https://www.sebi.gov.in/filings/public-issues/feb-2012/altret-biotech-limited_22153.html</t>
        </is>
      </c>
      <c r="S1394" s="15" t="n"/>
      <c r="T1394" s="15" t="n"/>
      <c r="U1394" s="15" t="n"/>
      <c r="V1394" s="15" t="n"/>
      <c r="W1394" s="16" t="n"/>
      <c r="X1394" s="16" t="n"/>
      <c r="Y1394" s="16" t="n"/>
      <c r="Z1394" s="15" t="inlineStr">
        <is>
          <t>No issue found</t>
        </is>
      </c>
      <c r="AA1394" s="15" t="inlineStr">
        <is>
          <t>Altret Bio-Tech Ltd remains unlisted public company; no IPO found</t>
        </is>
      </c>
      <c r="AB1394" s="18" t="inlineStr">
        <is>
          <t>https://www.zaubacorp.com/ALTRET-BIO-TECH-LIMITED-U02429GJ2006PLC049007</t>
        </is>
      </c>
    </row>
    <row r="1395" ht="15" customHeight="1" s="12">
      <c r="A1395" s="14" t="n">
        <v>1394</v>
      </c>
      <c r="B1395" s="16" t="n">
        <v>40948</v>
      </c>
      <c r="C1395" s="15" t="n">
        <v>2012</v>
      </c>
      <c r="D1395" s="15" t="inlineStr">
        <is>
          <t>National Buildings Construction Corporation Limited</t>
        </is>
      </c>
      <c r="E1395" s="15" t="inlineStr">
        <is>
          <t>DRHP</t>
        </is>
      </c>
      <c r="F1395" s="15" t="inlineStr">
        <is>
          <t>National Buildings Construction Corporation Limited</t>
        </is>
      </c>
      <c r="G1395" s="15" t="inlineStr">
        <is>
          <t>IPO launched</t>
        </is>
      </c>
      <c r="H1395" s="15" t="inlineStr">
        <is>
          <t>Mainboard</t>
        </is>
      </c>
      <c r="I1395" s="16" t="n">
        <v>40990</v>
      </c>
      <c r="J1395" s="16" t="n">
        <v>40995</v>
      </c>
      <c r="K1395" s="16" t="n">
        <v>41011</v>
      </c>
      <c r="L1395" s="17" t="n">
        <v>127.2</v>
      </c>
      <c r="M1395" s="17" t="n">
        <v>127.2</v>
      </c>
      <c r="N1395" s="17" t="n">
        <v>0</v>
      </c>
      <c r="O1395" s="15" t="inlineStr">
        <is>
          <t>Final issue (ipoplatform)</t>
        </is>
      </c>
      <c r="P1395" s="15" t="n"/>
      <c r="Q1395" s="18" t="inlineStr">
        <is>
          <t>https://www.sebi.gov.in/sebi_data/attachdocs/1328784165737.pdf</t>
        </is>
      </c>
      <c r="R1395" s="18" t="inlineStr">
        <is>
          <t>https://www.sebi.gov.in/filings/public-issues/feb-2012/national-buildings-construction-corporation-limited_22132.html</t>
        </is>
      </c>
      <c r="S1395" s="15" t="n"/>
      <c r="T1395" s="15" t="inlineStr">
        <is>
          <t>SEBI filing link</t>
        </is>
      </c>
      <c r="U1395" s="15" t="inlineStr">
        <is>
          <t>National Buildings Construction Corporation Limited</t>
        </is>
      </c>
      <c r="V1395" s="15" t="n"/>
      <c r="W1395" s="15" t="n"/>
      <c r="X1395" s="15" t="n"/>
      <c r="Y1395" s="15" t="n"/>
      <c r="Z1395" s="15" t="n"/>
      <c r="AA1395" s="15" t="n"/>
      <c r="AB1395" s="15" t="n"/>
    </row>
    <row r="1396" ht="15" customHeight="1" s="12">
      <c r="A1396" s="14" t="n">
        <v>1395</v>
      </c>
      <c r="B1396" s="16" t="n">
        <v>40946</v>
      </c>
      <c r="C1396" s="15" t="n">
        <v>2012</v>
      </c>
      <c r="D1396" s="15" t="inlineStr">
        <is>
          <t>Usher Eco Power Limited</t>
        </is>
      </c>
      <c r="E1396" s="15" t="inlineStr">
        <is>
          <t>DRHP</t>
        </is>
      </c>
      <c r="F1396" s="15" t="inlineStr">
        <is>
          <t>Usher Eco Power Limited</t>
        </is>
      </c>
      <c r="G1396" s="15" t="inlineStr">
        <is>
          <t>No launched IPO found</t>
        </is>
      </c>
      <c r="H1396" s="15" t="n"/>
      <c r="I1396" s="16" t="n"/>
      <c r="J1396" s="16" t="n"/>
      <c r="K1396" s="16" t="n"/>
      <c r="L1396" s="17" t="n"/>
      <c r="M1396" s="17" t="n"/>
      <c r="N1396" s="17" t="n"/>
      <c r="O1396" s="15" t="n"/>
      <c r="P1396" s="15" t="n"/>
      <c r="Q1396" s="18" t="inlineStr">
        <is>
          <t>https://www.sebi.gov.in/sebi_data/attachdocs/1328590834735.pdf</t>
        </is>
      </c>
      <c r="R1396" s="18" t="inlineStr">
        <is>
          <t>https://www.sebi.gov.in/filings/public-issues/feb-2012/usher-eco-power-limited_22119.html</t>
        </is>
      </c>
      <c r="S1396" s="15" t="n"/>
      <c r="T1396" s="15" t="n"/>
      <c r="U1396" s="15" t="n"/>
      <c r="V1396" s="15" t="n"/>
      <c r="W1396" s="16" t="n"/>
      <c r="X1396" s="16" t="n"/>
      <c r="Y1396" s="16" t="n"/>
      <c r="Z1396" s="15" t="inlineStr">
        <is>
          <t>No issue found</t>
        </is>
      </c>
      <c r="AA1396" s="15" t="inlineStr">
        <is>
          <t>Business Standard lists the company but shows no issue dates; web search limit reached</t>
        </is>
      </c>
      <c r="AB1396" s="18" t="inlineStr">
        <is>
          <t>https://www.business-standard.com/markets/ipo/usher-eco-power-ltd-ipo-30366</t>
        </is>
      </c>
    </row>
    <row r="1397" ht="15" customHeight="1" s="12">
      <c r="A1397" s="14" t="n">
        <v>1396</v>
      </c>
      <c r="B1397" s="16" t="n">
        <v>40927</v>
      </c>
      <c r="C1397" s="15" t="n">
        <v>2012</v>
      </c>
      <c r="D1397" s="15" t="inlineStr">
        <is>
          <t>Hindusthaan Eco Ventures Limited</t>
        </is>
      </c>
      <c r="E1397" s="15" t="inlineStr">
        <is>
          <t>DRHP</t>
        </is>
      </c>
      <c r="F1397" s="15" t="inlineStr">
        <is>
          <t>Hindusthaan Eco Ventures Limited</t>
        </is>
      </c>
      <c r="G1397" s="15" t="inlineStr">
        <is>
          <t>No launched IPO found</t>
        </is>
      </c>
      <c r="H1397" s="15" t="n"/>
      <c r="I1397" s="16" t="n"/>
      <c r="J1397" s="16" t="n"/>
      <c r="K1397" s="16" t="n"/>
      <c r="L1397" s="17" t="n"/>
      <c r="M1397" s="17" t="n"/>
      <c r="N1397" s="17" t="n"/>
      <c r="O1397" s="15" t="n"/>
      <c r="P1397" s="15" t="n"/>
      <c r="Q1397" s="18" t="inlineStr">
        <is>
          <t>https://www.sebi.gov.in/sebi_data/attachdocs/1326955696177.pdf</t>
        </is>
      </c>
      <c r="R1397" s="18" t="inlineStr">
        <is>
          <t>https://www.sebi.gov.in/filings/public-issues/jan-2012/hindusthaan-eco-ventures-limited_21995.html</t>
        </is>
      </c>
      <c r="S1397" s="15" t="n"/>
      <c r="T1397" s="15" t="n"/>
      <c r="U1397" s="15" t="n"/>
      <c r="V1397" s="15" t="n"/>
      <c r="W1397" s="16" t="n"/>
      <c r="X1397" s="16" t="n"/>
      <c r="Y1397" s="16" t="n"/>
      <c r="Z1397" s="15" t="inlineStr">
        <is>
          <t>No issue found</t>
        </is>
      </c>
      <c r="AA1397" s="15" t="inlineStr">
        <is>
          <t>DRHP Jan 2012 for 90 lakh shares; company stayed unlisted and was later amalgamated</t>
        </is>
      </c>
      <c r="AB1397" s="18" t="inlineStr">
        <is>
          <t>https://www.zaubacorp.com/company/HINDUSTHAAN-ECO-VENTURES-LIMITED/U01211TN1990PLC019148</t>
        </is>
      </c>
    </row>
    <row r="1398" ht="15" customHeight="1" s="12">
      <c r="A1398" s="14" t="n">
        <v>1397</v>
      </c>
      <c r="B1398" s="16" t="n">
        <v>40912</v>
      </c>
      <c r="C1398" s="15" t="n">
        <v>2012</v>
      </c>
      <c r="D1398" s="15" t="inlineStr">
        <is>
          <t>Tara Jewels Limited</t>
        </is>
      </c>
      <c r="E1398" s="15" t="inlineStr">
        <is>
          <t>DRHP</t>
        </is>
      </c>
      <c r="F1398" s="15" t="inlineStr">
        <is>
          <t>Tara Jewels Limited</t>
        </is>
      </c>
      <c r="G1398" s="15" t="inlineStr">
        <is>
          <t>No launched IPO found</t>
        </is>
      </c>
      <c r="H1398" s="15" t="n"/>
      <c r="I1398" s="16" t="n"/>
      <c r="J1398" s="16" t="n"/>
      <c r="K1398" s="16" t="n"/>
      <c r="L1398" s="17" t="n"/>
      <c r="M1398" s="17" t="n"/>
      <c r="N1398" s="17" t="n"/>
      <c r="O1398" s="15" t="n"/>
      <c r="P1398" s="15" t="n"/>
      <c r="Q1398" s="18" t="inlineStr">
        <is>
          <t>https://www.sebi.gov.in/sebi_data/attachdocs/1325674926615.pdf</t>
        </is>
      </c>
      <c r="R1398" s="18" t="inlineStr">
        <is>
          <t>https://www.sebi.gov.in/filings/public-issues/jan-2012/tara-jewels-limited_21911.html</t>
        </is>
      </c>
      <c r="S1398" s="15" t="n"/>
      <c r="T1398" s="15" t="n"/>
      <c r="U1398" s="15" t="n"/>
      <c r="V1398" s="15" t="n"/>
      <c r="W1398" s="19" t="n">
        <v>41234</v>
      </c>
      <c r="X1398" s="19" t="n">
        <v>41236</v>
      </c>
      <c r="Y1398" s="19" t="n"/>
      <c r="Z1398" s="20" t="inlineStr">
        <is>
          <t>Issue opened</t>
        </is>
      </c>
      <c r="AA1398" s="15" t="inlineStr">
        <is>
          <t>Matched on chittorgarh.com</t>
        </is>
      </c>
      <c r="AB1398" s="18" t="inlineStr">
        <is>
          <t>https://www.chittorgarh.com/ipo/tara_jewels_ipo/356/</t>
        </is>
      </c>
    </row>
    <row r="1399" ht="15" customHeight="1" s="12">
      <c r="A1399" s="14" t="n">
        <v>1398</v>
      </c>
      <c r="B1399" s="16" t="n">
        <v>40911</v>
      </c>
      <c r="C1399" s="15" t="n">
        <v>2012</v>
      </c>
      <c r="D1399" s="15" t="inlineStr">
        <is>
          <t>Vishwanath Sugar and Steel Industries Limited</t>
        </is>
      </c>
      <c r="E1399" s="15" t="inlineStr">
        <is>
          <t>DRHP</t>
        </is>
      </c>
      <c r="F1399" s="15" t="inlineStr">
        <is>
          <t>Vishwanath Sugar and Steel Industries Limited</t>
        </is>
      </c>
      <c r="G1399" s="15" t="inlineStr">
        <is>
          <t>No launched IPO found</t>
        </is>
      </c>
      <c r="H1399" s="15" t="n"/>
      <c r="I1399" s="16" t="n"/>
      <c r="J1399" s="16" t="n"/>
      <c r="K1399" s="16" t="n"/>
      <c r="L1399" s="17" t="n"/>
      <c r="M1399" s="17" t="n"/>
      <c r="N1399" s="17" t="n"/>
      <c r="O1399" s="15" t="n"/>
      <c r="P1399" s="15" t="n"/>
      <c r="Q1399" s="18" t="inlineStr">
        <is>
          <t>https://www.sebi.gov.in/sebi_data/attachdocs/1325579874563.pdf</t>
        </is>
      </c>
      <c r="R1399" s="18" t="inlineStr">
        <is>
          <t>https://www.sebi.gov.in/filings/public-issues/jan-2012/vishwanath-sugar-and-steel-industries-limited_21902.html</t>
        </is>
      </c>
      <c r="S1399" s="15" t="n"/>
      <c r="T1399" s="15" t="n"/>
      <c r="U1399" s="15" t="n"/>
      <c r="V1399" s="15" t="n"/>
      <c r="W1399" s="16" t="n"/>
      <c r="X1399" s="16" t="n"/>
      <c r="Y1399" s="16" t="n"/>
      <c r="Z1399" s="15" t="inlineStr">
        <is>
          <t>No issue found</t>
        </is>
      </c>
      <c r="AA1399" s="15" t="inlineStr">
        <is>
          <t>Business Standard lists the company but shows no issue dates; web search limit reached</t>
        </is>
      </c>
      <c r="AB1399" s="18" t="inlineStr">
        <is>
          <t>https://www.business-standard.com/markets/ipo/vishwanath-sugar-steel-industries-ltd-ipo-39010</t>
        </is>
      </c>
    </row>
    <row r="1400" ht="15" customHeight="1" s="12">
      <c r="A1400" s="14" t="n">
        <v>1399</v>
      </c>
      <c r="B1400" s="16" t="n">
        <v>40905</v>
      </c>
      <c r="C1400" s="15" t="n">
        <v>2011</v>
      </c>
      <c r="D1400" s="15" t="inlineStr">
        <is>
          <t>Preludesys India Limited</t>
        </is>
      </c>
      <c r="E1400" s="15" t="inlineStr">
        <is>
          <t>DRHP</t>
        </is>
      </c>
      <c r="F1400" s="15" t="inlineStr">
        <is>
          <t>Preludesys India Limited</t>
        </is>
      </c>
      <c r="G1400" s="15" t="inlineStr">
        <is>
          <t>No launched IPO found</t>
        </is>
      </c>
      <c r="H1400" s="15" t="n"/>
      <c r="I1400" s="16" t="n"/>
      <c r="J1400" s="16" t="n"/>
      <c r="K1400" s="16" t="n"/>
      <c r="L1400" s="17" t="n"/>
      <c r="M1400" s="17" t="n"/>
      <c r="N1400" s="17" t="n"/>
      <c r="O1400" s="15" t="n"/>
      <c r="P1400" s="15" t="n"/>
      <c r="Q1400" s="18" t="inlineStr">
        <is>
          <t>https://www.sebi.gov.in/sebi_data/attachdocs/1325060224010.pdf</t>
        </is>
      </c>
      <c r="R1400" s="18" t="inlineStr">
        <is>
          <t>https://www.sebi.gov.in/filings/public-issues/dec-2011/preludesys-india-limited_21863.html</t>
        </is>
      </c>
      <c r="S1400" s="15" t="n"/>
      <c r="T1400" s="15" t="n"/>
      <c r="U1400" s="15" t="n"/>
      <c r="V1400" s="15" t="n"/>
      <c r="W1400" s="16" t="n"/>
      <c r="X1400" s="16" t="n"/>
      <c r="Y1400" s="16" t="n"/>
      <c r="Z1400" s="15" t="inlineStr">
        <is>
          <t>No issue found</t>
        </is>
      </c>
      <c r="AA1400" s="15" t="inlineStr">
        <is>
          <t>Business Standard lists the company but shows no issue dates; web search limit reached</t>
        </is>
      </c>
      <c r="AB1400" s="18" t="inlineStr">
        <is>
          <t>https://www.business-standard.com/markets/ipo/preludesys-india-ltd-ipo-41569</t>
        </is>
      </c>
    </row>
    <row r="1401" ht="15" customHeight="1" s="12">
      <c r="A1401" s="14" t="n">
        <v>1400</v>
      </c>
      <c r="B1401" s="16" t="n">
        <v>40899</v>
      </c>
      <c r="C1401" s="15" t="n">
        <v>2011</v>
      </c>
      <c r="D1401" s="15" t="inlineStr">
        <is>
          <t>Corrigendum to A - Team Edutech Limited</t>
        </is>
      </c>
      <c r="E1401" s="15" t="inlineStr">
        <is>
          <t>Corrigendum</t>
        </is>
      </c>
      <c r="F1401" s="15" t="inlineStr">
        <is>
          <t>Corrigendum to A - Team Edutech Limited</t>
        </is>
      </c>
      <c r="G1401" s="15" t="inlineStr">
        <is>
          <t>No launched IPO found</t>
        </is>
      </c>
      <c r="H1401" s="15" t="n"/>
      <c r="I1401" s="16" t="n"/>
      <c r="J1401" s="16" t="n"/>
      <c r="K1401" s="16" t="n"/>
      <c r="L1401" s="17" t="n"/>
      <c r="M1401" s="17" t="n"/>
      <c r="N1401" s="17" t="n"/>
      <c r="O1401" s="15" t="n"/>
      <c r="P1401" s="15" t="n"/>
      <c r="Q1401" s="18" t="inlineStr">
        <is>
          <t>https://www.sebi.gov.in/sebi_data/attachdocs/1324545732574.pdf</t>
        </is>
      </c>
      <c r="R1401" s="18" t="inlineStr">
        <is>
          <t>https://www.sebi.gov.in/filings/public-issues/dec-2011/corrigendum-to-a-team-edutech-limited_21789.html</t>
        </is>
      </c>
      <c r="S1401" s="15" t="n"/>
      <c r="T1401" s="15" t="n"/>
      <c r="U1401" s="15" t="n"/>
      <c r="V1401" s="15" t="n"/>
      <c r="W1401" s="16" t="n"/>
      <c r="X1401" s="16" t="n"/>
      <c r="Y1401" s="16" t="n"/>
      <c r="Z1401" s="15" t="inlineStr">
        <is>
          <t>Withdrawn / approval lapsed</t>
        </is>
      </c>
      <c r="AA1401" s="15" t="inlineStr">
        <is>
          <t>IPO DRHP withdrawn by LM vide letter 16 Oct 2012 (SEBI status list); company later struck off</t>
        </is>
      </c>
      <c r="AB1401" s="18" t="inlineStr">
        <is>
          <t>https://www.sebi.gov.in/sebi_data/commondocs/feb-2020/Issues%20Obs%20Issued%2031012020_p.pdf</t>
        </is>
      </c>
    </row>
    <row r="1402" ht="15" customHeight="1" s="12">
      <c r="A1402" s="14" t="n">
        <v>1401</v>
      </c>
      <c r="B1402" s="16" t="n">
        <v>40898</v>
      </c>
      <c r="C1402" s="15" t="n">
        <v>2011</v>
      </c>
      <c r="D1402" s="15" t="inlineStr">
        <is>
          <t>Bluplast Industries Limited</t>
        </is>
      </c>
      <c r="E1402" s="15" t="inlineStr">
        <is>
          <t>DRHP</t>
        </is>
      </c>
      <c r="F1402" s="15" t="inlineStr">
        <is>
          <t>Bluplast Industries Limited</t>
        </is>
      </c>
      <c r="G1402" s="15" t="inlineStr">
        <is>
          <t>No launched IPO found</t>
        </is>
      </c>
      <c r="H1402" s="15" t="n"/>
      <c r="I1402" s="16" t="n"/>
      <c r="J1402" s="16" t="n"/>
      <c r="K1402" s="16" t="n"/>
      <c r="L1402" s="17" t="n"/>
      <c r="M1402" s="17" t="n"/>
      <c r="N1402" s="17" t="n"/>
      <c r="O1402" s="15" t="n"/>
      <c r="P1402" s="15" t="n"/>
      <c r="Q1402" s="18" t="inlineStr">
        <is>
          <t>https://www.sebi.gov.in/sebi_data/attachdocs/1324467081525.pdf</t>
        </is>
      </c>
      <c r="R1402" s="18" t="inlineStr">
        <is>
          <t>https://www.sebi.gov.in/filings/public-issues/dec-2011/bluplast-industries-limited_21782.html</t>
        </is>
      </c>
      <c r="S1402" s="15" t="n"/>
      <c r="T1402" s="15" t="n"/>
      <c r="U1402" s="15" t="n"/>
      <c r="V1402" s="15" t="n"/>
      <c r="W1402" s="16" t="n"/>
      <c r="X1402" s="16" t="n"/>
      <c r="Y1402" s="16" t="n"/>
      <c r="Z1402" s="15" t="inlineStr">
        <is>
          <t>No issue found</t>
        </is>
      </c>
      <c r="AA1402" s="15" t="inlineStr">
        <is>
          <t>Business Standard lists the company but shows no issue dates; web search limit reached</t>
        </is>
      </c>
      <c r="AB1402" s="18" t="inlineStr">
        <is>
          <t>https://www.business-standard.com/markets/ipo/bluplast-industries-ltd-ipo-27270</t>
        </is>
      </c>
    </row>
    <row r="1403" ht="15" customHeight="1" s="12">
      <c r="A1403" s="14" t="n">
        <v>1402</v>
      </c>
      <c r="B1403" s="16" t="n">
        <v>40898</v>
      </c>
      <c r="C1403" s="15" t="n">
        <v>2011</v>
      </c>
      <c r="D1403" s="15" t="inlineStr">
        <is>
          <t>Maiam Global Foods Limited</t>
        </is>
      </c>
      <c r="E1403" s="15" t="inlineStr">
        <is>
          <t>DRHP</t>
        </is>
      </c>
      <c r="F1403" s="15" t="inlineStr">
        <is>
          <t>Maiam Global Foods Limited</t>
        </is>
      </c>
      <c r="G1403" s="15" t="inlineStr">
        <is>
          <t>No launched IPO found</t>
        </is>
      </c>
      <c r="H1403" s="15" t="n"/>
      <c r="I1403" s="16" t="n"/>
      <c r="J1403" s="16" t="n"/>
      <c r="K1403" s="16" t="n"/>
      <c r="L1403" s="17" t="n"/>
      <c r="M1403" s="17" t="n"/>
      <c r="N1403" s="17" t="n"/>
      <c r="O1403" s="15" t="n"/>
      <c r="P1403" s="15" t="n"/>
      <c r="Q1403" s="18" t="inlineStr">
        <is>
          <t>https://www.sebi.gov.in/sebi_data/attachdocs/1324462729726.pdf</t>
        </is>
      </c>
      <c r="R1403" s="18" t="inlineStr">
        <is>
          <t>https://www.sebi.gov.in/filings/public-issues/dec-2011/maiam-global-foods-limited_21777.html</t>
        </is>
      </c>
      <c r="S1403" s="15" t="n"/>
      <c r="T1403" s="15" t="n"/>
      <c r="U1403" s="15" t="n"/>
      <c r="V1403" s="15" t="n"/>
      <c r="W1403" s="16" t="n"/>
      <c r="X1403" s="16" t="n"/>
      <c r="Y1403" s="16" t="n"/>
      <c r="Z1403" s="15" t="inlineStr">
        <is>
          <t>No issue found</t>
        </is>
      </c>
      <c r="AA1403" s="15" t="inlineStr">
        <is>
          <t>Chennai food co; DRHP for 90 lakh-share IPO; company remains unlisted</t>
        </is>
      </c>
      <c r="AB1403" s="18" t="inlineStr">
        <is>
          <t>https://www.tofler.in/maiam-global-foods-limited/company/U15313TN2004PLC054801</t>
        </is>
      </c>
    </row>
    <row r="1404" ht="15" customHeight="1" s="12">
      <c r="A1404" s="14" t="n">
        <v>1403</v>
      </c>
      <c r="B1404" s="16" t="n">
        <v>40889</v>
      </c>
      <c r="C1404" s="15" t="n">
        <v>2011</v>
      </c>
      <c r="D1404" s="15" t="inlineStr">
        <is>
          <t>E-Zest Solutions Limited</t>
        </is>
      </c>
      <c r="E1404" s="15" t="inlineStr">
        <is>
          <t>DRHP</t>
        </is>
      </c>
      <c r="F1404" s="15" t="inlineStr">
        <is>
          <t>E-Zest Solutions Limited</t>
        </is>
      </c>
      <c r="G1404" s="15" t="inlineStr">
        <is>
          <t>No launched IPO found</t>
        </is>
      </c>
      <c r="H1404" s="15" t="n"/>
      <c r="I1404" s="16" t="n"/>
      <c r="J1404" s="16" t="n"/>
      <c r="K1404" s="16" t="n"/>
      <c r="L1404" s="17" t="n"/>
      <c r="M1404" s="17" t="n"/>
      <c r="N1404" s="17" t="n"/>
      <c r="O1404" s="15" t="n"/>
      <c r="P1404" s="15" t="n"/>
      <c r="Q1404" s="18" t="inlineStr">
        <is>
          <t>https://www.sebi.gov.in/sebi_data/attachdocs/1323687097296.pdf</t>
        </is>
      </c>
      <c r="R1404" s="18" t="inlineStr">
        <is>
          <t>https://www.sebi.gov.in/filings/public-issues/dec-2011/e-zest-solutions-limited_21697.html</t>
        </is>
      </c>
      <c r="S1404" s="15" t="n"/>
      <c r="T1404" s="15" t="n"/>
      <c r="U1404" s="15" t="n"/>
      <c r="V1404" s="15" t="n"/>
      <c r="W1404" s="16" t="n"/>
      <c r="X1404" s="16" t="n"/>
      <c r="Y1404" s="16" t="n"/>
      <c r="Z1404" s="15" t="inlineStr">
        <is>
          <t>No issue found</t>
        </is>
      </c>
      <c r="AA1404" s="15" t="inlineStr">
        <is>
          <t>Planned 1cr-share IPO (Nov 2011, Choice Capital BRLM); company remains unlisted</t>
        </is>
      </c>
      <c r="AB1404" s="18" t="inlineStr">
        <is>
          <t>https://www.siliconindia.com/finance/IPO/EZest-Solutions-nid-73.html</t>
        </is>
      </c>
    </row>
    <row r="1405" ht="15" customHeight="1" s="12">
      <c r="A1405" s="14" t="n">
        <v>1404</v>
      </c>
      <c r="B1405" s="16" t="n">
        <v>40865</v>
      </c>
      <c r="C1405" s="15" t="n">
        <v>2011</v>
      </c>
      <c r="D1405" s="15" t="inlineStr">
        <is>
          <t>E-Zest Solutions Limited</t>
        </is>
      </c>
      <c r="E1405" s="15" t="inlineStr">
        <is>
          <t>DRHP</t>
        </is>
      </c>
      <c r="F1405" s="15" t="inlineStr">
        <is>
          <t>E-Zest Solutions Limited</t>
        </is>
      </c>
      <c r="G1405" s="15" t="inlineStr">
        <is>
          <t>No launched IPO found</t>
        </is>
      </c>
      <c r="H1405" s="15" t="n"/>
      <c r="I1405" s="16" t="n"/>
      <c r="J1405" s="16" t="n"/>
      <c r="K1405" s="16" t="n"/>
      <c r="L1405" s="17" t="n"/>
      <c r="M1405" s="17" t="n"/>
      <c r="N1405" s="17" t="n"/>
      <c r="O1405" s="15" t="n"/>
      <c r="P1405" s="15" t="n"/>
      <c r="Q1405" s="18" t="inlineStr">
        <is>
          <t>https://www.sebi.gov.in/sebi_data/attachdocs/1321610957169.pdf</t>
        </is>
      </c>
      <c r="R1405" s="18" t="inlineStr">
        <is>
          <t>https://www.sebi.gov.in/filings/public-issues/nov-2011/e-zest-solutions-limited_21123.html</t>
        </is>
      </c>
      <c r="S1405" s="15" t="n"/>
      <c r="T1405" s="15" t="n"/>
      <c r="U1405" s="15" t="n"/>
      <c r="V1405" s="15" t="n"/>
      <c r="W1405" s="16" t="n"/>
      <c r="X1405" s="16" t="n"/>
      <c r="Y1405" s="16" t="n"/>
      <c r="Z1405" s="15" t="inlineStr">
        <is>
          <t>No issue found</t>
        </is>
      </c>
      <c r="AA1405" s="15" t="inlineStr">
        <is>
          <t>Planned 1cr-share IPO (Nov 2011, Choice Capital BRLM); company remains unlisted</t>
        </is>
      </c>
      <c r="AB1405" s="18" t="inlineStr">
        <is>
          <t>https://www.siliconindia.com/finance/IPO/EZest-Solutions-nid-73.html</t>
        </is>
      </c>
    </row>
    <row r="1406" ht="15" customHeight="1" s="12">
      <c r="A1406" s="14" t="n">
        <v>1405</v>
      </c>
      <c r="B1406" s="16" t="n">
        <v>40864</v>
      </c>
      <c r="C1406" s="15" t="n">
        <v>2011</v>
      </c>
      <c r="D1406" s="15" t="inlineStr">
        <is>
          <t>Katha Mediatix India Limited</t>
        </is>
      </c>
      <c r="E1406" s="15" t="inlineStr">
        <is>
          <t>DRHP</t>
        </is>
      </c>
      <c r="F1406" s="15" t="inlineStr">
        <is>
          <t>Katha Mediatix India Limited</t>
        </is>
      </c>
      <c r="G1406" s="15" t="inlineStr">
        <is>
          <t>No launched IPO found</t>
        </is>
      </c>
      <c r="H1406" s="15" t="n"/>
      <c r="I1406" s="16" t="n"/>
      <c r="J1406" s="16" t="n"/>
      <c r="K1406" s="16" t="n"/>
      <c r="L1406" s="17" t="n"/>
      <c r="M1406" s="17" t="n"/>
      <c r="N1406" s="17" t="n"/>
      <c r="O1406" s="15" t="n"/>
      <c r="P1406" s="15" t="n"/>
      <c r="Q1406" s="18" t="inlineStr">
        <is>
          <t>https://www.sebi.gov.in/sebi_data/attachdocs/1321508400243.pdf</t>
        </is>
      </c>
      <c r="R1406" s="18" t="inlineStr">
        <is>
          <t>https://www.sebi.gov.in/filings/public-issues/nov-2011/katha-mediatix-india-limited_21082.html</t>
        </is>
      </c>
      <c r="S1406" s="15" t="n"/>
      <c r="T1406" s="15" t="n"/>
      <c r="U1406" s="15" t="n"/>
      <c r="V1406" s="15" t="n"/>
      <c r="W1406" s="16" t="n"/>
      <c r="X1406" s="16" t="n"/>
      <c r="Y1406" s="16" t="n"/>
      <c r="Z1406" s="15" t="inlineStr">
        <is>
          <t>No issue found</t>
        </is>
      </c>
      <c r="AA1406" s="15" t="inlineStr">
        <is>
          <t>Business Standard lists the company but shows no issue dates; web search limit reached</t>
        </is>
      </c>
      <c r="AB1406" s="18" t="inlineStr">
        <is>
          <t>https://www.business-standard.com/markets/ipo/katha-mediatix-india-ltd-ipo-41474</t>
        </is>
      </c>
    </row>
    <row r="1407" ht="15" customHeight="1" s="12">
      <c r="A1407" s="14" t="n">
        <v>1406</v>
      </c>
      <c r="B1407" s="16" t="n">
        <v>40855</v>
      </c>
      <c r="C1407" s="15" t="n">
        <v>2011</v>
      </c>
      <c r="D1407" s="15" t="inlineStr">
        <is>
          <t>A Team Edutech Limited</t>
        </is>
      </c>
      <c r="E1407" s="15" t="inlineStr">
        <is>
          <t>DRHP</t>
        </is>
      </c>
      <c r="F1407" s="15" t="inlineStr">
        <is>
          <t>A Team Edutech Limited</t>
        </is>
      </c>
      <c r="G1407" s="15" t="inlineStr">
        <is>
          <t>No launched IPO found</t>
        </is>
      </c>
      <c r="H1407" s="15" t="n"/>
      <c r="I1407" s="16" t="n"/>
      <c r="J1407" s="16" t="n"/>
      <c r="K1407" s="16" t="n"/>
      <c r="L1407" s="17" t="n"/>
      <c r="M1407" s="17" t="n"/>
      <c r="N1407" s="17" t="n"/>
      <c r="O1407" s="15" t="n"/>
      <c r="P1407" s="15" t="n"/>
      <c r="Q1407" s="18" t="inlineStr">
        <is>
          <t>https://www.sebi.gov.in/sebi_data/attachdocs/1320751866668.pdf</t>
        </is>
      </c>
      <c r="R1407" s="18" t="inlineStr">
        <is>
          <t>https://www.sebi.gov.in/filings/public-issues/nov-2011/a-team-edutech-limited_21010.html</t>
        </is>
      </c>
      <c r="S1407" s="15" t="n"/>
      <c r="T1407" s="15" t="n"/>
      <c r="U1407" s="15" t="n"/>
      <c r="V1407" s="15" t="n"/>
      <c r="W1407" s="16" t="n"/>
      <c r="X1407" s="16" t="n"/>
      <c r="Y1407" s="16" t="n"/>
      <c r="Z1407" s="15" t="inlineStr">
        <is>
          <t>Withdrawn / approval lapsed</t>
        </is>
      </c>
      <c r="AA1407" s="15" t="inlineStr">
        <is>
          <t>IPO DRHP withdrawn by LM vide letter 16 Oct 2012 (SEBI status list); company later struck off</t>
        </is>
      </c>
      <c r="AB1407" s="18" t="inlineStr">
        <is>
          <t>https://www.sebi.gov.in/sebi_data/commondocs/feb-2020/Issues%20Obs%20Issued%2031012020_p.pdf</t>
        </is>
      </c>
    </row>
    <row r="1408" ht="15" customHeight="1" s="12">
      <c r="A1408" s="14" t="n">
        <v>1407</v>
      </c>
      <c r="B1408" s="16" t="n">
        <v>40848</v>
      </c>
      <c r="C1408" s="15" t="n">
        <v>2011</v>
      </c>
      <c r="D1408" s="15" t="inlineStr">
        <is>
          <t>Varahi Limited</t>
        </is>
      </c>
      <c r="E1408" s="15" t="inlineStr">
        <is>
          <t>DRHP</t>
        </is>
      </c>
      <c r="F1408" s="15" t="inlineStr">
        <is>
          <t>Varahi Limited</t>
        </is>
      </c>
      <c r="G1408" s="15" t="inlineStr">
        <is>
          <t>No launched IPO found</t>
        </is>
      </c>
      <c r="H1408" s="15" t="n"/>
      <c r="I1408" s="16" t="n"/>
      <c r="J1408" s="16" t="n"/>
      <c r="K1408" s="16" t="n"/>
      <c r="L1408" s="17" t="n"/>
      <c r="M1408" s="17" t="n"/>
      <c r="N1408" s="17" t="n"/>
      <c r="O1408" s="15" t="n"/>
      <c r="P1408" s="15" t="n"/>
      <c r="Q1408" s="18" t="inlineStr">
        <is>
          <t>https://www.sebi.gov.in/sebi_data/attachdocs/1320146746368.pdf</t>
        </is>
      </c>
      <c r="R1408" s="18" t="inlineStr">
        <is>
          <t>https://www.sebi.gov.in/filings/public-issues/nov-2011/varahi-limited_20993.html</t>
        </is>
      </c>
      <c r="S1408" s="15" t="n"/>
      <c r="T1408" s="15" t="n"/>
      <c r="U1408" s="15" t="n"/>
      <c r="V1408" s="15" t="n"/>
      <c r="W1408" s="16" t="n"/>
      <c r="X1408" s="16" t="n"/>
      <c r="Y1408" s="16" t="n"/>
      <c r="Z1408" s="15" t="inlineStr">
        <is>
          <t>No issue found</t>
        </is>
      </c>
      <c r="AA1408" s="15" t="inlineStr">
        <is>
          <t>Business Standard lists the company but shows no issue dates; web search limit reached</t>
        </is>
      </c>
      <c r="AB1408" s="18" t="inlineStr">
        <is>
          <t>https://www.business-standard.com/markets/ipo/varahi-ltd-ipo-34603</t>
        </is>
      </c>
    </row>
    <row r="1409" ht="15" customHeight="1" s="12">
      <c r="A1409" s="14" t="n">
        <v>1408</v>
      </c>
      <c r="B1409" s="16" t="n">
        <v>40821</v>
      </c>
      <c r="C1409" s="15" t="n">
        <v>2011</v>
      </c>
      <c r="D1409" s="15" t="inlineStr">
        <is>
          <t>Credit Analysis And Research Limited</t>
        </is>
      </c>
      <c r="E1409" s="15" t="inlineStr">
        <is>
          <t>DRHP</t>
        </is>
      </c>
      <c r="F1409" s="15" t="inlineStr">
        <is>
          <t>Credit Analysis And Research Limited</t>
        </is>
      </c>
      <c r="G1409" s="15" t="inlineStr">
        <is>
          <t>IPO launched</t>
        </is>
      </c>
      <c r="H1409" s="15" t="inlineStr">
        <is>
          <t>Mainboard</t>
        </is>
      </c>
      <c r="I1409" s="16" t="n">
        <v>41250</v>
      </c>
      <c r="J1409" s="16" t="n">
        <v>41254</v>
      </c>
      <c r="K1409" s="16" t="n">
        <v>41269</v>
      </c>
      <c r="L1409" s="17" t="n">
        <v>539.98</v>
      </c>
      <c r="M1409" s="17" t="n">
        <v>539.98</v>
      </c>
      <c r="N1409" s="17" t="n">
        <v>0</v>
      </c>
      <c r="O1409" s="15" t="inlineStr">
        <is>
          <t>Final issue (ipoplatform)</t>
        </is>
      </c>
      <c r="P1409" s="15" t="n"/>
      <c r="Q1409" s="18" t="inlineStr">
        <is>
          <t>https://www.sebi.gov.in/sebi_data/attachdocs/1317804515879.pdf</t>
        </is>
      </c>
      <c r="R1409" s="18" t="inlineStr">
        <is>
          <t>https://www.sebi.gov.in/filings/public-issues/oct-2011/credit-analysis-and-research-limited_20818.html</t>
        </is>
      </c>
      <c r="S1409" s="15" t="n"/>
      <c r="T1409" s="15" t="inlineStr">
        <is>
          <t>SEBI filing link</t>
        </is>
      </c>
      <c r="U1409" s="15" t="inlineStr">
        <is>
          <t>Credit Analysis &amp; Research Limited</t>
        </is>
      </c>
      <c r="V1409" s="15" t="n"/>
      <c r="W1409" s="15" t="n"/>
      <c r="X1409" s="15" t="n"/>
      <c r="Y1409" s="15" t="n"/>
      <c r="Z1409" s="15" t="n"/>
      <c r="AA1409" s="15" t="n"/>
      <c r="AB1409" s="15" t="n"/>
    </row>
    <row r="1410" ht="15" customHeight="1" s="12">
      <c r="A1410" s="14" t="n">
        <v>1409</v>
      </c>
      <c r="B1410" s="16" t="n">
        <v>40820</v>
      </c>
      <c r="C1410" s="15" t="n">
        <v>2011</v>
      </c>
      <c r="D1410" s="15" t="inlineStr">
        <is>
          <t>Aurangabad Electricals Limited</t>
        </is>
      </c>
      <c r="E1410" s="15" t="inlineStr">
        <is>
          <t>DRHP</t>
        </is>
      </c>
      <c r="F1410" s="15" t="inlineStr">
        <is>
          <t>Aurangabad Electricals Limited</t>
        </is>
      </c>
      <c r="G1410" s="15" t="inlineStr">
        <is>
          <t>No launched IPO found</t>
        </is>
      </c>
      <c r="H1410" s="15" t="n"/>
      <c r="I1410" s="16" t="n"/>
      <c r="J1410" s="16" t="n"/>
      <c r="K1410" s="16" t="n"/>
      <c r="L1410" s="17" t="n"/>
      <c r="M1410" s="17" t="n"/>
      <c r="N1410" s="17" t="n"/>
      <c r="O1410" s="15" t="n"/>
      <c r="P1410" s="15" t="n"/>
      <c r="Q1410" s="18" t="inlineStr">
        <is>
          <t>https://www.sebi.gov.in/sebi_data/attachdocs/1317710787371.pdf</t>
        </is>
      </c>
      <c r="R1410" s="18" t="inlineStr">
        <is>
          <t>https://www.sebi.gov.in/filings/public-issues/oct-2011/aurangabad-electricals-limited_20800.html</t>
        </is>
      </c>
      <c r="S1410" s="15" t="n"/>
      <c r="T1410" s="15" t="n"/>
      <c r="U1410" s="15" t="n"/>
      <c r="V1410" s="15" t="n"/>
      <c r="W1410" s="16" t="n"/>
      <c r="X1410" s="16" t="n"/>
      <c r="Y1410" s="16" t="n"/>
      <c r="Z1410" s="15" t="inlineStr">
        <is>
          <t>No issue found</t>
        </is>
      </c>
      <c r="AA1410" s="15" t="inlineStr">
        <is>
          <t>IPO (Blue River OFS) never launched; acquired by Mahindra CIE, now CIE Aluminium Casting India</t>
        </is>
      </c>
      <c r="AB1410" s="18" t="inlineStr">
        <is>
          <t>https://www.business-standard.com/markets/ipo/aurangabad-electricals-ltd-ipo-39655</t>
        </is>
      </c>
    </row>
    <row r="1411" ht="15" customHeight="1" s="12">
      <c r="A1411" s="14" t="n">
        <v>1410</v>
      </c>
      <c r="B1411" s="16" t="n">
        <v>40820</v>
      </c>
      <c r="C1411" s="15" t="n">
        <v>2011</v>
      </c>
      <c r="D1411" s="15" t="inlineStr">
        <is>
          <t>Bharat Heavy Electricals Limited</t>
        </is>
      </c>
      <c r="E1411" s="15" t="inlineStr">
        <is>
          <t>DRHP</t>
        </is>
      </c>
      <c r="F1411" s="15" t="inlineStr">
        <is>
          <t>Bharat Heavy Electricals Limited</t>
        </is>
      </c>
      <c r="G1411" s="15" t="inlineStr">
        <is>
          <t>No launched IPO found</t>
        </is>
      </c>
      <c r="H1411" s="15" t="n"/>
      <c r="I1411" s="16" t="n"/>
      <c r="J1411" s="16" t="n"/>
      <c r="K1411" s="16" t="n"/>
      <c r="L1411" s="17" t="n"/>
      <c r="M1411" s="17" t="n"/>
      <c r="N1411" s="17" t="n"/>
      <c r="O1411" s="15" t="n"/>
      <c r="P1411" s="15" t="n"/>
      <c r="Q1411" s="18" t="inlineStr">
        <is>
          <t>https://www.sebi.gov.in/sebi_data/attachdocs/1317720697147.pdf</t>
        </is>
      </c>
      <c r="R1411" s="18" t="inlineStr">
        <is>
          <t>https://www.sebi.gov.in/filings/public-issues/oct-2011/bharat-heavy-electricals-limited_20801.html</t>
        </is>
      </c>
      <c r="S1411" s="15" t="n"/>
      <c r="T1411" s="15" t="n"/>
      <c r="U1411" s="15" t="n"/>
      <c r="V1411" s="15" t="n"/>
      <c r="W1411" s="16" t="n"/>
      <c r="X1411" s="16" t="n"/>
      <c r="Y1411" s="16" t="n"/>
      <c r="Z1411" s="15" t="inlineStr">
        <is>
          <t>Withdrawn / approval lapsed</t>
        </is>
      </c>
      <c r="AA1411" s="15" t="inlineStr">
        <is>
          <t>Govt 5% FPO; draft withdrawn Apr 2012, divestment shelved; no FPO ever held</t>
        </is>
      </c>
      <c r="AB1411" s="18" t="inlineStr">
        <is>
          <t>https://www.business-standard.com/amp/article/pti-stories/heavy-industry-ministry-not-in-favour-of-public-offer-for-bhel-114020601008_1.html</t>
        </is>
      </c>
    </row>
    <row r="1412" ht="15" customHeight="1" s="12">
      <c r="A1412" s="14" t="n">
        <v>1411</v>
      </c>
      <c r="B1412" s="16" t="n">
        <v>40820</v>
      </c>
      <c r="C1412" s="15" t="n">
        <v>2011</v>
      </c>
      <c r="D1412" s="15" t="inlineStr">
        <is>
          <t>Repco Home Finance Limited</t>
        </is>
      </c>
      <c r="E1412" s="15" t="inlineStr">
        <is>
          <t>DRHP</t>
        </is>
      </c>
      <c r="F1412" s="15" t="inlineStr">
        <is>
          <t>Repco Home Finance Limited</t>
        </is>
      </c>
      <c r="G1412" s="15" t="inlineStr">
        <is>
          <t>IPO launched</t>
        </is>
      </c>
      <c r="H1412" s="15" t="inlineStr">
        <is>
          <t>Mainboard</t>
        </is>
      </c>
      <c r="I1412" s="16" t="n">
        <v>41346</v>
      </c>
      <c r="J1412" s="16" t="n">
        <v>41348</v>
      </c>
      <c r="K1412" s="16" t="n">
        <v>41365</v>
      </c>
      <c r="L1412" s="17" t="n">
        <v>270.39</v>
      </c>
      <c r="M1412" s="17" t="n">
        <v>270.39</v>
      </c>
      <c r="N1412" s="17" t="n">
        <v>0</v>
      </c>
      <c r="O1412" s="15" t="inlineStr">
        <is>
          <t>Final issue (ipoplatform)</t>
        </is>
      </c>
      <c r="P1412" s="15" t="n"/>
      <c r="Q1412" s="18" t="inlineStr">
        <is>
          <t>https://www.sebi.gov.in/sebi_data/attachdocs/1317709033270.pdf</t>
        </is>
      </c>
      <c r="R1412" s="18" t="inlineStr">
        <is>
          <t>https://www.sebi.gov.in/filings/public-issues/oct-2011/repco-home-finance-limited_20798.html</t>
        </is>
      </c>
      <c r="S1412" s="15" t="n"/>
      <c r="T1412" s="15" t="inlineStr">
        <is>
          <t>SEBI filing link</t>
        </is>
      </c>
      <c r="U1412" s="15" t="inlineStr">
        <is>
          <t>Repco Home Finance Limited</t>
        </is>
      </c>
      <c r="V1412" s="15" t="n"/>
      <c r="W1412" s="15" t="n"/>
      <c r="X1412" s="15" t="n"/>
      <c r="Y1412" s="15" t="n"/>
      <c r="Z1412" s="15" t="n"/>
      <c r="AA1412" s="15" t="n"/>
      <c r="AB1412" s="15" t="n"/>
    </row>
    <row r="1413" ht="15" customHeight="1" s="12">
      <c r="A1413" s="14" t="n">
        <v>1412</v>
      </c>
      <c r="B1413" s="16" t="n">
        <v>40819</v>
      </c>
      <c r="C1413" s="15" t="n">
        <v>2011</v>
      </c>
      <c r="D1413" s="15" t="inlineStr">
        <is>
          <t>Abhitech Energycon Limited</t>
        </is>
      </c>
      <c r="E1413" s="15" t="inlineStr">
        <is>
          <t>DRHP</t>
        </is>
      </c>
      <c r="F1413" s="15" t="inlineStr">
        <is>
          <t>Abhitech Energycon Limited</t>
        </is>
      </c>
      <c r="G1413" s="15" t="inlineStr">
        <is>
          <t>No launched IPO found</t>
        </is>
      </c>
      <c r="H1413" s="15" t="n"/>
      <c r="I1413" s="16" t="n"/>
      <c r="J1413" s="16" t="n"/>
      <c r="K1413" s="16" t="n"/>
      <c r="L1413" s="17" t="n"/>
      <c r="M1413" s="17" t="n"/>
      <c r="N1413" s="17" t="n"/>
      <c r="O1413" s="15" t="n"/>
      <c r="P1413" s="15" t="n"/>
      <c r="Q1413" s="18" t="inlineStr">
        <is>
          <t>https://www.sebi.gov.in/sebi_data/attachdocs/1317642000370.pdf</t>
        </is>
      </c>
      <c r="R1413" s="18" t="inlineStr">
        <is>
          <t>https://www.sebi.gov.in/filings/public-issues/oct-2011/abhitech-energycon-limited_20796.html</t>
        </is>
      </c>
      <c r="S1413" s="15" t="n"/>
      <c r="T1413" s="15" t="n"/>
      <c r="U1413" s="15" t="n"/>
      <c r="V1413" s="15" t="n"/>
      <c r="W1413" s="16" t="n"/>
      <c r="X1413" s="16" t="n"/>
      <c r="Y1413" s="16" t="n"/>
      <c r="Z1413" s="15" t="inlineStr">
        <is>
          <t>No issue found</t>
        </is>
      </c>
      <c r="AA1413" s="15" t="inlineStr">
        <is>
          <t>Baddi fuel-additive maker; still unlisted public company</t>
        </is>
      </c>
      <c r="AB1413" s="18" t="inlineStr">
        <is>
          <t>https://www.tofler.in/abhitech-energycon-limited/company/U74210HP1997PLC001112</t>
        </is>
      </c>
    </row>
    <row r="1414" ht="15" customHeight="1" s="12">
      <c r="A1414" s="14" t="n">
        <v>1413</v>
      </c>
      <c r="B1414" s="16" t="n">
        <v>40819</v>
      </c>
      <c r="C1414" s="15" t="n">
        <v>2011</v>
      </c>
      <c r="D1414" s="15" t="inlineStr">
        <is>
          <t>Ambuja Intermediates Ltd</t>
        </is>
      </c>
      <c r="E1414" s="15" t="inlineStr">
        <is>
          <t>DRHP</t>
        </is>
      </c>
      <c r="F1414" s="15" t="inlineStr">
        <is>
          <t>Ambuja Intermediates Ltd</t>
        </is>
      </c>
      <c r="G1414" s="15" t="inlineStr">
        <is>
          <t>No launched IPO found</t>
        </is>
      </c>
      <c r="H1414" s="15" t="n"/>
      <c r="I1414" s="16" t="n"/>
      <c r="J1414" s="16" t="n"/>
      <c r="K1414" s="16" t="n"/>
      <c r="L1414" s="17" t="n"/>
      <c r="M1414" s="17" t="n"/>
      <c r="N1414" s="17" t="n"/>
      <c r="O1414" s="15" t="n"/>
      <c r="P1414" s="15" t="n"/>
      <c r="Q1414" s="18" t="inlineStr">
        <is>
          <t>https://www.sebi.gov.in/sebi_data/attachdocs/1317614827565.pdf</t>
        </is>
      </c>
      <c r="R1414" s="18" t="inlineStr">
        <is>
          <t>https://www.sebi.gov.in/filings/public-issues/oct-2011/ambuja-intermediates-ltd_20786.html</t>
        </is>
      </c>
      <c r="S1414" s="15" t="n"/>
      <c r="T1414" s="15" t="n"/>
      <c r="U1414" s="15" t="n"/>
      <c r="V1414" s="15" t="n"/>
      <c r="W1414" s="16" t="n"/>
      <c r="X1414" s="16" t="n"/>
      <c r="Y1414" s="16" t="n"/>
      <c r="Z1414" s="15" t="inlineStr">
        <is>
          <t>No issue found</t>
        </is>
      </c>
      <c r="AA1414" s="15" t="inlineStr">
        <is>
          <t>Business Standard lists the company but shows no issue dates; web search limit reached</t>
        </is>
      </c>
      <c r="AB1414" s="18" t="inlineStr">
        <is>
          <t>https://www.business-standard.com/markets/ipo/ambuja-intermediates-ltd-ipo-37041</t>
        </is>
      </c>
    </row>
    <row r="1415" ht="15" customHeight="1" s="12">
      <c r="A1415" s="14" t="n">
        <v>1414</v>
      </c>
      <c r="B1415" s="16" t="n">
        <v>40819</v>
      </c>
      <c r="C1415" s="15" t="n">
        <v>2011</v>
      </c>
      <c r="D1415" s="15" t="inlineStr">
        <is>
          <t>Olympic Cards Ltd</t>
        </is>
      </c>
      <c r="E1415" s="15" t="inlineStr">
        <is>
          <t>DRHP</t>
        </is>
      </c>
      <c r="F1415" s="15" t="inlineStr">
        <is>
          <t>Olympic Cards Ltd</t>
        </is>
      </c>
      <c r="G1415" s="15" t="inlineStr">
        <is>
          <t>IPO launched</t>
        </is>
      </c>
      <c r="H1415" s="15" t="inlineStr">
        <is>
          <t>Mainboard</t>
        </is>
      </c>
      <c r="I1415" s="16" t="n">
        <v>40977</v>
      </c>
      <c r="J1415" s="16" t="n">
        <v>40981</v>
      </c>
      <c r="K1415" s="16" t="n">
        <v>40996</v>
      </c>
      <c r="L1415" s="17" t="n">
        <v>25</v>
      </c>
      <c r="M1415" s="17" t="n">
        <v>25</v>
      </c>
      <c r="N1415" s="17" t="n">
        <v>0</v>
      </c>
      <c r="O1415" s="15" t="inlineStr">
        <is>
          <t>Final issue (ipoplatform)</t>
        </is>
      </c>
      <c r="P1415" s="15" t="n"/>
      <c r="Q1415" s="18" t="inlineStr">
        <is>
          <t>https://www.sebi.gov.in/sebi_data/attachdocs/1317639612963.pdf</t>
        </is>
      </c>
      <c r="R1415" s="18" t="inlineStr">
        <is>
          <t>https://www.sebi.gov.in/filings/public-issues/oct-2011/olympic-cards-ltd_20794.html</t>
        </is>
      </c>
      <c r="S1415" s="15" t="n"/>
      <c r="T1415" s="15" t="inlineStr">
        <is>
          <t>Company name + date window</t>
        </is>
      </c>
      <c r="U1415" s="15" t="inlineStr">
        <is>
          <t>Olympic Cards Limited</t>
        </is>
      </c>
      <c r="V1415" s="15" t="n"/>
      <c r="W1415" s="15" t="n"/>
      <c r="X1415" s="15" t="n"/>
      <c r="Y1415" s="15" t="n"/>
      <c r="Z1415" s="15" t="n"/>
      <c r="AA1415" s="15" t="n"/>
      <c r="AB1415" s="15" t="n"/>
    </row>
    <row r="1416" ht="15" customHeight="1" s="12">
      <c r="A1416" s="14" t="n">
        <v>1415</v>
      </c>
      <c r="B1416" s="16" t="n">
        <v>40819</v>
      </c>
      <c r="C1416" s="15" t="n">
        <v>2011</v>
      </c>
      <c r="D1416" s="15" t="inlineStr">
        <is>
          <t>PC Jeweller Limited</t>
        </is>
      </c>
      <c r="E1416" s="15" t="inlineStr">
        <is>
          <t>DRHP</t>
        </is>
      </c>
      <c r="F1416" s="15" t="inlineStr">
        <is>
          <t>PC Jeweller Limited</t>
        </is>
      </c>
      <c r="G1416" s="15" t="inlineStr">
        <is>
          <t>IPO launched</t>
        </is>
      </c>
      <c r="H1416" s="15" t="inlineStr">
        <is>
          <t>Mainboard</t>
        </is>
      </c>
      <c r="I1416" s="16" t="n">
        <v>41253</v>
      </c>
      <c r="J1416" s="16" t="n">
        <v>41255</v>
      </c>
      <c r="K1416" s="16" t="n">
        <v>41270</v>
      </c>
      <c r="L1416" s="17" t="n">
        <v>609.3</v>
      </c>
      <c r="M1416" s="17" t="n">
        <v>609.3</v>
      </c>
      <c r="N1416" s="17" t="n">
        <v>0</v>
      </c>
      <c r="O1416" s="15" t="inlineStr">
        <is>
          <t>Final issue (ipoplatform)</t>
        </is>
      </c>
      <c r="P1416" s="15" t="n"/>
      <c r="Q1416" s="18" t="inlineStr">
        <is>
          <t>https://www.sebi.gov.in/sebi_data/attachdocs/1317620434757.pdf</t>
        </is>
      </c>
      <c r="R1416" s="18" t="inlineStr">
        <is>
          <t>https://www.sebi.gov.in/filings/public-issues/oct-2011/pc-jeweller-limited_20788.html</t>
        </is>
      </c>
      <c r="S1416" s="15" t="n"/>
      <c r="T1416" s="15" t="inlineStr">
        <is>
          <t>SEBI filing link</t>
        </is>
      </c>
      <c r="U1416" s="15" t="inlineStr">
        <is>
          <t>PC Jeweller Limited</t>
        </is>
      </c>
      <c r="V1416" s="15" t="n"/>
      <c r="W1416" s="15" t="n"/>
      <c r="X1416" s="15" t="n"/>
      <c r="Y1416" s="15" t="n"/>
      <c r="Z1416" s="15" t="n"/>
      <c r="AA1416" s="15" t="n"/>
      <c r="AB1416" s="15" t="n"/>
    </row>
    <row r="1417" ht="15" customHeight="1" s="12">
      <c r="A1417" s="14" t="n">
        <v>1416</v>
      </c>
      <c r="B1417" s="16" t="n">
        <v>40816</v>
      </c>
      <c r="C1417" s="15" t="n">
        <v>2011</v>
      </c>
      <c r="D1417" s="15" t="inlineStr">
        <is>
          <t>Bohra Industries Limited</t>
        </is>
      </c>
      <c r="E1417" s="15" t="inlineStr">
        <is>
          <t>DRHP</t>
        </is>
      </c>
      <c r="F1417" s="15" t="inlineStr">
        <is>
          <t>Bohra Industries Limited</t>
        </is>
      </c>
      <c r="G1417" s="15" t="inlineStr">
        <is>
          <t>IPO launched</t>
        </is>
      </c>
      <c r="H1417" s="15" t="inlineStr">
        <is>
          <t>SME</t>
        </is>
      </c>
      <c r="I1417" s="16" t="n">
        <v>42817</v>
      </c>
      <c r="J1417" s="16" t="n">
        <v>42821</v>
      </c>
      <c r="K1417" s="16" t="n">
        <v>42830</v>
      </c>
      <c r="L1417" s="17" t="n">
        <v>25.15</v>
      </c>
      <c r="M1417" s="17" t="n">
        <v>25.15</v>
      </c>
      <c r="N1417" s="17" t="n">
        <v>0</v>
      </c>
      <c r="O1417" s="15" t="inlineStr">
        <is>
          <t>Final issue (ipoplatform)</t>
        </is>
      </c>
      <c r="P1417" s="15" t="n"/>
      <c r="Q1417" s="18" t="inlineStr">
        <is>
          <t>https://www.sebi.gov.in/sebi_data/attachdocs/1317381768250.pdf</t>
        </is>
      </c>
      <c r="R1417" s="18" t="inlineStr">
        <is>
          <t>https://www.sebi.gov.in/filings/public-issues/sep-2011/bohra-industries-limited_20783.html</t>
        </is>
      </c>
      <c r="S1417" s="15" t="n"/>
      <c r="T1417" s="15" t="inlineStr">
        <is>
          <t>SEBI filing link</t>
        </is>
      </c>
      <c r="U1417" s="15" t="inlineStr">
        <is>
          <t>Bohra Industries Limited</t>
        </is>
      </c>
      <c r="V1417" s="15" t="n"/>
      <c r="W1417" s="15" t="n"/>
      <c r="X1417" s="15" t="n"/>
      <c r="Y1417" s="15" t="n"/>
      <c r="Z1417" s="15" t="n"/>
      <c r="AA1417" s="15" t="n"/>
      <c r="AB1417" s="15" t="n"/>
    </row>
    <row r="1418" ht="15" customHeight="1" s="12">
      <c r="A1418" s="14" t="n">
        <v>1417</v>
      </c>
      <c r="B1418" s="16" t="n">
        <v>40816</v>
      </c>
      <c r="C1418" s="15" t="n">
        <v>2011</v>
      </c>
      <c r="D1418" s="15" t="inlineStr">
        <is>
          <t>Bothra Metals and Alloys Limited</t>
        </is>
      </c>
      <c r="E1418" s="15" t="inlineStr">
        <is>
          <t>DRHP</t>
        </is>
      </c>
      <c r="F1418" s="15" t="inlineStr">
        <is>
          <t>Bothra Metals and Alloys Limited</t>
        </is>
      </c>
      <c r="G1418" s="15" t="inlineStr">
        <is>
          <t>IPO launched</t>
        </is>
      </c>
      <c r="H1418" s="15" t="inlineStr">
        <is>
          <t>SME</t>
        </is>
      </c>
      <c r="I1418" s="16" t="n">
        <v>41345</v>
      </c>
      <c r="J1418" s="16" t="n">
        <v>41347</v>
      </c>
      <c r="K1418" s="16" t="n">
        <v>41358</v>
      </c>
      <c r="L1418" s="17" t="n">
        <v>12.21</v>
      </c>
      <c r="M1418" s="17" t="n">
        <v>12.21</v>
      </c>
      <c r="N1418" s="17" t="n">
        <v>0</v>
      </c>
      <c r="O1418" s="15" t="inlineStr">
        <is>
          <t>Final issue (ipoplatform)</t>
        </is>
      </c>
      <c r="P1418" s="15" t="n"/>
      <c r="Q1418" s="18" t="inlineStr">
        <is>
          <t>https://www.sebi.gov.in/sebi_data/attachdocs/1317362472728.pdf</t>
        </is>
      </c>
      <c r="R1418" s="18" t="inlineStr">
        <is>
          <t>https://www.sebi.gov.in/filings/public-issues/sep-2011/bothra-metals-and-alloys-limited_20771.html</t>
        </is>
      </c>
      <c r="S1418" s="15" t="n"/>
      <c r="T1418" s="15" t="inlineStr">
        <is>
          <t>Company name + date window</t>
        </is>
      </c>
      <c r="U1418" s="15" t="inlineStr">
        <is>
          <t>Bothra Metals and Alloys Limited</t>
        </is>
      </c>
      <c r="V1418" s="15" t="n"/>
      <c r="W1418" s="15" t="n"/>
      <c r="X1418" s="15" t="n"/>
      <c r="Y1418" s="15" t="n"/>
      <c r="Z1418" s="15" t="n"/>
      <c r="AA1418" s="15" t="n"/>
      <c r="AB1418" s="15" t="n"/>
    </row>
    <row r="1419" ht="15" customHeight="1" s="12">
      <c r="A1419" s="14" t="n">
        <v>1418</v>
      </c>
      <c r="B1419" s="16" t="n">
        <v>40816</v>
      </c>
      <c r="C1419" s="15" t="n">
        <v>2011</v>
      </c>
      <c r="D1419" s="15" t="inlineStr">
        <is>
          <t>IT Source Technologies Limited</t>
        </is>
      </c>
      <c r="E1419" s="15" t="inlineStr">
        <is>
          <t>DRHP</t>
        </is>
      </c>
      <c r="F1419" s="15" t="inlineStr">
        <is>
          <t>IT Source Technologies Limited</t>
        </is>
      </c>
      <c r="G1419" s="15" t="inlineStr">
        <is>
          <t>No launched IPO found</t>
        </is>
      </c>
      <c r="H1419" s="15" t="n"/>
      <c r="I1419" s="16" t="n"/>
      <c r="J1419" s="16" t="n"/>
      <c r="K1419" s="16" t="n"/>
      <c r="L1419" s="17" t="n"/>
      <c r="M1419" s="17" t="n"/>
      <c r="N1419" s="17" t="n"/>
      <c r="O1419" s="15" t="n"/>
      <c r="P1419" s="15" t="n"/>
      <c r="Q1419" s="18" t="inlineStr">
        <is>
          <t>https://www.sebi.gov.in/sebi_data/attachdocs/1317615708304.pdf</t>
        </is>
      </c>
      <c r="R1419" s="18" t="inlineStr">
        <is>
          <t>https://www.sebi.gov.in/filings/public-issues/sep-2011/it-source-technologies-limited_20787.html</t>
        </is>
      </c>
      <c r="S1419" s="15" t="n"/>
      <c r="T1419" s="15" t="n"/>
      <c r="U1419" s="15" t="n"/>
      <c r="V1419" s="15" t="n"/>
      <c r="W1419" s="16" t="n"/>
      <c r="X1419" s="16" t="n"/>
      <c r="Y1419" s="16" t="n"/>
      <c r="Z1419" s="15" t="inlineStr">
        <is>
          <t>No issue found</t>
        </is>
      </c>
      <c r="AA1419" s="15" t="inlineStr">
        <is>
          <t>Business Standard lists the company but shows no issue dates; web search limit reached</t>
        </is>
      </c>
      <c r="AB1419" s="18" t="inlineStr">
        <is>
          <t>https://www.business-standard.com/markets/ipo/itsource-technologies-ltd-ipo-41407</t>
        </is>
      </c>
    </row>
    <row r="1420" ht="15" customHeight="1" s="12">
      <c r="A1420" s="14" t="n">
        <v>1419</v>
      </c>
      <c r="B1420" s="16" t="n">
        <v>40816</v>
      </c>
      <c r="C1420" s="15" t="n">
        <v>2011</v>
      </c>
      <c r="D1420" s="15" t="inlineStr">
        <is>
          <t>Samwardhana Mothersons Finance Limited</t>
        </is>
      </c>
      <c r="E1420" s="15" t="inlineStr">
        <is>
          <t>DRHP</t>
        </is>
      </c>
      <c r="F1420" s="15" t="inlineStr">
        <is>
          <t>Samwardhana Mothersons Finance Limited</t>
        </is>
      </c>
      <c r="G1420" s="15" t="inlineStr">
        <is>
          <t>No launched IPO found</t>
        </is>
      </c>
      <c r="H1420" s="15" t="n"/>
      <c r="I1420" s="16" t="n"/>
      <c r="J1420" s="16" t="n"/>
      <c r="K1420" s="16" t="n"/>
      <c r="L1420" s="17" t="n"/>
      <c r="M1420" s="17" t="n"/>
      <c r="N1420" s="17" t="n"/>
      <c r="O1420" s="15" t="n"/>
      <c r="P1420" s="15" t="n"/>
      <c r="Q1420" s="18" t="inlineStr">
        <is>
          <t>https://www.sebi.gov.in/sebi_data/attachdocs/1317369129960.pdf</t>
        </is>
      </c>
      <c r="R1420" s="18" t="inlineStr">
        <is>
          <t>https://www.sebi.gov.in/filings/public-issues/sep-2011/samwardhana-mothersons-finance-limited_20776.html</t>
        </is>
      </c>
      <c r="S1420" s="15" t="n"/>
      <c r="T1420" s="15" t="n"/>
      <c r="U1420" s="15" t="n"/>
      <c r="V1420" s="15" t="n"/>
      <c r="W1420" s="19" t="n">
        <v>41031</v>
      </c>
      <c r="X1420" s="19" t="n">
        <v>41033</v>
      </c>
      <c r="Y1420" s="19" t="n"/>
      <c r="Z1420" s="20" t="inlineStr">
        <is>
          <t>Issue opened</t>
        </is>
      </c>
      <c r="AA1420" s="15" t="inlineStr">
        <is>
          <t>Rs1,665cr IPO opened but subscribed only 0.23x; withdrawn after closing, never listed</t>
        </is>
      </c>
      <c r="AB1420" s="18" t="inlineStr">
        <is>
          <t>https://www.chittorgarh.com/ipo/samvardhana_ipo/340/</t>
        </is>
      </c>
    </row>
    <row r="1421" ht="15" customHeight="1" s="12">
      <c r="A1421" s="14" t="n">
        <v>1420</v>
      </c>
      <c r="B1421" s="16" t="n">
        <v>40816</v>
      </c>
      <c r="C1421" s="15" t="n">
        <v>2011</v>
      </c>
      <c r="D1421" s="15" t="inlineStr">
        <is>
          <t>TV Vision Limited</t>
        </is>
      </c>
      <c r="E1421" s="15" t="inlineStr">
        <is>
          <t>DRHP</t>
        </is>
      </c>
      <c r="F1421" s="15" t="inlineStr">
        <is>
          <t>TV Vision Limited</t>
        </is>
      </c>
      <c r="G1421" s="15" t="inlineStr">
        <is>
          <t>No launched IPO found</t>
        </is>
      </c>
      <c r="H1421" s="15" t="n"/>
      <c r="I1421" s="16" t="n"/>
      <c r="J1421" s="16" t="n"/>
      <c r="K1421" s="16" t="n"/>
      <c r="L1421" s="17" t="n"/>
      <c r="M1421" s="17" t="n"/>
      <c r="N1421" s="17" t="n"/>
      <c r="O1421" s="15" t="n"/>
      <c r="P1421" s="15" t="n"/>
      <c r="Q1421" s="18" t="inlineStr">
        <is>
          <t>https://www.sebi.gov.in/sebi_data/attachdocs/1317369396649.pdf</t>
        </is>
      </c>
      <c r="R1421" s="18" t="inlineStr">
        <is>
          <t>https://www.sebi.gov.in/filings/public-issues/sep-2011/tv-vision-limited_20777.html</t>
        </is>
      </c>
      <c r="S1421" s="15" t="n"/>
      <c r="T1421" s="15" t="n"/>
      <c r="U1421" s="15" t="n"/>
      <c r="V1421" s="15" t="n"/>
      <c r="W1421" s="16" t="n"/>
      <c r="X1421" s="16" t="n"/>
      <c r="Y1421" s="16" t="n"/>
      <c r="Z1421" s="15" t="inlineStr">
        <is>
          <t>No issue found</t>
        </is>
      </c>
      <c r="AA1421" s="15" t="inlineStr">
        <is>
          <t>Business Standard lists the company but shows no issue dates; web search limit reached</t>
        </is>
      </c>
      <c r="AB1421" s="18" t="inlineStr">
        <is>
          <t>https://www.business-standard.com/markets/ipo/tv-vision-ltd-ipo-41403</t>
        </is>
      </c>
    </row>
    <row r="1422" ht="15" customHeight="1" s="12">
      <c r="A1422" s="14" t="n">
        <v>1421</v>
      </c>
      <c r="B1422" s="16" t="n">
        <v>40816</v>
      </c>
      <c r="C1422" s="15" t="n">
        <v>2011</v>
      </c>
      <c r="D1422" s="15" t="inlineStr">
        <is>
          <t>Universal Energies Limited</t>
        </is>
      </c>
      <c r="E1422" s="15" t="inlineStr">
        <is>
          <t>DRHP</t>
        </is>
      </c>
      <c r="F1422" s="15" t="inlineStr">
        <is>
          <t>Universal Energies Limited</t>
        </is>
      </c>
      <c r="G1422" s="15" t="inlineStr">
        <is>
          <t>No launched IPO found</t>
        </is>
      </c>
      <c r="H1422" s="15" t="n"/>
      <c r="I1422" s="16" t="n"/>
      <c r="J1422" s="16" t="n"/>
      <c r="K1422" s="16" t="n"/>
      <c r="L1422" s="17" t="n"/>
      <c r="M1422" s="17" t="n"/>
      <c r="N1422" s="17" t="n"/>
      <c r="O1422" s="15" t="n"/>
      <c r="P1422" s="15" t="n"/>
      <c r="Q1422" s="18" t="inlineStr">
        <is>
          <t>https://www.sebi.gov.in/sebi_data/attachdocs/1317364620432.pdf</t>
        </is>
      </c>
      <c r="R1422" s="18" t="inlineStr">
        <is>
          <t>https://www.sebi.gov.in/filings/public-issues/sep-2011/universal-energies-limited_20775.html</t>
        </is>
      </c>
      <c r="S1422" s="15" t="n"/>
      <c r="T1422" s="15" t="n"/>
      <c r="U1422" s="15" t="n"/>
      <c r="V1422" s="15" t="n"/>
      <c r="W1422" s="16" t="n"/>
      <c r="X1422" s="16" t="n"/>
      <c r="Y1422" s="16" t="n"/>
      <c r="Z1422" s="15" t="inlineStr">
        <is>
          <t>No issue found</t>
        </is>
      </c>
      <c r="AA1422" s="15" t="inlineStr">
        <is>
          <t>Business Standard lists the company but shows no issue dates; web search limit reached</t>
        </is>
      </c>
      <c r="AB1422" s="18" t="inlineStr">
        <is>
          <t>https://www.business-standard.com/markets/ipo/universal-energies-ltd-ipo-41405</t>
        </is>
      </c>
    </row>
    <row r="1423" ht="15" customHeight="1" s="12">
      <c r="A1423" s="14" t="n">
        <v>1422</v>
      </c>
      <c r="B1423" s="16" t="n">
        <v>40815</v>
      </c>
      <c r="C1423" s="15" t="n">
        <v>2011</v>
      </c>
      <c r="D1423" s="15" t="inlineStr">
        <is>
          <t>Genera Agri Corp Limited</t>
        </is>
      </c>
      <c r="E1423" s="15" t="inlineStr">
        <is>
          <t>DRHP</t>
        </is>
      </c>
      <c r="F1423" s="15" t="inlineStr">
        <is>
          <t>Genera Agri Corp Limited</t>
        </is>
      </c>
      <c r="G1423" s="15" t="inlineStr">
        <is>
          <t>No launched IPO found</t>
        </is>
      </c>
      <c r="H1423" s="15" t="n"/>
      <c r="I1423" s="16" t="n"/>
      <c r="J1423" s="16" t="n"/>
      <c r="K1423" s="16" t="n"/>
      <c r="L1423" s="17" t="n"/>
      <c r="M1423" s="17" t="n"/>
      <c r="N1423" s="17" t="n"/>
      <c r="O1423" s="15" t="n"/>
      <c r="P1423" s="15" t="n"/>
      <c r="Q1423" s="18" t="inlineStr">
        <is>
          <t>https://www.sebi.gov.in/sebi_data/attachdocs/1317285147767.pdf</t>
        </is>
      </c>
      <c r="R1423" s="18" t="inlineStr">
        <is>
          <t>https://www.sebi.gov.in/filings/public-issues/sep-2011/genera-agri-corp-limited_20762.html</t>
        </is>
      </c>
      <c r="S1423" s="15" t="n"/>
      <c r="T1423" s="15" t="n"/>
      <c r="U1423" s="15" t="n"/>
      <c r="V1423" s="15" t="n"/>
      <c r="W1423" s="16" t="n"/>
      <c r="X1423" s="16" t="n"/>
      <c r="Y1423" s="16" t="n"/>
      <c r="Z1423" s="15" t="inlineStr">
        <is>
          <t>Withdrawn / approval lapsed</t>
        </is>
      </c>
      <c r="AA1423" s="15" t="inlineStr">
        <is>
          <t>Listed as 'General Agri Corp' in SEBI list; IPO draft withdrawn by LM letter 6 Jan 2012</t>
        </is>
      </c>
      <c r="AB1423" s="18" t="inlineStr">
        <is>
          <t>https://www.sebi.gov.in/sebi_data/commondocs/feb-2020/Issues%20Obs%20Issued%2031012020_p.pdf</t>
        </is>
      </c>
    </row>
    <row r="1424" ht="15" customHeight="1" s="12">
      <c r="A1424" s="14" t="n">
        <v>1423</v>
      </c>
      <c r="B1424" s="16" t="n">
        <v>40815</v>
      </c>
      <c r="C1424" s="15" t="n">
        <v>2011</v>
      </c>
      <c r="D1424" s="15" t="inlineStr">
        <is>
          <t>SSIPL Retail Limited</t>
        </is>
      </c>
      <c r="E1424" s="15" t="inlineStr">
        <is>
          <t>DRHP</t>
        </is>
      </c>
      <c r="F1424" s="15" t="inlineStr">
        <is>
          <t>SSIPL Retail Limited</t>
        </is>
      </c>
      <c r="G1424" s="15" t="inlineStr">
        <is>
          <t>No launched IPO found</t>
        </is>
      </c>
      <c r="H1424" s="15" t="n"/>
      <c r="I1424" s="16" t="n"/>
      <c r="J1424" s="16" t="n"/>
      <c r="K1424" s="16" t="n"/>
      <c r="L1424" s="17" t="n"/>
      <c r="M1424" s="17" t="n"/>
      <c r="N1424" s="17" t="n"/>
      <c r="O1424" s="15" t="n"/>
      <c r="P1424" s="15" t="n"/>
      <c r="Q1424" s="18" t="inlineStr">
        <is>
          <t>https://www.sebi.gov.in/sebi_data/attachdocs/1317285260671.pdf</t>
        </is>
      </c>
      <c r="R1424" s="18" t="inlineStr">
        <is>
          <t>https://www.sebi.gov.in/filings/public-issues/sep-2011/ssipl-retail-limited_20763.html</t>
        </is>
      </c>
      <c r="S1424" s="15" t="n"/>
      <c r="T1424" s="15" t="n"/>
      <c r="U1424" s="15" t="n"/>
      <c r="V1424" s="15" t="n"/>
      <c r="W1424" s="16" t="n"/>
      <c r="X1424" s="16" t="n"/>
      <c r="Y1424" s="16" t="n"/>
      <c r="Z1424" s="15" t="inlineStr">
        <is>
          <t>No issue found</t>
        </is>
      </c>
      <c r="AA1424" s="15" t="inlineStr">
        <is>
          <t>Business Standard lists the company but shows no issue dates; web search limit reached</t>
        </is>
      </c>
      <c r="AB1424" s="18" t="inlineStr">
        <is>
          <t>https://www.business-standard.com/markets/ipo/ssipl-retail-ltd-ipo-35618</t>
        </is>
      </c>
    </row>
    <row r="1425" ht="15" customHeight="1" s="12">
      <c r="A1425" s="14" t="n">
        <v>1424</v>
      </c>
      <c r="B1425" s="16" t="n">
        <v>40815</v>
      </c>
      <c r="C1425" s="15" t="n">
        <v>2011</v>
      </c>
      <c r="D1425" s="15" t="inlineStr">
        <is>
          <t>Supreme Alloys Limited</t>
        </is>
      </c>
      <c r="E1425" s="15" t="inlineStr">
        <is>
          <t>DRHP</t>
        </is>
      </c>
      <c r="F1425" s="15" t="inlineStr">
        <is>
          <t>Supreme Alloys Limited</t>
        </is>
      </c>
      <c r="G1425" s="15" t="inlineStr">
        <is>
          <t>No launched IPO found</t>
        </is>
      </c>
      <c r="H1425" s="15" t="n"/>
      <c r="I1425" s="16" t="n"/>
      <c r="J1425" s="16" t="n"/>
      <c r="K1425" s="16" t="n"/>
      <c r="L1425" s="17" t="n"/>
      <c r="M1425" s="17" t="n"/>
      <c r="N1425" s="17" t="n"/>
      <c r="O1425" s="15" t="n"/>
      <c r="P1425" s="15" t="n"/>
      <c r="Q1425" s="18" t="inlineStr">
        <is>
          <t>https://www.sebi.gov.in/sebi_data/attachdocs/1317293855034.pdf</t>
        </is>
      </c>
      <c r="R1425" s="18" t="inlineStr">
        <is>
          <t>https://www.sebi.gov.in/filings/public-issues/sep-2011/supreme-alloys-limited_20765.html</t>
        </is>
      </c>
      <c r="S1425" s="15" t="n"/>
      <c r="T1425" s="15" t="n"/>
      <c r="U1425" s="15" t="n"/>
      <c r="V1425" s="15" t="n"/>
      <c r="W1425" s="16" t="n"/>
      <c r="X1425" s="16" t="n"/>
      <c r="Y1425" s="16" t="n"/>
      <c r="Z1425" s="15" t="inlineStr">
        <is>
          <t>No issue found</t>
        </is>
      </c>
      <c r="AA1425" s="15" t="inlineStr">
        <is>
          <t>70 lakh-share IPO never opened; company unlisted, now under liquidation</t>
        </is>
      </c>
      <c r="AB1425" s="18" t="inlineStr">
        <is>
          <t>https://www.business-standard.com/markets/ipo/supreme-alloys-ltd-liquidated-ipo-38665</t>
        </is>
      </c>
    </row>
    <row r="1426" ht="15" customHeight="1" s="12">
      <c r="A1426" s="14" t="n">
        <v>1425</v>
      </c>
      <c r="B1426" s="16" t="n">
        <v>40815</v>
      </c>
      <c r="C1426" s="15" t="n">
        <v>2011</v>
      </c>
      <c r="D1426" s="15" t="inlineStr">
        <is>
          <t>Times Academy Limited</t>
        </is>
      </c>
      <c r="E1426" s="15" t="inlineStr">
        <is>
          <t>DRHP</t>
        </is>
      </c>
      <c r="F1426" s="15" t="inlineStr">
        <is>
          <t>Times Academy Limited</t>
        </is>
      </c>
      <c r="G1426" s="15" t="inlineStr">
        <is>
          <t>No launched IPO found</t>
        </is>
      </c>
      <c r="H1426" s="15" t="n"/>
      <c r="I1426" s="16" t="n"/>
      <c r="J1426" s="16" t="n"/>
      <c r="K1426" s="16" t="n"/>
      <c r="L1426" s="17" t="n"/>
      <c r="M1426" s="17" t="n"/>
      <c r="N1426" s="17" t="n"/>
      <c r="O1426" s="15" t="n"/>
      <c r="P1426" s="15" t="n"/>
      <c r="Q1426" s="18" t="inlineStr">
        <is>
          <t>https://www.sebi.gov.in/sebi_data/attachdocs/1317294035114.pdf</t>
        </is>
      </c>
      <c r="R1426" s="18" t="inlineStr">
        <is>
          <t>https://www.sebi.gov.in/filings/public-issues/sep-2011/times-academy-limited_20766.html</t>
        </is>
      </c>
      <c r="S1426" s="15" t="n"/>
      <c r="T1426" s="15" t="n"/>
      <c r="U1426" s="15" t="n"/>
      <c r="V1426" s="15" t="n"/>
      <c r="W1426" s="16" t="n"/>
      <c r="X1426" s="16" t="n"/>
      <c r="Y1426" s="16" t="n"/>
      <c r="Z1426" s="15" t="inlineStr">
        <is>
          <t>No issue found</t>
        </is>
      </c>
      <c r="AA1426" s="15" t="inlineStr">
        <is>
          <t>Times Group education arm; DRHP dated 28 Sep 2011, no evidence IPO ever opened or listed</t>
        </is>
      </c>
      <c r="AB1426" s="18" t="inlineStr">
        <is>
          <t>https://www.sharekhan.com/MediaGalary/IPODocuments/PD000VB.pdf</t>
        </is>
      </c>
    </row>
    <row r="1427" ht="15" customHeight="1" s="12">
      <c r="A1427" s="14" t="n">
        <v>1426</v>
      </c>
      <c r="B1427" s="16" t="n">
        <v>40813</v>
      </c>
      <c r="C1427" s="15" t="n">
        <v>2011</v>
      </c>
      <c r="D1427" s="15" t="inlineStr">
        <is>
          <t>Infonet IT Solutions (I) Limited</t>
        </is>
      </c>
      <c r="E1427" s="15" t="inlineStr">
        <is>
          <t>DRHP</t>
        </is>
      </c>
      <c r="F1427" s="15" t="inlineStr">
        <is>
          <t>Infonet IT Solutions (I) Limited</t>
        </is>
      </c>
      <c r="G1427" s="15" t="inlineStr">
        <is>
          <t>No launched IPO found</t>
        </is>
      </c>
      <c r="H1427" s="15" t="n"/>
      <c r="I1427" s="16" t="n"/>
      <c r="J1427" s="16" t="n"/>
      <c r="K1427" s="16" t="n"/>
      <c r="L1427" s="17" t="n"/>
      <c r="M1427" s="17" t="n"/>
      <c r="N1427" s="17" t="n"/>
      <c r="O1427" s="15" t="n"/>
      <c r="P1427" s="15" t="n"/>
      <c r="Q1427" s="18" t="inlineStr">
        <is>
          <t>https://www.sebi.gov.in/sebi_data/attachdocs/1317183637823.pdf</t>
        </is>
      </c>
      <c r="R1427" s="18" t="inlineStr">
        <is>
          <t>https://www.sebi.gov.in/filings/public-issues/sep-2011/infonet-it-solutions-i-limited_20736.html</t>
        </is>
      </c>
      <c r="S1427" s="15" t="n"/>
      <c r="T1427" s="15" t="n"/>
      <c r="U1427" s="15" t="n"/>
      <c r="V1427" s="15" t="n"/>
      <c r="W1427" s="16" t="n"/>
      <c r="X1427" s="16" t="n"/>
      <c r="Y1427" s="16" t="n"/>
      <c r="Z1427" s="15" t="inlineStr">
        <is>
          <t>No issue found</t>
        </is>
      </c>
      <c r="AA1427" s="15" t="inlineStr">
        <is>
          <t>Rs60cr book-built IPO DRHP Sept 2011; no evidence issue opened</t>
        </is>
      </c>
      <c r="AB1427" s="18" t="inlineStr">
        <is>
          <t>https://sebi.gov.in/sebi_data/attachdocs/1317183637823.pdf</t>
        </is>
      </c>
    </row>
    <row r="1428" ht="15" customHeight="1" s="12">
      <c r="A1428" s="14" t="n">
        <v>1427</v>
      </c>
      <c r="B1428" s="16" t="n">
        <v>40807</v>
      </c>
      <c r="C1428" s="15" t="n">
        <v>2011</v>
      </c>
      <c r="D1428" s="15" t="inlineStr">
        <is>
          <t>Shemaroo Entertainment Limited</t>
        </is>
      </c>
      <c r="E1428" s="15" t="inlineStr">
        <is>
          <t>DRHP</t>
        </is>
      </c>
      <c r="F1428" s="15" t="inlineStr">
        <is>
          <t>Shemaroo Entertainment Limited</t>
        </is>
      </c>
      <c r="G1428" s="15" t="inlineStr">
        <is>
          <t>No launched IPO found</t>
        </is>
      </c>
      <c r="H1428" s="15" t="n"/>
      <c r="I1428" s="16" t="n"/>
      <c r="J1428" s="16" t="n"/>
      <c r="K1428" s="16" t="n"/>
      <c r="L1428" s="17" t="n"/>
      <c r="M1428" s="17" t="n"/>
      <c r="N1428" s="17" t="n"/>
      <c r="O1428" s="15" t="n"/>
      <c r="P1428" s="15" t="n"/>
      <c r="Q1428" s="18" t="inlineStr">
        <is>
          <t>https://www.sebi.gov.in/sebi_data/attachdocs/1316585600749.pdf</t>
        </is>
      </c>
      <c r="R1428" s="18" t="inlineStr">
        <is>
          <t>https://www.sebi.gov.in/filings/public-issues/sep-2011/shemaroo-entertainment-limited_20681.html</t>
        </is>
      </c>
      <c r="S1428" s="15" t="n"/>
      <c r="T1428" s="15" t="n"/>
      <c r="U1428" s="15" t="n"/>
      <c r="V1428" s="15" t="inlineStr">
        <is>
          <t>Same-name IPO opened 16-Sep-2014 — outside 2 years of this filing, so not linked</t>
        </is>
      </c>
      <c r="W1428" s="19" t="n">
        <v>41898</v>
      </c>
      <c r="X1428" s="19" t="n">
        <v>41900</v>
      </c>
      <c r="Y1428" s="19" t="n"/>
      <c r="Z1428" s="20" t="inlineStr">
        <is>
          <t>Issue opened</t>
        </is>
      </c>
      <c r="AA1428" s="15" t="inlineStr">
        <is>
          <t>Matched on chittorgarh.com</t>
        </is>
      </c>
      <c r="AB1428" s="18" t="inlineStr">
        <is>
          <t>https://www.chittorgarh.com/ipo/shemaroo_ipo/431/</t>
        </is>
      </c>
    </row>
    <row r="1429" ht="15" customHeight="1" s="12">
      <c r="A1429" s="14" t="n">
        <v>1428</v>
      </c>
      <c r="B1429" s="16" t="n">
        <v>40800</v>
      </c>
      <c r="C1429" s="15" t="n">
        <v>2011</v>
      </c>
      <c r="D1429" s="15" t="inlineStr">
        <is>
          <t>Birla Research and Lifesciences Limited</t>
        </is>
      </c>
      <c r="E1429" s="15" t="inlineStr">
        <is>
          <t>DRHP</t>
        </is>
      </c>
      <c r="F1429" s="15" t="inlineStr">
        <is>
          <t>Birla Research and Lifesciences Limited</t>
        </is>
      </c>
      <c r="G1429" s="15" t="inlineStr">
        <is>
          <t>No launched IPO found</t>
        </is>
      </c>
      <c r="H1429" s="15" t="n"/>
      <c r="I1429" s="16" t="n"/>
      <c r="J1429" s="16" t="n"/>
      <c r="K1429" s="16" t="n"/>
      <c r="L1429" s="17" t="n"/>
      <c r="M1429" s="17" t="n"/>
      <c r="N1429" s="17" t="n"/>
      <c r="O1429" s="15" t="n"/>
      <c r="P1429" s="15" t="n"/>
      <c r="Q1429" s="18" t="inlineStr">
        <is>
          <t>https://www.sebi.gov.in/sebi_data/attachdocs/1316061582366.pdf</t>
        </is>
      </c>
      <c r="R1429" s="18" t="inlineStr">
        <is>
          <t>https://www.sebi.gov.in/filings/public-issues/sep-2011/birla-research-and-lifesciences-limited_20640.html</t>
        </is>
      </c>
      <c r="S1429" s="15" t="n"/>
      <c r="T1429" s="15" t="n"/>
      <c r="U1429" s="15" t="n"/>
      <c r="V1429" s="15" t="n"/>
      <c r="W1429" s="16" t="n"/>
      <c r="X1429" s="16" t="n"/>
      <c r="Y1429" s="16" t="n"/>
      <c r="Z1429" s="15" t="inlineStr">
        <is>
          <t>No issue found</t>
        </is>
      </c>
      <c r="AA1429" s="15" t="inlineStr">
        <is>
          <t>Business Standard lists the company but shows no issue dates; web search limit reached</t>
        </is>
      </c>
      <c r="AB1429" s="18" t="inlineStr">
        <is>
          <t>https://www.business-standard.com/markets/ipo/birla-research-lifesciences-ltd-ipo-41396</t>
        </is>
      </c>
    </row>
    <row r="1430" ht="15" customHeight="1" s="12">
      <c r="A1430" s="14" t="n">
        <v>1429</v>
      </c>
      <c r="B1430" s="16" t="n">
        <v>40799</v>
      </c>
      <c r="C1430" s="15" t="n">
        <v>2011</v>
      </c>
      <c r="D1430" s="15" t="inlineStr">
        <is>
          <t>Jiji Industries Limited</t>
        </is>
      </c>
      <c r="E1430" s="15" t="inlineStr">
        <is>
          <t>DRHP</t>
        </is>
      </c>
      <c r="F1430" s="15" t="inlineStr">
        <is>
          <t>Jiji Industries Limited</t>
        </is>
      </c>
      <c r="G1430" s="15" t="inlineStr">
        <is>
          <t>No launched IPO found</t>
        </is>
      </c>
      <c r="H1430" s="15" t="n"/>
      <c r="I1430" s="16" t="n"/>
      <c r="J1430" s="16" t="n"/>
      <c r="K1430" s="16" t="n"/>
      <c r="L1430" s="17" t="n"/>
      <c r="M1430" s="17" t="n"/>
      <c r="N1430" s="17" t="n"/>
      <c r="O1430" s="15" t="n"/>
      <c r="P1430" s="15" t="n"/>
      <c r="Q1430" s="18" t="inlineStr">
        <is>
          <t>https://www.sebi.gov.in/sebi_data/attachdocs/1315912465362.pdf</t>
        </is>
      </c>
      <c r="R1430" s="18" t="inlineStr">
        <is>
          <t>https://www.sebi.gov.in/filings/public-issues/sep-2011/jiji-industries-limited_20633.html</t>
        </is>
      </c>
      <c r="S1430" s="15" t="n"/>
      <c r="T1430" s="15" t="n"/>
      <c r="U1430" s="15" t="n"/>
      <c r="V1430" s="15" t="n"/>
      <c r="W1430" s="16" t="n"/>
      <c r="X1430" s="16" t="n"/>
      <c r="Y1430" s="16" t="n"/>
      <c r="Z1430" s="15" t="inlineStr">
        <is>
          <t>No issue found</t>
        </is>
      </c>
      <c r="AA1430" s="15" t="inlineStr">
        <is>
          <t>No IPO information found.</t>
        </is>
      </c>
      <c r="AB1430" s="15" t="n"/>
    </row>
    <row r="1431" ht="15" customHeight="1" s="12">
      <c r="A1431" s="14" t="n">
        <v>1430</v>
      </c>
      <c r="B1431" s="16" t="n">
        <v>40773</v>
      </c>
      <c r="C1431" s="15" t="n">
        <v>2011</v>
      </c>
      <c r="D1431" s="15" t="inlineStr">
        <is>
          <t>Just Dial Limited</t>
        </is>
      </c>
      <c r="E1431" s="15" t="inlineStr">
        <is>
          <t>DRHP</t>
        </is>
      </c>
      <c r="F1431" s="15" t="inlineStr">
        <is>
          <t>Just Dial Limited</t>
        </is>
      </c>
      <c r="G1431" s="15" t="inlineStr">
        <is>
          <t>IPO launched</t>
        </is>
      </c>
      <c r="H1431" s="15" t="inlineStr">
        <is>
          <t>Mainboard</t>
        </is>
      </c>
      <c r="I1431" s="16" t="n">
        <v>41414</v>
      </c>
      <c r="J1431" s="16" t="n">
        <v>41416</v>
      </c>
      <c r="K1431" s="16" t="n">
        <v>41430</v>
      </c>
      <c r="L1431" s="17" t="n">
        <v>919.14</v>
      </c>
      <c r="M1431" s="17" t="n">
        <v>919.14</v>
      </c>
      <c r="N1431" s="17" t="n">
        <v>0</v>
      </c>
      <c r="O1431" s="15" t="inlineStr">
        <is>
          <t>Final issue (ipoplatform)</t>
        </is>
      </c>
      <c r="P1431" s="15" t="n"/>
      <c r="Q1431" s="18" t="inlineStr">
        <is>
          <t>https://www.sebi.gov.in/sebi_data/attachdocs/1313648946814.pdf</t>
        </is>
      </c>
      <c r="R1431" s="18" t="inlineStr">
        <is>
          <t>https://www.sebi.gov.in/filings/public-issues/aug-2011/just-dial-limited_20475.html</t>
        </is>
      </c>
      <c r="S1431" s="15" t="n"/>
      <c r="T1431" s="15" t="inlineStr">
        <is>
          <t>SEBI filing link</t>
        </is>
      </c>
      <c r="U1431" s="15" t="inlineStr">
        <is>
          <t>Just Dial Limited</t>
        </is>
      </c>
      <c r="V1431" s="15" t="n"/>
      <c r="W1431" s="15" t="n"/>
      <c r="X1431" s="15" t="n"/>
      <c r="Y1431" s="15" t="n"/>
      <c r="Z1431" s="15" t="n"/>
      <c r="AA1431" s="15" t="n"/>
      <c r="AB1431" s="15" t="n"/>
    </row>
    <row r="1432" ht="15" customHeight="1" s="12">
      <c r="A1432" s="14" t="n">
        <v>1431</v>
      </c>
      <c r="B1432" s="16" t="n">
        <v>40764</v>
      </c>
      <c r="C1432" s="15" t="n">
        <v>2011</v>
      </c>
      <c r="D1432" s="15" t="inlineStr">
        <is>
          <t>VKS Projects Limited</t>
        </is>
      </c>
      <c r="E1432" s="15" t="inlineStr">
        <is>
          <t>DRHP</t>
        </is>
      </c>
      <c r="F1432" s="15" t="inlineStr">
        <is>
          <t>VKS Projects Limited</t>
        </is>
      </c>
      <c r="G1432" s="15" t="inlineStr">
        <is>
          <t>No launched IPO found</t>
        </is>
      </c>
      <c r="H1432" s="15" t="n"/>
      <c r="I1432" s="16" t="n"/>
      <c r="J1432" s="16" t="n"/>
      <c r="K1432" s="16" t="n"/>
      <c r="L1432" s="17" t="n"/>
      <c r="M1432" s="17" t="n"/>
      <c r="N1432" s="17" t="n"/>
      <c r="O1432" s="15" t="n"/>
      <c r="P1432" s="15" t="n"/>
      <c r="Q1432" s="18" t="inlineStr">
        <is>
          <t>https://www.sebi.gov.in/sebi_data/attachdocs/1312887618516.pdf</t>
        </is>
      </c>
      <c r="R1432" s="18" t="inlineStr">
        <is>
          <t>https://www.sebi.gov.in/filings/public-issues/aug-2011/vks-projects-limited_20422.html</t>
        </is>
      </c>
      <c r="S1432" s="15" t="n"/>
      <c r="T1432" s="15" t="n"/>
      <c r="U1432" s="15" t="n"/>
      <c r="V1432" s="15" t="n"/>
      <c r="W1432" s="19" t="n">
        <v>41089</v>
      </c>
      <c r="X1432" s="19" t="n">
        <v>41094</v>
      </c>
      <c r="Y1432" s="19" t="n"/>
      <c r="Z1432" s="20" t="inlineStr">
        <is>
          <t>Issue opened</t>
        </is>
      </c>
      <c r="AA1432" s="15" t="inlineStr">
        <is>
          <t>Matched on chittorgarh.com</t>
        </is>
      </c>
      <c r="AB1432" s="18" t="inlineStr">
        <is>
          <t>https://www.chittorgarh.com/ipo/vks_projects_ipo/345/</t>
        </is>
      </c>
    </row>
    <row r="1433" ht="15" customHeight="1" s="12">
      <c r="A1433" s="14" t="n">
        <v>1432</v>
      </c>
      <c r="B1433" s="16" t="n">
        <v>40758</v>
      </c>
      <c r="C1433" s="15" t="n">
        <v>2011</v>
      </c>
      <c r="D1433" s="15" t="inlineStr">
        <is>
          <t>Duplex Industries Limited</t>
        </is>
      </c>
      <c r="E1433" s="15" t="inlineStr">
        <is>
          <t>DRHP</t>
        </is>
      </c>
      <c r="F1433" s="15" t="inlineStr">
        <is>
          <t>Duplex Industries Limited</t>
        </is>
      </c>
      <c r="G1433" s="15" t="inlineStr">
        <is>
          <t>No launched IPO found</t>
        </is>
      </c>
      <c r="H1433" s="15" t="n"/>
      <c r="I1433" s="16" t="n"/>
      <c r="J1433" s="16" t="n"/>
      <c r="K1433" s="16" t="n"/>
      <c r="L1433" s="17" t="n"/>
      <c r="M1433" s="17" t="n"/>
      <c r="N1433" s="17" t="n"/>
      <c r="O1433" s="15" t="n"/>
      <c r="P1433" s="15" t="n"/>
      <c r="Q1433" s="18" t="inlineStr">
        <is>
          <t>https://www.sebi.gov.in/sebi_data/attachdocs/1312435705808.pdf</t>
        </is>
      </c>
      <c r="R1433" s="18" t="inlineStr">
        <is>
          <t>https://www.sebi.gov.in/filings/public-issues/aug-2011/duplex-industries-limited_20392.html</t>
        </is>
      </c>
      <c r="S1433" s="15" t="n"/>
      <c r="T1433" s="15" t="n"/>
      <c r="U1433" s="15" t="n"/>
      <c r="V1433" s="15" t="n"/>
      <c r="W1433" s="16" t="n"/>
      <c r="X1433" s="16" t="n"/>
      <c r="Y1433" s="16" t="n"/>
      <c r="Z1433" s="15" t="inlineStr">
        <is>
          <t>No issue found</t>
        </is>
      </c>
      <c r="AA1433" s="15" t="inlineStr">
        <is>
          <t>Proposed Rs125 cr issue; two searches gave no open date.</t>
        </is>
      </c>
      <c r="AB1433" s="18" t="inlineStr">
        <is>
          <t>https://www.business-standard.com/markets/ipo/duplex-industries-ltd-ipo-36070</t>
        </is>
      </c>
    </row>
    <row r="1434" ht="15" customHeight="1" s="12">
      <c r="A1434" s="14" t="n">
        <v>1433</v>
      </c>
      <c r="B1434" s="16" t="n">
        <v>40753</v>
      </c>
      <c r="C1434" s="15" t="n">
        <v>2011</v>
      </c>
      <c r="D1434" s="15" t="inlineStr">
        <is>
          <t>IFCI Factors Limited</t>
        </is>
      </c>
      <c r="E1434" s="15" t="inlineStr">
        <is>
          <t>DRHP</t>
        </is>
      </c>
      <c r="F1434" s="15" t="inlineStr">
        <is>
          <t>IFCI Factors Limited</t>
        </is>
      </c>
      <c r="G1434" s="15" t="inlineStr">
        <is>
          <t>No launched IPO found</t>
        </is>
      </c>
      <c r="H1434" s="15" t="n"/>
      <c r="I1434" s="16" t="n"/>
      <c r="J1434" s="16" t="n"/>
      <c r="K1434" s="16" t="n"/>
      <c r="L1434" s="17" t="n"/>
      <c r="M1434" s="17" t="n"/>
      <c r="N1434" s="17" t="n"/>
      <c r="O1434" s="15" t="n"/>
      <c r="P1434" s="15" t="n"/>
      <c r="Q1434" s="18" t="inlineStr">
        <is>
          <t>https://www.sebi.gov.in/sebi_data/attachdocs/1311934964788.pdf</t>
        </is>
      </c>
      <c r="R1434" s="18" t="inlineStr">
        <is>
          <t>https://www.sebi.gov.in/filings/public-issues/jul-2011/ifci-factors-limited_20303.html</t>
        </is>
      </c>
      <c r="S1434" s="15" t="n"/>
      <c r="T1434" s="15" t="n"/>
      <c r="U1434" s="15" t="n"/>
      <c r="V1434" s="15" t="n"/>
      <c r="W1434" s="16" t="n"/>
      <c r="X1434" s="16" t="n"/>
      <c r="Y1434" s="16" t="n"/>
      <c r="Z1434" s="15" t="inlineStr">
        <is>
          <t>No issue found</t>
        </is>
      </c>
      <c r="AA1434" s="15" t="inlineStr">
        <is>
          <t>No issue dates found in search results.</t>
        </is>
      </c>
      <c r="AB1434" s="18" t="inlineStr">
        <is>
          <t>https://www.business-standard.com/markets/ipo/ifci-factors-ltd-ipo-17475</t>
        </is>
      </c>
    </row>
    <row r="1435" ht="15" customHeight="1" s="12">
      <c r="A1435" s="14" t="n">
        <v>1434</v>
      </c>
      <c r="B1435" s="16" t="n">
        <v>40750</v>
      </c>
      <c r="C1435" s="15" t="n">
        <v>2011</v>
      </c>
      <c r="D1435" s="15" t="inlineStr">
        <is>
          <t>Automark Industries (India) Limited</t>
        </is>
      </c>
      <c r="E1435" s="15" t="inlineStr">
        <is>
          <t>DRHP</t>
        </is>
      </c>
      <c r="F1435" s="15" t="inlineStr">
        <is>
          <t>Automark Industries (India) Limited</t>
        </is>
      </c>
      <c r="G1435" s="15" t="inlineStr">
        <is>
          <t>No launched IPO found</t>
        </is>
      </c>
      <c r="H1435" s="15" t="n"/>
      <c r="I1435" s="16" t="n"/>
      <c r="J1435" s="16" t="n"/>
      <c r="K1435" s="16" t="n"/>
      <c r="L1435" s="17" t="n"/>
      <c r="M1435" s="17" t="n"/>
      <c r="N1435" s="17" t="n"/>
      <c r="O1435" s="15" t="n"/>
      <c r="P1435" s="15" t="n"/>
      <c r="Q1435" s="18" t="inlineStr">
        <is>
          <t>https://www.sebi.gov.in/sebi_data/attachdocs/1311752027762.pdf</t>
        </is>
      </c>
      <c r="R1435" s="18" t="inlineStr">
        <is>
          <t>https://www.sebi.gov.in/filings/public-issues/jul-2011/automark-industries-india-limited_20259.html</t>
        </is>
      </c>
      <c r="S1435" s="15" t="n"/>
      <c r="T1435" s="15" t="n"/>
      <c r="U1435" s="15" t="n"/>
      <c r="V1435" s="15" t="n"/>
      <c r="W1435" s="16" t="n"/>
      <c r="X1435" s="16" t="n"/>
      <c r="Y1435" s="16" t="n"/>
      <c r="Z1435" s="15" t="inlineStr">
        <is>
          <t>No issue found</t>
        </is>
      </c>
      <c r="AA1435" s="15" t="inlineStr">
        <is>
          <t>CRISIL IPO grade Dec 2011, but company remains unlisted; no issue found.</t>
        </is>
      </c>
      <c r="AB1435" s="18" t="inlineStr">
        <is>
          <t>https://www.business-standard.com/markets/ipo/automark-industries-india-ltd-ipo-41362</t>
        </is>
      </c>
    </row>
    <row r="1436" ht="15" customHeight="1" s="12">
      <c r="A1436" s="14" t="n">
        <v>1435</v>
      </c>
      <c r="B1436" s="16" t="n">
        <v>40746</v>
      </c>
      <c r="C1436" s="15" t="n">
        <v>2011</v>
      </c>
      <c r="D1436" s="15" t="inlineStr">
        <is>
          <t>PME Power Solutions (India) Limited</t>
        </is>
      </c>
      <c r="E1436" s="15" t="inlineStr">
        <is>
          <t>DRHP</t>
        </is>
      </c>
      <c r="F1436" s="15" t="inlineStr">
        <is>
          <t>PME Power Solutions (India) Limited</t>
        </is>
      </c>
      <c r="G1436" s="15" t="inlineStr">
        <is>
          <t>No launched IPO found</t>
        </is>
      </c>
      <c r="H1436" s="15" t="n"/>
      <c r="I1436" s="16" t="n"/>
      <c r="J1436" s="16" t="n"/>
      <c r="K1436" s="16" t="n"/>
      <c r="L1436" s="17" t="n"/>
      <c r="M1436" s="17" t="n"/>
      <c r="N1436" s="17" t="n"/>
      <c r="O1436" s="15" t="n"/>
      <c r="P1436" s="15" t="n"/>
      <c r="Q1436" s="18" t="inlineStr">
        <is>
          <t>https://www.sebi.gov.in/sebi_data/attachdocs/1311578669887.pdf</t>
        </is>
      </c>
      <c r="R1436" s="18" t="inlineStr">
        <is>
          <t>https://www.sebi.gov.in/filings/public-issues/jul-2011/pme-power-solutions-india-limited_20234.html</t>
        </is>
      </c>
      <c r="S1436" s="15" t="n"/>
      <c r="T1436" s="15" t="n"/>
      <c r="U1436" s="15" t="n"/>
      <c r="V1436" s="15" t="n"/>
      <c r="W1436" s="16" t="n"/>
      <c r="X1436" s="16" t="n"/>
      <c r="Y1436" s="16" t="n"/>
      <c r="Z1436" s="15" t="inlineStr">
        <is>
          <t>No issue found</t>
        </is>
      </c>
      <c r="AA1436" s="15" t="inlineStr">
        <is>
          <t>No issue dates found; page lists only DRHP-stage entry.</t>
        </is>
      </c>
      <c r="AB1436" s="18" t="inlineStr">
        <is>
          <t>https://www.business-standard.com/markets/ipo/pme-power-solutions-india-ltd-ipo-41360</t>
        </is>
      </c>
    </row>
    <row r="1437" ht="15" customHeight="1" s="12">
      <c r="A1437" s="14" t="n">
        <v>1436</v>
      </c>
      <c r="B1437" s="16" t="n">
        <v>40739</v>
      </c>
      <c r="C1437" s="15" t="n">
        <v>2011</v>
      </c>
      <c r="D1437" s="15" t="inlineStr">
        <is>
          <t>Ind Eco Ventures Limited</t>
        </is>
      </c>
      <c r="E1437" s="15" t="inlineStr">
        <is>
          <t>DRHP</t>
        </is>
      </c>
      <c r="F1437" s="15" t="inlineStr">
        <is>
          <t>Ind Eco Ventures Limited</t>
        </is>
      </c>
      <c r="G1437" s="15" t="inlineStr">
        <is>
          <t>No launched IPO found</t>
        </is>
      </c>
      <c r="H1437" s="15" t="n"/>
      <c r="I1437" s="16" t="n"/>
      <c r="J1437" s="16" t="n"/>
      <c r="K1437" s="16" t="n"/>
      <c r="L1437" s="17" t="n"/>
      <c r="M1437" s="17" t="n"/>
      <c r="N1437" s="17" t="n"/>
      <c r="O1437" s="15" t="n"/>
      <c r="P1437" s="15" t="n"/>
      <c r="Q1437" s="18" t="inlineStr">
        <is>
          <t>https://www.sebi.gov.in/sebi_data/attachdocs/1311154815888.pdf</t>
        </is>
      </c>
      <c r="R1437" s="18" t="inlineStr">
        <is>
          <t>https://www.sebi.gov.in/filings/public-issues/jul-2011/ind-eco-ventures-limited_20196.html</t>
        </is>
      </c>
      <c r="S1437" s="15" t="n"/>
      <c r="T1437" s="15" t="n"/>
      <c r="U1437" s="15" t="n"/>
      <c r="V1437" s="15" t="n"/>
      <c r="W1437" s="16" t="n"/>
      <c r="X1437" s="16" t="n"/>
      <c r="Y1437" s="16" t="n"/>
      <c r="Z1437" s="15" t="inlineStr">
        <is>
          <t>No issue found</t>
        </is>
      </c>
      <c r="AA1437" s="15" t="inlineStr">
        <is>
          <t>No IPO evidence found; company shown as unlisted.</t>
        </is>
      </c>
      <c r="AB1437" s="15" t="n"/>
    </row>
    <row r="1438" ht="15" customHeight="1" s="12">
      <c r="A1438" s="14" t="n">
        <v>1437</v>
      </c>
      <c r="B1438" s="16" t="n">
        <v>40736</v>
      </c>
      <c r="C1438" s="15" t="n">
        <v>2011</v>
      </c>
      <c r="D1438" s="15" t="inlineStr">
        <is>
          <t>Tejora Technologies Limited</t>
        </is>
      </c>
      <c r="E1438" s="15" t="inlineStr">
        <is>
          <t>DRHP</t>
        </is>
      </c>
      <c r="F1438" s="15" t="inlineStr">
        <is>
          <t>Tejora Technologies Limited</t>
        </is>
      </c>
      <c r="G1438" s="15" t="inlineStr">
        <is>
          <t>No launched IPO found</t>
        </is>
      </c>
      <c r="H1438" s="15" t="n"/>
      <c r="I1438" s="16" t="n"/>
      <c r="J1438" s="16" t="n"/>
      <c r="K1438" s="16" t="n"/>
      <c r="L1438" s="17" t="n"/>
      <c r="M1438" s="17" t="n"/>
      <c r="N1438" s="17" t="n"/>
      <c r="O1438" s="15" t="n"/>
      <c r="P1438" s="15" t="n"/>
      <c r="Q1438" s="18" t="inlineStr">
        <is>
          <t>https://www.sebi.gov.in/sebi_data/attachdocs/1310558385396.pdf</t>
        </is>
      </c>
      <c r="R1438" s="18" t="inlineStr">
        <is>
          <t>https://www.sebi.gov.in/filings/public-issues/jul-2011/tejora-technologies-limited_20126.html</t>
        </is>
      </c>
      <c r="S1438" s="15" t="n"/>
      <c r="T1438" s="15" t="n"/>
      <c r="U1438" s="15" t="n"/>
      <c r="V1438" s="15" t="n"/>
      <c r="W1438" s="16" t="n"/>
      <c r="X1438" s="16" t="n"/>
      <c r="Y1438" s="16" t="n"/>
      <c r="Z1438" s="15" t="inlineStr">
        <is>
          <t>No issue found</t>
        </is>
      </c>
      <c r="AA1438" s="15" t="inlineStr">
        <is>
          <t>DRHP July 2011 only; company remains unlisted.</t>
        </is>
      </c>
      <c r="AB1438" s="18" t="inlineStr">
        <is>
          <t>https://www.nirmalbang.com/ipo/tejora-technologies/226236</t>
        </is>
      </c>
    </row>
    <row r="1439" ht="15" customHeight="1" s="12">
      <c r="A1439" s="14" t="n">
        <v>1438</v>
      </c>
      <c r="B1439" s="16" t="n">
        <v>40728</v>
      </c>
      <c r="C1439" s="15" t="n">
        <v>2011</v>
      </c>
      <c r="D1439" s="15" t="inlineStr">
        <is>
          <t>Abhijeet Power Limited</t>
        </is>
      </c>
      <c r="E1439" s="15" t="inlineStr">
        <is>
          <t>DRHP</t>
        </is>
      </c>
      <c r="F1439" s="15" t="inlineStr">
        <is>
          <t>Abhijeet Power Limited</t>
        </is>
      </c>
      <c r="G1439" s="15" t="inlineStr">
        <is>
          <t>No launched IPO found</t>
        </is>
      </c>
      <c r="H1439" s="15" t="n"/>
      <c r="I1439" s="16" t="n"/>
      <c r="J1439" s="16" t="n"/>
      <c r="K1439" s="16" t="n"/>
      <c r="L1439" s="17" t="n"/>
      <c r="M1439" s="17" t="n"/>
      <c r="N1439" s="17" t="n"/>
      <c r="O1439" s="15" t="n"/>
      <c r="P1439" s="15" t="n"/>
      <c r="Q1439" s="18" t="inlineStr">
        <is>
          <t>https://www.sebi.gov.in/sebi_data/attachdocs/1310558338448.pdf</t>
        </is>
      </c>
      <c r="R1439" s="18" t="inlineStr">
        <is>
          <t>https://www.sebi.gov.in/filings/public-issues/jul-2011/abhijeet-power-limited_20125.html</t>
        </is>
      </c>
      <c r="S1439" s="15" t="n"/>
      <c r="T1439" s="15" t="n"/>
      <c r="U1439" s="15" t="n"/>
      <c r="V1439" s="15" t="n"/>
      <c r="W1439" s="16" t="n"/>
      <c r="X1439" s="16" t="n"/>
      <c r="Y1439" s="16" t="n"/>
      <c r="Z1439" s="15" t="inlineStr">
        <is>
          <t>No issue found</t>
        </is>
      </c>
      <c r="AA1439" s="15" t="inlineStr">
        <is>
          <t>Only June 2011 DRHP with blank dates; company remains unlisted.</t>
        </is>
      </c>
      <c r="AB1439" s="15" t="n"/>
    </row>
    <row r="1440" ht="15" customHeight="1" s="12">
      <c r="A1440" s="14" t="n">
        <v>1439</v>
      </c>
      <c r="B1440" s="16" t="n">
        <v>40725</v>
      </c>
      <c r="C1440" s="15" t="n">
        <v>2011</v>
      </c>
      <c r="D1440" s="15" t="inlineStr">
        <is>
          <t>Trimax IT Infrastructure and Services Limited</t>
        </is>
      </c>
      <c r="E1440" s="15" t="inlineStr">
        <is>
          <t>DRHP</t>
        </is>
      </c>
      <c r="F1440" s="15" t="inlineStr">
        <is>
          <t>Trimax IT Infrastructure and Services Limited</t>
        </is>
      </c>
      <c r="G1440" s="15" t="inlineStr">
        <is>
          <t>No launched IPO found</t>
        </is>
      </c>
      <c r="H1440" s="15" t="n"/>
      <c r="I1440" s="16" t="n"/>
      <c r="J1440" s="16" t="n"/>
      <c r="K1440" s="16" t="n"/>
      <c r="L1440" s="17" t="n"/>
      <c r="M1440" s="17" t="n"/>
      <c r="N1440" s="17" t="n"/>
      <c r="O1440" s="15" t="n"/>
      <c r="P1440" s="15" t="n"/>
      <c r="Q1440" s="18" t="inlineStr">
        <is>
          <t>https://www.sebi.gov.in/sebi_data/attachdocs/1310558288373.pdf</t>
        </is>
      </c>
      <c r="R1440" s="18" t="inlineStr">
        <is>
          <t>https://www.sebi.gov.in/filings/public-issues/jul-2011/trimax-it-infrastructure-and-services-limited_20124.html</t>
        </is>
      </c>
      <c r="S1440" s="15" t="n"/>
      <c r="T1440" s="15" t="n"/>
      <c r="U1440" s="15" t="n"/>
      <c r="V1440" s="15" t="n"/>
      <c r="W1440" s="16" t="n"/>
      <c r="X1440" s="16" t="n"/>
      <c r="Y1440" s="16" t="n"/>
      <c r="Z1440" s="15" t="inlineStr">
        <is>
          <t>No issue found</t>
        </is>
      </c>
      <c r="AA1440" s="15" t="inlineStr">
        <is>
          <t>IPO attempts 2011 and 2013 did not proceed; later CIRP, acquired by Ebix.</t>
        </is>
      </c>
      <c r="AB1440" s="18" t="inlineStr">
        <is>
          <t>https://www.business-standard.com/amp/article/companies/trimax-it-infrastructure-plans-ipo-files-drhp-with-sebi-113073100640_1.html</t>
        </is>
      </c>
    </row>
    <row r="1441" ht="15" customHeight="1" s="12">
      <c r="A1441" s="14" t="n">
        <v>1440</v>
      </c>
      <c r="B1441" s="16" t="n">
        <v>40724</v>
      </c>
      <c r="C1441" s="15" t="n">
        <v>2011</v>
      </c>
      <c r="D1441" s="15" t="inlineStr">
        <is>
          <t>CRP Technologies (India) Limited</t>
        </is>
      </c>
      <c r="E1441" s="15" t="inlineStr">
        <is>
          <t>DRHP</t>
        </is>
      </c>
      <c r="F1441" s="15" t="inlineStr">
        <is>
          <t>CRP Technologies (India) Limited</t>
        </is>
      </c>
      <c r="G1441" s="15" t="inlineStr">
        <is>
          <t>No launched IPO found</t>
        </is>
      </c>
      <c r="H1441" s="15" t="n"/>
      <c r="I1441" s="16" t="n"/>
      <c r="J1441" s="16" t="n"/>
      <c r="K1441" s="16" t="n"/>
      <c r="L1441" s="17" t="n"/>
      <c r="M1441" s="17" t="n"/>
      <c r="N1441" s="17" t="n"/>
      <c r="O1441" s="15" t="n"/>
      <c r="P1441" s="15" t="n"/>
      <c r="Q1441" s="18" t="inlineStr">
        <is>
          <t>https://www.sebi.gov.in/sebi_data/attachdocs/1310558210457.pdf</t>
        </is>
      </c>
      <c r="R1441" s="18" t="inlineStr">
        <is>
          <t>https://www.sebi.gov.in/filings/public-issues/jun-2011/crp-technologies-india-limited_20123.html</t>
        </is>
      </c>
      <c r="S1441" s="15" t="n"/>
      <c r="T1441" s="15" t="n"/>
      <c r="U1441" s="15" t="n"/>
      <c r="V1441" s="15" t="n"/>
      <c r="W1441" s="16" t="n"/>
      <c r="X1441" s="16" t="n"/>
      <c r="Y1441" s="16" t="n"/>
      <c r="Z1441" s="15" t="inlineStr">
        <is>
          <t>No issue found</t>
        </is>
      </c>
      <c r="AA1441" s="15" t="inlineStr">
        <is>
          <t>Planned 60 lakh share book-built IPO; no issue dates found.</t>
        </is>
      </c>
      <c r="AB1441" s="15" t="n"/>
    </row>
    <row r="1442" ht="15" customHeight="1" s="12">
      <c r="A1442" s="14" t="n">
        <v>1441</v>
      </c>
      <c r="B1442" s="16" t="n">
        <v>40722</v>
      </c>
      <c r="C1442" s="15" t="n">
        <v>2011</v>
      </c>
      <c r="D1442" s="15" t="inlineStr">
        <is>
          <t>Asian Logistics Ltd</t>
        </is>
      </c>
      <c r="E1442" s="15" t="inlineStr">
        <is>
          <t>DRHP</t>
        </is>
      </c>
      <c r="F1442" s="15" t="inlineStr">
        <is>
          <t>Asian Logistics Ltd</t>
        </is>
      </c>
      <c r="G1442" s="15" t="inlineStr">
        <is>
          <t>No launched IPO found</t>
        </is>
      </c>
      <c r="H1442" s="15" t="n"/>
      <c r="I1442" s="16" t="n"/>
      <c r="J1442" s="16" t="n"/>
      <c r="K1442" s="16" t="n"/>
      <c r="L1442" s="17" t="n"/>
      <c r="M1442" s="17" t="n"/>
      <c r="N1442" s="17" t="n"/>
      <c r="O1442" s="15" t="n"/>
      <c r="P1442" s="15" t="n"/>
      <c r="Q1442" s="18" t="inlineStr">
        <is>
          <t>https://www.sebi.gov.in/sebi_data/attachdocs/1310558108560.pdf</t>
        </is>
      </c>
      <c r="R1442" s="18" t="inlineStr">
        <is>
          <t>https://www.sebi.gov.in/filings/public-issues/jun-2011/asian-logistics-ltd_20121.html</t>
        </is>
      </c>
      <c r="S1442" s="15" t="n"/>
      <c r="T1442" s="15" t="n"/>
      <c r="U1442" s="15" t="n"/>
      <c r="V1442" s="15" t="n"/>
      <c r="W1442" s="16" t="n"/>
      <c r="X1442" s="16" t="n"/>
      <c r="Y1442" s="16" t="n"/>
      <c r="Z1442" s="15" t="inlineStr">
        <is>
          <t>No issue found</t>
        </is>
      </c>
      <c r="AA1442" s="15" t="inlineStr">
        <is>
          <t>No evidence of issue opening found.</t>
        </is>
      </c>
      <c r="AB1442" s="15" t="n"/>
    </row>
    <row r="1443" ht="15" customHeight="1" s="12">
      <c r="A1443" s="14" t="n">
        <v>1442</v>
      </c>
      <c r="B1443" s="16" t="n">
        <v>40722</v>
      </c>
      <c r="C1443" s="15" t="n">
        <v>2011</v>
      </c>
      <c r="D1443" s="15" t="inlineStr">
        <is>
          <t>PCH Retail Limited</t>
        </is>
      </c>
      <c r="E1443" s="15" t="inlineStr">
        <is>
          <t>DRHP</t>
        </is>
      </c>
      <c r="F1443" s="15" t="inlineStr">
        <is>
          <t>PCH Retail Limited</t>
        </is>
      </c>
      <c r="G1443" s="15" t="inlineStr">
        <is>
          <t>No launched IPO found</t>
        </is>
      </c>
      <c r="H1443" s="15" t="n"/>
      <c r="I1443" s="16" t="n"/>
      <c r="J1443" s="16" t="n"/>
      <c r="K1443" s="16" t="n"/>
      <c r="L1443" s="17" t="n"/>
      <c r="M1443" s="17" t="n"/>
      <c r="N1443" s="17" t="n"/>
      <c r="O1443" s="15" t="n"/>
      <c r="P1443" s="15" t="n"/>
      <c r="Q1443" s="18" t="inlineStr">
        <is>
          <t>https://www.sebi.gov.in/sebi_data/attachdocs/1310558165983.pdf</t>
        </is>
      </c>
      <c r="R1443" s="18" t="inlineStr">
        <is>
          <t>https://www.sebi.gov.in/filings/public-issues/jun-2011/pch-retail-limited_20122.html</t>
        </is>
      </c>
      <c r="S1443" s="15" t="n"/>
      <c r="T1443" s="15" t="n"/>
      <c r="U1443" s="15" t="n"/>
      <c r="V1443" s="15" t="n"/>
      <c r="W1443" s="16" t="n"/>
      <c r="X1443" s="16" t="n"/>
      <c r="Y1443" s="16" t="n"/>
      <c r="Z1443" s="15" t="inlineStr">
        <is>
          <t>No issue found</t>
        </is>
      </c>
      <c r="AA1443" s="15" t="inlineStr">
        <is>
          <t>Only DRHP June 2011 found; no issue dates.</t>
        </is>
      </c>
      <c r="AB1443" s="18" t="inlineStr">
        <is>
          <t>https://www.business-standard.com/markets/ipo/pch-retail-ltd-ipo-36267</t>
        </is>
      </c>
    </row>
    <row r="1444" ht="15" customHeight="1" s="12">
      <c r="A1444" s="14" t="n">
        <v>1443</v>
      </c>
      <c r="B1444" s="16" t="n">
        <v>40715</v>
      </c>
      <c r="C1444" s="15" t="n">
        <v>2011</v>
      </c>
      <c r="D1444" s="15" t="inlineStr">
        <is>
          <t>Hemani Industries Limited</t>
        </is>
      </c>
      <c r="E1444" s="15" t="inlineStr">
        <is>
          <t>DRHP</t>
        </is>
      </c>
      <c r="F1444" s="15" t="inlineStr">
        <is>
          <t>Hemani Industries Limited</t>
        </is>
      </c>
      <c r="G1444" s="15" t="inlineStr">
        <is>
          <t>No launched IPO found</t>
        </is>
      </c>
      <c r="H1444" s="15" t="n"/>
      <c r="I1444" s="16" t="n"/>
      <c r="J1444" s="16" t="n"/>
      <c r="K1444" s="16" t="n"/>
      <c r="L1444" s="17" t="n"/>
      <c r="M1444" s="17" t="n"/>
      <c r="N1444" s="17" t="n"/>
      <c r="O1444" s="15" t="n"/>
      <c r="P1444" s="15" t="n"/>
      <c r="Q1444" s="18" t="inlineStr">
        <is>
          <t>https://www.sebi.gov.in/sebi_data/attachdocs/1310558058730.pdf</t>
        </is>
      </c>
      <c r="R1444" s="18" t="inlineStr">
        <is>
          <t>https://www.sebi.gov.in/filings/public-issues/jun-2011/hemani-industries-limited_20120.html</t>
        </is>
      </c>
      <c r="S1444" s="15" t="n"/>
      <c r="T1444" s="15" t="n"/>
      <c r="U1444" s="15" t="n"/>
      <c r="V1444" s="15" t="n"/>
      <c r="W1444" s="16" t="n"/>
      <c r="X1444" s="16" t="n"/>
      <c r="Y1444" s="16" t="n"/>
      <c r="Z1444" s="15" t="inlineStr">
        <is>
          <t>No issue found</t>
        </is>
      </c>
      <c r="AA1444" s="15" t="inlineStr">
        <is>
          <t>2022 DRHP SEBI-approved; broker pages show dates TBA, no issue opened found.</t>
        </is>
      </c>
      <c r="AB1444" s="18" t="inlineStr">
        <is>
          <t>https://www.angelone.in/ipo/hemani-industries-ipo</t>
        </is>
      </c>
    </row>
    <row r="1445" ht="15" customHeight="1" s="12">
      <c r="A1445" s="14" t="n">
        <v>1444</v>
      </c>
      <c r="B1445" s="16" t="n">
        <v>40714</v>
      </c>
      <c r="C1445" s="15" t="n">
        <v>2011</v>
      </c>
      <c r="D1445" s="15" t="inlineStr">
        <is>
          <t>MT Educare Limited</t>
        </is>
      </c>
      <c r="E1445" s="15" t="inlineStr">
        <is>
          <t>DRHP</t>
        </is>
      </c>
      <c r="F1445" s="15" t="inlineStr">
        <is>
          <t>MT Educare Limited</t>
        </is>
      </c>
      <c r="G1445" s="15" t="inlineStr">
        <is>
          <t>IPO launched</t>
        </is>
      </c>
      <c r="H1445" s="15" t="inlineStr">
        <is>
          <t>Mainboard</t>
        </is>
      </c>
      <c r="I1445" s="16" t="n">
        <v>40995</v>
      </c>
      <c r="J1445" s="16" t="n">
        <v>40997</v>
      </c>
      <c r="K1445" s="16" t="n">
        <v>41011</v>
      </c>
      <c r="L1445" s="17" t="n">
        <v>99</v>
      </c>
      <c r="M1445" s="17" t="n">
        <v>99</v>
      </c>
      <c r="N1445" s="17" t="n">
        <v>0</v>
      </c>
      <c r="O1445" s="15" t="inlineStr">
        <is>
          <t>Final issue (ipoplatform)</t>
        </is>
      </c>
      <c r="P1445" s="15" t="n"/>
      <c r="Q1445" s="18" t="inlineStr">
        <is>
          <t>https://www.sebi.gov.in/sebi_data/attachdocs/1310558024554.pdf</t>
        </is>
      </c>
      <c r="R1445" s="18" t="inlineStr">
        <is>
          <t>https://www.sebi.gov.in/filings/public-issues/jun-2011/mt-educare-limited_20119.html</t>
        </is>
      </c>
      <c r="S1445" s="15" t="n"/>
      <c r="T1445" s="15" t="inlineStr">
        <is>
          <t>SEBI filing link</t>
        </is>
      </c>
      <c r="U1445" s="15" t="inlineStr">
        <is>
          <t>MT Educare Limited</t>
        </is>
      </c>
      <c r="V1445" s="15" t="n"/>
      <c r="W1445" s="15" t="n"/>
      <c r="X1445" s="15" t="n"/>
      <c r="Y1445" s="15" t="n"/>
      <c r="Z1445" s="15" t="n"/>
      <c r="AA1445" s="15" t="n"/>
      <c r="AB1445" s="15" t="n"/>
    </row>
    <row r="1446" ht="15" customHeight="1" s="12">
      <c r="A1446" s="14" t="n">
        <v>1445</v>
      </c>
      <c r="B1446" s="16" t="n">
        <v>40701</v>
      </c>
      <c r="C1446" s="15" t="n">
        <v>2011</v>
      </c>
      <c r="D1446" s="15" t="inlineStr">
        <is>
          <t>Sai Silks (Kalamandir) Limited</t>
        </is>
      </c>
      <c r="E1446" s="15" t="inlineStr">
        <is>
          <t>DRHP</t>
        </is>
      </c>
      <c r="F1446" s="15" t="inlineStr">
        <is>
          <t>Sai Silks (Kalamandir) Limited</t>
        </is>
      </c>
      <c r="G1446" s="15" t="inlineStr">
        <is>
          <t>No launched IPO found</t>
        </is>
      </c>
      <c r="H1446" s="15" t="n"/>
      <c r="I1446" s="16" t="n"/>
      <c r="J1446" s="16" t="n"/>
      <c r="K1446" s="16" t="n"/>
      <c r="L1446" s="17" t="n"/>
      <c r="M1446" s="17" t="n"/>
      <c r="N1446" s="17" t="n"/>
      <c r="O1446" s="15" t="n"/>
      <c r="P1446" s="15" t="n"/>
      <c r="Q1446" s="18" t="inlineStr">
        <is>
          <t>https://www.sebi.gov.in/sebi_data/attachdocs/1308559324122.pdf</t>
        </is>
      </c>
      <c r="R1446" s="18" t="inlineStr">
        <is>
          <t>https://www.sebi.gov.in/filings/public-issues/jun-2011/sai-silks-kalamandir-limited_19966.html</t>
        </is>
      </c>
      <c r="S1446" s="15" t="n"/>
      <c r="T1446" s="15" t="n"/>
      <c r="U1446" s="15" t="n"/>
      <c r="V1446" s="15" t="inlineStr">
        <is>
          <t>Same-name IPO opened 20-Sep-2023 — outside 2 years of this filing, so not linked</t>
        </is>
      </c>
      <c r="W1446" s="19" t="n">
        <v>41316</v>
      </c>
      <c r="X1446" s="19" t="n">
        <v>41318</v>
      </c>
      <c r="Y1446" s="19" t="n"/>
      <c r="Z1446" s="20" t="inlineStr">
        <is>
          <t>Issue opened</t>
        </is>
      </c>
      <c r="AA1446" s="15" t="inlineStr">
        <is>
          <t>Matched on chittorgarh.com</t>
        </is>
      </c>
      <c r="AB1446" s="18" t="inlineStr">
        <is>
          <t>https://www.chittorgarh.com/ipo/sai_silks_kalamandir_ipo/364/</t>
        </is>
      </c>
    </row>
    <row r="1447" ht="15" customHeight="1" s="12">
      <c r="A1447" s="14" t="n">
        <v>1446</v>
      </c>
      <c r="B1447" s="16" t="n">
        <v>40701</v>
      </c>
      <c r="C1447" s="15" t="n">
        <v>2011</v>
      </c>
      <c r="D1447" s="15" t="inlineStr">
        <is>
          <t>SKIL Infrastructure Limited</t>
        </is>
      </c>
      <c r="E1447" s="15" t="inlineStr">
        <is>
          <t>DRHP</t>
        </is>
      </c>
      <c r="F1447" s="15" t="inlineStr">
        <is>
          <t>SKIL Infrastructure Limited</t>
        </is>
      </c>
      <c r="G1447" s="15" t="inlineStr">
        <is>
          <t>No launched IPO found</t>
        </is>
      </c>
      <c r="H1447" s="15" t="n"/>
      <c r="I1447" s="16" t="n"/>
      <c r="J1447" s="16" t="n"/>
      <c r="K1447" s="16" t="n"/>
      <c r="L1447" s="17" t="n"/>
      <c r="M1447" s="17" t="n"/>
      <c r="N1447" s="17" t="n"/>
      <c r="O1447" s="15" t="n"/>
      <c r="P1447" s="15" t="n"/>
      <c r="Q1447" s="18" t="inlineStr">
        <is>
          <t>https://www.sebi.gov.in/sebi_data/attachdocs/1308559363976.pdf</t>
        </is>
      </c>
      <c r="R1447" s="18" t="inlineStr">
        <is>
          <t>https://www.sebi.gov.in/filings/public-issues/jun-2011/skil-infrastructure-limited_19967.html</t>
        </is>
      </c>
      <c r="S1447" s="15" t="n"/>
      <c r="T1447" s="15" t="n"/>
      <c r="U1447" s="15" t="n"/>
      <c r="V1447" s="15" t="n"/>
      <c r="W1447" s="16" t="n"/>
      <c r="X1447" s="16" t="n"/>
      <c r="Y1447" s="16" t="n"/>
      <c r="Z1447" s="15" t="inlineStr">
        <is>
          <t>No issue found</t>
        </is>
      </c>
      <c r="AA1447" s="15" t="inlineStr">
        <is>
          <t>Directly listed on BSE May 2016 without public issue; now under CIRP.</t>
        </is>
      </c>
      <c r="AB1447" s="18" t="inlineStr">
        <is>
          <t>https://www.business-standard.com/markets/skil-infrastructure-ltd-share-price-12715.html</t>
        </is>
      </c>
    </row>
    <row r="1448" ht="15" customHeight="1" s="12">
      <c r="A1448" s="14" t="n">
        <v>1447</v>
      </c>
      <c r="B1448" s="16" t="n">
        <v>40695</v>
      </c>
      <c r="C1448" s="15" t="n">
        <v>2011</v>
      </c>
      <c r="D1448" s="15" t="inlineStr">
        <is>
          <t>ACB India Limited</t>
        </is>
      </c>
      <c r="E1448" s="15" t="inlineStr">
        <is>
          <t>DRHP</t>
        </is>
      </c>
      <c r="F1448" s="15" t="inlineStr">
        <is>
          <t>ACB India Limited</t>
        </is>
      </c>
      <c r="G1448" s="15" t="inlineStr">
        <is>
          <t>No launched IPO found</t>
        </is>
      </c>
      <c r="H1448" s="15" t="n"/>
      <c r="I1448" s="16" t="n"/>
      <c r="J1448" s="16" t="n"/>
      <c r="K1448" s="16" t="n"/>
      <c r="L1448" s="17" t="n"/>
      <c r="M1448" s="17" t="n"/>
      <c r="N1448" s="17" t="n"/>
      <c r="O1448" s="15" t="n"/>
      <c r="P1448" s="15" t="n"/>
      <c r="Q1448" s="18" t="inlineStr">
        <is>
          <t>https://www.sebi.gov.in/sebi_data/attachdocs/1308559260701.pdf</t>
        </is>
      </c>
      <c r="R1448" s="18" t="inlineStr">
        <is>
          <t>https://www.sebi.gov.in/filings/public-issues/jun-2011/acb-india-limited_19965.html</t>
        </is>
      </c>
      <c r="S1448" s="15" t="n"/>
      <c r="T1448" s="15" t="n"/>
      <c r="U1448" s="15" t="n"/>
      <c r="V1448" s="15" t="n"/>
      <c r="W1448" s="16" t="n"/>
      <c r="X1448" s="16" t="n"/>
      <c r="Y1448" s="16" t="n"/>
      <c r="Z1448" s="15" t="inlineStr">
        <is>
          <t>No issue found</t>
        </is>
      </c>
      <c r="AA1448" s="15" t="inlineStr">
        <is>
          <t>Business Standard lists the company but shows no issue dates; web search limit reached</t>
        </is>
      </c>
      <c r="AB1448" s="18" t="inlineStr">
        <is>
          <t>https://www.business-standard.com/markets/ipo/acb-india-ltd-ipo-34883</t>
        </is>
      </c>
    </row>
    <row r="1449" ht="15" customHeight="1" s="12">
      <c r="A1449" s="14" t="n">
        <v>1448</v>
      </c>
      <c r="B1449" s="16" t="n">
        <v>40690</v>
      </c>
      <c r="C1449" s="15" t="n">
        <v>2011</v>
      </c>
      <c r="D1449" s="15" t="inlineStr">
        <is>
          <t>Madhya Bharat Agro Products Limited</t>
        </is>
      </c>
      <c r="E1449" s="15" t="inlineStr">
        <is>
          <t>DRHP</t>
        </is>
      </c>
      <c r="F1449" s="15" t="inlineStr">
        <is>
          <t>Madhya Bharat Agro Products Limited</t>
        </is>
      </c>
      <c r="G1449" s="15" t="inlineStr">
        <is>
          <t>No launched IPO found</t>
        </is>
      </c>
      <c r="H1449" s="15" t="n"/>
      <c r="I1449" s="16" t="n"/>
      <c r="J1449" s="16" t="n"/>
      <c r="K1449" s="16" t="n"/>
      <c r="L1449" s="17" t="n"/>
      <c r="M1449" s="17" t="n"/>
      <c r="N1449" s="17" t="n"/>
      <c r="O1449" s="15" t="n"/>
      <c r="P1449" s="15" t="n"/>
      <c r="Q1449" s="18" t="inlineStr">
        <is>
          <t>https://www.sebi.gov.in/sebi_data/attachdocs/1308559210209.pdf</t>
        </is>
      </c>
      <c r="R1449" s="18" t="inlineStr">
        <is>
          <t>https://www.sebi.gov.in/filings/public-issues/may-2011/madhya-bharat-agro-products-limited_19964.html</t>
        </is>
      </c>
      <c r="S1449" s="15" t="n"/>
      <c r="T1449" s="15" t="n"/>
      <c r="U1449" s="15" t="n"/>
      <c r="V1449" s="15" t="inlineStr">
        <is>
          <t>Same-name IPO opened 29-Aug-2016 — outside 2 years of this filing, so not linked</t>
        </is>
      </c>
      <c r="W1449" s="25" t="n">
        <v>42611</v>
      </c>
      <c r="X1449" s="25" t="n">
        <v>42615</v>
      </c>
      <c r="Y1449" s="25" t="n">
        <v>42625</v>
      </c>
      <c r="Z1449" s="26" t="inlineStr">
        <is>
          <t>Later IPO — not from this draft</t>
        </is>
      </c>
      <c r="AA1449" s="15" t="inlineStr">
        <is>
          <t>Opened 5.3 yrs after this filing, under a later draft</t>
        </is>
      </c>
      <c r="AB1449" s="18" t="inlineStr">
        <is>
          <t>https://www.business-standard.com/markets/ipo/madhya-bharat-agro-products-ltd-ipo-41290</t>
        </is>
      </c>
    </row>
    <row r="1450" ht="15" customHeight="1" s="12">
      <c r="A1450" s="14" t="n">
        <v>1449</v>
      </c>
      <c r="B1450" s="16" t="n">
        <v>40666</v>
      </c>
      <c r="C1450" s="15" t="n">
        <v>2011</v>
      </c>
      <c r="D1450" s="15" t="inlineStr">
        <is>
          <t>Swajas Air Charters Ltd</t>
        </is>
      </c>
      <c r="E1450" s="15" t="inlineStr">
        <is>
          <t>DRHP</t>
        </is>
      </c>
      <c r="F1450" s="15" t="inlineStr">
        <is>
          <t>M/s Swajas Air Charters Ltd</t>
        </is>
      </c>
      <c r="G1450" s="15" t="inlineStr">
        <is>
          <t>No launched IPO found</t>
        </is>
      </c>
      <c r="H1450" s="15" t="n"/>
      <c r="I1450" s="16" t="n"/>
      <c r="J1450" s="16" t="n"/>
      <c r="K1450" s="16" t="n"/>
      <c r="L1450" s="17" t="n"/>
      <c r="M1450" s="17" t="n"/>
      <c r="N1450" s="17" t="n"/>
      <c r="O1450" s="15" t="n"/>
      <c r="P1450" s="15" t="n"/>
      <c r="Q1450" s="18" t="inlineStr">
        <is>
          <t>https://www.sebi.gov.in/sebi_data/attachdocs/1304939477362.pdf</t>
        </is>
      </c>
      <c r="R1450" s="18" t="inlineStr">
        <is>
          <t>https://www.sebi.gov.in/filings/public-issues/may-2011/m-s-swajas-air-charters-ltd_19690.html</t>
        </is>
      </c>
      <c r="S1450" s="15" t="n"/>
      <c r="T1450" s="15" t="n"/>
      <c r="U1450" s="15" t="n"/>
      <c r="V1450" s="15" t="n"/>
      <c r="W1450" s="19" t="n">
        <v>40812</v>
      </c>
      <c r="X1450" s="19" t="n">
        <v>40821</v>
      </c>
      <c r="Y1450" s="19" t="n"/>
      <c r="Z1450" s="20" t="inlineStr">
        <is>
          <t>Issue opened</t>
        </is>
      </c>
      <c r="AA1450" s="15" t="inlineStr">
        <is>
          <t>Matched on chittorgarh.com</t>
        </is>
      </c>
      <c r="AB1450" s="18" t="inlineStr">
        <is>
          <t>https://www.chittorgarh.com/ipo/swajas_air_ipo/331/</t>
        </is>
      </c>
    </row>
    <row r="1451" ht="15" customHeight="1" s="12">
      <c r="A1451" s="14" t="n">
        <v>1450</v>
      </c>
      <c r="B1451" s="16" t="n">
        <v>40662</v>
      </c>
      <c r="C1451" s="15" t="n">
        <v>2011</v>
      </c>
      <c r="D1451" s="15" t="inlineStr">
        <is>
          <t>Indo Thai Securities Ltd</t>
        </is>
      </c>
      <c r="E1451" s="15" t="inlineStr">
        <is>
          <t>DRHP</t>
        </is>
      </c>
      <c r="F1451" s="15" t="inlineStr">
        <is>
          <t>Indo Thai Securities Ltd</t>
        </is>
      </c>
      <c r="G1451" s="15" t="inlineStr">
        <is>
          <t>IPO launched</t>
        </is>
      </c>
      <c r="H1451" s="15" t="inlineStr">
        <is>
          <t>Mainboard</t>
        </is>
      </c>
      <c r="I1451" s="16" t="n">
        <v>40816</v>
      </c>
      <c r="J1451" s="16" t="n">
        <v>40821</v>
      </c>
      <c r="K1451" s="16" t="n">
        <v>40849</v>
      </c>
      <c r="L1451" s="17" t="n">
        <v>29.6</v>
      </c>
      <c r="M1451" s="17" t="n">
        <v>29.6</v>
      </c>
      <c r="N1451" s="17" t="n">
        <v>0</v>
      </c>
      <c r="O1451" s="15" t="inlineStr">
        <is>
          <t>Final issue (ipoplatform)</t>
        </is>
      </c>
      <c r="P1451" s="15" t="n"/>
      <c r="Q1451" s="18" t="inlineStr">
        <is>
          <t>https://www.sebi.gov.in/sebi_data/attachdocs/1304939560632.pdf</t>
        </is>
      </c>
      <c r="R1451" s="18" t="inlineStr">
        <is>
          <t>https://www.sebi.gov.in/filings/public-issues/apr-2011/indo-thai-securities-ltd_19691.html</t>
        </is>
      </c>
      <c r="S1451" s="15" t="n"/>
      <c r="T1451" s="15" t="inlineStr">
        <is>
          <t>SEBI filing link</t>
        </is>
      </c>
      <c r="U1451" s="15" t="inlineStr">
        <is>
          <t>Indo Thai Securities Limited</t>
        </is>
      </c>
      <c r="V1451" s="15" t="n"/>
      <c r="W1451" s="15" t="n"/>
      <c r="X1451" s="15" t="n"/>
      <c r="Y1451" s="15" t="n"/>
      <c r="Z1451" s="15" t="n"/>
      <c r="AA1451" s="15" t="n"/>
      <c r="AB1451" s="15" t="n"/>
    </row>
    <row r="1452" ht="15" customHeight="1" s="12">
      <c r="A1452" s="14" t="n">
        <v>1451</v>
      </c>
      <c r="B1452" s="16" t="n">
        <v>40653</v>
      </c>
      <c r="C1452" s="15" t="n">
        <v>2011</v>
      </c>
      <c r="D1452" s="15" t="inlineStr">
        <is>
          <t>Kabirdass Motor Company Limited</t>
        </is>
      </c>
      <c r="E1452" s="15" t="inlineStr">
        <is>
          <t>DRHP</t>
        </is>
      </c>
      <c r="F1452" s="15" t="inlineStr">
        <is>
          <t>Kabirdass Motor Company Limited</t>
        </is>
      </c>
      <c r="G1452" s="15" t="inlineStr">
        <is>
          <t>No launched IPO found</t>
        </is>
      </c>
      <c r="H1452" s="15" t="n"/>
      <c r="I1452" s="16" t="n"/>
      <c r="J1452" s="16" t="n"/>
      <c r="K1452" s="16" t="n"/>
      <c r="L1452" s="17" t="n"/>
      <c r="M1452" s="17" t="n"/>
      <c r="N1452" s="17" t="n"/>
      <c r="O1452" s="15" t="n"/>
      <c r="P1452" s="15" t="n"/>
      <c r="Q1452" s="18" t="inlineStr">
        <is>
          <t>https://www.sebi.gov.in/sebi_data/attachdocs/1304939673407.pdf</t>
        </is>
      </c>
      <c r="R1452" s="18" t="inlineStr">
        <is>
          <t>https://www.sebi.gov.in/filings/public-issues/apr-2011/kabirdass-motor-company-limited_19693.html</t>
        </is>
      </c>
      <c r="S1452" s="15" t="n"/>
      <c r="T1452" s="15" t="n"/>
      <c r="U1452" s="15" t="n"/>
      <c r="V1452" s="15" t="n"/>
      <c r="W1452" s="16" t="n"/>
      <c r="X1452" s="16" t="n"/>
      <c r="Y1452" s="16" t="n"/>
      <c r="Z1452" s="15" t="inlineStr">
        <is>
          <t>No issue found</t>
        </is>
      </c>
      <c r="AA1452" s="15" t="inlineStr">
        <is>
          <t>DRHP seen (Rs 78 cr); no evidence IPO launched.</t>
        </is>
      </c>
      <c r="AB1452" s="15" t="n"/>
    </row>
    <row r="1453" ht="15" customHeight="1" s="12">
      <c r="A1453" s="14" t="n">
        <v>1452</v>
      </c>
      <c r="B1453" s="16" t="n">
        <v>40653</v>
      </c>
      <c r="C1453" s="15" t="n">
        <v>2011</v>
      </c>
      <c r="D1453" s="15" t="inlineStr">
        <is>
          <t>Vishwanath Projects Limited</t>
        </is>
      </c>
      <c r="E1453" s="15" t="inlineStr">
        <is>
          <t>DRHP</t>
        </is>
      </c>
      <c r="F1453" s="15" t="inlineStr">
        <is>
          <t>Vishwanath Projects Limited</t>
        </is>
      </c>
      <c r="G1453" s="15" t="inlineStr">
        <is>
          <t>No launched IPO found</t>
        </is>
      </c>
      <c r="H1453" s="15" t="n"/>
      <c r="I1453" s="16" t="n"/>
      <c r="J1453" s="16" t="n"/>
      <c r="K1453" s="16" t="n"/>
      <c r="L1453" s="17" t="n"/>
      <c r="M1453" s="17" t="n"/>
      <c r="N1453" s="17" t="n"/>
      <c r="O1453" s="15" t="n"/>
      <c r="P1453" s="15" t="n"/>
      <c r="Q1453" s="18" t="inlineStr">
        <is>
          <t>https://www.sebi.gov.in/sebi_data/attachdocs/1304939619289.pdf</t>
        </is>
      </c>
      <c r="R1453" s="18" t="inlineStr">
        <is>
          <t>https://www.sebi.gov.in/filings/public-issues/apr-2011/vishwanath-projects-limited_19692.html</t>
        </is>
      </c>
      <c r="S1453" s="15" t="n"/>
      <c r="T1453" s="15" t="n"/>
      <c r="U1453" s="15" t="n"/>
      <c r="V1453" s="15" t="n"/>
      <c r="W1453" s="16" t="n"/>
      <c r="X1453" s="16" t="n"/>
      <c r="Y1453" s="16" t="n"/>
      <c r="Z1453" s="15" t="inlineStr">
        <is>
          <t>No issue found</t>
        </is>
      </c>
      <c r="AA1453" s="15" t="inlineStr">
        <is>
          <t>Business Standard lists the company but shows no issue dates; web search limit reached</t>
        </is>
      </c>
      <c r="AB1453" s="18" t="inlineStr">
        <is>
          <t>https://www.business-standard.com/markets/ipo/vishwanath-projects-ltd-ipo-41219</t>
        </is>
      </c>
    </row>
    <row r="1454" ht="15" customHeight="1" s="12">
      <c r="A1454" s="14" t="n">
        <v>1453</v>
      </c>
      <c r="B1454" s="16" t="n">
        <v>40648</v>
      </c>
      <c r="C1454" s="15" t="n">
        <v>2011</v>
      </c>
      <c r="D1454" s="15" t="inlineStr">
        <is>
          <t>APR Constructions Limited</t>
        </is>
      </c>
      <c r="E1454" s="15" t="inlineStr">
        <is>
          <t>DRHP</t>
        </is>
      </c>
      <c r="F1454" s="15" t="inlineStr">
        <is>
          <t>APR Constructions Limited</t>
        </is>
      </c>
      <c r="G1454" s="15" t="inlineStr">
        <is>
          <t>No launched IPO found</t>
        </is>
      </c>
      <c r="H1454" s="15" t="n"/>
      <c r="I1454" s="16" t="n"/>
      <c r="J1454" s="16" t="n"/>
      <c r="K1454" s="16" t="n"/>
      <c r="L1454" s="17" t="n"/>
      <c r="M1454" s="17" t="n"/>
      <c r="N1454" s="17" t="n"/>
      <c r="O1454" s="15" t="n"/>
      <c r="P1454" s="15" t="n"/>
      <c r="Q1454" s="18" t="inlineStr">
        <is>
          <t>https://www.sebi.gov.in/sebi_data/attachdocs/1304939726954.pdf</t>
        </is>
      </c>
      <c r="R1454" s="18" t="inlineStr">
        <is>
          <t>https://www.sebi.gov.in/filings/public-issues/apr-2011/apr-constructions-limited_19694.html</t>
        </is>
      </c>
      <c r="S1454" s="15" t="n"/>
      <c r="T1454" s="15" t="n"/>
      <c r="U1454" s="15" t="n"/>
      <c r="V1454" s="15" t="n"/>
      <c r="W1454" s="16" t="n"/>
      <c r="X1454" s="16" t="n"/>
      <c r="Y1454" s="16" t="n"/>
      <c r="Z1454" s="15" t="inlineStr">
        <is>
          <t>No issue found</t>
        </is>
      </c>
      <c r="AA1454" s="15" t="inlineStr">
        <is>
          <t>Business Standard lists the company but shows no issue dates; web search limit reached</t>
        </is>
      </c>
      <c r="AB1454" s="18" t="inlineStr">
        <is>
          <t>https://www.business-standard.com/markets/ipo/apr-constructions-ltd-ipo-36137</t>
        </is>
      </c>
    </row>
    <row r="1455" ht="15" customHeight="1" s="12">
      <c r="A1455" s="14" t="n">
        <v>1454</v>
      </c>
      <c r="B1455" s="16" t="n">
        <v>40639</v>
      </c>
      <c r="C1455" s="15" t="n">
        <v>2011</v>
      </c>
      <c r="D1455" s="15" t="inlineStr">
        <is>
          <t>Multi Commodity Exchange of India Limited</t>
        </is>
      </c>
      <c r="E1455" s="15" t="inlineStr">
        <is>
          <t>DRHP</t>
        </is>
      </c>
      <c r="F1455" s="15" t="inlineStr">
        <is>
          <t>Multi Commodity Exchange of India Limited</t>
        </is>
      </c>
      <c r="G1455" s="15" t="inlineStr">
        <is>
          <t>IPO launched</t>
        </is>
      </c>
      <c r="H1455" s="15" t="inlineStr">
        <is>
          <t>Mainboard</t>
        </is>
      </c>
      <c r="I1455" s="16" t="n">
        <v>40961</v>
      </c>
      <c r="J1455" s="16" t="n">
        <v>40963</v>
      </c>
      <c r="K1455" s="16" t="n">
        <v>40977</v>
      </c>
      <c r="L1455" s="17" t="n">
        <v>663.3099999999999</v>
      </c>
      <c r="M1455" s="17" t="n">
        <v>663.3099999999999</v>
      </c>
      <c r="N1455" s="17" t="n">
        <v>0</v>
      </c>
      <c r="O1455" s="15" t="inlineStr">
        <is>
          <t>Final issue (ipoplatform)</t>
        </is>
      </c>
      <c r="P1455" s="15" t="n"/>
      <c r="Q1455" s="18" t="inlineStr">
        <is>
          <t>https://www.sebi.gov.in/sebi_data/attachdocs/1304939786100.pdf</t>
        </is>
      </c>
      <c r="R1455" s="18" t="inlineStr">
        <is>
          <t>https://www.sebi.gov.in/filings/public-issues/apr-2011/multi-commodity-exchange-of-india-limited_19695.html</t>
        </is>
      </c>
      <c r="S1455" s="15" t="n"/>
      <c r="T1455" s="15" t="inlineStr">
        <is>
          <t>SEBI filing link</t>
        </is>
      </c>
      <c r="U1455" s="15" t="inlineStr">
        <is>
          <t>Multi Commodity Exchange of India Limited</t>
        </is>
      </c>
      <c r="V1455" s="15" t="n"/>
      <c r="W1455" s="15" t="n"/>
      <c r="X1455" s="15" t="n"/>
      <c r="Y1455" s="15" t="n"/>
      <c r="Z1455" s="15" t="n"/>
      <c r="AA1455" s="15" t="n"/>
      <c r="AB1455" s="15" t="n"/>
    </row>
    <row r="1456" ht="15" customHeight="1" s="12">
      <c r="A1456" s="14" t="n">
        <v>1455</v>
      </c>
      <c r="B1456" s="16" t="n">
        <v>40638</v>
      </c>
      <c r="C1456" s="15" t="n">
        <v>2011</v>
      </c>
      <c r="D1456" s="15" t="inlineStr">
        <is>
          <t>Relcon Infraprojects Limited</t>
        </is>
      </c>
      <c r="E1456" s="15" t="inlineStr">
        <is>
          <t>DRHP</t>
        </is>
      </c>
      <c r="F1456" s="15" t="inlineStr">
        <is>
          <t>Relcon Infraprojects Limited</t>
        </is>
      </c>
      <c r="G1456" s="15" t="inlineStr">
        <is>
          <t>No launched IPO found</t>
        </is>
      </c>
      <c r="H1456" s="15" t="n"/>
      <c r="I1456" s="16" t="n"/>
      <c r="J1456" s="16" t="n"/>
      <c r="K1456" s="16" t="n"/>
      <c r="L1456" s="17" t="n"/>
      <c r="M1456" s="17" t="n"/>
      <c r="N1456" s="17" t="n"/>
      <c r="O1456" s="15" t="n"/>
      <c r="P1456" s="15" t="n"/>
      <c r="Q1456" s="18" t="inlineStr">
        <is>
          <t>https://www.sebi.gov.in/sebi_data/attachdocs/1304939828324.pdf</t>
        </is>
      </c>
      <c r="R1456" s="18" t="inlineStr">
        <is>
          <t>https://www.sebi.gov.in/filings/public-issues/apr-2011/relcon-infraprojects-limited_19696.html</t>
        </is>
      </c>
      <c r="S1456" s="15" t="n"/>
      <c r="T1456" s="15" t="n"/>
      <c r="U1456" s="15" t="n"/>
      <c r="V1456" s="15" t="n"/>
      <c r="W1456" s="16" t="n"/>
      <c r="X1456" s="16" t="n"/>
      <c r="Y1456" s="16" t="n"/>
      <c r="Z1456" s="15" t="inlineStr">
        <is>
          <t>No issue found</t>
        </is>
      </c>
      <c r="AA1456" s="15" t="inlineStr">
        <is>
          <t>Business Standard lists the company but shows no issue dates; web search limit reached</t>
        </is>
      </c>
      <c r="AB1456" s="18" t="inlineStr">
        <is>
          <t>https://www.business-standard.com/markets/ipo/relcon-infraprojects-ltd-ipo-35280</t>
        </is>
      </c>
    </row>
    <row r="1457" ht="15" customHeight="1" s="12">
      <c r="A1457" s="14" t="n">
        <v>1456</v>
      </c>
      <c r="B1457" s="16" t="n">
        <v>40634</v>
      </c>
      <c r="C1457" s="15" t="n">
        <v>2011</v>
      </c>
      <c r="D1457" s="15" t="inlineStr">
        <is>
          <t>Neesa Leisure Limited</t>
        </is>
      </c>
      <c r="E1457" s="15" t="inlineStr">
        <is>
          <t>DRHP</t>
        </is>
      </c>
      <c r="F1457" s="15" t="inlineStr">
        <is>
          <t>Neesa Leisure Limited</t>
        </is>
      </c>
      <c r="G1457" s="15" t="inlineStr">
        <is>
          <t>No launched IPO found</t>
        </is>
      </c>
      <c r="H1457" s="15" t="n"/>
      <c r="I1457" s="16" t="n"/>
      <c r="J1457" s="16" t="n"/>
      <c r="K1457" s="16" t="n"/>
      <c r="L1457" s="17" t="n"/>
      <c r="M1457" s="17" t="n"/>
      <c r="N1457" s="17" t="n"/>
      <c r="O1457" s="15" t="n"/>
      <c r="P1457" s="15" t="n"/>
      <c r="Q1457" s="18" t="inlineStr">
        <is>
          <t>https://www.sebi.gov.in/sebi_data/attachdocs/1304939881811.pdf</t>
        </is>
      </c>
      <c r="R1457" s="18" t="inlineStr">
        <is>
          <t>https://www.sebi.gov.in/filings/public-issues/apr-2011/neesa-leisure-limited_19697.html</t>
        </is>
      </c>
      <c r="S1457" s="15" t="n"/>
      <c r="T1457" s="15" t="n"/>
      <c r="U1457" s="15" t="n"/>
      <c r="V1457" s="15" t="n"/>
      <c r="W1457" s="16" t="n"/>
      <c r="X1457" s="16" t="n"/>
      <c r="Y1457" s="16" t="n"/>
      <c r="Z1457" s="15" t="inlineStr">
        <is>
          <t>No issue found</t>
        </is>
      </c>
      <c r="AA1457" s="15" t="inlineStr">
        <is>
          <t>Business Standard lists the company but shows no issue dates; web search limit reached</t>
        </is>
      </c>
      <c r="AB1457" s="18" t="inlineStr">
        <is>
          <t>https://www.business-standard.com/markets/ipo/neesa-leisure-ltd-ipo-33435</t>
        </is>
      </c>
    </row>
    <row r="1458" ht="15" customHeight="1" s="12">
      <c r="A1458" s="14" t="n">
        <v>1457</v>
      </c>
      <c r="B1458" s="16" t="n">
        <v>40634</v>
      </c>
      <c r="C1458" s="15" t="n">
        <v>2011</v>
      </c>
      <c r="D1458" s="15" t="inlineStr">
        <is>
          <t>Prakash Constrowell Limited</t>
        </is>
      </c>
      <c r="E1458" s="15" t="inlineStr">
        <is>
          <t>DRHP</t>
        </is>
      </c>
      <c r="F1458" s="15" t="inlineStr">
        <is>
          <t>Prakash Constrowell Limited</t>
        </is>
      </c>
      <c r="G1458" s="15" t="inlineStr">
        <is>
          <t>IPO launched</t>
        </is>
      </c>
      <c r="H1458" s="15" t="inlineStr">
        <is>
          <t>Mainboard</t>
        </is>
      </c>
      <c r="I1458" s="16" t="n">
        <v>40805</v>
      </c>
      <c r="J1458" s="16" t="n">
        <v>40807</v>
      </c>
      <c r="K1458" s="16" t="n">
        <v>40820</v>
      </c>
      <c r="L1458" s="17" t="n">
        <v>60</v>
      </c>
      <c r="M1458" s="17" t="n">
        <v>60</v>
      </c>
      <c r="N1458" s="17" t="n">
        <v>0</v>
      </c>
      <c r="O1458" s="15" t="inlineStr">
        <is>
          <t>Final issue (ipoplatform)</t>
        </is>
      </c>
      <c r="P1458" s="15" t="n"/>
      <c r="Q1458" s="18" t="inlineStr">
        <is>
          <t>https://www.sebi.gov.in/sebi_data/attachdocs/1304939920462.pdf</t>
        </is>
      </c>
      <c r="R1458" s="18" t="inlineStr">
        <is>
          <t>https://www.sebi.gov.in/filings/public-issues/apr-2011/prakash-constrowell-limited_19698.html</t>
        </is>
      </c>
      <c r="S1458" s="15" t="n"/>
      <c r="T1458" s="15" t="inlineStr">
        <is>
          <t>SEBI filing link</t>
        </is>
      </c>
      <c r="U1458" s="15" t="inlineStr">
        <is>
          <t>Prakash Constrowell Limited</t>
        </is>
      </c>
      <c r="V1458" s="15" t="n"/>
      <c r="W1458" s="15" t="n"/>
      <c r="X1458" s="15" t="n"/>
      <c r="Y1458" s="15" t="n"/>
      <c r="Z1458" s="15" t="n"/>
      <c r="AA1458" s="15" t="n"/>
      <c r="AB1458" s="15" t="n"/>
    </row>
    <row r="1459" ht="15" customHeight="1" s="12">
      <c r="A1459" s="14" t="n">
        <v>1458</v>
      </c>
      <c r="B1459" s="16" t="n">
        <v>40633</v>
      </c>
      <c r="C1459" s="15" t="n">
        <v>2011</v>
      </c>
      <c r="D1459" s="15" t="inlineStr">
        <is>
          <t>Calyx Chemicals and Pharmaceuticals Limited</t>
        </is>
      </c>
      <c r="E1459" s="15" t="inlineStr">
        <is>
          <t>DRHP</t>
        </is>
      </c>
      <c r="F1459" s="15" t="inlineStr">
        <is>
          <t>Calyx Chemicals and Pharmaceuticals Limited</t>
        </is>
      </c>
      <c r="G1459" s="15" t="inlineStr">
        <is>
          <t>No launched IPO found</t>
        </is>
      </c>
      <c r="H1459" s="15" t="n"/>
      <c r="I1459" s="16" t="n"/>
      <c r="J1459" s="16" t="n"/>
      <c r="K1459" s="16" t="n"/>
      <c r="L1459" s="17" t="n"/>
      <c r="M1459" s="17" t="n"/>
      <c r="N1459" s="17" t="n"/>
      <c r="O1459" s="15" t="n"/>
      <c r="P1459" s="15" t="n"/>
      <c r="Q1459" s="18" t="inlineStr">
        <is>
          <t>https://www.sebi.gov.in/sebi_data/attachdocs/1301986586522.pdf</t>
        </is>
      </c>
      <c r="R1459" s="18" t="inlineStr">
        <is>
          <t>https://www.sebi.gov.in/filings/public-issues/mar-2011/calyx-chemicals-and-pharmaceuticals-limited_19507.html</t>
        </is>
      </c>
      <c r="S1459" s="15" t="n"/>
      <c r="T1459" s="15" t="n"/>
      <c r="U1459" s="15" t="n"/>
      <c r="V1459" s="15" t="n"/>
      <c r="W1459" s="16" t="n"/>
      <c r="X1459" s="16" t="n"/>
      <c r="Y1459" s="16" t="n"/>
      <c r="Z1459" s="15" t="inlineStr">
        <is>
          <t>No issue found</t>
        </is>
      </c>
      <c r="AA1459" s="15" t="inlineStr">
        <is>
          <t>Business Standard lists the company but shows no issue dates; web search limit reached</t>
        </is>
      </c>
      <c r="AB1459" s="18" t="inlineStr">
        <is>
          <t>https://www.business-standard.com/markets/ipo/calyx-chemicals-pharmaceuticals-ltd-ipo-27877</t>
        </is>
      </c>
    </row>
    <row r="1460" ht="15" customHeight="1" s="12">
      <c r="A1460" s="14" t="n">
        <v>1459</v>
      </c>
      <c r="B1460" s="16" t="n">
        <v>40633</v>
      </c>
      <c r="C1460" s="15" t="n">
        <v>2011</v>
      </c>
      <c r="D1460" s="15" t="inlineStr">
        <is>
          <t>L and T Finance Holdings Limited</t>
        </is>
      </c>
      <c r="E1460" s="15" t="inlineStr">
        <is>
          <t>DRHP</t>
        </is>
      </c>
      <c r="F1460" s="15" t="inlineStr">
        <is>
          <t>L and T Finance Holdings Limited</t>
        </is>
      </c>
      <c r="G1460" s="15" t="inlineStr">
        <is>
          <t>IPO launched</t>
        </is>
      </c>
      <c r="H1460" s="15" t="inlineStr">
        <is>
          <t>Mainboard</t>
        </is>
      </c>
      <c r="I1460" s="16" t="n">
        <v>40751</v>
      </c>
      <c r="J1460" s="16" t="n">
        <v>40753</v>
      </c>
      <c r="K1460" s="16" t="n">
        <v>40767</v>
      </c>
      <c r="L1460" s="17" t="n">
        <v>1245</v>
      </c>
      <c r="M1460" s="17" t="n">
        <v>1245</v>
      </c>
      <c r="N1460" s="17" t="n">
        <v>0</v>
      </c>
      <c r="O1460" s="15" t="inlineStr">
        <is>
          <t>Final issue (ipoplatform)</t>
        </is>
      </c>
      <c r="P1460" s="15" t="n"/>
      <c r="Q1460" s="18" t="inlineStr">
        <is>
          <t>https://www.sebi.gov.in/sebi_data/attachdocs/1301986407533.pdf</t>
        </is>
      </c>
      <c r="R1460" s="18" t="inlineStr">
        <is>
          <t>https://www.sebi.gov.in/filings/public-issues/mar-2011/l-and-t-finance-holdings-limited_19505.html</t>
        </is>
      </c>
      <c r="S1460" s="15" t="n"/>
      <c r="T1460" s="15" t="inlineStr">
        <is>
          <t>SEBI filing link</t>
        </is>
      </c>
      <c r="U1460" s="15" t="inlineStr">
        <is>
          <t>L&amp;T Finance Holdings Limited</t>
        </is>
      </c>
      <c r="V1460" s="15" t="n"/>
      <c r="W1460" s="15" t="n"/>
      <c r="X1460" s="15" t="n"/>
      <c r="Y1460" s="15" t="n"/>
      <c r="Z1460" s="15" t="n"/>
      <c r="AA1460" s="15" t="n"/>
      <c r="AB1460" s="15" t="n"/>
    </row>
    <row r="1461" ht="15" customHeight="1" s="12">
      <c r="A1461" s="14" t="n">
        <v>1460</v>
      </c>
      <c r="B1461" s="16" t="n">
        <v>40633</v>
      </c>
      <c r="C1461" s="15" t="n">
        <v>2011</v>
      </c>
      <c r="D1461" s="15" t="inlineStr">
        <is>
          <t>Prime Retail India Ltd</t>
        </is>
      </c>
      <c r="E1461" s="15" t="inlineStr">
        <is>
          <t>DRHP</t>
        </is>
      </c>
      <c r="F1461" s="15" t="inlineStr">
        <is>
          <t>Prime Retail India Ltd</t>
        </is>
      </c>
      <c r="G1461" s="15" t="inlineStr">
        <is>
          <t>No launched IPO found</t>
        </is>
      </c>
      <c r="H1461" s="15" t="n"/>
      <c r="I1461" s="16" t="n"/>
      <c r="J1461" s="16" t="n"/>
      <c r="K1461" s="16" t="n"/>
      <c r="L1461" s="17" t="n"/>
      <c r="M1461" s="17" t="n"/>
      <c r="N1461" s="17" t="n"/>
      <c r="O1461" s="15" t="n"/>
      <c r="P1461" s="15" t="n"/>
      <c r="Q1461" s="18" t="inlineStr">
        <is>
          <t>https://www.sebi.gov.in/sebi_data/attachdocs/1301986511663.pdf</t>
        </is>
      </c>
      <c r="R1461" s="18" t="inlineStr">
        <is>
          <t>https://www.sebi.gov.in/filings/public-issues/mar-2011/prime-retail-india-ltd_19506.html</t>
        </is>
      </c>
      <c r="S1461" s="15" t="n"/>
      <c r="T1461" s="15" t="n"/>
      <c r="U1461" s="15" t="n"/>
      <c r="V1461" s="15" t="n"/>
      <c r="W1461" s="16" t="n"/>
      <c r="X1461" s="16" t="n"/>
      <c r="Y1461" s="16" t="n"/>
      <c r="Z1461" s="15" t="inlineStr">
        <is>
          <t>No issue found</t>
        </is>
      </c>
      <c r="AA1461" s="15" t="inlineStr">
        <is>
          <t>Kolkata luxury watch retailer; remains unlisted public company; no IPO found</t>
        </is>
      </c>
      <c r="AB1461" s="18" t="inlineStr">
        <is>
          <t>https://www.zaubacorp.com/PRIME-RETAIL-INDIA-LIMITED-U63090WB1990PLC048986</t>
        </is>
      </c>
    </row>
    <row r="1462" ht="15" customHeight="1" s="12">
      <c r="A1462" s="14" t="n">
        <v>1461</v>
      </c>
      <c r="B1462" s="16" t="n">
        <v>40632</v>
      </c>
      <c r="C1462" s="15" t="n">
        <v>2011</v>
      </c>
      <c r="D1462" s="15" t="inlineStr">
        <is>
          <t>Flexituff International Limited</t>
        </is>
      </c>
      <c r="E1462" s="15" t="inlineStr">
        <is>
          <t>DRHP</t>
        </is>
      </c>
      <c r="F1462" s="15" t="inlineStr">
        <is>
          <t>Flexituff International Limited</t>
        </is>
      </c>
      <c r="G1462" s="15" t="inlineStr">
        <is>
          <t>IPO launched</t>
        </is>
      </c>
      <c r="H1462" s="15" t="inlineStr">
        <is>
          <t>Mainboard</t>
        </is>
      </c>
      <c r="I1462" s="16" t="n">
        <v>40815</v>
      </c>
      <c r="J1462" s="16" t="n">
        <v>40821</v>
      </c>
      <c r="K1462" s="16" t="n">
        <v>40835</v>
      </c>
      <c r="L1462" s="17" t="n">
        <v>104.63</v>
      </c>
      <c r="M1462" s="17" t="n">
        <v>104.63</v>
      </c>
      <c r="N1462" s="17" t="n">
        <v>0</v>
      </c>
      <c r="O1462" s="15" t="inlineStr">
        <is>
          <t>Final issue (ipoplatform)</t>
        </is>
      </c>
      <c r="P1462" s="15" t="n"/>
      <c r="Q1462" s="18" t="inlineStr">
        <is>
          <t>https://www.sebi.gov.in/sebi_data/attachdocs/1301986734146.pdf</t>
        </is>
      </c>
      <c r="R1462" s="18" t="inlineStr">
        <is>
          <t>https://www.sebi.gov.in/filings/public-issues/mar-2011/flexituff-international-limited_19509.html</t>
        </is>
      </c>
      <c r="S1462" s="15" t="n"/>
      <c r="T1462" s="15" t="inlineStr">
        <is>
          <t>SEBI filing link</t>
        </is>
      </c>
      <c r="U1462" s="15" t="inlineStr">
        <is>
          <t>Flexituff International Limited</t>
        </is>
      </c>
      <c r="V1462" s="15" t="n"/>
      <c r="W1462" s="15" t="n"/>
      <c r="X1462" s="15" t="n"/>
      <c r="Y1462" s="15" t="n"/>
      <c r="Z1462" s="15" t="n"/>
      <c r="AA1462" s="15" t="n"/>
      <c r="AB1462" s="15" t="n"/>
    </row>
    <row r="1463" ht="15" customHeight="1" s="12">
      <c r="A1463" s="14" t="n">
        <v>1462</v>
      </c>
      <c r="B1463" s="16" t="n">
        <v>40632</v>
      </c>
      <c r="C1463" s="15" t="n">
        <v>2011</v>
      </c>
      <c r="D1463" s="15" t="inlineStr">
        <is>
          <t>Sheetal Refineries Limited</t>
        </is>
      </c>
      <c r="E1463" s="15" t="inlineStr">
        <is>
          <t>DRHP</t>
        </is>
      </c>
      <c r="F1463" s="15" t="inlineStr">
        <is>
          <t>Sheetal Refineries Limited</t>
        </is>
      </c>
      <c r="G1463" s="15" t="inlineStr">
        <is>
          <t>No launched IPO found</t>
        </is>
      </c>
      <c r="H1463" s="15" t="n"/>
      <c r="I1463" s="16" t="n"/>
      <c r="J1463" s="16" t="n"/>
      <c r="K1463" s="16" t="n"/>
      <c r="L1463" s="17" t="n"/>
      <c r="M1463" s="17" t="n"/>
      <c r="N1463" s="17" t="n"/>
      <c r="O1463" s="15" t="n"/>
      <c r="P1463" s="15" t="n"/>
      <c r="Q1463" s="18" t="inlineStr">
        <is>
          <t>https://www.sebi.gov.in/sebi_data/attachdocs/1301986661089.pdf</t>
        </is>
      </c>
      <c r="R1463" s="18" t="inlineStr">
        <is>
          <t>https://www.sebi.gov.in/filings/public-issues/mar-2011/sheetal-refineries-limited_19508.html</t>
        </is>
      </c>
      <c r="S1463" s="15" t="n"/>
      <c r="T1463" s="15" t="n"/>
      <c r="U1463" s="15" t="n"/>
      <c r="V1463" s="15" t="n"/>
      <c r="W1463" s="16" t="n"/>
      <c r="X1463" s="16" t="n"/>
      <c r="Y1463" s="16" t="n"/>
      <c r="Z1463" s="15" t="inlineStr">
        <is>
          <t>No issue found</t>
        </is>
      </c>
      <c r="AA1463" s="15" t="inlineStr">
        <is>
          <t>Business Standard lists the company but shows no issue dates; web search limit reached</t>
        </is>
      </c>
      <c r="AB1463" s="18" t="inlineStr">
        <is>
          <t>https://www.business-standard.com/markets/ipo/sheetal-refineries-ltd-ipo-40947</t>
        </is>
      </c>
    </row>
    <row r="1464" ht="15" customHeight="1" s="12">
      <c r="A1464" s="14" t="n">
        <v>1463</v>
      </c>
      <c r="B1464" s="16" t="n">
        <v>40631</v>
      </c>
      <c r="C1464" s="15" t="n">
        <v>2011</v>
      </c>
      <c r="D1464" s="15" t="inlineStr">
        <is>
          <t>Intas Pharamaceuticals Limited</t>
        </is>
      </c>
      <c r="E1464" s="15" t="inlineStr">
        <is>
          <t>DRHP</t>
        </is>
      </c>
      <c r="F1464" s="15" t="inlineStr">
        <is>
          <t>Intas Pharamaceuticals Limited</t>
        </is>
      </c>
      <c r="G1464" s="15" t="inlineStr">
        <is>
          <t>No launched IPO found</t>
        </is>
      </c>
      <c r="H1464" s="15" t="n"/>
      <c r="I1464" s="16" t="n"/>
      <c r="J1464" s="16" t="n"/>
      <c r="K1464" s="16" t="n"/>
      <c r="L1464" s="17" t="n"/>
      <c r="M1464" s="17" t="n"/>
      <c r="N1464" s="17" t="n"/>
      <c r="O1464" s="15" t="n"/>
      <c r="P1464" s="15" t="n"/>
      <c r="Q1464" s="18" t="inlineStr">
        <is>
          <t>https://www.sebi.gov.in/sebi_data/attachdocs/1301986786845.pdf</t>
        </is>
      </c>
      <c r="R1464" s="18" t="inlineStr">
        <is>
          <t>https://www.sebi.gov.in/filings/public-issues/mar-2011/intas-pharamaceuticals-limited_19510.html</t>
        </is>
      </c>
      <c r="S1464" s="15" t="n"/>
      <c r="T1464" s="15" t="n"/>
      <c r="U1464" s="15" t="n"/>
      <c r="V1464" s="15" t="n"/>
      <c r="W1464" s="16" t="n"/>
      <c r="X1464" s="16" t="n"/>
      <c r="Y1464" s="16" t="n"/>
      <c r="Z1464" s="15" t="inlineStr">
        <is>
          <t>No issue found</t>
        </is>
      </c>
      <c r="AA1464" s="15" t="inlineStr">
        <is>
          <t>Business Standard lists the company but shows no issue dates; web search limit reached</t>
        </is>
      </c>
      <c r="AB1464" s="18" t="inlineStr">
        <is>
          <t>https://www.business-standard.com/markets/ipo/intas-pharmaceuticals-ltd-ipo-19969</t>
        </is>
      </c>
    </row>
    <row r="1465" ht="15" customHeight="1" s="12">
      <c r="A1465" s="14" t="n">
        <v>1464</v>
      </c>
      <c r="B1465" s="16" t="n">
        <v>40631</v>
      </c>
      <c r="C1465" s="15" t="n">
        <v>2011</v>
      </c>
      <c r="D1465" s="15" t="inlineStr">
        <is>
          <t>Mukesh Udyog Limited</t>
        </is>
      </c>
      <c r="E1465" s="15" t="inlineStr">
        <is>
          <t>DRHP</t>
        </is>
      </c>
      <c r="F1465" s="15" t="inlineStr">
        <is>
          <t>Mukesh Udyog Limited</t>
        </is>
      </c>
      <c r="G1465" s="15" t="inlineStr">
        <is>
          <t>No launched IPO found</t>
        </is>
      </c>
      <c r="H1465" s="15" t="n"/>
      <c r="I1465" s="16" t="n"/>
      <c r="J1465" s="16" t="n"/>
      <c r="K1465" s="16" t="n"/>
      <c r="L1465" s="17" t="n"/>
      <c r="M1465" s="17" t="n"/>
      <c r="N1465" s="17" t="n"/>
      <c r="O1465" s="15" t="n"/>
      <c r="P1465" s="15" t="n"/>
      <c r="Q1465" s="18" t="inlineStr">
        <is>
          <t>https://www.sebi.gov.in/sebi_data/attachdocs/1301986840858.pdf</t>
        </is>
      </c>
      <c r="R1465" s="18" t="inlineStr">
        <is>
          <t>https://www.sebi.gov.in/filings/public-issues/mar-2011/mukesh-udyog-limited_19511.html</t>
        </is>
      </c>
      <c r="S1465" s="15" t="n"/>
      <c r="T1465" s="15" t="n"/>
      <c r="U1465" s="15" t="n"/>
      <c r="V1465" s="15" t="n"/>
      <c r="W1465" s="16" t="n"/>
      <c r="X1465" s="16" t="n"/>
      <c r="Y1465" s="16" t="n"/>
      <c r="Z1465" s="15" t="inlineStr">
        <is>
          <t>Withdrawn / approval lapsed</t>
        </is>
      </c>
      <c r="AA1465" s="15" t="inlineStr">
        <is>
          <t>FPO draft (filed 29 Mar 2011) withdrawn by LM vide letter 5 Sep 2012 (SEBI status list)</t>
        </is>
      </c>
      <c r="AB1465" s="18" t="inlineStr">
        <is>
          <t>https://www.sebi.gov.in/sebi_data/commondocs/feb-2020/Issues%20Obs%20Issued%2031012020_p.pdf</t>
        </is>
      </c>
    </row>
    <row r="1466" ht="15" customHeight="1" s="12">
      <c r="A1466" s="14" t="n">
        <v>1465</v>
      </c>
      <c r="B1466" s="16" t="n">
        <v>40627</v>
      </c>
      <c r="C1466" s="15" t="n">
        <v>2011</v>
      </c>
      <c r="D1466" s="15" t="inlineStr">
        <is>
          <t>Arch Pharmalabs Limited</t>
        </is>
      </c>
      <c r="E1466" s="15" t="inlineStr">
        <is>
          <t>DRHP</t>
        </is>
      </c>
      <c r="F1466" s="15" t="inlineStr">
        <is>
          <t>Arch Pharmalabs Limited</t>
        </is>
      </c>
      <c r="G1466" s="15" t="inlineStr">
        <is>
          <t>No launched IPO found</t>
        </is>
      </c>
      <c r="H1466" s="15" t="n"/>
      <c r="I1466" s="16" t="n"/>
      <c r="J1466" s="16" t="n"/>
      <c r="K1466" s="16" t="n"/>
      <c r="L1466" s="17" t="n"/>
      <c r="M1466" s="17" t="n"/>
      <c r="N1466" s="17" t="n"/>
      <c r="O1466" s="15" t="n"/>
      <c r="P1466" s="15" t="n"/>
      <c r="Q1466" s="18" t="inlineStr">
        <is>
          <t>https://www.sebi.gov.in/sebi_data/attachdocs/1301986889174.pdf</t>
        </is>
      </c>
      <c r="R1466" s="18" t="inlineStr">
        <is>
          <t>https://www.sebi.gov.in/filings/public-issues/mar-2011/arch-pharmalabs-limited_19512.html</t>
        </is>
      </c>
      <c r="S1466" s="15" t="n"/>
      <c r="T1466" s="15" t="n"/>
      <c r="U1466" s="15" t="n"/>
      <c r="V1466" s="15" t="n"/>
      <c r="W1466" s="16" t="n"/>
      <c r="X1466" s="16" t="n"/>
      <c r="Y1466" s="16" t="n"/>
      <c r="Z1466" s="15" t="inlineStr">
        <is>
          <t>No issue found</t>
        </is>
      </c>
      <c r="AA1466" s="15" t="inlineStr">
        <is>
          <t>Business Standard lists the company but shows no issue dates; web search limit reached</t>
        </is>
      </c>
      <c r="AB1466" s="18" t="inlineStr">
        <is>
          <t>https://www.business-standard.com/markets/ipo/arch-pharmalabs-ltd-ipo-4361</t>
        </is>
      </c>
    </row>
    <row r="1467" ht="15" customHeight="1" s="12">
      <c r="A1467" s="14" t="n">
        <v>1466</v>
      </c>
      <c r="B1467" s="16" t="n">
        <v>40627</v>
      </c>
      <c r="C1467" s="15" t="n">
        <v>2011</v>
      </c>
      <c r="D1467" s="15" t="inlineStr">
        <is>
          <t>Jaishree Industries Limited</t>
        </is>
      </c>
      <c r="E1467" s="15" t="inlineStr">
        <is>
          <t>DRHP</t>
        </is>
      </c>
      <c r="F1467" s="15" t="inlineStr">
        <is>
          <t>M/s Jaishree Industries Limited</t>
        </is>
      </c>
      <c r="G1467" s="15" t="inlineStr">
        <is>
          <t>No launched IPO found</t>
        </is>
      </c>
      <c r="H1467" s="15" t="n"/>
      <c r="I1467" s="16" t="n"/>
      <c r="J1467" s="16" t="n"/>
      <c r="K1467" s="16" t="n"/>
      <c r="L1467" s="17" t="n"/>
      <c r="M1467" s="17" t="n"/>
      <c r="N1467" s="17" t="n"/>
      <c r="O1467" s="15" t="n"/>
      <c r="P1467" s="15" t="n"/>
      <c r="Q1467" s="18" t="inlineStr">
        <is>
          <t>https://www.sebi.gov.in/sebi_data/attachdocs/1301986944757.pdf</t>
        </is>
      </c>
      <c r="R1467" s="18" t="inlineStr">
        <is>
          <t>https://www.sebi.gov.in/filings/public-issues/mar-2011/m-s-jaishree-industries-limited_19513.html</t>
        </is>
      </c>
      <c r="S1467" s="15" t="n"/>
      <c r="T1467" s="15" t="n"/>
      <c r="U1467" s="15" t="n"/>
      <c r="V1467" s="15" t="n"/>
      <c r="W1467" s="16" t="n"/>
      <c r="X1467" s="16" t="n"/>
      <c r="Y1467" s="16" t="n"/>
      <c r="Z1467" s="15" t="inlineStr">
        <is>
          <t>No issue found</t>
        </is>
      </c>
      <c r="AA1467" s="15" t="inlineStr">
        <is>
          <t>Delhi-based unlisted public company; no IPO evidence</t>
        </is>
      </c>
      <c r="AB1467" s="18" t="inlineStr">
        <is>
          <t>https://www.zaubacorp.com/JAISHREE-INDUSTRIES-LIMITED-U01403DL1996PLC118279</t>
        </is>
      </c>
    </row>
    <row r="1468" ht="15" customHeight="1" s="12">
      <c r="A1468" s="14" t="n">
        <v>1467</v>
      </c>
      <c r="B1468" s="16" t="n">
        <v>40623</v>
      </c>
      <c r="C1468" s="15" t="n">
        <v>2011</v>
      </c>
      <c r="D1468" s="15" t="inlineStr">
        <is>
          <t>Power Finance Corporation Limited</t>
        </is>
      </c>
      <c r="E1468" s="15" t="inlineStr">
        <is>
          <t>DRHP</t>
        </is>
      </c>
      <c r="F1468" s="15" t="inlineStr">
        <is>
          <t>Power Finance Corporation Limited</t>
        </is>
      </c>
      <c r="G1468" s="15" t="inlineStr">
        <is>
          <t>IPO launched</t>
        </is>
      </c>
      <c r="H1468" s="15" t="inlineStr">
        <is>
          <t>Mainboard</t>
        </is>
      </c>
      <c r="I1468" s="16" t="n">
        <v>40673</v>
      </c>
      <c r="J1468" s="16" t="n">
        <v>40676</v>
      </c>
      <c r="K1468" s="16" t="n">
        <v>40690</v>
      </c>
      <c r="L1468" s="17" t="n">
        <v>4578.2</v>
      </c>
      <c r="M1468" s="17" t="n">
        <v>4578.2</v>
      </c>
      <c r="N1468" s="17" t="n">
        <v>0</v>
      </c>
      <c r="O1468" s="15" t="inlineStr">
        <is>
          <t>Final issue (ipoplatform)</t>
        </is>
      </c>
      <c r="P1468" s="15" t="n"/>
      <c r="Q1468" s="18" t="inlineStr">
        <is>
          <t>https://www.sebi.gov.in/sebi_data/attachdocs/1300859296694.pdf</t>
        </is>
      </c>
      <c r="R1468" s="18" t="inlineStr">
        <is>
          <t>https://www.sebi.gov.in/filings/public-issues/mar-2011/power-finance-corporation-limited_17884.html</t>
        </is>
      </c>
      <c r="S1468" s="15" t="n"/>
      <c r="T1468" s="15" t="inlineStr">
        <is>
          <t>Company name + date window</t>
        </is>
      </c>
      <c r="U1468" s="15" t="inlineStr">
        <is>
          <t>Power Finance Corporation Limited (FPO)</t>
        </is>
      </c>
      <c r="V1468" s="15" t="n"/>
      <c r="W1468" s="15" t="n"/>
      <c r="X1468" s="15" t="n"/>
      <c r="Y1468" s="15" t="n"/>
      <c r="Z1468" s="15" t="n"/>
      <c r="AA1468" s="15" t="n"/>
      <c r="AB1468" s="15" t="n"/>
    </row>
    <row r="1469" ht="15" customHeight="1" s="12">
      <c r="A1469" s="14" t="n">
        <v>1468</v>
      </c>
      <c r="B1469" s="16" t="n">
        <v>40620</v>
      </c>
      <c r="C1469" s="15" t="n">
        <v>2011</v>
      </c>
      <c r="D1469" s="15" t="inlineStr">
        <is>
          <t>Ortel Communications Limited</t>
        </is>
      </c>
      <c r="E1469" s="15" t="inlineStr">
        <is>
          <t>DRHP</t>
        </is>
      </c>
      <c r="F1469" s="15" t="inlineStr">
        <is>
          <t>Ortel Communications Limited</t>
        </is>
      </c>
      <c r="G1469" s="15" t="inlineStr">
        <is>
          <t>No launched IPO found</t>
        </is>
      </c>
      <c r="H1469" s="15" t="n"/>
      <c r="I1469" s="16" t="n"/>
      <c r="J1469" s="16" t="n"/>
      <c r="K1469" s="16" t="n"/>
      <c r="L1469" s="17" t="n"/>
      <c r="M1469" s="17" t="n"/>
      <c r="N1469" s="17" t="n"/>
      <c r="O1469" s="15" t="n"/>
      <c r="P1469" s="15" t="n"/>
      <c r="Q1469" s="18" t="inlineStr">
        <is>
          <t>https://www.sebi.gov.in/sebi_data/attachdocs/1300859396874.pdf</t>
        </is>
      </c>
      <c r="R1469" s="18" t="inlineStr">
        <is>
          <t>https://www.sebi.gov.in/filings/public-issues/mar-2011/ortel-communications-limited_17886.html</t>
        </is>
      </c>
      <c r="S1469" s="15" t="n"/>
      <c r="T1469" s="15" t="n"/>
      <c r="U1469" s="15" t="n"/>
      <c r="V1469" s="15" t="inlineStr">
        <is>
          <t>Same-name IPO opened 03-Mar-2015 — outside 2 years of this filing, so not linked</t>
        </is>
      </c>
      <c r="W1469" s="25" t="n">
        <v>42066</v>
      </c>
      <c r="X1469" s="25" t="n">
        <v>42068</v>
      </c>
      <c r="Y1469" s="25" t="n">
        <v>42082</v>
      </c>
      <c r="Z1469" s="26" t="inlineStr">
        <is>
          <t>Later IPO — not from this draft</t>
        </is>
      </c>
      <c r="AA1469" s="15" t="inlineStr">
        <is>
          <t>Opened 4.0 yrs after this filing, under a later draft</t>
        </is>
      </c>
      <c r="AB1469" s="18" t="inlineStr">
        <is>
          <t>https://www.business-standard.com/markets/ipo/ortel-communications-ltd-ipo-14185</t>
        </is>
      </c>
    </row>
    <row r="1470" ht="15" customHeight="1" s="12">
      <c r="A1470" s="14" t="n">
        <v>1469</v>
      </c>
      <c r="B1470" s="16" t="n">
        <v>40616</v>
      </c>
      <c r="C1470" s="15" t="n">
        <v>2011</v>
      </c>
      <c r="D1470" s="15" t="inlineStr">
        <is>
          <t>Powerica Limited</t>
        </is>
      </c>
      <c r="E1470" s="15" t="inlineStr">
        <is>
          <t>DRHP</t>
        </is>
      </c>
      <c r="F1470" s="15" t="inlineStr">
        <is>
          <t>Powerica Limited</t>
        </is>
      </c>
      <c r="G1470" s="15" t="inlineStr">
        <is>
          <t>No launched IPO found</t>
        </is>
      </c>
      <c r="H1470" s="15" t="n"/>
      <c r="I1470" s="16" t="n"/>
      <c r="J1470" s="16" t="n"/>
      <c r="K1470" s="16" t="n"/>
      <c r="L1470" s="17" t="n"/>
      <c r="M1470" s="17" t="n"/>
      <c r="N1470" s="17" t="n"/>
      <c r="O1470" s="15" t="n"/>
      <c r="P1470" s="15" t="n"/>
      <c r="Q1470" s="18" t="inlineStr">
        <is>
          <t>https://www.sebi.gov.in/sebi_data/attachdocs/1300859475288.pdf</t>
        </is>
      </c>
      <c r="R1470" s="18" t="inlineStr">
        <is>
          <t>https://www.sebi.gov.in/filings/public-issues/mar-2011/powerica-limited_17889.html</t>
        </is>
      </c>
      <c r="S1470" s="15" t="n"/>
      <c r="T1470" s="15" t="n"/>
      <c r="U1470" s="15" t="n"/>
      <c r="V1470" s="15" t="inlineStr">
        <is>
          <t>Same-name IPO opened 24-Mar-2026 — outside 2 years of this filing, so not linked</t>
        </is>
      </c>
      <c r="W1470" s="25" t="n">
        <v>46105</v>
      </c>
      <c r="X1470" s="25" t="n">
        <v>46108</v>
      </c>
      <c r="Y1470" s="25" t="n">
        <v>46114</v>
      </c>
      <c r="Z1470" s="26" t="inlineStr">
        <is>
          <t>Later IPO — not from this draft</t>
        </is>
      </c>
      <c r="AA1470" s="15" t="inlineStr">
        <is>
          <t>Opened 15.0 yrs after this filing, under a later draft</t>
        </is>
      </c>
      <c r="AB1470" s="18" t="inlineStr">
        <is>
          <t>https://www.business-standard.com/markets/ipo/powerica-ltd-ipo-23308</t>
        </is>
      </c>
    </row>
    <row r="1471" ht="15" customHeight="1" s="12">
      <c r="A1471" s="14" t="n">
        <v>1470</v>
      </c>
      <c r="B1471" s="16" t="n">
        <v>40616</v>
      </c>
      <c r="C1471" s="15" t="n">
        <v>2011</v>
      </c>
      <c r="D1471" s="15" t="inlineStr">
        <is>
          <t>Speciality Restaurants Limited</t>
        </is>
      </c>
      <c r="E1471" s="15" t="inlineStr">
        <is>
          <t>DRHP</t>
        </is>
      </c>
      <c r="F1471" s="15" t="inlineStr">
        <is>
          <t>Speciality Restaurants Limited</t>
        </is>
      </c>
      <c r="G1471" s="15" t="inlineStr">
        <is>
          <t>IPO launched</t>
        </is>
      </c>
      <c r="H1471" s="15" t="inlineStr">
        <is>
          <t>Mainboard</t>
        </is>
      </c>
      <c r="I1471" s="16" t="n">
        <v>41045</v>
      </c>
      <c r="J1471" s="16" t="n">
        <v>41047</v>
      </c>
      <c r="K1471" s="16" t="n">
        <v>41059</v>
      </c>
      <c r="L1471" s="17" t="n">
        <v>176.09</v>
      </c>
      <c r="M1471" s="17" t="n">
        <v>176.09</v>
      </c>
      <c r="N1471" s="17" t="n">
        <v>0</v>
      </c>
      <c r="O1471" s="15" t="inlineStr">
        <is>
          <t>Final issue (ipoplatform)</t>
        </is>
      </c>
      <c r="P1471" s="15" t="n"/>
      <c r="Q1471" s="18" t="inlineStr">
        <is>
          <t>https://www.sebi.gov.in/sebi_data/attachdocs/1300859507409.pdf</t>
        </is>
      </c>
      <c r="R1471" s="18" t="inlineStr">
        <is>
          <t>https://www.sebi.gov.in/filings/public-issues/mar-2011/speciality-restaurants-limited_17890.html</t>
        </is>
      </c>
      <c r="S1471" s="15" t="n"/>
      <c r="T1471" s="15" t="inlineStr">
        <is>
          <t>SEBI filing link</t>
        </is>
      </c>
      <c r="U1471" s="15" t="inlineStr">
        <is>
          <t>Speciality Restaurants Limited</t>
        </is>
      </c>
      <c r="V1471" s="15" t="n"/>
      <c r="W1471" s="15" t="n"/>
      <c r="X1471" s="15" t="n"/>
      <c r="Y1471" s="15" t="n"/>
      <c r="Z1471" s="15" t="n"/>
      <c r="AA1471" s="15" t="n"/>
      <c r="AB1471" s="15" t="n"/>
    </row>
    <row r="1472" ht="15" customHeight="1" s="12">
      <c r="A1472" s="14" t="n">
        <v>1471</v>
      </c>
      <c r="B1472" s="16" t="n">
        <v>40609</v>
      </c>
      <c r="C1472" s="15" t="n">
        <v>2011</v>
      </c>
      <c r="D1472" s="15" t="inlineStr">
        <is>
          <t>Bio-Ethanol Agro Industries Limited</t>
        </is>
      </c>
      <c r="E1472" s="15" t="inlineStr">
        <is>
          <t>DRHP</t>
        </is>
      </c>
      <c r="F1472" s="15" t="inlineStr">
        <is>
          <t>Bio-Ethanol Agro Industries Limited</t>
        </is>
      </c>
      <c r="G1472" s="15" t="inlineStr">
        <is>
          <t>No launched IPO found</t>
        </is>
      </c>
      <c r="H1472" s="15" t="n"/>
      <c r="I1472" s="16" t="n"/>
      <c r="J1472" s="16" t="n"/>
      <c r="K1472" s="16" t="n"/>
      <c r="L1472" s="17" t="n"/>
      <c r="M1472" s="17" t="n"/>
      <c r="N1472" s="17" t="n"/>
      <c r="O1472" s="15" t="n"/>
      <c r="P1472" s="15" t="n"/>
      <c r="Q1472" s="18" t="inlineStr">
        <is>
          <t>https://www.sebi.gov.in/sebi_data/attachdocs/1300101373935.pdf</t>
        </is>
      </c>
      <c r="R1472" s="18" t="inlineStr">
        <is>
          <t>https://www.sebi.gov.in/filings/public-issues/mar-2011/bio-ethanol-agro-industries-limited_16262.html</t>
        </is>
      </c>
      <c r="S1472" s="15" t="n"/>
      <c r="T1472" s="15" t="n"/>
      <c r="U1472" s="15" t="n"/>
      <c r="V1472" s="15" t="n"/>
      <c r="W1472" s="16" t="n"/>
      <c r="X1472" s="16" t="n"/>
      <c r="Y1472" s="16" t="n"/>
      <c r="Z1472" s="15" t="inlineStr">
        <is>
          <t>No issue found</t>
        </is>
      </c>
      <c r="AA1472" s="15" t="inlineStr">
        <is>
          <t>Business Standard lists the company but shows no issue dates; web search limit reached</t>
        </is>
      </c>
      <c r="AB1472" s="18" t="inlineStr">
        <is>
          <t>https://www.business-standard.com/markets/ipo/bio-ethanol-agro-industries-ltd-ipo-40739</t>
        </is>
      </c>
    </row>
    <row r="1473" ht="15" customHeight="1" s="12">
      <c r="A1473" s="14" t="n">
        <v>1472</v>
      </c>
      <c r="B1473" s="16" t="n">
        <v>40598</v>
      </c>
      <c r="C1473" s="15" t="n">
        <v>2011</v>
      </c>
      <c r="D1473" s="15" t="inlineStr">
        <is>
          <t>TD Power Systems Limited</t>
        </is>
      </c>
      <c r="E1473" s="15" t="inlineStr">
        <is>
          <t>DRHP</t>
        </is>
      </c>
      <c r="F1473" s="15" t="inlineStr">
        <is>
          <t>TD Power Systems Limited</t>
        </is>
      </c>
      <c r="G1473" s="15" t="inlineStr">
        <is>
          <t>IPO launched</t>
        </is>
      </c>
      <c r="H1473" s="15" t="inlineStr">
        <is>
          <t>Mainboard</t>
        </is>
      </c>
      <c r="I1473" s="16" t="n">
        <v>40779</v>
      </c>
      <c r="J1473" s="16" t="n">
        <v>40781</v>
      </c>
      <c r="K1473" s="16" t="n">
        <v>40794</v>
      </c>
      <c r="L1473" s="17" t="n">
        <v>227</v>
      </c>
      <c r="M1473" s="17" t="n">
        <v>227</v>
      </c>
      <c r="N1473" s="17" t="n">
        <v>0</v>
      </c>
      <c r="O1473" s="15" t="inlineStr">
        <is>
          <t>Final issue (ipoplatform)</t>
        </is>
      </c>
      <c r="P1473" s="15" t="n"/>
      <c r="Q1473" s="18" t="inlineStr">
        <is>
          <t>https://www.sebi.gov.in/sebi_data/attachdocs/1300101421964.pdf</t>
        </is>
      </c>
      <c r="R1473" s="18" t="inlineStr">
        <is>
          <t>https://www.sebi.gov.in/filings/public-issues/feb-2011/td-power-systems-limited_16264.html</t>
        </is>
      </c>
      <c r="S1473" s="15" t="n"/>
      <c r="T1473" s="15" t="inlineStr">
        <is>
          <t>SEBI filing link</t>
        </is>
      </c>
      <c r="U1473" s="15" t="inlineStr">
        <is>
          <t>TD Power Systems Limited</t>
        </is>
      </c>
      <c r="V1473" s="15" t="n"/>
      <c r="W1473" s="15" t="n"/>
      <c r="X1473" s="15" t="n"/>
      <c r="Y1473" s="15" t="n"/>
      <c r="Z1473" s="15" t="n"/>
      <c r="AA1473" s="15" t="n"/>
      <c r="AB1473" s="15" t="n"/>
    </row>
    <row r="1474" ht="15" customHeight="1" s="12">
      <c r="A1474" s="14" t="n">
        <v>1473</v>
      </c>
      <c r="B1474" s="16" t="n">
        <v>40597</v>
      </c>
      <c r="C1474" s="15" t="n">
        <v>2011</v>
      </c>
      <c r="D1474" s="15" t="inlineStr">
        <is>
          <t>Tree House Education and Accessories Limited</t>
        </is>
      </c>
      <c r="E1474" s="15" t="inlineStr">
        <is>
          <t>DRHP</t>
        </is>
      </c>
      <c r="F1474" s="15" t="inlineStr">
        <is>
          <t>Tree House Education and Accessories Limited</t>
        </is>
      </c>
      <c r="G1474" s="15" t="inlineStr">
        <is>
          <t>IPO launched</t>
        </is>
      </c>
      <c r="H1474" s="15" t="inlineStr">
        <is>
          <t>Mainboard</t>
        </is>
      </c>
      <c r="I1474" s="16" t="n">
        <v>40765</v>
      </c>
      <c r="J1474" s="16" t="n">
        <v>40767</v>
      </c>
      <c r="K1474" s="16" t="n">
        <v>40781</v>
      </c>
      <c r="L1474" s="17" t="n">
        <v>113.83</v>
      </c>
      <c r="M1474" s="17" t="n">
        <v>113.83</v>
      </c>
      <c r="N1474" s="17" t="n">
        <v>0</v>
      </c>
      <c r="O1474" s="15" t="inlineStr">
        <is>
          <t>Final issue (ipoplatform)</t>
        </is>
      </c>
      <c r="P1474" s="15" t="n"/>
      <c r="Q1474" s="18" t="inlineStr">
        <is>
          <t>https://www.sebi.gov.in/sebi_data/attachdocs/1300101469768.pdf</t>
        </is>
      </c>
      <c r="R1474" s="18" t="inlineStr">
        <is>
          <t>https://www.sebi.gov.in/filings/public-issues/feb-2011/tree-house-education-and-accessories-limited_16265.html</t>
        </is>
      </c>
      <c r="S1474" s="15" t="n"/>
      <c r="T1474" s="15" t="inlineStr">
        <is>
          <t>SEBI filing link</t>
        </is>
      </c>
      <c r="U1474" s="15" t="inlineStr">
        <is>
          <t>Tree House Education &amp; Accessories Limited</t>
        </is>
      </c>
      <c r="V1474" s="15" t="n"/>
      <c r="W1474" s="15" t="n"/>
      <c r="X1474" s="15" t="n"/>
      <c r="Y1474" s="15" t="n"/>
      <c r="Z1474" s="15" t="n"/>
      <c r="AA1474" s="15" t="n"/>
      <c r="AB1474" s="15" t="n"/>
    </row>
    <row r="1475" ht="15" customHeight="1" s="12">
      <c r="A1475" s="14" t="n">
        <v>1474</v>
      </c>
      <c r="B1475" s="16" t="n">
        <v>40595</v>
      </c>
      <c r="C1475" s="15" t="n">
        <v>2011</v>
      </c>
      <c r="D1475" s="15" t="inlineStr">
        <is>
          <t>Super Religare Laboratories Limited</t>
        </is>
      </c>
      <c r="E1475" s="15" t="inlineStr">
        <is>
          <t>DRHP</t>
        </is>
      </c>
      <c r="F1475" s="15" t="inlineStr">
        <is>
          <t>Super Religare Laboratories Limited</t>
        </is>
      </c>
      <c r="G1475" s="15" t="inlineStr">
        <is>
          <t>No launched IPO found</t>
        </is>
      </c>
      <c r="H1475" s="15" t="n"/>
      <c r="I1475" s="16" t="n"/>
      <c r="J1475" s="16" t="n"/>
      <c r="K1475" s="16" t="n"/>
      <c r="L1475" s="17" t="n"/>
      <c r="M1475" s="17" t="n"/>
      <c r="N1475" s="17" t="n"/>
      <c r="O1475" s="15" t="n"/>
      <c r="P1475" s="15" t="n"/>
      <c r="Q1475" s="18" t="inlineStr">
        <is>
          <t>https://www.sebi.gov.in/sebi_data/attachdocs/1300101526449.pdf</t>
        </is>
      </c>
      <c r="R1475" s="18" t="inlineStr">
        <is>
          <t>https://www.sebi.gov.in/filings/public-issues/feb-2011/super-religare-laboratories-limited_16266.html</t>
        </is>
      </c>
      <c r="S1475" s="15" t="n"/>
      <c r="T1475" s="15" t="n"/>
      <c r="U1475" s="15" t="n"/>
      <c r="V1475" s="15" t="n"/>
      <c r="W1475" s="16" t="n"/>
      <c r="X1475" s="16" t="n"/>
      <c r="Y1475" s="16" t="n"/>
      <c r="Z1475" s="15" t="inlineStr">
        <is>
          <t>Withdrawn / approval lapsed</t>
        </is>
      </c>
      <c r="AA1475" s="15" t="inlineStr">
        <is>
          <t>SRL withdrew DRHP May 2011 after Fortis took control; never listed (now Agilus Diagnostics)</t>
        </is>
      </c>
      <c r="AB1475" s="18" t="inlineStr">
        <is>
          <t>https://www.business-standard.com/amp/article/markets/srl-withdraws-draft-ipo-prospectus-to-resubmit-again-111052300196_1.html</t>
        </is>
      </c>
    </row>
    <row r="1476" ht="15" customHeight="1" s="12">
      <c r="A1476" s="14" t="n">
        <v>1475</v>
      </c>
      <c r="B1476" s="16" t="n">
        <v>40592</v>
      </c>
      <c r="C1476" s="15" t="n">
        <v>2011</v>
      </c>
      <c r="D1476" s="15" t="inlineStr">
        <is>
          <t>Adroit Industries (India) Limited</t>
        </is>
      </c>
      <c r="E1476" s="15" t="inlineStr">
        <is>
          <t>DRHP</t>
        </is>
      </c>
      <c r="F1476" s="15" t="inlineStr">
        <is>
          <t>Adroit Industries (India) Limited</t>
        </is>
      </c>
      <c r="G1476" s="15" t="inlineStr">
        <is>
          <t>No launched IPO found</t>
        </is>
      </c>
      <c r="H1476" s="15" t="n"/>
      <c r="I1476" s="16" t="n"/>
      <c r="J1476" s="16" t="n"/>
      <c r="K1476" s="16" t="n"/>
      <c r="L1476" s="17" t="n"/>
      <c r="M1476" s="17" t="n"/>
      <c r="N1476" s="17" t="n"/>
      <c r="O1476" s="15" t="n"/>
      <c r="P1476" s="15" t="n"/>
      <c r="Q1476" s="18" t="inlineStr">
        <is>
          <t>https://www.sebi.gov.in/sebi_data/attachdocs/1300101600025.pdf</t>
        </is>
      </c>
      <c r="R1476" s="18" t="inlineStr">
        <is>
          <t>https://www.sebi.gov.in/filings/public-issues/feb-2011/adroit-industries-india-limited_16267.html</t>
        </is>
      </c>
      <c r="S1476" s="15" t="n"/>
      <c r="T1476" s="15" t="n"/>
      <c r="U1476" s="15" t="n"/>
      <c r="V1476" s="15" t="inlineStr">
        <is>
          <t>Same-name IPO opened 23-Sep-2026 — outside 2 years of this filing, so not linked</t>
        </is>
      </c>
      <c r="W1476" s="25" t="n">
        <v>46288</v>
      </c>
      <c r="X1476" s="25" t="n">
        <v>46290</v>
      </c>
      <c r="Y1476" s="25" t="n">
        <v>46295</v>
      </c>
      <c r="Z1476" s="26" t="inlineStr">
        <is>
          <t>Later IPO — not from this draft</t>
        </is>
      </c>
      <c r="AA1476" s="15" t="inlineStr">
        <is>
          <t>Opened 15.6 yrs after this filing, under a later draft</t>
        </is>
      </c>
      <c r="AB1476" s="18" t="inlineStr">
        <is>
          <t>https://www.business-standard.com/markets/ipo/adroit-industries-india-ltd-ipo-40604</t>
        </is>
      </c>
    </row>
    <row r="1477" ht="15" customHeight="1" s="12">
      <c r="A1477" s="14" t="n">
        <v>1476</v>
      </c>
      <c r="B1477" s="16" t="n">
        <v>40582</v>
      </c>
      <c r="C1477" s="15" t="n">
        <v>2011</v>
      </c>
      <c r="D1477" s="15" t="inlineStr">
        <is>
          <t>Ratanchand Jewellers Limited</t>
        </is>
      </c>
      <c r="E1477" s="15" t="inlineStr">
        <is>
          <t>DRHP</t>
        </is>
      </c>
      <c r="F1477" s="15" t="inlineStr">
        <is>
          <t>Ratanchand Jewellers Limited</t>
        </is>
      </c>
      <c r="G1477" s="15" t="inlineStr">
        <is>
          <t>No launched IPO found</t>
        </is>
      </c>
      <c r="H1477" s="15" t="n"/>
      <c r="I1477" s="16" t="n"/>
      <c r="J1477" s="16" t="n"/>
      <c r="K1477" s="16" t="n"/>
      <c r="L1477" s="17" t="n"/>
      <c r="M1477" s="17" t="n"/>
      <c r="N1477" s="17" t="n"/>
      <c r="O1477" s="15" t="n"/>
      <c r="P1477" s="15" t="n"/>
      <c r="Q1477" s="18" t="inlineStr">
        <is>
          <t>https://www.sebi.gov.in/sebi_data/attachdocs/1297488276964.pdf</t>
        </is>
      </c>
      <c r="R1477" s="18" t="inlineStr">
        <is>
          <t>https://www.sebi.gov.in/filings/public-issues/feb-2011/ratanchand-jewellers-limited_15215.html</t>
        </is>
      </c>
      <c r="S1477" s="15" t="n"/>
      <c r="T1477" s="15" t="n"/>
      <c r="U1477" s="15" t="n"/>
      <c r="V1477" s="15" t="n"/>
      <c r="W1477" s="16" t="n"/>
      <c r="X1477" s="16" t="n"/>
      <c r="Y1477" s="16" t="n"/>
      <c r="Z1477" s="15" t="inlineStr">
        <is>
          <t>No issue found</t>
        </is>
      </c>
      <c r="AA1477" s="15" t="inlineStr">
        <is>
          <t>Business Standard lists the company but shows no issue dates; web search limit reached</t>
        </is>
      </c>
      <c r="AB1477" s="18" t="inlineStr">
        <is>
          <t>https://www.business-standard.com/markets/ipo/ratanchand-jewellers-ltd-ipo-36223</t>
        </is>
      </c>
    </row>
    <row r="1478" ht="15" customHeight="1" s="12">
      <c r="A1478" s="14" t="n">
        <v>1477</v>
      </c>
      <c r="B1478" s="16" t="n">
        <v>40576</v>
      </c>
      <c r="C1478" s="15" t="n">
        <v>2011</v>
      </c>
      <c r="D1478" s="15" t="inlineStr">
        <is>
          <t>Gajra Differential Gears Limited</t>
        </is>
      </c>
      <c r="E1478" s="15" t="inlineStr">
        <is>
          <t>DRHP</t>
        </is>
      </c>
      <c r="F1478" s="15" t="inlineStr">
        <is>
          <t>Gajra Differential Gears Limited</t>
        </is>
      </c>
      <c r="G1478" s="15" t="inlineStr">
        <is>
          <t>No launched IPO found</t>
        </is>
      </c>
      <c r="H1478" s="15" t="n"/>
      <c r="I1478" s="16" t="n"/>
      <c r="J1478" s="16" t="n"/>
      <c r="K1478" s="16" t="n"/>
      <c r="L1478" s="17" t="n"/>
      <c r="M1478" s="17" t="n"/>
      <c r="N1478" s="17" t="n"/>
      <c r="O1478" s="15" t="n"/>
      <c r="P1478" s="15" t="n"/>
      <c r="Q1478" s="18" t="inlineStr">
        <is>
          <t>https://www.sebi.gov.in/sebi_data/attachdocs/1297162439600.pdf</t>
        </is>
      </c>
      <c r="R1478" s="18" t="inlineStr">
        <is>
          <t>https://www.sebi.gov.in/filings/public-issues/feb-2011/gajra-differential-gears-limited_15008.html</t>
        </is>
      </c>
      <c r="S1478" s="15" t="n"/>
      <c r="T1478" s="15" t="n"/>
      <c r="U1478" s="15" t="n"/>
      <c r="V1478" s="15" t="n"/>
      <c r="W1478" s="16" t="n"/>
      <c r="X1478" s="16" t="n"/>
      <c r="Y1478" s="16" t="n"/>
      <c r="Z1478" s="15" t="inlineStr">
        <is>
          <t>No issue found</t>
        </is>
      </c>
      <c r="AA1478" s="15" t="inlineStr">
        <is>
          <t>Business Standard lists the company but shows no issue dates; web search limit reached</t>
        </is>
      </c>
      <c r="AB1478" s="18" t="inlineStr">
        <is>
          <t>https://www.business-standard.com/markets/ipo/gajra-differential-gears-ltd-ipo-37732</t>
        </is>
      </c>
    </row>
    <row r="1479" ht="15" customHeight="1" s="12">
      <c r="A1479" s="14" t="n">
        <v>1478</v>
      </c>
      <c r="B1479" s="16" t="n">
        <v>40575</v>
      </c>
      <c r="C1479" s="15" t="n">
        <v>2011</v>
      </c>
      <c r="D1479" s="15" t="inlineStr">
        <is>
          <t>Jawed Habib Hair and Beauty Limited</t>
        </is>
      </c>
      <c r="E1479" s="15" t="inlineStr">
        <is>
          <t>DRHP</t>
        </is>
      </c>
      <c r="F1479" s="15" t="inlineStr">
        <is>
          <t>Jawed Habib Hair and Beauty Limited</t>
        </is>
      </c>
      <c r="G1479" s="15" t="inlineStr">
        <is>
          <t>No launched IPO found</t>
        </is>
      </c>
      <c r="H1479" s="15" t="n"/>
      <c r="I1479" s="16" t="n"/>
      <c r="J1479" s="16" t="n"/>
      <c r="K1479" s="16" t="n"/>
      <c r="L1479" s="17" t="n"/>
      <c r="M1479" s="17" t="n"/>
      <c r="N1479" s="17" t="n"/>
      <c r="O1479" s="15" t="n"/>
      <c r="P1479" s="15" t="n"/>
      <c r="Q1479" s="18" t="inlineStr">
        <is>
          <t>https://www.sebi.gov.in/sebi_data/attachdocs/1297162915070.pdf</t>
        </is>
      </c>
      <c r="R1479" s="18" t="inlineStr">
        <is>
          <t>https://www.sebi.gov.in/filings/public-issues/feb-2011/jawed-habib-hair-and-beauty-limited_15009.html</t>
        </is>
      </c>
      <c r="S1479" s="15" t="n"/>
      <c r="T1479" s="15" t="n"/>
      <c r="U1479" s="15" t="n"/>
      <c r="V1479" s="15" t="n"/>
      <c r="W1479" s="16" t="n"/>
      <c r="X1479" s="16" t="n"/>
      <c r="Y1479" s="16" t="n"/>
      <c r="Z1479" s="15" t="inlineStr">
        <is>
          <t>No issue found</t>
        </is>
      </c>
      <c r="AA1479" s="15" t="inlineStr">
        <is>
          <t>Business Standard lists the company but shows no issue dates; web search limit reached</t>
        </is>
      </c>
      <c r="AB1479" s="18" t="inlineStr">
        <is>
          <t>https://www.business-standard.com/markets/ipo/jawed-habib-hair-beauty-ltd-ipo-40568</t>
        </is>
      </c>
    </row>
    <row r="1480" ht="15" customHeight="1" s="12">
      <c r="A1480" s="14" t="n">
        <v>1479</v>
      </c>
      <c r="B1480" s="16" t="n">
        <v>40568</v>
      </c>
      <c r="C1480" s="15" t="n">
        <v>2011</v>
      </c>
      <c r="D1480" s="15" t="inlineStr">
        <is>
          <t>Joyalukkas India Limited</t>
        </is>
      </c>
      <c r="E1480" s="15" t="inlineStr">
        <is>
          <t>DRHP</t>
        </is>
      </c>
      <c r="F1480" s="15" t="inlineStr">
        <is>
          <t>Joyalukkas India Limited</t>
        </is>
      </c>
      <c r="G1480" s="15" t="inlineStr">
        <is>
          <t>No launched IPO found</t>
        </is>
      </c>
      <c r="H1480" s="15" t="n"/>
      <c r="I1480" s="16" t="n"/>
      <c r="J1480" s="16" t="n"/>
      <c r="K1480" s="16" t="n"/>
      <c r="L1480" s="17" t="n"/>
      <c r="M1480" s="17" t="n"/>
      <c r="N1480" s="17" t="n"/>
      <c r="O1480" s="15" t="n"/>
      <c r="P1480" s="15" t="n"/>
      <c r="Q1480" s="18" t="inlineStr">
        <is>
          <t>https://www.sebi.gov.in/sebi_data/attachdocs/1297163363575.pdf</t>
        </is>
      </c>
      <c r="R1480" s="18" t="inlineStr">
        <is>
          <t>https://www.sebi.gov.in/filings/public-issues/jan-2011/joyalukkas-india-limited_15012.html</t>
        </is>
      </c>
      <c r="S1480" s="15" t="n"/>
      <c r="T1480" s="15" t="n"/>
      <c r="U1480" s="15" t="n"/>
      <c r="V1480" s="15" t="n"/>
      <c r="W1480" s="16" t="n"/>
      <c r="X1480" s="16" t="n"/>
      <c r="Y1480" s="16" t="n"/>
      <c r="Z1480" s="15" t="inlineStr">
        <is>
          <t>No issue found</t>
        </is>
      </c>
      <c r="AA1480" s="15" t="inlineStr">
        <is>
          <t>Business Standard lists the company but shows no issue dates; web search limit reached</t>
        </is>
      </c>
      <c r="AB1480" s="18" t="inlineStr">
        <is>
          <t>https://www.business-standard.com/markets/ipo/joyalukkas-india-ltd-ipo-37998</t>
        </is>
      </c>
    </row>
    <row r="1481" ht="15" customHeight="1" s="12">
      <c r="A1481" s="14" t="n">
        <v>1480</v>
      </c>
      <c r="B1481" s="16" t="n">
        <v>40568</v>
      </c>
      <c r="C1481" s="15" t="n">
        <v>2011</v>
      </c>
      <c r="D1481" s="15" t="inlineStr">
        <is>
          <t>Sanco Industries Limited</t>
        </is>
      </c>
      <c r="E1481" s="15" t="inlineStr">
        <is>
          <t>DRHP</t>
        </is>
      </c>
      <c r="F1481" s="15" t="inlineStr">
        <is>
          <t>Sanco Industries Limited</t>
        </is>
      </c>
      <c r="G1481" s="15" t="inlineStr">
        <is>
          <t>No launched IPO found</t>
        </is>
      </c>
      <c r="H1481" s="15" t="n"/>
      <c r="I1481" s="16" t="n"/>
      <c r="J1481" s="16" t="n"/>
      <c r="K1481" s="16" t="n"/>
      <c r="L1481" s="17" t="n"/>
      <c r="M1481" s="17" t="n"/>
      <c r="N1481" s="17" t="n"/>
      <c r="O1481" s="15" t="n"/>
      <c r="P1481" s="15" t="n"/>
      <c r="Q1481" s="18" t="inlineStr">
        <is>
          <t>https://www.sebi.gov.in/sebi_data/attachdocs/1297163420641.pdf</t>
        </is>
      </c>
      <c r="R1481" s="18" t="inlineStr">
        <is>
          <t>https://www.sebi.gov.in/filings/public-issues/jan-2011/sanco-industries-limited_15013.html</t>
        </is>
      </c>
      <c r="S1481" s="15" t="n"/>
      <c r="T1481" s="15" t="n"/>
      <c r="U1481" s="15" t="n"/>
      <c r="V1481" s="15" t="inlineStr">
        <is>
          <t>Same-name IPO opened 24-Feb-2014 — outside 2 years of this filing, so not linked</t>
        </is>
      </c>
      <c r="W1481" s="25" t="n">
        <v>41694</v>
      </c>
      <c r="X1481" s="25" t="n">
        <v>41696</v>
      </c>
      <c r="Y1481" s="25" t="n">
        <v>41710</v>
      </c>
      <c r="Z1481" s="26" t="inlineStr">
        <is>
          <t>Later IPO — not from this draft</t>
        </is>
      </c>
      <c r="AA1481" s="15" t="inlineStr">
        <is>
          <t>Opened 3.1 yrs after this filing, under a later draft</t>
        </is>
      </c>
      <c r="AB1481" s="18" t="inlineStr">
        <is>
          <t>https://www.business-standard.com/markets/ipo/sanco-industries-ltd-ipo-40566</t>
        </is>
      </c>
    </row>
    <row r="1482" ht="15" customHeight="1" s="12">
      <c r="A1482" s="14" t="n">
        <v>1481</v>
      </c>
      <c r="B1482" s="16" t="n">
        <v>40568</v>
      </c>
      <c r="C1482" s="15" t="n">
        <v>2011</v>
      </c>
      <c r="D1482" s="15" t="inlineStr">
        <is>
          <t>Tribhovandas Bhimji Zaveri Limited</t>
        </is>
      </c>
      <c r="E1482" s="15" t="inlineStr">
        <is>
          <t>DRHP</t>
        </is>
      </c>
      <c r="F1482" s="15" t="inlineStr">
        <is>
          <t>Tribhovandas Bhimji Zaveri Limited</t>
        </is>
      </c>
      <c r="G1482" s="15" t="inlineStr">
        <is>
          <t>IPO launched</t>
        </is>
      </c>
      <c r="H1482" s="15" t="inlineStr">
        <is>
          <t>Mainboard</t>
        </is>
      </c>
      <c r="I1482" s="16" t="n">
        <v>41023</v>
      </c>
      <c r="J1482" s="16" t="n">
        <v>41025</v>
      </c>
      <c r="K1482" s="16" t="n">
        <v>41038</v>
      </c>
      <c r="L1482" s="17" t="n">
        <v>200</v>
      </c>
      <c r="M1482" s="17" t="n">
        <v>200</v>
      </c>
      <c r="N1482" s="17" t="n">
        <v>0</v>
      </c>
      <c r="O1482" s="15" t="inlineStr">
        <is>
          <t>Final issue (ipoplatform)</t>
        </is>
      </c>
      <c r="P1482" s="15" t="n"/>
      <c r="Q1482" s="18" t="inlineStr">
        <is>
          <t>https://www.sebi.gov.in/sebi_data/attachdocs/1297163290717.pdf</t>
        </is>
      </c>
      <c r="R1482" s="18" t="inlineStr">
        <is>
          <t>https://www.sebi.gov.in/filings/public-issues/jan-2011/tribhovandas-bhimji-zaveri-limited_15011.html</t>
        </is>
      </c>
      <c r="S1482" s="15" t="n"/>
      <c r="T1482" s="15" t="inlineStr">
        <is>
          <t>SEBI filing link</t>
        </is>
      </c>
      <c r="U1482" s="15" t="inlineStr">
        <is>
          <t>Tribhovandas Bhimji Zaveri Limited</t>
        </is>
      </c>
      <c r="V1482" s="15" t="n"/>
      <c r="W1482" s="15" t="n"/>
      <c r="X1482" s="15" t="n"/>
      <c r="Y1482" s="15" t="n"/>
      <c r="Z1482" s="15" t="n"/>
      <c r="AA1482" s="15" t="n"/>
      <c r="AB1482" s="15" t="n"/>
    </row>
    <row r="1483" ht="15" customHeight="1" s="12">
      <c r="A1483" s="14" t="n">
        <v>1482</v>
      </c>
      <c r="B1483" s="16" t="n">
        <v>40567</v>
      </c>
      <c r="C1483" s="15" t="n">
        <v>2011</v>
      </c>
      <c r="D1483" s="15" t="inlineStr">
        <is>
          <t>Goodwill Hospital and Research Centre Limited</t>
        </is>
      </c>
      <c r="E1483" s="15" t="inlineStr">
        <is>
          <t>DRHP</t>
        </is>
      </c>
      <c r="F1483" s="15" t="inlineStr">
        <is>
          <t>Goodwill Hospital and Research Centre Limited</t>
        </is>
      </c>
      <c r="G1483" s="15" t="inlineStr">
        <is>
          <t>No launched IPO found</t>
        </is>
      </c>
      <c r="H1483" s="15" t="n"/>
      <c r="I1483" s="16" t="n"/>
      <c r="J1483" s="16" t="n"/>
      <c r="K1483" s="16" t="n"/>
      <c r="L1483" s="17" t="n"/>
      <c r="M1483" s="17" t="n"/>
      <c r="N1483" s="17" t="n"/>
      <c r="O1483" s="15" t="n"/>
      <c r="P1483" s="15" t="n"/>
      <c r="Q1483" s="18" t="inlineStr">
        <is>
          <t>https://www.sebi.gov.in/sebi_data/attachdocs/1297163490290.pdf</t>
        </is>
      </c>
      <c r="R1483" s="18" t="inlineStr">
        <is>
          <t>https://www.sebi.gov.in/filings/public-issues/jan-2011/goodwill-hospital-and-research-centre-limited_15015.html</t>
        </is>
      </c>
      <c r="S1483" s="15" t="n"/>
      <c r="T1483" s="15" t="n"/>
      <c r="U1483" s="15" t="n"/>
      <c r="V1483" s="15" t="n"/>
      <c r="W1483" s="16" t="n"/>
      <c r="X1483" s="16" t="n"/>
      <c r="Y1483" s="16" t="n"/>
      <c r="Z1483" s="15" t="inlineStr">
        <is>
          <t>No issue found</t>
        </is>
      </c>
      <c r="AA1483" s="15" t="inlineStr">
        <is>
          <t>Business Standard lists the company but shows no issue dates; web search limit reached</t>
        </is>
      </c>
      <c r="AB1483" s="18" t="inlineStr">
        <is>
          <t>https://www.business-standard.com/markets/ipo/goodwill-hospital-research-centre-ltd-ipo-40565</t>
        </is>
      </c>
    </row>
    <row r="1484" ht="15" customHeight="1" s="12">
      <c r="A1484" s="14" t="n">
        <v>1483</v>
      </c>
      <c r="B1484" s="16" t="n">
        <v>40564</v>
      </c>
      <c r="C1484" s="15" t="n">
        <v>2011</v>
      </c>
      <c r="D1484" s="15" t="inlineStr">
        <is>
          <t>M and B Switchgear Limited</t>
        </is>
      </c>
      <c r="E1484" s="15" t="inlineStr">
        <is>
          <t>DRHP</t>
        </is>
      </c>
      <c r="F1484" s="15" t="inlineStr">
        <is>
          <t>M and B Switchgear Limited</t>
        </is>
      </c>
      <c r="G1484" s="15" t="inlineStr">
        <is>
          <t>IPO launched</t>
        </is>
      </c>
      <c r="H1484" s="15" t="inlineStr">
        <is>
          <t>Mainboard</t>
        </is>
      </c>
      <c r="I1484" s="16" t="n">
        <v>40814</v>
      </c>
      <c r="J1484" s="16" t="n">
        <v>40821</v>
      </c>
      <c r="K1484" s="16" t="n">
        <v>40836</v>
      </c>
      <c r="L1484" s="17" t="n">
        <v>93</v>
      </c>
      <c r="M1484" s="17" t="n">
        <v>93</v>
      </c>
      <c r="N1484" s="17" t="n">
        <v>0</v>
      </c>
      <c r="O1484" s="15" t="inlineStr">
        <is>
          <t>Final issue (ipoplatform)</t>
        </is>
      </c>
      <c r="P1484" s="15" t="n"/>
      <c r="Q1484" s="18" t="inlineStr">
        <is>
          <t>https://www.sebi.gov.in/sebi_data/attachdocs/1295948840375.pdf</t>
        </is>
      </c>
      <c r="R1484" s="18" t="inlineStr">
        <is>
          <t>https://www.sebi.gov.in/filings/public-issues/jan-2011/m-and-b-switchgear-limited_14564.html</t>
        </is>
      </c>
      <c r="S1484" s="15" t="n"/>
      <c r="T1484" s="15" t="inlineStr">
        <is>
          <t>SEBI filing link</t>
        </is>
      </c>
      <c r="U1484" s="15" t="inlineStr">
        <is>
          <t>MandB Switchgears Limited</t>
        </is>
      </c>
      <c r="V1484" s="15" t="n"/>
      <c r="W1484" s="15" t="n"/>
      <c r="X1484" s="15" t="n"/>
      <c r="Y1484" s="15" t="n"/>
      <c r="Z1484" s="15" t="n"/>
      <c r="AA1484" s="15" t="n"/>
      <c r="AB1484" s="15" t="n"/>
    </row>
    <row r="1485" ht="15" customHeight="1" s="12">
      <c r="A1485" s="14" t="n">
        <v>1484</v>
      </c>
      <c r="B1485" s="16" t="n">
        <v>40557</v>
      </c>
      <c r="C1485" s="15" t="n">
        <v>2011</v>
      </c>
      <c r="D1485" s="15" t="inlineStr">
        <is>
          <t>Comfort Securities Limited</t>
        </is>
      </c>
      <c r="E1485" s="15" t="inlineStr">
        <is>
          <t>DRHP</t>
        </is>
      </c>
      <c r="F1485" s="15" t="inlineStr">
        <is>
          <t>Comfort Securities Limited</t>
        </is>
      </c>
      <c r="G1485" s="15" t="inlineStr">
        <is>
          <t>No launched IPO found</t>
        </is>
      </c>
      <c r="H1485" s="15" t="n"/>
      <c r="I1485" s="16" t="n"/>
      <c r="J1485" s="16" t="n"/>
      <c r="K1485" s="16" t="n"/>
      <c r="L1485" s="17" t="n"/>
      <c r="M1485" s="17" t="n"/>
      <c r="N1485" s="17" t="n"/>
      <c r="O1485" s="15" t="n"/>
      <c r="P1485" s="15" t="n"/>
      <c r="Q1485" s="18" t="inlineStr">
        <is>
          <t>https://www.sebi.gov.in/sebi_data/attachdocs/1295948892152.pdf</t>
        </is>
      </c>
      <c r="R1485" s="18" t="inlineStr">
        <is>
          <t>https://www.sebi.gov.in/filings/public-issues/jan-2011/comfort-securities-limited_14565.html</t>
        </is>
      </c>
      <c r="S1485" s="15" t="n"/>
      <c r="T1485" s="15" t="n"/>
      <c r="U1485" s="15" t="n"/>
      <c r="V1485" s="15" t="n"/>
      <c r="W1485" s="16" t="n"/>
      <c r="X1485" s="16" t="n"/>
      <c r="Y1485" s="16" t="n"/>
      <c r="Z1485" s="15" t="inlineStr">
        <is>
          <t>No issue found</t>
        </is>
      </c>
      <c r="AA1485" s="15" t="inlineStr">
        <is>
          <t>Broker; DRHP Jan 2011 for 95 lakh-share IPO; company remains unlisted</t>
        </is>
      </c>
      <c r="AB1485" s="18" t="inlineStr">
        <is>
          <t>https://www.thecompanycheck.com/company/comfort-securities-limited/U67120MH2002PLC136562</t>
        </is>
      </c>
    </row>
    <row r="1486" ht="15" customHeight="1" s="12">
      <c r="A1486" s="14" t="n">
        <v>1485</v>
      </c>
      <c r="B1486" s="16" t="n">
        <v>40554</v>
      </c>
      <c r="C1486" s="15" t="n">
        <v>2011</v>
      </c>
      <c r="D1486" s="15" t="inlineStr">
        <is>
          <t>Point Red Telecom Limited</t>
        </is>
      </c>
      <c r="E1486" s="15" t="inlineStr">
        <is>
          <t>DRHP</t>
        </is>
      </c>
      <c r="F1486" s="15" t="inlineStr">
        <is>
          <t>Point Red Telecom Limited</t>
        </is>
      </c>
      <c r="G1486" s="15" t="inlineStr">
        <is>
          <t>No launched IPO found</t>
        </is>
      </c>
      <c r="H1486" s="15" t="n"/>
      <c r="I1486" s="16" t="n"/>
      <c r="J1486" s="16" t="n"/>
      <c r="K1486" s="16" t="n"/>
      <c r="L1486" s="17" t="n"/>
      <c r="M1486" s="17" t="n"/>
      <c r="N1486" s="17" t="n"/>
      <c r="O1486" s="15" t="n"/>
      <c r="P1486" s="15" t="n"/>
      <c r="Q1486" s="18" t="inlineStr">
        <is>
          <t>https://www.sebi.gov.in/sebi_data/attachdocs/1295948945719.pdf</t>
        </is>
      </c>
      <c r="R1486" s="18" t="inlineStr">
        <is>
          <t>https://www.sebi.gov.in/filings/public-issues/jan-2011/point-red-telecom-limited_14566.html</t>
        </is>
      </c>
      <c r="S1486" s="15" t="n"/>
      <c r="T1486" s="15" t="n"/>
      <c r="U1486" s="15" t="n"/>
      <c r="V1486" s="15" t="n"/>
      <c r="W1486" s="16" t="n"/>
      <c r="X1486" s="16" t="n"/>
      <c r="Y1486" s="16" t="n"/>
      <c r="Z1486" s="15" t="inlineStr">
        <is>
          <t>No issue found</t>
        </is>
      </c>
      <c r="AA1486" s="15" t="inlineStr">
        <is>
          <t>SEBI: clarifications awaited (Mar 2011); stayed unlisted, later in liquidation</t>
        </is>
      </c>
      <c r="AB1486" s="18" t="inlineStr">
        <is>
          <t>https://www.sebi.gov.in/sebi_data/commondocs/Processing1011_h.html</t>
        </is>
      </c>
    </row>
    <row r="1487" ht="15" customHeight="1" s="12">
      <c r="A1487" s="14" t="n">
        <v>1486</v>
      </c>
      <c r="B1487" s="16" t="n">
        <v>40548</v>
      </c>
      <c r="C1487" s="15" t="n">
        <v>2011</v>
      </c>
      <c r="D1487" s="15" t="inlineStr">
        <is>
          <t>Trim Plastics Limited</t>
        </is>
      </c>
      <c r="E1487" s="15" t="inlineStr">
        <is>
          <t>DRHP</t>
        </is>
      </c>
      <c r="F1487" s="15" t="inlineStr">
        <is>
          <t>Trim Plastics Limited</t>
        </is>
      </c>
      <c r="G1487" s="15" t="inlineStr">
        <is>
          <t>No launched IPO found</t>
        </is>
      </c>
      <c r="H1487" s="15" t="n"/>
      <c r="I1487" s="16" t="n"/>
      <c r="J1487" s="16" t="n"/>
      <c r="K1487" s="16" t="n"/>
      <c r="L1487" s="17" t="n"/>
      <c r="M1487" s="17" t="n"/>
      <c r="N1487" s="17" t="n"/>
      <c r="O1487" s="15" t="n"/>
      <c r="P1487" s="15" t="n"/>
      <c r="Q1487" s="18" t="inlineStr">
        <is>
          <t>https://www.sebi.gov.in/sebi_data/attachdocs/1295949004642.pdf</t>
        </is>
      </c>
      <c r="R1487" s="18" t="inlineStr">
        <is>
          <t>https://www.sebi.gov.in/filings/public-issues/jan-2011/trim-plastics-limited_14567.html</t>
        </is>
      </c>
      <c r="S1487" s="15" t="n"/>
      <c r="T1487" s="15" t="n"/>
      <c r="U1487" s="15" t="n"/>
      <c r="V1487" s="15" t="n"/>
      <c r="W1487" s="16" t="n"/>
      <c r="X1487" s="16" t="n"/>
      <c r="Y1487" s="16" t="n"/>
      <c r="Z1487" s="15" t="inlineStr">
        <is>
          <t>No issue found</t>
        </is>
      </c>
      <c r="AA1487" s="15" t="inlineStr">
        <is>
          <t>Business Standard lists the company but shows no issue dates; web search limit reached</t>
        </is>
      </c>
      <c r="AB1487" s="18" t="inlineStr">
        <is>
          <t>https://www.business-standard.com/markets/ipo/trim-plastics-ltd-ipo-40542</t>
        </is>
      </c>
    </row>
    <row r="1488" ht="15" customHeight="1" s="12">
      <c r="A1488" s="14" t="n">
        <v>1487</v>
      </c>
      <c r="B1488" s="16" t="n">
        <v>40547</v>
      </c>
      <c r="C1488" s="15" t="n">
        <v>2011</v>
      </c>
      <c r="D1488" s="15" t="inlineStr">
        <is>
          <t>Tata Autocomp Systems Limited</t>
        </is>
      </c>
      <c r="E1488" s="15" t="inlineStr">
        <is>
          <t>DRHP</t>
        </is>
      </c>
      <c r="F1488" s="15" t="inlineStr">
        <is>
          <t>Tata Autocomp Systems Limited</t>
        </is>
      </c>
      <c r="G1488" s="15" t="inlineStr">
        <is>
          <t>No launched IPO found</t>
        </is>
      </c>
      <c r="H1488" s="15" t="n"/>
      <c r="I1488" s="16" t="n"/>
      <c r="J1488" s="16" t="n"/>
      <c r="K1488" s="16" t="n"/>
      <c r="L1488" s="17" t="n"/>
      <c r="M1488" s="17" t="n"/>
      <c r="N1488" s="17" t="n"/>
      <c r="O1488" s="15" t="n"/>
      <c r="P1488" s="15" t="n"/>
      <c r="Q1488" s="18" t="inlineStr">
        <is>
          <t>https://www.sebi.gov.in/sebi_data/attachdocs/1295949079268.pdf</t>
        </is>
      </c>
      <c r="R1488" s="18" t="inlineStr">
        <is>
          <t>https://www.sebi.gov.in/filings/public-issues/jan-2011/tata-autocomp-systems-limited_14568.html</t>
        </is>
      </c>
      <c r="S1488" s="15" t="n"/>
      <c r="T1488" s="15" t="n"/>
      <c r="U1488" s="15" t="n"/>
      <c r="V1488" s="15" t="n"/>
      <c r="W1488" s="16" t="n"/>
      <c r="X1488" s="16" t="n"/>
      <c r="Y1488" s="16" t="n"/>
      <c r="Z1488" s="15" t="inlineStr">
        <is>
          <t>Withdrawn / approval lapsed</t>
        </is>
      </c>
      <c r="AA1488" s="15" t="inlineStr">
        <is>
          <t>SEBI obs 13 Jun 2011; Rs750cr IPO withdrawn 2011 on weak markets; still unlisted</t>
        </is>
      </c>
      <c r="AB1488" s="18" t="inlineStr">
        <is>
          <t>https://www.moneylife.in/article/tata-autocomp-systems-ipo-likely-over-next-two-weeks/17503.html</t>
        </is>
      </c>
    </row>
    <row r="1489" ht="15" customHeight="1" s="12">
      <c r="A1489" s="14" t="n">
        <v>1488</v>
      </c>
      <c r="B1489" s="16" t="n">
        <v>40546</v>
      </c>
      <c r="C1489" s="15" t="n">
        <v>2011</v>
      </c>
      <c r="D1489" s="15" t="inlineStr">
        <is>
          <t>Taksheel Solutions Ltd</t>
        </is>
      </c>
      <c r="E1489" s="15" t="inlineStr">
        <is>
          <t>DRHP</t>
        </is>
      </c>
      <c r="F1489" s="15" t="inlineStr">
        <is>
          <t>Taksheel Solutions Ltd</t>
        </is>
      </c>
      <c r="G1489" s="15" t="inlineStr">
        <is>
          <t>No launched IPO found</t>
        </is>
      </c>
      <c r="H1489" s="15" t="n"/>
      <c r="I1489" s="16" t="n"/>
      <c r="J1489" s="16" t="n"/>
      <c r="K1489" s="16" t="n"/>
      <c r="L1489" s="17" t="n"/>
      <c r="M1489" s="17" t="n"/>
      <c r="N1489" s="17" t="n"/>
      <c r="O1489" s="15" t="n"/>
      <c r="P1489" s="15" t="n"/>
      <c r="Q1489" s="18" t="inlineStr">
        <is>
          <t>https://www.sebi.gov.in/sebi_data/attachdocs/1295949512336.pdf</t>
        </is>
      </c>
      <c r="R1489" s="18" t="inlineStr">
        <is>
          <t>https://www.sebi.gov.in/filings/public-issues/jan-2011/taksheel-solutions-ltd_14569.html</t>
        </is>
      </c>
      <c r="S1489" s="15" t="n"/>
      <c r="T1489" s="15" t="n"/>
      <c r="U1489" s="15" t="n"/>
      <c r="V1489" s="15" t="n"/>
      <c r="W1489" s="19" t="n">
        <v>40815</v>
      </c>
      <c r="X1489" s="19" t="n">
        <v>40820</v>
      </c>
      <c r="Y1489" s="19" t="n"/>
      <c r="Z1489" s="20" t="inlineStr">
        <is>
          <t>Issue opened</t>
        </is>
      </c>
      <c r="AA1489" s="15" t="inlineStr">
        <is>
          <t>Matched on chittorgarh.com</t>
        </is>
      </c>
      <c r="AB1489" s="18" t="inlineStr">
        <is>
          <t>https://www.chittorgarh.com/ipo/taksheel_solutions_ipo/326/</t>
        </is>
      </c>
    </row>
    <row r="1490" ht="15" customHeight="1" s="12">
      <c r="A1490" s="14" t="n">
        <v>1489</v>
      </c>
      <c r="B1490" s="16" t="n">
        <v>40543</v>
      </c>
      <c r="C1490" s="15" t="n">
        <v>2010</v>
      </c>
      <c r="D1490" s="15" t="inlineStr">
        <is>
          <t>Lokmat Media Limited</t>
        </is>
      </c>
      <c r="E1490" s="15" t="inlineStr">
        <is>
          <t>DRHP</t>
        </is>
      </c>
      <c r="F1490" s="15" t="inlineStr">
        <is>
          <t>Lokmat Media Limited</t>
        </is>
      </c>
      <c r="G1490" s="15" t="inlineStr">
        <is>
          <t>No launched IPO found</t>
        </is>
      </c>
      <c r="H1490" s="15" t="n"/>
      <c r="I1490" s="16" t="n"/>
      <c r="J1490" s="16" t="n"/>
      <c r="K1490" s="16" t="n"/>
      <c r="L1490" s="17" t="n"/>
      <c r="M1490" s="17" t="n"/>
      <c r="N1490" s="17" t="n"/>
      <c r="O1490" s="15" t="n"/>
      <c r="P1490" s="15" t="n"/>
      <c r="Q1490" s="18" t="inlineStr">
        <is>
          <t>https://www.sebi.gov.in/sebi_data/attachdocs/1295949634250.pdf</t>
        </is>
      </c>
      <c r="R1490" s="18" t="inlineStr">
        <is>
          <t>https://www.sebi.gov.in/filings/public-issues/dec-2010/lokmat-media-limited_14570.html</t>
        </is>
      </c>
      <c r="S1490" s="15" t="n"/>
      <c r="T1490" s="15" t="n"/>
      <c r="U1490" s="15" t="n"/>
      <c r="V1490" s="15" t="n"/>
      <c r="W1490" s="16" t="n"/>
      <c r="X1490" s="16" t="n"/>
      <c r="Y1490" s="16" t="n"/>
      <c r="Z1490" s="15" t="inlineStr">
        <is>
          <t>No issue found</t>
        </is>
      </c>
      <c r="AA1490" s="15" t="inlineStr">
        <is>
          <t>Remains unlisted private company; no IPO found.</t>
        </is>
      </c>
      <c r="AB1490" s="15" t="n"/>
    </row>
    <row r="1491" ht="15" customHeight="1" s="12">
      <c r="A1491" s="14" t="n">
        <v>1490</v>
      </c>
      <c r="B1491" s="16" t="n">
        <v>40540</v>
      </c>
      <c r="C1491" s="15" t="n">
        <v>2010</v>
      </c>
      <c r="D1491" s="15" t="inlineStr">
        <is>
          <t>Modern Tube Industries Limited</t>
        </is>
      </c>
      <c r="E1491" s="15" t="inlineStr">
        <is>
          <t>DRHP</t>
        </is>
      </c>
      <c r="F1491" s="15" t="inlineStr">
        <is>
          <t>Modern Tube Industries Limited</t>
        </is>
      </c>
      <c r="G1491" s="15" t="inlineStr">
        <is>
          <t>No launched IPO found</t>
        </is>
      </c>
      <c r="H1491" s="15" t="n"/>
      <c r="I1491" s="16" t="n"/>
      <c r="J1491" s="16" t="n"/>
      <c r="K1491" s="16" t="n"/>
      <c r="L1491" s="17" t="n"/>
      <c r="M1491" s="17" t="n"/>
      <c r="N1491" s="17" t="n"/>
      <c r="O1491" s="15" t="n"/>
      <c r="P1491" s="15" t="n"/>
      <c r="Q1491" s="18" t="inlineStr">
        <is>
          <t>https://www.sebi.gov.in/sebi_data/attachdocs/1294031557334.pdf</t>
        </is>
      </c>
      <c r="R1491" s="18" t="inlineStr">
        <is>
          <t>https://www.sebi.gov.in/filings/public-issues/dec-2010/modern-tube-industries-limited_14106.html</t>
        </is>
      </c>
      <c r="S1491" s="15" t="n"/>
      <c r="T1491" s="15" t="n"/>
      <c r="U1491" s="15" t="n"/>
      <c r="V1491" s="15" t="n"/>
      <c r="W1491" s="16" t="n"/>
      <c r="X1491" s="16" t="n"/>
      <c r="Y1491" s="16" t="n"/>
      <c r="Z1491" s="15" t="inlineStr">
        <is>
          <t>No issue found</t>
        </is>
      </c>
      <c r="AA1491" s="15" t="inlineStr">
        <is>
          <t>Only DRHP listing; open date NA.</t>
        </is>
      </c>
      <c r="AB1491" s="15" t="n"/>
    </row>
    <row r="1492" ht="15" customHeight="1" s="12">
      <c r="A1492" s="14" t="n">
        <v>1491</v>
      </c>
      <c r="B1492" s="16" t="n">
        <v>40540</v>
      </c>
      <c r="C1492" s="15" t="n">
        <v>2010</v>
      </c>
      <c r="D1492" s="15" t="inlineStr">
        <is>
          <t>Net Alter Software Limited</t>
        </is>
      </c>
      <c r="E1492" s="15" t="inlineStr">
        <is>
          <t>DRHP</t>
        </is>
      </c>
      <c r="F1492" s="15" t="inlineStr">
        <is>
          <t>Net Alter Software Limited</t>
        </is>
      </c>
      <c r="G1492" s="15" t="inlineStr">
        <is>
          <t>No launched IPO found</t>
        </is>
      </c>
      <c r="H1492" s="15" t="n"/>
      <c r="I1492" s="16" t="n"/>
      <c r="J1492" s="16" t="n"/>
      <c r="K1492" s="16" t="n"/>
      <c r="L1492" s="17" t="n"/>
      <c r="M1492" s="17" t="n"/>
      <c r="N1492" s="17" t="n"/>
      <c r="O1492" s="15" t="n"/>
      <c r="P1492" s="15" t="n"/>
      <c r="Q1492" s="18" t="inlineStr">
        <is>
          <t>https://www.sebi.gov.in/sebi_data/attachdocs/1294031662978.pdf</t>
        </is>
      </c>
      <c r="R1492" s="18" t="inlineStr">
        <is>
          <t>https://www.sebi.gov.in/filings/public-issues/dec-2010/net-alter-software-limited_14107.html</t>
        </is>
      </c>
      <c r="S1492" s="15" t="n"/>
      <c r="T1492" s="15" t="n"/>
      <c r="U1492" s="15" t="n"/>
      <c r="V1492" s="15" t="n"/>
      <c r="W1492" s="16" t="n"/>
      <c r="X1492" s="16" t="n"/>
      <c r="Y1492" s="16" t="n"/>
      <c r="Z1492" s="15" t="inlineStr">
        <is>
          <t>No issue found</t>
        </is>
      </c>
      <c r="AA1492" s="15" t="inlineStr">
        <is>
          <t>Only DRHP listing; no issue dates found.</t>
        </is>
      </c>
      <c r="AB1492" s="15" t="n"/>
    </row>
    <row r="1493" ht="15" customHeight="1" s="12">
      <c r="A1493" s="14" t="n">
        <v>1492</v>
      </c>
      <c r="B1493" s="16" t="n">
        <v>40540</v>
      </c>
      <c r="C1493" s="15" t="n">
        <v>2010</v>
      </c>
      <c r="D1493" s="15" t="inlineStr">
        <is>
          <t>Sabari Inn Limited</t>
        </is>
      </c>
      <c r="E1493" s="15" t="inlineStr">
        <is>
          <t>DRHP</t>
        </is>
      </c>
      <c r="F1493" s="15" t="inlineStr">
        <is>
          <t>Sabari Inn Limited</t>
        </is>
      </c>
      <c r="G1493" s="15" t="inlineStr">
        <is>
          <t>No launched IPO found</t>
        </is>
      </c>
      <c r="H1493" s="15" t="n"/>
      <c r="I1493" s="16" t="n"/>
      <c r="J1493" s="16" t="n"/>
      <c r="K1493" s="16" t="n"/>
      <c r="L1493" s="17" t="n"/>
      <c r="M1493" s="17" t="n"/>
      <c r="N1493" s="17" t="n"/>
      <c r="O1493" s="15" t="n"/>
      <c r="P1493" s="15" t="n"/>
      <c r="Q1493" s="18" t="inlineStr">
        <is>
          <t>https://www.sebi.gov.in/sebi_data/attachdocs/1294031472237.pdf</t>
        </is>
      </c>
      <c r="R1493" s="18" t="inlineStr">
        <is>
          <t>https://www.sebi.gov.in/filings/public-issues/dec-2010/sabari-inn-limited_14105.html</t>
        </is>
      </c>
      <c r="S1493" s="15" t="n"/>
      <c r="T1493" s="15" t="n"/>
      <c r="U1493" s="15" t="n"/>
      <c r="V1493" s="15" t="n"/>
      <c r="W1493" s="16" t="n"/>
      <c r="X1493" s="16" t="n"/>
      <c r="Y1493" s="16" t="n"/>
      <c r="Z1493" s="15" t="inlineStr">
        <is>
          <t>No issue found</t>
        </is>
      </c>
      <c r="AA1493" s="15" t="inlineStr">
        <is>
          <t>Only DRHP listing; no issue dates found.</t>
        </is>
      </c>
      <c r="AB1493" s="15" t="n"/>
    </row>
    <row r="1494" ht="15" customHeight="1" s="12">
      <c r="A1494" s="14" t="n">
        <v>1493</v>
      </c>
      <c r="B1494" s="16" t="n">
        <v>40539</v>
      </c>
      <c r="C1494" s="15" t="n">
        <v>2010</v>
      </c>
      <c r="D1494" s="15" t="inlineStr">
        <is>
          <t>PTC India Financial Services Limited</t>
        </is>
      </c>
      <c r="E1494" s="15" t="inlineStr">
        <is>
          <t>DRHP</t>
        </is>
      </c>
      <c r="F1494" s="15" t="inlineStr">
        <is>
          <t>PTC India Financial Services Limited</t>
        </is>
      </c>
      <c r="G1494" s="15" t="inlineStr">
        <is>
          <t>IPO launched</t>
        </is>
      </c>
      <c r="H1494" s="15" t="inlineStr">
        <is>
          <t>Mainboard</t>
        </is>
      </c>
      <c r="I1494" s="16" t="n">
        <v>40618</v>
      </c>
      <c r="J1494" s="16" t="n">
        <v>40620</v>
      </c>
      <c r="K1494" s="16" t="n">
        <v>40632</v>
      </c>
      <c r="L1494" s="17" t="n">
        <v>438.76</v>
      </c>
      <c r="M1494" s="17" t="n">
        <v>438.76</v>
      </c>
      <c r="N1494" s="17" t="n">
        <v>0</v>
      </c>
      <c r="O1494" s="15" t="inlineStr">
        <is>
          <t>Final issue (ipoplatform)</t>
        </is>
      </c>
      <c r="P1494" s="15" t="n"/>
      <c r="Q1494" s="18" t="inlineStr">
        <is>
          <t>https://www.sebi.gov.in/sebi_data/attachdocs/1294031751991.pdf</t>
        </is>
      </c>
      <c r="R1494" s="18" t="inlineStr">
        <is>
          <t>https://www.sebi.gov.in/filings/public-issues/dec-2010/ptc-india-financial-services-limited_14108.html</t>
        </is>
      </c>
      <c r="S1494" s="15" t="n"/>
      <c r="T1494" s="15" t="inlineStr">
        <is>
          <t>SEBI filing link</t>
        </is>
      </c>
      <c r="U1494" s="15" t="inlineStr">
        <is>
          <t>PTC India Financial Services Limited</t>
        </is>
      </c>
      <c r="V1494" s="15" t="n"/>
      <c r="W1494" s="15" t="n"/>
      <c r="X1494" s="15" t="n"/>
      <c r="Y1494" s="15" t="n"/>
      <c r="Z1494" s="15" t="n"/>
      <c r="AA1494" s="15" t="n"/>
      <c r="AB1494" s="15" t="n"/>
    </row>
    <row r="1495" ht="15" customHeight="1" s="12">
      <c r="A1495" s="14" t="n">
        <v>1494</v>
      </c>
      <c r="B1495" s="16" t="n">
        <v>40532</v>
      </c>
      <c r="C1495" s="15" t="n">
        <v>2010</v>
      </c>
      <c r="D1495" s="15" t="inlineStr">
        <is>
          <t>Onelife Capital Advisors Limited</t>
        </is>
      </c>
      <c r="E1495" s="15" t="inlineStr">
        <is>
          <t>DRHP</t>
        </is>
      </c>
      <c r="F1495" s="15" t="inlineStr">
        <is>
          <t>Onelife Capital Advisors Limited</t>
        </is>
      </c>
      <c r="G1495" s="15" t="inlineStr">
        <is>
          <t>IPO launched</t>
        </is>
      </c>
      <c r="H1495" s="15" t="inlineStr">
        <is>
          <t>Mainboard</t>
        </is>
      </c>
      <c r="I1495" s="16" t="n">
        <v>40814</v>
      </c>
      <c r="J1495" s="16" t="n">
        <v>40820</v>
      </c>
      <c r="K1495" s="16" t="n">
        <v>40833</v>
      </c>
      <c r="L1495" s="17" t="n">
        <v>36.85</v>
      </c>
      <c r="M1495" s="17" t="n">
        <v>36.85</v>
      </c>
      <c r="N1495" s="17" t="n">
        <v>0</v>
      </c>
      <c r="O1495" s="15" t="inlineStr">
        <is>
          <t>Final issue (ipoplatform)</t>
        </is>
      </c>
      <c r="P1495" s="15" t="n"/>
      <c r="Q1495" s="18" t="inlineStr">
        <is>
          <t>https://www.sebi.gov.in/sebi_data/attachdocs/1294031817219.pdf</t>
        </is>
      </c>
      <c r="R1495" s="18" t="inlineStr">
        <is>
          <t>https://www.sebi.gov.in/filings/public-issues/dec-2010/onelife-capital-advisors-limited_14109.html</t>
        </is>
      </c>
      <c r="S1495" s="15" t="n"/>
      <c r="T1495" s="15" t="inlineStr">
        <is>
          <t>SEBI filing link</t>
        </is>
      </c>
      <c r="U1495" s="15" t="inlineStr">
        <is>
          <t>Onelife Capital Advisors Limited</t>
        </is>
      </c>
      <c r="V1495" s="15" t="n"/>
      <c r="W1495" s="15" t="n"/>
      <c r="X1495" s="15" t="n"/>
      <c r="Y1495" s="15" t="n"/>
      <c r="Z1495" s="15" t="n"/>
      <c r="AA1495" s="15" t="n"/>
      <c r="AB1495" s="15" t="n"/>
    </row>
    <row r="1496" ht="15" customHeight="1" s="12">
      <c r="A1496" s="14" t="n">
        <v>1495</v>
      </c>
      <c r="B1496" s="16" t="n">
        <v>40528</v>
      </c>
      <c r="C1496" s="15" t="n">
        <v>2010</v>
      </c>
      <c r="D1496" s="15" t="inlineStr">
        <is>
          <t>Sabari Inn Limited</t>
        </is>
      </c>
      <c r="E1496" s="15" t="inlineStr">
        <is>
          <t>DRHP</t>
        </is>
      </c>
      <c r="F1496" s="15" t="inlineStr">
        <is>
          <t>Sabari Inn Limited</t>
        </is>
      </c>
      <c r="G1496" s="15" t="inlineStr">
        <is>
          <t>No launched IPO found</t>
        </is>
      </c>
      <c r="H1496" s="15" t="n"/>
      <c r="I1496" s="16" t="n"/>
      <c r="J1496" s="16" t="n"/>
      <c r="K1496" s="16" t="n"/>
      <c r="L1496" s="17" t="n"/>
      <c r="M1496" s="17" t="n"/>
      <c r="N1496" s="17" t="n"/>
      <c r="O1496" s="15" t="n"/>
      <c r="P1496" s="15" t="n"/>
      <c r="Q1496" s="18" t="inlineStr">
        <is>
          <t>https://www.sebi.gov.in/sebi_data/attachdocs/1294031891839.pdf</t>
        </is>
      </c>
      <c r="R1496" s="18" t="inlineStr">
        <is>
          <t>https://www.sebi.gov.in/filings/public-issues/dec-2010/sabari-inn-limited_14110.html</t>
        </is>
      </c>
      <c r="S1496" s="15" t="n"/>
      <c r="T1496" s="15" t="n"/>
      <c r="U1496" s="15" t="n"/>
      <c r="V1496" s="15" t="n"/>
      <c r="W1496" s="16" t="n"/>
      <c r="X1496" s="16" t="n"/>
      <c r="Y1496" s="16" t="n"/>
      <c r="Z1496" s="15" t="inlineStr">
        <is>
          <t>No issue found</t>
        </is>
      </c>
      <c r="AA1496" s="15" t="inlineStr">
        <is>
          <t>Only DRHP listing; no issue dates found.</t>
        </is>
      </c>
      <c r="AB1496" s="15" t="n"/>
    </row>
    <row r="1497" ht="15" customHeight="1" s="12">
      <c r="A1497" s="14" t="n">
        <v>1496</v>
      </c>
      <c r="B1497" s="16" t="n">
        <v>40527</v>
      </c>
      <c r="C1497" s="15" t="n">
        <v>2010</v>
      </c>
      <c r="D1497" s="15" t="inlineStr">
        <is>
          <t>Shree Hanuman Sugar and Industries Ltd</t>
        </is>
      </c>
      <c r="E1497" s="15" t="inlineStr">
        <is>
          <t>DRHP</t>
        </is>
      </c>
      <c r="F1497" s="15" t="inlineStr">
        <is>
          <t>Shree Hanuman Sugar and Industries Ltd</t>
        </is>
      </c>
      <c r="G1497" s="15" t="inlineStr">
        <is>
          <t>No launched IPO found</t>
        </is>
      </c>
      <c r="H1497" s="15" t="n"/>
      <c r="I1497" s="16" t="n"/>
      <c r="J1497" s="16" t="n"/>
      <c r="K1497" s="16" t="n"/>
      <c r="L1497" s="17" t="n"/>
      <c r="M1497" s="17" t="n"/>
      <c r="N1497" s="17" t="n"/>
      <c r="O1497" s="15" t="n"/>
      <c r="P1497" s="15" t="n"/>
      <c r="Q1497" s="18" t="inlineStr">
        <is>
          <t>https://www.sebi.gov.in/sebi_data/attachdocs/1294032849402.pdf</t>
        </is>
      </c>
      <c r="R1497" s="18" t="inlineStr">
        <is>
          <t>https://www.sebi.gov.in/filings/public-issues/dec-2010/shree-hanuman-sugar-and-industries-ltd_14112.html</t>
        </is>
      </c>
      <c r="S1497" s="15" t="n"/>
      <c r="T1497" s="15" t="n"/>
      <c r="U1497" s="15" t="n"/>
      <c r="V1497" s="15" t="n"/>
      <c r="W1497" s="16" t="n"/>
      <c r="X1497" s="16" t="n"/>
      <c r="Y1497" s="16" t="n"/>
      <c r="Z1497" s="15" t="inlineStr">
        <is>
          <t>No issue found</t>
        </is>
      </c>
      <c r="AA1497" s="15" t="inlineStr">
        <is>
          <t>Already-listed company; no public issue after 2010 found.</t>
        </is>
      </c>
      <c r="AB1497" s="15" t="n"/>
    </row>
    <row r="1498" ht="15" customHeight="1" s="12">
      <c r="A1498" s="14" t="n">
        <v>1497</v>
      </c>
      <c r="B1498" s="16" t="n">
        <v>40527</v>
      </c>
      <c r="C1498" s="15" t="n">
        <v>2010</v>
      </c>
      <c r="D1498" s="15" t="inlineStr">
        <is>
          <t>VRL Logistics Limited</t>
        </is>
      </c>
      <c r="E1498" s="15" t="inlineStr">
        <is>
          <t>DRHP</t>
        </is>
      </c>
      <c r="F1498" s="15" t="inlineStr">
        <is>
          <t>VRL Logistics Limited</t>
        </is>
      </c>
      <c r="G1498" s="15" t="inlineStr">
        <is>
          <t>No launched IPO found</t>
        </is>
      </c>
      <c r="H1498" s="15" t="n"/>
      <c r="I1498" s="16" t="n"/>
      <c r="J1498" s="16" t="n"/>
      <c r="K1498" s="16" t="n"/>
      <c r="L1498" s="17" t="n"/>
      <c r="M1498" s="17" t="n"/>
      <c r="N1498" s="17" t="n"/>
      <c r="O1498" s="15" t="n"/>
      <c r="P1498" s="15" t="n"/>
      <c r="Q1498" s="18" t="inlineStr">
        <is>
          <t>https://www.sebi.gov.in/sebi_data/attachdocs/1294032954699.pdf</t>
        </is>
      </c>
      <c r="R1498" s="18" t="inlineStr">
        <is>
          <t>https://www.sebi.gov.in/filings/public-issues/dec-2010/vrl-logistics-limited_14113.html</t>
        </is>
      </c>
      <c r="S1498" s="15" t="n"/>
      <c r="T1498" s="15" t="n"/>
      <c r="U1498" s="15" t="n"/>
      <c r="V1498" s="15" t="inlineStr">
        <is>
          <t>Same-name IPO opened 15-Apr-2015 — outside 2 years of this filing, so not linked</t>
        </is>
      </c>
      <c r="W1498" s="25" t="n">
        <v>42109</v>
      </c>
      <c r="X1498" s="25" t="n">
        <v>42111</v>
      </c>
      <c r="Y1498" s="25" t="n">
        <v>42124</v>
      </c>
      <c r="Z1498" s="26" t="inlineStr">
        <is>
          <t>Later IPO — not from this draft</t>
        </is>
      </c>
      <c r="AA1498" s="15" t="inlineStr">
        <is>
          <t>Opened 4.3 yrs after this filing, under a later draft</t>
        </is>
      </c>
      <c r="AB1498" s="18" t="inlineStr">
        <is>
          <t>https://www.business-standard.com/markets/ipo/vrl-logistics-ltd-ipo-29776</t>
        </is>
      </c>
    </row>
    <row r="1499" ht="15" customHeight="1" s="12">
      <c r="A1499" s="14" t="n">
        <v>1498</v>
      </c>
      <c r="B1499" s="16" t="n">
        <v>40525</v>
      </c>
      <c r="C1499" s="15" t="n">
        <v>2010</v>
      </c>
      <c r="D1499" s="15" t="inlineStr">
        <is>
          <t>Reid and Taylor India Limited</t>
        </is>
      </c>
      <c r="E1499" s="15" t="inlineStr">
        <is>
          <t>DRHP</t>
        </is>
      </c>
      <c r="F1499" s="15" t="inlineStr">
        <is>
          <t>Reid and Taylor India Limited</t>
        </is>
      </c>
      <c r="G1499" s="15" t="inlineStr">
        <is>
          <t>No launched IPO found</t>
        </is>
      </c>
      <c r="H1499" s="15" t="n"/>
      <c r="I1499" s="16" t="n"/>
      <c r="J1499" s="16" t="n"/>
      <c r="K1499" s="16" t="n"/>
      <c r="L1499" s="17" t="n"/>
      <c r="M1499" s="17" t="n"/>
      <c r="N1499" s="17" t="n"/>
      <c r="O1499" s="15" t="n"/>
      <c r="P1499" s="15" t="n"/>
      <c r="Q1499" s="18" t="inlineStr">
        <is>
          <t>https://www.sebi.gov.in/sebi_data/attachdocs/1294033665365.pdf</t>
        </is>
      </c>
      <c r="R1499" s="18" t="inlineStr">
        <is>
          <t>https://www.sebi.gov.in/filings/public-issues/dec-2010/reid-and-taylor-india-limited_14114.html</t>
        </is>
      </c>
      <c r="S1499" s="15" t="n"/>
      <c r="T1499" s="15" t="n"/>
      <c r="U1499" s="15" t="n"/>
      <c r="V1499" s="15" t="n"/>
      <c r="W1499" s="16" t="n"/>
      <c r="X1499" s="16" t="n"/>
      <c r="Y1499" s="16" t="n"/>
      <c r="Z1499" s="15" t="inlineStr">
        <is>
          <t>Withdrawn / approval lapsed</t>
        </is>
      </c>
      <c r="AA1499" s="15" t="inlineStr">
        <is>
          <t>IPO shelved in 2011 on market conditions; never launched.</t>
        </is>
      </c>
      <c r="AB1499" s="18" t="inlineStr">
        <is>
          <t>https://www.business-standard.com/article/markets/sknl-arm-reid-taylor-s-ipo-by-end-fy11-111012700218_1.html</t>
        </is>
      </c>
    </row>
    <row r="1500" ht="15" customHeight="1" s="12">
      <c r="A1500" s="14" t="n">
        <v>1499</v>
      </c>
      <c r="B1500" s="16" t="n">
        <v>40522</v>
      </c>
      <c r="C1500" s="15" t="n">
        <v>2010</v>
      </c>
      <c r="D1500" s="15" t="inlineStr">
        <is>
          <t>Olympic Cards Limited</t>
        </is>
      </c>
      <c r="E1500" s="15" t="inlineStr">
        <is>
          <t>DRHP</t>
        </is>
      </c>
      <c r="F1500" s="15" t="inlineStr">
        <is>
          <t>Olympic Cards Limited</t>
        </is>
      </c>
      <c r="G1500" s="15" t="inlineStr">
        <is>
          <t>IPO launched</t>
        </is>
      </c>
      <c r="H1500" s="15" t="inlineStr">
        <is>
          <t>Mainboard</t>
        </is>
      </c>
      <c r="I1500" s="16" t="n">
        <v>40977</v>
      </c>
      <c r="J1500" s="16" t="n">
        <v>40981</v>
      </c>
      <c r="K1500" s="16" t="n">
        <v>40996</v>
      </c>
      <c r="L1500" s="17" t="n">
        <v>25</v>
      </c>
      <c r="M1500" s="17" t="n">
        <v>25</v>
      </c>
      <c r="N1500" s="17" t="n">
        <v>0</v>
      </c>
      <c r="O1500" s="15" t="inlineStr">
        <is>
          <t>Final issue (ipoplatform)</t>
        </is>
      </c>
      <c r="P1500" s="15" t="n"/>
      <c r="Q1500" s="18" t="inlineStr">
        <is>
          <t>https://www.sebi.gov.in/sebi_data/attachdocs/1294033779420.pdf</t>
        </is>
      </c>
      <c r="R1500" s="18" t="inlineStr">
        <is>
          <t>https://www.sebi.gov.in/filings/public-issues/dec-2010/olympic-cards-limited_14115.html</t>
        </is>
      </c>
      <c r="S1500" s="15" t="n"/>
      <c r="T1500" s="15" t="inlineStr">
        <is>
          <t>SEBI filing link</t>
        </is>
      </c>
      <c r="U1500" s="15" t="inlineStr">
        <is>
          <t>Olympic Cards Limited</t>
        </is>
      </c>
      <c r="V1500" s="15" t="n"/>
      <c r="W1500" s="15" t="n"/>
      <c r="X1500" s="15" t="n"/>
      <c r="Y1500" s="15" t="n"/>
      <c r="Z1500" s="15" t="n"/>
      <c r="AA1500" s="15" t="n"/>
      <c r="AB1500" s="15" t="n"/>
    </row>
    <row r="1501" ht="15" customHeight="1" s="12">
      <c r="A1501" s="14" t="n">
        <v>1500</v>
      </c>
      <c r="B1501" s="16" t="n">
        <v>40514</v>
      </c>
      <c r="C1501" s="15" t="n">
        <v>2010</v>
      </c>
      <c r="D1501" s="15" t="inlineStr">
        <is>
          <t>Max Flex and Imaging System Limited</t>
        </is>
      </c>
      <c r="E1501" s="15" t="inlineStr">
        <is>
          <t>DRHP</t>
        </is>
      </c>
      <c r="F1501" s="15" t="inlineStr">
        <is>
          <t>Max Flex and Imaging System Limited</t>
        </is>
      </c>
      <c r="G1501" s="15" t="inlineStr">
        <is>
          <t>No launched IPO found</t>
        </is>
      </c>
      <c r="H1501" s="15" t="n"/>
      <c r="I1501" s="16" t="n"/>
      <c r="J1501" s="16" t="n"/>
      <c r="K1501" s="16" t="n"/>
      <c r="L1501" s="17" t="n"/>
      <c r="M1501" s="17" t="n"/>
      <c r="N1501" s="17" t="n"/>
      <c r="O1501" s="15" t="n"/>
      <c r="P1501" s="15" t="n"/>
      <c r="Q1501" s="18" t="inlineStr">
        <is>
          <t>https://www.sebi.gov.in/sebi_data/attachdocs/1294033882488.pdf</t>
        </is>
      </c>
      <c r="R1501" s="18" t="inlineStr">
        <is>
          <t>https://www.sebi.gov.in/filings/public-issues/dec-2010/max-flex-and-imaging-system-limited_14116.html</t>
        </is>
      </c>
      <c r="S1501" s="15" t="n"/>
      <c r="T1501" s="15" t="n"/>
      <c r="U1501" s="15" t="n"/>
      <c r="V1501" s="15" t="n"/>
      <c r="W1501" s="16" t="n"/>
      <c r="X1501" s="16" t="n"/>
      <c r="Y1501" s="16" t="n"/>
      <c r="Z1501" s="15" t="inlineStr">
        <is>
          <t>No issue found</t>
        </is>
      </c>
      <c r="AA1501" s="15" t="inlineStr">
        <is>
          <t>No issue dates found; company reportedly under liquidation.</t>
        </is>
      </c>
      <c r="AB1501" s="15" t="n"/>
    </row>
    <row r="1502" ht="15" customHeight="1" s="12">
      <c r="A1502" s="14" t="n">
        <v>1501</v>
      </c>
      <c r="B1502" s="16" t="n">
        <v>40508</v>
      </c>
      <c r="C1502" s="15" t="n">
        <v>2010</v>
      </c>
      <c r="D1502" s="15" t="inlineStr">
        <is>
          <t>Plastene India Ltd</t>
        </is>
      </c>
      <c r="E1502" s="15" t="inlineStr">
        <is>
          <t>DRHP</t>
        </is>
      </c>
      <c r="F1502" s="15" t="inlineStr">
        <is>
          <t>Plastene India Ltd</t>
        </is>
      </c>
      <c r="G1502" s="15" t="inlineStr">
        <is>
          <t>No launched IPO found</t>
        </is>
      </c>
      <c r="H1502" s="15" t="n"/>
      <c r="I1502" s="16" t="n"/>
      <c r="J1502" s="16" t="n"/>
      <c r="K1502" s="16" t="n"/>
      <c r="L1502" s="17" t="n"/>
      <c r="M1502" s="17" t="n"/>
      <c r="N1502" s="17" t="n"/>
      <c r="O1502" s="15" t="n"/>
      <c r="P1502" s="15" t="n"/>
      <c r="Q1502" s="18" t="inlineStr">
        <is>
          <t>https://www.sebi.gov.in/sebi_data/attachdocs/1294033998838.pdf</t>
        </is>
      </c>
      <c r="R1502" s="18" t="inlineStr">
        <is>
          <t>https://www.sebi.gov.in/filings/public-issues/nov-2010/plastene-india-ltd_14117.html</t>
        </is>
      </c>
      <c r="S1502" s="15" t="n"/>
      <c r="T1502" s="15" t="n"/>
      <c r="U1502" s="15" t="n"/>
      <c r="V1502" s="15" t="n"/>
      <c r="W1502" s="19" t="n">
        <v>41038</v>
      </c>
      <c r="X1502" s="19" t="n">
        <v>41044</v>
      </c>
      <c r="Y1502" s="19" t="n"/>
      <c r="Z1502" s="20" t="inlineStr">
        <is>
          <t>Issue opened</t>
        </is>
      </c>
      <c r="AA1502" s="15" t="inlineStr">
        <is>
          <t>Matched on chittorgarh.com</t>
        </is>
      </c>
      <c r="AB1502" s="18" t="inlineStr">
        <is>
          <t>https://www.chittorgarh.com/ipo/plastene_ipo/341/</t>
        </is>
      </c>
    </row>
    <row r="1503" ht="15" customHeight="1" s="12">
      <c r="A1503" s="14" t="n">
        <v>1502</v>
      </c>
      <c r="B1503" s="16" t="n">
        <v>40507</v>
      </c>
      <c r="C1503" s="15" t="n">
        <v>2010</v>
      </c>
      <c r="D1503" s="15" t="inlineStr">
        <is>
          <t>Brooks Laboratories Ltd</t>
        </is>
      </c>
      <c r="E1503" s="15" t="inlineStr">
        <is>
          <t>DRHP</t>
        </is>
      </c>
      <c r="F1503" s="15" t="inlineStr">
        <is>
          <t>Brooks Laboratories Ltd</t>
        </is>
      </c>
      <c r="G1503" s="15" t="inlineStr">
        <is>
          <t>IPO launched</t>
        </is>
      </c>
      <c r="H1503" s="15" t="inlineStr">
        <is>
          <t>Mainboard</t>
        </is>
      </c>
      <c r="I1503" s="16" t="n">
        <v>40771</v>
      </c>
      <c r="J1503" s="16" t="n">
        <v>40773</v>
      </c>
      <c r="K1503" s="16" t="n">
        <v>40791</v>
      </c>
      <c r="L1503" s="17" t="n">
        <v>63</v>
      </c>
      <c r="M1503" s="17" t="n">
        <v>63</v>
      </c>
      <c r="N1503" s="17" t="n">
        <v>0</v>
      </c>
      <c r="O1503" s="15" t="inlineStr">
        <is>
          <t>Final issue (ipoplatform)</t>
        </is>
      </c>
      <c r="P1503" s="15" t="n"/>
      <c r="Q1503" s="18" t="inlineStr">
        <is>
          <t>https://www.sebi.gov.in/sebi_data/attachdocs/1294034061065.pdf</t>
        </is>
      </c>
      <c r="R1503" s="18" t="inlineStr">
        <is>
          <t>https://www.sebi.gov.in/filings/public-issues/nov-2010/brooks-laboratories-ltd_14118.html</t>
        </is>
      </c>
      <c r="S1503" s="15" t="n"/>
      <c r="T1503" s="15" t="inlineStr">
        <is>
          <t>SEBI filing link</t>
        </is>
      </c>
      <c r="U1503" s="15" t="inlineStr">
        <is>
          <t>Brooks Laboratories Limited</t>
        </is>
      </c>
      <c r="V1503" s="15" t="n"/>
      <c r="W1503" s="15" t="n"/>
      <c r="X1503" s="15" t="n"/>
      <c r="Y1503" s="15" t="n"/>
      <c r="Z1503" s="15" t="n"/>
      <c r="AA1503" s="15" t="n"/>
      <c r="AB1503" s="15" t="n"/>
    </row>
    <row r="1504" ht="15" customHeight="1" s="12">
      <c r="A1504" s="14" t="n">
        <v>1503</v>
      </c>
      <c r="B1504" s="16" t="n">
        <v>40507</v>
      </c>
      <c r="C1504" s="15" t="n">
        <v>2010</v>
      </c>
      <c r="D1504" s="15" t="inlineStr">
        <is>
          <t>Readymade Steel India Limited</t>
        </is>
      </c>
      <c r="E1504" s="15" t="inlineStr">
        <is>
          <t>DRHP</t>
        </is>
      </c>
      <c r="F1504" s="15" t="inlineStr">
        <is>
          <t>Readymade Steel India Limited</t>
        </is>
      </c>
      <c r="G1504" s="15" t="inlineStr">
        <is>
          <t>IPO launched</t>
        </is>
      </c>
      <c r="H1504" s="15" t="inlineStr">
        <is>
          <t>Mainboard</t>
        </is>
      </c>
      <c r="I1504" s="16" t="n">
        <v>40721</v>
      </c>
      <c r="J1504" s="16" t="n">
        <v>40723</v>
      </c>
      <c r="K1504" s="16" t="n">
        <v>40737</v>
      </c>
      <c r="L1504" s="17" t="n">
        <v>34.75</v>
      </c>
      <c r="M1504" s="17" t="n">
        <v>34.75</v>
      </c>
      <c r="N1504" s="17" t="n">
        <v>0</v>
      </c>
      <c r="O1504" s="15" t="inlineStr">
        <is>
          <t>Final issue (ipoplatform)</t>
        </is>
      </c>
      <c r="P1504" s="15" t="n"/>
      <c r="Q1504" s="18" t="inlineStr">
        <is>
          <t>https://www.sebi.gov.in/sebi_data/attachdocs/1294034126382.pdf</t>
        </is>
      </c>
      <c r="R1504" s="18" t="inlineStr">
        <is>
          <t>https://www.sebi.gov.in/filings/public-issues/nov-2010/readymade-steel-india-limited_14119.html</t>
        </is>
      </c>
      <c r="S1504" s="15" t="n"/>
      <c r="T1504" s="15" t="inlineStr">
        <is>
          <t>SEBI filing link</t>
        </is>
      </c>
      <c r="U1504" s="15" t="inlineStr">
        <is>
          <t>Readymade Steel India Limited</t>
        </is>
      </c>
      <c r="V1504" s="15" t="n"/>
      <c r="W1504" s="15" t="n"/>
      <c r="X1504" s="15" t="n"/>
      <c r="Y1504" s="15" t="n"/>
      <c r="Z1504" s="15" t="n"/>
      <c r="AA1504" s="15" t="n"/>
      <c r="AB1504" s="15" t="n"/>
    </row>
    <row r="1505" ht="15" customHeight="1" s="12">
      <c r="A1505" s="14" t="n">
        <v>1504</v>
      </c>
      <c r="B1505" s="16" t="n">
        <v>40504</v>
      </c>
      <c r="C1505" s="15" t="n">
        <v>2010</v>
      </c>
      <c r="D1505" s="15" t="inlineStr">
        <is>
          <t>Semantic Space Technologies Limited</t>
        </is>
      </c>
      <c r="E1505" s="15" t="inlineStr">
        <is>
          <t>DRHP</t>
        </is>
      </c>
      <c r="F1505" s="15" t="inlineStr">
        <is>
          <t>Semantic Space Technologies Limited</t>
        </is>
      </c>
      <c r="G1505" s="15" t="inlineStr">
        <is>
          <t>No launched IPO found</t>
        </is>
      </c>
      <c r="H1505" s="15" t="n"/>
      <c r="I1505" s="16" t="n"/>
      <c r="J1505" s="16" t="n"/>
      <c r="K1505" s="16" t="n"/>
      <c r="L1505" s="17" t="n"/>
      <c r="M1505" s="17" t="n"/>
      <c r="N1505" s="17" t="n"/>
      <c r="O1505" s="15" t="n"/>
      <c r="P1505" s="15" t="n"/>
      <c r="Q1505" s="18" t="inlineStr">
        <is>
          <t>https://www.sebi.gov.in/sebi_data/attachdocs/1294034223614.pdf</t>
        </is>
      </c>
      <c r="R1505" s="18" t="inlineStr">
        <is>
          <t>https://www.sebi.gov.in/filings/public-issues/nov-2010/semantic-space-technologies-limited_14121.html</t>
        </is>
      </c>
      <c r="S1505" s="15" t="n"/>
      <c r="T1505" s="15" t="n"/>
      <c r="U1505" s="15" t="n"/>
      <c r="V1505" s="15" t="n"/>
      <c r="W1505" s="16" t="n"/>
      <c r="X1505" s="16" t="n"/>
      <c r="Y1505" s="16" t="n"/>
      <c r="Z1505" s="15" t="inlineStr">
        <is>
          <t>No issue found</t>
        </is>
      </c>
      <c r="AA1505" s="15" t="inlineStr">
        <is>
          <t>Only DRHP listing; no issue dates found.</t>
        </is>
      </c>
      <c r="AB1505" s="15" t="n"/>
    </row>
    <row r="1506" ht="15" customHeight="1" s="12">
      <c r="A1506" s="14" t="n">
        <v>1505</v>
      </c>
      <c r="B1506" s="16" t="n">
        <v>40500</v>
      </c>
      <c r="C1506" s="15" t="n">
        <v>2010</v>
      </c>
      <c r="D1506" s="15" t="inlineStr">
        <is>
          <t>Lovable Lingerie Limited</t>
        </is>
      </c>
      <c r="E1506" s="15" t="inlineStr">
        <is>
          <t>DRHP</t>
        </is>
      </c>
      <c r="F1506" s="15" t="inlineStr">
        <is>
          <t>Lovable Lingerie Limited</t>
        </is>
      </c>
      <c r="G1506" s="15" t="inlineStr">
        <is>
          <t>IPO launched</t>
        </is>
      </c>
      <c r="H1506" s="15" t="inlineStr">
        <is>
          <t>Mainboard</t>
        </is>
      </c>
      <c r="I1506" s="16" t="n">
        <v>40610</v>
      </c>
      <c r="J1506" s="16" t="n">
        <v>40613</v>
      </c>
      <c r="K1506" s="16" t="n">
        <v>40626</v>
      </c>
      <c r="L1506" s="17" t="n">
        <v>93.28</v>
      </c>
      <c r="M1506" s="17" t="n">
        <v>93.28</v>
      </c>
      <c r="N1506" s="17" t="n">
        <v>0</v>
      </c>
      <c r="O1506" s="15" t="inlineStr">
        <is>
          <t>Final issue (ipoplatform)</t>
        </is>
      </c>
      <c r="P1506" s="15" t="n"/>
      <c r="Q1506" s="18" t="inlineStr">
        <is>
          <t>https://www.sebi.gov.in/sebi_data/attachdocs/1294034286562.pdf</t>
        </is>
      </c>
      <c r="R1506" s="18" t="inlineStr">
        <is>
          <t>https://www.sebi.gov.in/filings/public-issues/nov-2010/lovable-lingerie-limited_14123.html</t>
        </is>
      </c>
      <c r="S1506" s="15" t="n"/>
      <c r="T1506" s="15" t="inlineStr">
        <is>
          <t>SEBI filing link</t>
        </is>
      </c>
      <c r="U1506" s="15" t="inlineStr">
        <is>
          <t>Lovable Lingeries Limited</t>
        </is>
      </c>
      <c r="V1506" s="15" t="n"/>
      <c r="W1506" s="15" t="n"/>
      <c r="X1506" s="15" t="n"/>
      <c r="Y1506" s="15" t="n"/>
      <c r="Z1506" s="15" t="n"/>
      <c r="AA1506" s="15" t="n"/>
      <c r="AB1506" s="15" t="n"/>
    </row>
    <row r="1507" ht="15" customHeight="1" s="12">
      <c r="A1507" s="14" t="n">
        <v>1506</v>
      </c>
      <c r="B1507" s="16" t="n">
        <v>40494</v>
      </c>
      <c r="C1507" s="15" t="n">
        <v>2010</v>
      </c>
      <c r="D1507" s="15" t="inlineStr">
        <is>
          <t>Gemini Engi-Fab Limited</t>
        </is>
      </c>
      <c r="E1507" s="15" t="inlineStr">
        <is>
          <t>DRHP</t>
        </is>
      </c>
      <c r="F1507" s="15" t="inlineStr">
        <is>
          <t>Gemini Engi-Fab Limited</t>
        </is>
      </c>
      <c r="G1507" s="15" t="inlineStr">
        <is>
          <t>No launched IPO found</t>
        </is>
      </c>
      <c r="H1507" s="15" t="n"/>
      <c r="I1507" s="16" t="n"/>
      <c r="J1507" s="16" t="n"/>
      <c r="K1507" s="16" t="n"/>
      <c r="L1507" s="17" t="n"/>
      <c r="M1507" s="17" t="n"/>
      <c r="N1507" s="17" t="n"/>
      <c r="O1507" s="15" t="n"/>
      <c r="P1507" s="15" t="n"/>
      <c r="Q1507" s="18" t="inlineStr">
        <is>
          <t>https://www.sebi.gov.in/sebi_data/attachdocs/1291272068658.pdf</t>
        </is>
      </c>
      <c r="R1507" s="18" t="inlineStr">
        <is>
          <t>https://www.sebi.gov.in/filings/public-issues/nov-2010/gemini-engi-fab-limited_7308.html</t>
        </is>
      </c>
      <c r="S1507" s="15" t="n"/>
      <c r="T1507" s="15" t="n"/>
      <c r="U1507" s="15" t="n"/>
      <c r="V1507" s="15" t="n"/>
      <c r="W1507" s="16" t="n"/>
      <c r="X1507" s="16" t="n"/>
      <c r="Y1507" s="16" t="n"/>
      <c r="Z1507" s="15" t="inlineStr">
        <is>
          <t>Withdrawn / approval lapsed</t>
        </is>
      </c>
      <c r="AA1507" s="15" t="inlineStr">
        <is>
          <t>Feb 2009 IPO cancelled (before first_filed); no later issue found.</t>
        </is>
      </c>
      <c r="AB1507" s="18" t="inlineStr">
        <is>
          <t>https://www.chittorgarh.com/ipo/gemini_engi-fab_ipo/193/</t>
        </is>
      </c>
    </row>
    <row r="1508" ht="15" customHeight="1" s="12">
      <c r="A1508" s="14" t="n">
        <v>1507</v>
      </c>
      <c r="B1508" s="16" t="n">
        <v>40492</v>
      </c>
      <c r="C1508" s="15" t="n">
        <v>2010</v>
      </c>
      <c r="D1508" s="15" t="inlineStr">
        <is>
          <t>Bharatiya Global Infomedia Limited</t>
        </is>
      </c>
      <c r="E1508" s="15" t="inlineStr">
        <is>
          <t>DRHP</t>
        </is>
      </c>
      <c r="F1508" s="15" t="inlineStr">
        <is>
          <t>Bharatiya Global Infomedia Limited</t>
        </is>
      </c>
      <c r="G1508" s="15" t="inlineStr">
        <is>
          <t>IPO launched</t>
        </is>
      </c>
      <c r="H1508" s="15" t="inlineStr">
        <is>
          <t>Mainboard</t>
        </is>
      </c>
      <c r="I1508" s="16" t="n">
        <v>40735</v>
      </c>
      <c r="J1508" s="16" t="n">
        <v>40738</v>
      </c>
      <c r="K1508" s="16" t="n">
        <v>40752</v>
      </c>
      <c r="L1508" s="17" t="n">
        <v>55.1</v>
      </c>
      <c r="M1508" s="17" t="n">
        <v>55.1</v>
      </c>
      <c r="N1508" s="17" t="n">
        <v>0</v>
      </c>
      <c r="O1508" s="15" t="inlineStr">
        <is>
          <t>Final issue (ipoplatform)</t>
        </is>
      </c>
      <c r="P1508" s="15" t="n"/>
      <c r="Q1508" s="18" t="inlineStr">
        <is>
          <t>https://www.sebi.gov.in/sebi_data/attachdocs/1291275278720.pdf</t>
        </is>
      </c>
      <c r="R1508" s="18" t="inlineStr">
        <is>
          <t>https://www.sebi.gov.in/filings/public-issues/nov-2010/bharatiya-global-infomedia-limited_7357.html</t>
        </is>
      </c>
      <c r="S1508" s="15" t="n"/>
      <c r="T1508" s="15" t="inlineStr">
        <is>
          <t>SEBI filing link</t>
        </is>
      </c>
      <c r="U1508" s="15" t="inlineStr">
        <is>
          <t>Bharatiya Global Infomedia Limited</t>
        </is>
      </c>
      <c r="V1508" s="15" t="n"/>
      <c r="W1508" s="15" t="n"/>
      <c r="X1508" s="15" t="n"/>
      <c r="Y1508" s="15" t="n"/>
      <c r="Z1508" s="15" t="n"/>
      <c r="AA1508" s="15" t="n"/>
      <c r="AB1508" s="15" t="n"/>
    </row>
    <row r="1509" ht="15" customHeight="1" s="12">
      <c r="A1509" s="14" t="n">
        <v>1508</v>
      </c>
      <c r="B1509" s="16" t="n">
        <v>40484</v>
      </c>
      <c r="C1509" s="15" t="n">
        <v>2010</v>
      </c>
      <c r="D1509" s="15" t="inlineStr">
        <is>
          <t>Palco Recycle Industries Limited</t>
        </is>
      </c>
      <c r="E1509" s="15" t="inlineStr">
        <is>
          <t>DRHP</t>
        </is>
      </c>
      <c r="F1509" s="15" t="inlineStr">
        <is>
          <t>Palco Recycle Industries Limited</t>
        </is>
      </c>
      <c r="G1509" s="15" t="inlineStr">
        <is>
          <t>No launched IPO found</t>
        </is>
      </c>
      <c r="H1509" s="15" t="n"/>
      <c r="I1509" s="16" t="n"/>
      <c r="J1509" s="16" t="n"/>
      <c r="K1509" s="16" t="n"/>
      <c r="L1509" s="17" t="n"/>
      <c r="M1509" s="17" t="n"/>
      <c r="N1509" s="17" t="n"/>
      <c r="O1509" s="15" t="n"/>
      <c r="P1509" s="15" t="n"/>
      <c r="Q1509" s="18" t="inlineStr">
        <is>
          <t>https://www.sebi.gov.in/sebi_data/attachdocs/1291275390498.pdf</t>
        </is>
      </c>
      <c r="R1509" s="18" t="inlineStr">
        <is>
          <t>https://www.sebi.gov.in/filings/public-issues/nov-2010/palco-recycle-industries-limited_7360.html</t>
        </is>
      </c>
      <c r="S1509" s="15" t="n"/>
      <c r="T1509" s="15" t="n"/>
      <c r="U1509" s="15" t="n"/>
      <c r="V1509" s="15" t="n"/>
      <c r="W1509" s="16" t="n"/>
      <c r="X1509" s="16" t="n"/>
      <c r="Y1509" s="16" t="n"/>
      <c r="Z1509" s="15" t="inlineStr">
        <is>
          <t>No issue found</t>
        </is>
      </c>
      <c r="AA1509" s="15" t="inlineStr">
        <is>
          <t>Only DRHP listing; no issue dates found.</t>
        </is>
      </c>
      <c r="AB1509" s="18" t="inlineStr">
        <is>
          <t>https://www.business-standard.com/markets/ipo/palco-recycle-industries-ltd-ipo-40477</t>
        </is>
      </c>
    </row>
    <row r="1510" ht="15" customHeight="1" s="12">
      <c r="A1510" s="14" t="n">
        <v>1509</v>
      </c>
      <c r="B1510" s="16" t="n">
        <v>40465</v>
      </c>
      <c r="C1510" s="15" t="n">
        <v>2010</v>
      </c>
      <c r="D1510" s="15" t="inlineStr">
        <is>
          <t>The Shipping Corporation of India Limited</t>
        </is>
      </c>
      <c r="E1510" s="15" t="inlineStr">
        <is>
          <t>DRHP</t>
        </is>
      </c>
      <c r="F1510" s="15" t="inlineStr">
        <is>
          <t>The Shipping Corporation of India Limited</t>
        </is>
      </c>
      <c r="G1510" s="15" t="inlineStr">
        <is>
          <t>IPO launched</t>
        </is>
      </c>
      <c r="H1510" s="15" t="inlineStr">
        <is>
          <t>Mainboard</t>
        </is>
      </c>
      <c r="I1510" s="16" t="n">
        <v>40512</v>
      </c>
      <c r="J1510" s="16" t="n">
        <v>40515</v>
      </c>
      <c r="K1510" s="16" t="n">
        <v>40527</v>
      </c>
      <c r="L1510" s="17" t="n">
        <v>1164.73</v>
      </c>
      <c r="M1510" s="17" t="n">
        <v>1164.73</v>
      </c>
      <c r="N1510" s="17" t="n">
        <v>0</v>
      </c>
      <c r="O1510" s="15" t="inlineStr">
        <is>
          <t>Final issue (ipoplatform)</t>
        </is>
      </c>
      <c r="P1510" s="15" t="n"/>
      <c r="Q1510" s="18" t="inlineStr">
        <is>
          <t>https://www.sebi.gov.in/sebi_data/attachdocs/1287654517123.pdf</t>
        </is>
      </c>
      <c r="R1510" s="18" t="inlineStr">
        <is>
          <t>https://www.sebi.gov.in/filings/public-issues/oct-2010/the-shipping-corporation-of-india-limited_313.html</t>
        </is>
      </c>
      <c r="S1510" s="15" t="n"/>
      <c r="T1510" s="15" t="inlineStr">
        <is>
          <t>Company name + date window</t>
        </is>
      </c>
      <c r="U1510" s="15" t="inlineStr">
        <is>
          <t>Shipping Corporation of India Limited</t>
        </is>
      </c>
      <c r="V1510" s="15" t="n"/>
      <c r="W1510" s="15" t="n"/>
      <c r="X1510" s="15" t="n"/>
      <c r="Y1510" s="15" t="n"/>
      <c r="Z1510" s="15" t="n"/>
      <c r="AA1510" s="15" t="n"/>
      <c r="AB1510" s="15" t="n"/>
    </row>
    <row r="1511" ht="15" customHeight="1" s="12">
      <c r="A1511" s="14" t="n">
        <v>1510</v>
      </c>
      <c r="B1511" s="16" t="n">
        <v>40456</v>
      </c>
      <c r="C1511" s="15" t="n">
        <v>2010</v>
      </c>
      <c r="D1511" s="15" t="inlineStr">
        <is>
          <t>Innoventive Industries Limited</t>
        </is>
      </c>
      <c r="E1511" s="15" t="inlineStr">
        <is>
          <t>DRHP</t>
        </is>
      </c>
      <c r="F1511" s="15" t="inlineStr">
        <is>
          <t>Innoventive Industries Limited</t>
        </is>
      </c>
      <c r="G1511" s="15" t="inlineStr">
        <is>
          <t>No launched IPO found</t>
        </is>
      </c>
      <c r="H1511" s="15" t="n"/>
      <c r="I1511" s="16" t="n"/>
      <c r="J1511" s="16" t="n"/>
      <c r="K1511" s="16" t="n"/>
      <c r="L1511" s="17" t="n"/>
      <c r="M1511" s="17" t="n"/>
      <c r="N1511" s="17" t="n"/>
      <c r="O1511" s="15" t="n"/>
      <c r="P1511" s="15" t="n"/>
      <c r="Q1511" s="18" t="inlineStr">
        <is>
          <t>https://www.sebi.gov.in/sebi_data/attachdocs/1294980299786.pdf</t>
        </is>
      </c>
      <c r="R1511" s="18" t="inlineStr">
        <is>
          <t>https://www.sebi.gov.in/filings/public-issues/oct-2010/innoventive-industries-limited_14275.html</t>
        </is>
      </c>
      <c r="S1511" s="15" t="n"/>
      <c r="T1511" s="15" t="n"/>
      <c r="U1511" s="15" t="n"/>
      <c r="V1511" s="15" t="n"/>
      <c r="W1511" s="19" t="n">
        <v>40659</v>
      </c>
      <c r="X1511" s="19" t="n">
        <v>40662</v>
      </c>
      <c r="Y1511" s="19" t="n"/>
      <c r="Z1511" s="20" t="inlineStr">
        <is>
          <t>Issue opened</t>
        </is>
      </c>
      <c r="AA1511" s="15" t="inlineStr">
        <is>
          <t>Matched on chittorgarh.com</t>
        </is>
      </c>
      <c r="AB1511" s="18" t="inlineStr">
        <is>
          <t>https://www.chittorgarh.com/ipo/innoventive_industries_ipo/303/</t>
        </is>
      </c>
    </row>
    <row r="1512" ht="15" customHeight="1" s="12">
      <c r="A1512" s="14" t="n">
        <v>1511</v>
      </c>
      <c r="B1512" s="16" t="n">
        <v>40456</v>
      </c>
      <c r="C1512" s="15" t="n">
        <v>2010</v>
      </c>
      <c r="D1512" s="15" t="inlineStr">
        <is>
          <t>Marck Biosciences Limited</t>
        </is>
      </c>
      <c r="E1512" s="15" t="inlineStr">
        <is>
          <t>DRHP</t>
        </is>
      </c>
      <c r="F1512" s="15" t="inlineStr">
        <is>
          <t>Marck Biosciences Limited</t>
        </is>
      </c>
      <c r="G1512" s="15" t="inlineStr">
        <is>
          <t>No launched IPO found</t>
        </is>
      </c>
      <c r="H1512" s="15" t="n"/>
      <c r="I1512" s="16" t="n"/>
      <c r="J1512" s="16" t="n"/>
      <c r="K1512" s="16" t="n"/>
      <c r="L1512" s="17" t="n"/>
      <c r="M1512" s="17" t="n"/>
      <c r="N1512" s="17" t="n"/>
      <c r="O1512" s="15" t="n"/>
      <c r="P1512" s="15" t="n"/>
      <c r="Q1512" s="18" t="inlineStr">
        <is>
          <t>https://www.sebi.gov.in/sebi_data/attachdocs/1287654560946.pdf</t>
        </is>
      </c>
      <c r="R1512" s="18" t="inlineStr">
        <is>
          <t>https://www.sebi.gov.in/filings/public-issues/oct-2010/marck-biosciences-limited_314.html</t>
        </is>
      </c>
      <c r="S1512" s="15" t="n"/>
      <c r="T1512" s="15" t="n"/>
      <c r="U1512" s="15" t="n"/>
      <c r="V1512" s="15" t="n"/>
      <c r="W1512" s="16" t="n"/>
      <c r="X1512" s="16" t="n"/>
      <c r="Y1512" s="16" t="n"/>
      <c r="Z1512" s="15" t="inlineStr">
        <is>
          <t>No issue found</t>
        </is>
      </c>
      <c r="AA1512" s="15" t="inlineStr">
        <is>
          <t>No IPO evidence found in search.</t>
        </is>
      </c>
      <c r="AB1512" s="15" t="n"/>
    </row>
    <row r="1513" ht="15" customHeight="1" s="12">
      <c r="A1513" s="14" t="n">
        <v>1512</v>
      </c>
      <c r="B1513" s="16" t="n">
        <v>40456</v>
      </c>
      <c r="C1513" s="15" t="n">
        <v>2010</v>
      </c>
      <c r="D1513" s="15" t="inlineStr">
        <is>
          <t>Micromax Informatics Limited</t>
        </is>
      </c>
      <c r="E1513" s="15" t="inlineStr">
        <is>
          <t>DRHP</t>
        </is>
      </c>
      <c r="F1513" s="15" t="inlineStr">
        <is>
          <t>Micromax Informatics Limited</t>
        </is>
      </c>
      <c r="G1513" s="15" t="inlineStr">
        <is>
          <t>No launched IPO found</t>
        </is>
      </c>
      <c r="H1513" s="15" t="n"/>
      <c r="I1513" s="16" t="n"/>
      <c r="J1513" s="16" t="n"/>
      <c r="K1513" s="16" t="n"/>
      <c r="L1513" s="17" t="n"/>
      <c r="M1513" s="17" t="n"/>
      <c r="N1513" s="17" t="n"/>
      <c r="O1513" s="15" t="n"/>
      <c r="P1513" s="15" t="n"/>
      <c r="Q1513" s="18" t="inlineStr">
        <is>
          <t>https://www.sebi.gov.in/sebi_data/attachdocs/1287654839515.pdf</t>
        </is>
      </c>
      <c r="R1513" s="18" t="inlineStr">
        <is>
          <t>https://www.sebi.gov.in/filings/public-issues/oct-2010/micromax-informatics-limited_319.html</t>
        </is>
      </c>
      <c r="S1513" s="15" t="n"/>
      <c r="T1513" s="15" t="n"/>
      <c r="U1513" s="15" t="n"/>
      <c r="V1513" s="15" t="n"/>
      <c r="W1513" s="16" t="n"/>
      <c r="X1513" s="16" t="n"/>
      <c r="Y1513" s="16" t="n"/>
      <c r="Z1513" s="15" t="inlineStr">
        <is>
          <t>Withdrawn / approval lapsed</t>
        </is>
      </c>
      <c r="AA1513" s="15" t="inlineStr">
        <is>
          <t>SEBI approval Jan 2011; IPO scrapped on poor sentiment; remains unlisted.</t>
        </is>
      </c>
      <c r="AB1513" s="18" t="inlineStr">
        <is>
          <t>https://www.business-standard.com/amp/article/markets/micromax-gets-sebi-nod-for-ipo-111011800198_1.html</t>
        </is>
      </c>
    </row>
    <row r="1514" ht="15" customHeight="1" s="12">
      <c r="A1514" s="14" t="n">
        <v>1513</v>
      </c>
      <c r="B1514" s="16" t="n">
        <v>40456</v>
      </c>
      <c r="C1514" s="15" t="n">
        <v>2010</v>
      </c>
      <c r="D1514" s="15" t="inlineStr">
        <is>
          <t>Nimbus Communications Limited</t>
        </is>
      </c>
      <c r="E1514" s="15" t="inlineStr">
        <is>
          <t>DRHP</t>
        </is>
      </c>
      <c r="F1514" s="15" t="inlineStr">
        <is>
          <t>Nimbus Communications Limited</t>
        </is>
      </c>
      <c r="G1514" s="15" t="inlineStr">
        <is>
          <t>No launched IPO found</t>
        </is>
      </c>
      <c r="H1514" s="15" t="n"/>
      <c r="I1514" s="16" t="n"/>
      <c r="J1514" s="16" t="n"/>
      <c r="K1514" s="16" t="n"/>
      <c r="L1514" s="17" t="n"/>
      <c r="M1514" s="17" t="n"/>
      <c r="N1514" s="17" t="n"/>
      <c r="O1514" s="15" t="n"/>
      <c r="P1514" s="15" t="n"/>
      <c r="Q1514" s="18" t="inlineStr">
        <is>
          <t>https://www.sebi.gov.in/sebi_data/attachdocs/1287654809561.pdf</t>
        </is>
      </c>
      <c r="R1514" s="18" t="inlineStr">
        <is>
          <t>https://www.sebi.gov.in/filings/public-issues/oct-2010/nimbus-communications-limited_318.html</t>
        </is>
      </c>
      <c r="S1514" s="15" t="n"/>
      <c r="T1514" s="15" t="n"/>
      <c r="U1514" s="15" t="n"/>
      <c r="V1514" s="15" t="n"/>
      <c r="W1514" s="16" t="n"/>
      <c r="X1514" s="16" t="n"/>
      <c r="Y1514" s="16" t="n"/>
      <c r="Z1514" s="15" t="inlineStr">
        <is>
          <t>No issue found</t>
        </is>
      </c>
      <c r="AA1514" s="15" t="inlineStr">
        <is>
          <t>Planned Jan/Feb 2011 IPO never happened; company later liquidated.</t>
        </is>
      </c>
      <c r="AB1514" s="18" t="inlineStr">
        <is>
          <t>https://www.business-standard.com/article/companies/nimbus-comm-to-raise-rs-900-cr-via-ipo-in-jan-110111100203_1.html</t>
        </is>
      </c>
    </row>
    <row r="1515" ht="15" customHeight="1" s="12">
      <c r="A1515" s="14" t="n">
        <v>1514</v>
      </c>
      <c r="B1515" s="16" t="n">
        <v>40456</v>
      </c>
      <c r="C1515" s="15" t="n">
        <v>2010</v>
      </c>
      <c r="D1515" s="15" t="inlineStr">
        <is>
          <t>Scotts Garments Limited</t>
        </is>
      </c>
      <c r="E1515" s="15" t="inlineStr">
        <is>
          <t>DRHP</t>
        </is>
      </c>
      <c r="F1515" s="15" t="inlineStr">
        <is>
          <t>Scotts Garments Limited</t>
        </is>
      </c>
      <c r="G1515" s="15" t="inlineStr">
        <is>
          <t>No launched IPO found</t>
        </is>
      </c>
      <c r="H1515" s="15" t="n"/>
      <c r="I1515" s="16" t="n"/>
      <c r="J1515" s="16" t="n"/>
      <c r="K1515" s="16" t="n"/>
      <c r="L1515" s="17" t="n"/>
      <c r="M1515" s="17" t="n"/>
      <c r="N1515" s="17" t="n"/>
      <c r="O1515" s="15" t="n"/>
      <c r="P1515" s="15" t="n"/>
      <c r="Q1515" s="18" t="inlineStr">
        <is>
          <t>https://www.sebi.gov.in/sebi_data/attachdocs/1287654699124.pdf</t>
        </is>
      </c>
      <c r="R1515" s="18" t="inlineStr">
        <is>
          <t>https://www.sebi.gov.in/filings/public-issues/oct-2010/scotts-garments-limited_316.html</t>
        </is>
      </c>
      <c r="S1515" s="15" t="n"/>
      <c r="T1515" s="15" t="n"/>
      <c r="U1515" s="15" t="n"/>
      <c r="V1515" s="15" t="n"/>
      <c r="W1515" s="19" t="n">
        <v>41389</v>
      </c>
      <c r="X1515" s="19" t="n">
        <v>41397</v>
      </c>
      <c r="Y1515" s="19" t="n"/>
      <c r="Z1515" s="20" t="inlineStr">
        <is>
          <t>Issue opened</t>
        </is>
      </c>
      <c r="AA1515" s="15" t="inlineStr">
        <is>
          <t>Matched on chittorgarh.com</t>
        </is>
      </c>
      <c r="AB1515" s="18" t="inlineStr">
        <is>
          <t>https://www.chittorgarh.com/ipo/scotts_garments_ipo/376/</t>
        </is>
      </c>
    </row>
    <row r="1516" ht="15" customHeight="1" s="12">
      <c r="A1516" s="14" t="n">
        <v>1515</v>
      </c>
      <c r="B1516" s="16" t="n">
        <v>40456</v>
      </c>
      <c r="C1516" s="15" t="n">
        <v>2010</v>
      </c>
      <c r="D1516" s="15" t="inlineStr">
        <is>
          <t>Sonear Industries Limited</t>
        </is>
      </c>
      <c r="E1516" s="15" t="inlineStr">
        <is>
          <t>DRHP</t>
        </is>
      </c>
      <c r="F1516" s="15" t="inlineStr">
        <is>
          <t>Sonear Industries Limited</t>
        </is>
      </c>
      <c r="G1516" s="15" t="inlineStr">
        <is>
          <t>No launched IPO found</t>
        </is>
      </c>
      <c r="H1516" s="15" t="n"/>
      <c r="I1516" s="16" t="n"/>
      <c r="J1516" s="16" t="n"/>
      <c r="K1516" s="16" t="n"/>
      <c r="L1516" s="17" t="n"/>
      <c r="M1516" s="17" t="n"/>
      <c r="N1516" s="17" t="n"/>
      <c r="O1516" s="15" t="n"/>
      <c r="P1516" s="15" t="n"/>
      <c r="Q1516" s="18" t="inlineStr">
        <is>
          <t>https://www.sebi.gov.in/sebi_data/attachdocs/1287654602793.pdf</t>
        </is>
      </c>
      <c r="R1516" s="18" t="inlineStr">
        <is>
          <t>https://www.sebi.gov.in/filings/public-issues/oct-2010/sonear-industries-limited_315.html</t>
        </is>
      </c>
      <c r="S1516" s="15" t="n"/>
      <c r="T1516" s="15" t="n"/>
      <c r="U1516" s="15" t="n"/>
      <c r="V1516" s="15" t="n"/>
      <c r="W1516" s="16" t="n"/>
      <c r="X1516" s="16" t="n"/>
      <c r="Y1516" s="16" t="n"/>
      <c r="Z1516" s="15" t="inlineStr">
        <is>
          <t>No issue found</t>
        </is>
      </c>
      <c r="AA1516" s="15" t="inlineStr">
        <is>
          <t>Only DRHP found; no issue evidence.</t>
        </is>
      </c>
      <c r="AB1516" s="15" t="n"/>
    </row>
    <row r="1517" ht="15" customHeight="1" s="12">
      <c r="A1517" s="14" t="n">
        <v>1516</v>
      </c>
      <c r="B1517" s="16" t="n">
        <v>40456</v>
      </c>
      <c r="C1517" s="15" t="n">
        <v>2010</v>
      </c>
      <c r="D1517" s="15" t="inlineStr">
        <is>
          <t>Tara Jewels Limited</t>
        </is>
      </c>
      <c r="E1517" s="15" t="inlineStr">
        <is>
          <t>DRHP</t>
        </is>
      </c>
      <c r="F1517" s="15" t="inlineStr">
        <is>
          <t>Tara Jewels Limited</t>
        </is>
      </c>
      <c r="G1517" s="15" t="inlineStr">
        <is>
          <t>No launched IPO found</t>
        </is>
      </c>
      <c r="H1517" s="15" t="n"/>
      <c r="I1517" s="16" t="n"/>
      <c r="J1517" s="16" t="n"/>
      <c r="K1517" s="16" t="n"/>
      <c r="L1517" s="17" t="n"/>
      <c r="M1517" s="17" t="n"/>
      <c r="N1517" s="17" t="n"/>
      <c r="O1517" s="15" t="n"/>
      <c r="P1517" s="15" t="n"/>
      <c r="Q1517" s="18" t="inlineStr">
        <is>
          <t>https://www.sebi.gov.in/sebi_data/attachdocs/1287654740400.pdf</t>
        </is>
      </c>
      <c r="R1517" s="18" t="inlineStr">
        <is>
          <t>https://www.sebi.gov.in/filings/public-issues/oct-2010/tara-jewels-limited_317.html</t>
        </is>
      </c>
      <c r="S1517" s="15" t="n"/>
      <c r="T1517" s="15" t="n"/>
      <c r="U1517" s="15" t="n"/>
      <c r="V1517" s="15" t="n"/>
      <c r="W1517" s="19" t="n">
        <v>41234</v>
      </c>
      <c r="X1517" s="19" t="n">
        <v>41236</v>
      </c>
      <c r="Y1517" s="19" t="n"/>
      <c r="Z1517" s="20" t="inlineStr">
        <is>
          <t>Issue opened</t>
        </is>
      </c>
      <c r="AA1517" s="15" t="inlineStr">
        <is>
          <t>Matched on chittorgarh.com</t>
        </is>
      </c>
      <c r="AB1517" s="18" t="inlineStr">
        <is>
          <t>https://www.chittorgarh.com/ipo/tara_jewels_ipo/356/</t>
        </is>
      </c>
    </row>
    <row r="1518" ht="15" customHeight="1" s="12">
      <c r="A1518" s="14" t="n">
        <v>1517</v>
      </c>
      <c r="B1518" s="16" t="n">
        <v>40455</v>
      </c>
      <c r="C1518" s="15" t="n">
        <v>2010</v>
      </c>
      <c r="D1518" s="15" t="inlineStr">
        <is>
          <t>Emaar MGF Land Limited</t>
        </is>
      </c>
      <c r="E1518" s="15" t="inlineStr">
        <is>
          <t>DRHP</t>
        </is>
      </c>
      <c r="F1518" s="15" t="inlineStr">
        <is>
          <t>Emaar MGF Land Limited</t>
        </is>
      </c>
      <c r="G1518" s="15" t="inlineStr">
        <is>
          <t>No launched IPO found</t>
        </is>
      </c>
      <c r="H1518" s="15" t="n"/>
      <c r="I1518" s="16" t="n"/>
      <c r="J1518" s="16" t="n"/>
      <c r="K1518" s="16" t="n"/>
      <c r="L1518" s="17" t="n"/>
      <c r="M1518" s="17" t="n"/>
      <c r="N1518" s="17" t="n"/>
      <c r="O1518" s="15" t="n"/>
      <c r="P1518" s="15" t="n"/>
      <c r="Q1518" s="18" t="inlineStr">
        <is>
          <t>https://www.sebi.gov.in/sebi_data/attachdocs/1287654998251.pdf</t>
        </is>
      </c>
      <c r="R1518" s="18" t="inlineStr">
        <is>
          <t>https://www.sebi.gov.in/filings/public-issues/oct-2010/emaar-mgf-land-limited_323.html</t>
        </is>
      </c>
      <c r="S1518" s="15" t="n"/>
      <c r="T1518" s="15" t="n"/>
      <c r="U1518" s="15" t="n"/>
      <c r="V1518" s="15" t="n"/>
      <c r="W1518" s="16" t="n"/>
      <c r="X1518" s="16" t="n"/>
      <c r="Y1518" s="16" t="n"/>
      <c r="Z1518" s="15" t="inlineStr">
        <is>
          <t>Withdrawn / approval lapsed</t>
        </is>
      </c>
      <c r="AA1518" s="15" t="inlineStr">
        <is>
          <t>Opened 2008-02-01, scheduled close 2008-02-11; withdrawn by lead managers, never listed.</t>
        </is>
      </c>
      <c r="AB1518" s="18" t="inlineStr">
        <is>
          <t>https://www.chittorgarh.com/ipo/mgf_ipo/152/</t>
        </is>
      </c>
    </row>
    <row r="1519" ht="15" customHeight="1" s="12">
      <c r="A1519" s="14" t="n">
        <v>1518</v>
      </c>
      <c r="B1519" s="16" t="n">
        <v>40455</v>
      </c>
      <c r="C1519" s="15" t="n">
        <v>2010</v>
      </c>
      <c r="D1519" s="15" t="inlineStr">
        <is>
          <t>Muthoot Finance Limited</t>
        </is>
      </c>
      <c r="E1519" s="15" t="inlineStr">
        <is>
          <t>DRHP</t>
        </is>
      </c>
      <c r="F1519" s="15" t="inlineStr">
        <is>
          <t>Muthoot Finance Limited</t>
        </is>
      </c>
      <c r="G1519" s="15" t="inlineStr">
        <is>
          <t>IPO launched</t>
        </is>
      </c>
      <c r="H1519" s="15" t="inlineStr">
        <is>
          <t>Mainboard</t>
        </is>
      </c>
      <c r="I1519" s="16" t="n">
        <v>40651</v>
      </c>
      <c r="J1519" s="16" t="n">
        <v>40654</v>
      </c>
      <c r="K1519" s="16" t="n">
        <v>40669</v>
      </c>
      <c r="L1519" s="17" t="n">
        <v>901.25</v>
      </c>
      <c r="M1519" s="17" t="n">
        <v>901.25</v>
      </c>
      <c r="N1519" s="17" t="n">
        <v>0</v>
      </c>
      <c r="O1519" s="15" t="inlineStr">
        <is>
          <t>Final issue (ipoplatform)</t>
        </is>
      </c>
      <c r="P1519" s="15" t="n"/>
      <c r="Q1519" s="18" t="inlineStr">
        <is>
          <t>https://www.sebi.gov.in/sebi_data/attachdocs/1287654921886.pdf</t>
        </is>
      </c>
      <c r="R1519" s="18" t="inlineStr">
        <is>
          <t>https://www.sebi.gov.in/filings/public-issues/oct-2010/muthoot-finance-limited_321.html</t>
        </is>
      </c>
      <c r="S1519" s="15" t="n"/>
      <c r="T1519" s="15" t="inlineStr">
        <is>
          <t>SEBI filing link</t>
        </is>
      </c>
      <c r="U1519" s="15" t="inlineStr">
        <is>
          <t>Muthoot Finance Limited</t>
        </is>
      </c>
      <c r="V1519" s="15" t="n"/>
      <c r="W1519" s="15" t="n"/>
      <c r="X1519" s="15" t="n"/>
      <c r="Y1519" s="15" t="n"/>
      <c r="Z1519" s="15" t="n"/>
      <c r="AA1519" s="15" t="n"/>
      <c r="AB1519" s="15" t="n"/>
    </row>
    <row r="1520" ht="15" customHeight="1" s="12">
      <c r="A1520" s="14" t="n">
        <v>1519</v>
      </c>
      <c r="B1520" s="16" t="n">
        <v>40455</v>
      </c>
      <c r="C1520" s="15" t="n">
        <v>2010</v>
      </c>
      <c r="D1520" s="15" t="inlineStr">
        <is>
          <t>Pride Hotels Limited</t>
        </is>
      </c>
      <c r="E1520" s="15" t="inlineStr">
        <is>
          <t>DRHP</t>
        </is>
      </c>
      <c r="F1520" s="15" t="inlineStr">
        <is>
          <t>Pride Hotels Limited</t>
        </is>
      </c>
      <c r="G1520" s="15" t="inlineStr">
        <is>
          <t>No launched IPO found</t>
        </is>
      </c>
      <c r="H1520" s="15" t="n"/>
      <c r="I1520" s="16" t="n"/>
      <c r="J1520" s="16" t="n"/>
      <c r="K1520" s="16" t="n"/>
      <c r="L1520" s="17" t="n"/>
      <c r="M1520" s="17" t="n"/>
      <c r="N1520" s="17" t="n"/>
      <c r="O1520" s="15" t="n"/>
      <c r="P1520" s="15" t="n"/>
      <c r="Q1520" s="18" t="inlineStr">
        <is>
          <t>https://www.sebi.gov.in/sebi_data/attachdocs/1287655077290.pdf</t>
        </is>
      </c>
      <c r="R1520" s="18" t="inlineStr">
        <is>
          <t>https://www.sebi.gov.in/filings/public-issues/oct-2010/pride-hotels-limited_325.html</t>
        </is>
      </c>
      <c r="S1520" s="15" t="n"/>
      <c r="T1520" s="15" t="n"/>
      <c r="U1520" s="15" t="n"/>
      <c r="V1520" s="15" t="n"/>
      <c r="W1520" s="16" t="n"/>
      <c r="X1520" s="16" t="n"/>
      <c r="Y1520" s="16" t="n"/>
      <c r="Z1520" s="15" t="inlineStr">
        <is>
          <t>No issue found</t>
        </is>
      </c>
      <c r="AA1520" s="15" t="inlineStr">
        <is>
          <t>SEBI nod Jan-2026; company targets launch by Dec-2026; no dates</t>
        </is>
      </c>
      <c r="AB1520" s="18" t="inlineStr">
        <is>
          <t>https://www.chittorgarh.com/ipo/pride-hotels-ipo/2683/</t>
        </is>
      </c>
    </row>
    <row r="1521" ht="15" customHeight="1" s="12">
      <c r="A1521" s="14" t="n">
        <v>1520</v>
      </c>
      <c r="B1521" s="16" t="n">
        <v>40455</v>
      </c>
      <c r="C1521" s="15" t="n">
        <v>2010</v>
      </c>
      <c r="D1521" s="15" t="inlineStr">
        <is>
          <t>Tara Health Foods Limited</t>
        </is>
      </c>
      <c r="E1521" s="15" t="inlineStr">
        <is>
          <t>DRHP</t>
        </is>
      </c>
      <c r="F1521" s="15" t="inlineStr">
        <is>
          <t>Tara Health Foods Limited</t>
        </is>
      </c>
      <c r="G1521" s="15" t="inlineStr">
        <is>
          <t>No launched IPO found</t>
        </is>
      </c>
      <c r="H1521" s="15" t="n"/>
      <c r="I1521" s="16" t="n"/>
      <c r="J1521" s="16" t="n"/>
      <c r="K1521" s="16" t="n"/>
      <c r="L1521" s="17" t="n"/>
      <c r="M1521" s="17" t="n"/>
      <c r="N1521" s="17" t="n"/>
      <c r="O1521" s="15" t="n"/>
      <c r="P1521" s="15" t="n"/>
      <c r="Q1521" s="18" t="inlineStr">
        <is>
          <t>https://www.sebi.gov.in/sebi_data/attachdocs/1287654953690.pdf</t>
        </is>
      </c>
      <c r="R1521" s="18" t="inlineStr">
        <is>
          <t>https://www.sebi.gov.in/filings/public-issues/oct-2010/tara-health-foods-limited_322.html</t>
        </is>
      </c>
      <c r="S1521" s="15" t="n"/>
      <c r="T1521" s="15" t="n"/>
      <c r="U1521" s="15" t="n"/>
      <c r="V1521" s="15" t="n"/>
      <c r="W1521" s="16" t="n"/>
      <c r="X1521" s="16" t="n"/>
      <c r="Y1521" s="16" t="n"/>
      <c r="Z1521" s="15" t="inlineStr">
        <is>
          <t>Withdrawn / approval lapsed</t>
        </is>
      </c>
      <c r="AA1521" s="15" t="inlineStr">
        <is>
          <t>IPO planned Apr 2010 (before first_filed), withdrawn after poor response; no later issue found.</t>
        </is>
      </c>
      <c r="AB1521" s="18" t="inlineStr">
        <is>
          <t>https://www.chittorgarh.com/ipo/tara_health_ipo/244/</t>
        </is>
      </c>
    </row>
    <row r="1522" ht="15" customHeight="1" s="12">
      <c r="A1522" s="14" t="n">
        <v>1521</v>
      </c>
      <c r="B1522" s="16" t="n">
        <v>40455</v>
      </c>
      <c r="C1522" s="15" t="n">
        <v>2010</v>
      </c>
      <c r="D1522" s="15" t="inlineStr">
        <is>
          <t>Tijaria Polypipes Limited</t>
        </is>
      </c>
      <c r="E1522" s="15" t="inlineStr">
        <is>
          <t>DRHP</t>
        </is>
      </c>
      <c r="F1522" s="15" t="inlineStr">
        <is>
          <t>Tijaria Polypipes Limited</t>
        </is>
      </c>
      <c r="G1522" s="15" t="inlineStr">
        <is>
          <t>IPO launched</t>
        </is>
      </c>
      <c r="H1522" s="15" t="inlineStr">
        <is>
          <t>Mainboard</t>
        </is>
      </c>
      <c r="I1522" s="16" t="n">
        <v>40813</v>
      </c>
      <c r="J1522" s="16" t="n">
        <v>40815</v>
      </c>
      <c r="K1522" s="16" t="n">
        <v>40830</v>
      </c>
      <c r="L1522" s="17" t="n">
        <v>60</v>
      </c>
      <c r="M1522" s="17" t="n">
        <v>60</v>
      </c>
      <c r="N1522" s="17" t="n">
        <v>0</v>
      </c>
      <c r="O1522" s="15" t="inlineStr">
        <is>
          <t>Final issue (ipoplatform)</t>
        </is>
      </c>
      <c r="P1522" s="15" t="n"/>
      <c r="Q1522" s="18" t="inlineStr">
        <is>
          <t>https://www.sebi.gov.in/sebi_data/attachdocs/1287654874093.pdf</t>
        </is>
      </c>
      <c r="R1522" s="18" t="inlineStr">
        <is>
          <t>https://www.sebi.gov.in/filings/public-issues/oct-2010/tijaria-polypipes-limited_320.html</t>
        </is>
      </c>
      <c r="S1522" s="15" t="n"/>
      <c r="T1522" s="15" t="inlineStr">
        <is>
          <t>SEBI filing link</t>
        </is>
      </c>
      <c r="U1522" s="15" t="inlineStr">
        <is>
          <t>Tijaria Polypipes Limited</t>
        </is>
      </c>
      <c r="V1522" s="15" t="n"/>
      <c r="W1522" s="15" t="n"/>
      <c r="X1522" s="15" t="n"/>
      <c r="Y1522" s="15" t="n"/>
      <c r="Z1522" s="15" t="n"/>
      <c r="AA1522" s="15" t="n"/>
      <c r="AB1522" s="15" t="n"/>
    </row>
    <row r="1523" ht="15" customHeight="1" s="12">
      <c r="A1523" s="14" t="n">
        <v>1522</v>
      </c>
      <c r="B1523" s="16" t="n">
        <v>40455</v>
      </c>
      <c r="C1523" s="15" t="n">
        <v>2010</v>
      </c>
      <c r="D1523" s="15" t="inlineStr">
        <is>
          <t>Unijules Life Science Limited</t>
        </is>
      </c>
      <c r="E1523" s="15" t="inlineStr">
        <is>
          <t>DRHP</t>
        </is>
      </c>
      <c r="F1523" s="15" t="inlineStr">
        <is>
          <t>Unijules Life Science Limited</t>
        </is>
      </c>
      <c r="G1523" s="15" t="inlineStr">
        <is>
          <t>No launched IPO found</t>
        </is>
      </c>
      <c r="H1523" s="15" t="n"/>
      <c r="I1523" s="16" t="n"/>
      <c r="J1523" s="16" t="n"/>
      <c r="K1523" s="16" t="n"/>
      <c r="L1523" s="17" t="n"/>
      <c r="M1523" s="17" t="n"/>
      <c r="N1523" s="17" t="n"/>
      <c r="O1523" s="15" t="n"/>
      <c r="P1523" s="15" t="n"/>
      <c r="Q1523" s="18" t="inlineStr">
        <is>
          <t>https://www.sebi.gov.in/sebi_data/attachdocs/1287655027066.pdf</t>
        </is>
      </c>
      <c r="R1523" s="18" t="inlineStr">
        <is>
          <t>https://www.sebi.gov.in/filings/public-issues/oct-2010/unijules-life-science-limited_324.html</t>
        </is>
      </c>
      <c r="S1523" s="15" t="n"/>
      <c r="T1523" s="15" t="n"/>
      <c r="U1523" s="15" t="n"/>
      <c r="V1523" s="15" t="n"/>
      <c r="W1523" s="16" t="n"/>
      <c r="X1523" s="16" t="n"/>
      <c r="Y1523" s="16" t="n"/>
      <c r="Z1523" s="15" t="inlineStr">
        <is>
          <t>No issue found</t>
        </is>
      </c>
      <c r="AA1523" s="15" t="inlineStr">
        <is>
          <t>No issue dates found; company later under CIRP.</t>
        </is>
      </c>
      <c r="AB1523" s="15" t="n"/>
    </row>
    <row r="1524" ht="15" customHeight="1" s="12">
      <c r="A1524" s="14" t="n">
        <v>1523</v>
      </c>
      <c r="B1524" s="16" t="n">
        <v>40452</v>
      </c>
      <c r="C1524" s="15" t="n">
        <v>2010</v>
      </c>
      <c r="D1524" s="15" t="inlineStr">
        <is>
          <t>Endurance Technologies Limited</t>
        </is>
      </c>
      <c r="E1524" s="15" t="inlineStr">
        <is>
          <t>DRHP</t>
        </is>
      </c>
      <c r="F1524" s="15" t="inlineStr">
        <is>
          <t>Endurance Technologies Limited</t>
        </is>
      </c>
      <c r="G1524" s="15" t="inlineStr">
        <is>
          <t>No launched IPO found</t>
        </is>
      </c>
      <c r="H1524" s="15" t="n"/>
      <c r="I1524" s="16" t="n"/>
      <c r="J1524" s="16" t="n"/>
      <c r="K1524" s="16" t="n"/>
      <c r="L1524" s="17" t="n"/>
      <c r="M1524" s="17" t="n"/>
      <c r="N1524" s="17" t="n"/>
      <c r="O1524" s="15" t="n"/>
      <c r="P1524" s="15" t="n"/>
      <c r="Q1524" s="18" t="inlineStr">
        <is>
          <t>https://www.sebi.gov.in/sebi_data/attachdocs/1287656094596.pdf</t>
        </is>
      </c>
      <c r="R1524" s="18" t="inlineStr">
        <is>
          <t>https://www.sebi.gov.in/filings/public-issues/oct-2010/endurance-technologies-limited_327.html</t>
        </is>
      </c>
      <c r="S1524" s="15" t="n"/>
      <c r="T1524" s="15" t="n"/>
      <c r="U1524" s="15" t="n"/>
      <c r="V1524" s="15" t="inlineStr">
        <is>
          <t>Same-name IPO opened 05-Oct-2016 — outside 2 years of this filing, so not linked</t>
        </is>
      </c>
      <c r="W1524" s="25" t="n">
        <v>42648</v>
      </c>
      <c r="X1524" s="25" t="n">
        <v>42650</v>
      </c>
      <c r="Y1524" s="25" t="n">
        <v>42662</v>
      </c>
      <c r="Z1524" s="26" t="inlineStr">
        <is>
          <t>Later IPO — not from this draft</t>
        </is>
      </c>
      <c r="AA1524" s="15" t="inlineStr">
        <is>
          <t>IPO opened over 3 years after last_filed (2010); likely a fresh DRHP.</t>
        </is>
      </c>
      <c r="AB1524" s="18" t="inlineStr">
        <is>
          <t>https://www.chittorgarh.com/ipo/endurance-technologies-ipo/593/</t>
        </is>
      </c>
    </row>
    <row r="1525" ht="15" customHeight="1" s="12">
      <c r="A1525" s="14" t="n">
        <v>1524</v>
      </c>
      <c r="B1525" s="16" t="n">
        <v>40452</v>
      </c>
      <c r="C1525" s="15" t="n">
        <v>2010</v>
      </c>
      <c r="D1525" s="15" t="inlineStr">
        <is>
          <t>Vaswani Industries Limited</t>
        </is>
      </c>
      <c r="E1525" s="15" t="inlineStr">
        <is>
          <t>DRHP</t>
        </is>
      </c>
      <c r="F1525" s="15" t="inlineStr">
        <is>
          <t>Vaswani Industries Limited</t>
        </is>
      </c>
      <c r="G1525" s="15" t="inlineStr">
        <is>
          <t>IPO launched</t>
        </is>
      </c>
      <c r="H1525" s="15" t="inlineStr">
        <is>
          <t>Mainboard</t>
        </is>
      </c>
      <c r="I1525" s="16" t="n">
        <v>40662</v>
      </c>
      <c r="J1525" s="16" t="n">
        <v>40666</v>
      </c>
      <c r="K1525" s="16" t="n"/>
      <c r="L1525" s="17" t="n">
        <v>49</v>
      </c>
      <c r="M1525" s="17" t="n">
        <v>49</v>
      </c>
      <c r="N1525" s="17" t="n">
        <v>0</v>
      </c>
      <c r="O1525" s="15" t="inlineStr">
        <is>
          <t>Final issue (ipoplatform)</t>
        </is>
      </c>
      <c r="P1525" s="15" t="n"/>
      <c r="Q1525" s="18" t="inlineStr">
        <is>
          <t>https://www.sebi.gov.in/sebi_data/attachdocs/1287656054703.pdf</t>
        </is>
      </c>
      <c r="R1525" s="18" t="inlineStr">
        <is>
          <t>https://www.sebi.gov.in/filings/public-issues/oct-2010/vaswani-industries-limited_326.html</t>
        </is>
      </c>
      <c r="S1525" s="15" t="n"/>
      <c r="T1525" s="15" t="inlineStr">
        <is>
          <t>SEBI filing link</t>
        </is>
      </c>
      <c r="U1525" s="15" t="inlineStr">
        <is>
          <t>Vaswani Industries Limited</t>
        </is>
      </c>
      <c r="V1525" s="15" t="inlineStr">
        <is>
          <t>CHECK — source close/listing date inconsistent with open date</t>
        </is>
      </c>
      <c r="W1525" s="15" t="n"/>
      <c r="X1525" s="15" t="n"/>
      <c r="Y1525" s="15" t="n"/>
      <c r="Z1525" s="15" t="n"/>
      <c r="AA1525" s="15" t="n"/>
      <c r="AB1525" s="15" t="n"/>
    </row>
    <row r="1526" ht="15" customHeight="1" s="12">
      <c r="A1526" s="14" t="n">
        <v>1525</v>
      </c>
      <c r="B1526" s="16" t="n">
        <v>40451</v>
      </c>
      <c r="C1526" s="15" t="n">
        <v>2010</v>
      </c>
      <c r="D1526" s="15" t="inlineStr">
        <is>
          <t>Hindustan Copper Limited</t>
        </is>
      </c>
      <c r="E1526" s="15" t="inlineStr">
        <is>
          <t>DRHP</t>
        </is>
      </c>
      <c r="F1526" s="15" t="inlineStr">
        <is>
          <t>Hindustan Copper Limited</t>
        </is>
      </c>
      <c r="G1526" s="15" t="inlineStr">
        <is>
          <t>No launched IPO found</t>
        </is>
      </c>
      <c r="H1526" s="15" t="n"/>
      <c r="I1526" s="16" t="n"/>
      <c r="J1526" s="16" t="n"/>
      <c r="K1526" s="16" t="n"/>
      <c r="L1526" s="17" t="n"/>
      <c r="M1526" s="17" t="n"/>
      <c r="N1526" s="17" t="n"/>
      <c r="O1526" s="15" t="n"/>
      <c r="P1526" s="15" t="n"/>
      <c r="Q1526" s="18" t="inlineStr">
        <is>
          <t>https://www.sebi.gov.in/sebi_data/attachdocs/1287642829235.pdf</t>
        </is>
      </c>
      <c r="R1526" s="18" t="inlineStr">
        <is>
          <t>https://www.sebi.gov.in/filings/public-issues/sep-2010/hindustan-copper-limited_236.html</t>
        </is>
      </c>
      <c r="S1526" s="15" t="n"/>
      <c r="T1526" s="15" t="n"/>
      <c r="U1526" s="15" t="n"/>
      <c r="V1526" s="15" t="n"/>
      <c r="W1526" s="16" t="n"/>
      <c r="X1526" s="16" t="n"/>
      <c r="Y1526" s="16" t="n"/>
      <c r="Z1526" s="15" t="inlineStr">
        <is>
          <t>No issue found</t>
        </is>
      </c>
      <c r="AA1526" s="15" t="inlineStr">
        <is>
          <t>Planned 2010 FPO not found; only later OFS (2012/2013) which are not FPOs.</t>
        </is>
      </c>
      <c r="AB1526" s="18" t="inlineStr">
        <is>
          <t>https://www.business-standard.com/article/companies/hind-copper-files-draft-prospectus-for-20-fpo-110092700185_1.html</t>
        </is>
      </c>
    </row>
    <row r="1527" ht="15" customHeight="1" s="12">
      <c r="A1527" s="14" t="n">
        <v>1526</v>
      </c>
      <c r="B1527" s="16" t="n">
        <v>40451</v>
      </c>
      <c r="C1527" s="15" t="n">
        <v>2010</v>
      </c>
      <c r="D1527" s="15" t="inlineStr">
        <is>
          <t>Sanghvi Forging and Engineering Ltd</t>
        </is>
      </c>
      <c r="E1527" s="15" t="inlineStr">
        <is>
          <t>DRHP</t>
        </is>
      </c>
      <c r="F1527" s="15" t="inlineStr">
        <is>
          <t>Sanghvi Forging and Engineering Ltd</t>
        </is>
      </c>
      <c r="G1527" s="15" t="inlineStr">
        <is>
          <t>IPO launched</t>
        </is>
      </c>
      <c r="H1527" s="15" t="inlineStr">
        <is>
          <t>Mainboard</t>
        </is>
      </c>
      <c r="I1527" s="16" t="n">
        <v>40667</v>
      </c>
      <c r="J1527" s="16" t="n">
        <v>40672</v>
      </c>
      <c r="K1527" s="16" t="n">
        <v>40686</v>
      </c>
      <c r="L1527" s="17" t="n">
        <v>36.9</v>
      </c>
      <c r="M1527" s="17" t="n">
        <v>36.9</v>
      </c>
      <c r="N1527" s="17" t="n">
        <v>0</v>
      </c>
      <c r="O1527" s="15" t="inlineStr">
        <is>
          <t>Final issue (ipoplatform)</t>
        </is>
      </c>
      <c r="P1527" s="15" t="n"/>
      <c r="Q1527" s="18" t="inlineStr">
        <is>
          <t>https://www.sebi.gov.in/sebi_data/attachdocs/1287642764803.pdf</t>
        </is>
      </c>
      <c r="R1527" s="18" t="inlineStr">
        <is>
          <t>https://www.sebi.gov.in/filings/public-issues/sep-2010/sanghvi-forging-and-engineering-ltd_235.html</t>
        </is>
      </c>
      <c r="S1527" s="15" t="n"/>
      <c r="T1527" s="15" t="inlineStr">
        <is>
          <t>SEBI filing link</t>
        </is>
      </c>
      <c r="U1527" s="15" t="inlineStr">
        <is>
          <t>Sanghvi Forging &amp; Engineering Limited</t>
        </is>
      </c>
      <c r="V1527" s="15" t="n"/>
      <c r="W1527" s="15" t="n"/>
      <c r="X1527" s="15" t="n"/>
      <c r="Y1527" s="15" t="n"/>
      <c r="Z1527" s="15" t="n"/>
      <c r="AA1527" s="15" t="n"/>
      <c r="AB1527" s="15" t="n"/>
    </row>
    <row r="1528" ht="15" customHeight="1" s="12">
      <c r="A1528" s="14" t="n">
        <v>1527</v>
      </c>
      <c r="B1528" s="16" t="n">
        <v>40450</v>
      </c>
      <c r="C1528" s="15" t="n">
        <v>2010</v>
      </c>
      <c r="D1528" s="15" t="inlineStr">
        <is>
          <t>Fineotex Chemical Limited</t>
        </is>
      </c>
      <c r="E1528" s="15" t="inlineStr">
        <is>
          <t>DRHP</t>
        </is>
      </c>
      <c r="F1528" s="15" t="inlineStr">
        <is>
          <t>Fineotex Chemical Limited</t>
        </is>
      </c>
      <c r="G1528" s="15" t="inlineStr">
        <is>
          <t>IPO launched</t>
        </is>
      </c>
      <c r="H1528" s="15" t="inlineStr">
        <is>
          <t>Mainboard</t>
        </is>
      </c>
      <c r="I1528" s="16" t="n">
        <v>40597</v>
      </c>
      <c r="J1528" s="16" t="n">
        <v>40599</v>
      </c>
      <c r="K1528" s="16" t="n">
        <v>40613</v>
      </c>
      <c r="L1528" s="17" t="n">
        <v>29.48</v>
      </c>
      <c r="M1528" s="17" t="n">
        <v>29.48</v>
      </c>
      <c r="N1528" s="17" t="n">
        <v>0</v>
      </c>
      <c r="O1528" s="15" t="inlineStr">
        <is>
          <t>Final issue (ipoplatform)</t>
        </is>
      </c>
      <c r="P1528" s="15" t="n"/>
      <c r="Q1528" s="18" t="inlineStr">
        <is>
          <t>https://www.sebi.gov.in/sebi_data/attachdocs/1287642884321.pdf</t>
        </is>
      </c>
      <c r="R1528" s="18" t="inlineStr">
        <is>
          <t>https://www.sebi.gov.in/filings/public-issues/sep-2010/fineotex-chemical-limited_237.html</t>
        </is>
      </c>
      <c r="S1528" s="15" t="n"/>
      <c r="T1528" s="15" t="inlineStr">
        <is>
          <t>SEBI filing link</t>
        </is>
      </c>
      <c r="U1528" s="15" t="inlineStr">
        <is>
          <t>Fineotex Chemical Limited</t>
        </is>
      </c>
      <c r="V1528" s="15" t="n"/>
      <c r="W1528" s="15" t="n"/>
      <c r="X1528" s="15" t="n"/>
      <c r="Y1528" s="15" t="n"/>
      <c r="Z1528" s="15" t="n"/>
      <c r="AA1528" s="15" t="n"/>
      <c r="AB1528" s="15" t="n"/>
    </row>
    <row r="1529" ht="15" customHeight="1" s="12">
      <c r="A1529" s="14" t="n">
        <v>1528</v>
      </c>
      <c r="B1529" s="16" t="n">
        <v>40450</v>
      </c>
      <c r="C1529" s="15" t="n">
        <v>2010</v>
      </c>
      <c r="D1529" s="15" t="inlineStr">
        <is>
          <t>L and T Finance Holdings Limited</t>
        </is>
      </c>
      <c r="E1529" s="15" t="inlineStr">
        <is>
          <t>DRHP</t>
        </is>
      </c>
      <c r="F1529" s="15" t="inlineStr">
        <is>
          <t>L and T Finance Holdings Limited</t>
        </is>
      </c>
      <c r="G1529" s="15" t="inlineStr">
        <is>
          <t>IPO launched</t>
        </is>
      </c>
      <c r="H1529" s="15" t="inlineStr">
        <is>
          <t>Mainboard</t>
        </is>
      </c>
      <c r="I1529" s="16" t="n">
        <v>40751</v>
      </c>
      <c r="J1529" s="16" t="n">
        <v>40753</v>
      </c>
      <c r="K1529" s="16" t="n">
        <v>40767</v>
      </c>
      <c r="L1529" s="17" t="n">
        <v>1245</v>
      </c>
      <c r="M1529" s="17" t="n">
        <v>1245</v>
      </c>
      <c r="N1529" s="17" t="n">
        <v>0</v>
      </c>
      <c r="O1529" s="15" t="inlineStr">
        <is>
          <t>Final issue (ipoplatform)</t>
        </is>
      </c>
      <c r="P1529" s="15" t="n"/>
      <c r="Q1529" s="18" t="inlineStr">
        <is>
          <t>https://www.sebi.gov.in/sebi_data/attachdocs/1287470499930.pdf</t>
        </is>
      </c>
      <c r="R1529" s="18" t="inlineStr">
        <is>
          <t>https://www.sebi.gov.in/filings/public-issues/sep-2010/l-and-t-finance-holdings-limited_137.html</t>
        </is>
      </c>
      <c r="S1529" s="15" t="n"/>
      <c r="T1529" s="15" t="inlineStr">
        <is>
          <t>Company name + date window</t>
        </is>
      </c>
      <c r="U1529" s="15" t="inlineStr">
        <is>
          <t>L&amp;T Finance Holdings Limited</t>
        </is>
      </c>
      <c r="V1529" s="15" t="n"/>
      <c r="W1529" s="15" t="n"/>
      <c r="X1529" s="15" t="n"/>
      <c r="Y1529" s="15" t="n"/>
      <c r="Z1529" s="15" t="n"/>
      <c r="AA1529" s="15" t="n"/>
      <c r="AB1529" s="15" t="n"/>
    </row>
    <row r="1530" ht="15" customHeight="1" s="12">
      <c r="A1530" s="14" t="n">
        <v>1529</v>
      </c>
      <c r="B1530" s="16" t="n">
        <v>40450</v>
      </c>
      <c r="C1530" s="15" t="n">
        <v>2010</v>
      </c>
      <c r="D1530" s="15" t="inlineStr">
        <is>
          <t>MOIL Limited</t>
        </is>
      </c>
      <c r="E1530" s="15" t="inlineStr">
        <is>
          <t>DRHP</t>
        </is>
      </c>
      <c r="F1530" s="15" t="inlineStr">
        <is>
          <t>MOIL Limited</t>
        </is>
      </c>
      <c r="G1530" s="15" t="inlineStr">
        <is>
          <t>IPO launched</t>
        </is>
      </c>
      <c r="H1530" s="15" t="inlineStr">
        <is>
          <t>Mainboard</t>
        </is>
      </c>
      <c r="I1530" s="16" t="n">
        <v>40508</v>
      </c>
      <c r="J1530" s="16" t="n">
        <v>40513</v>
      </c>
      <c r="K1530" s="16" t="n">
        <v>40527</v>
      </c>
      <c r="L1530" s="17" t="n">
        <v>1237.51</v>
      </c>
      <c r="M1530" s="17" t="n">
        <v>1237.51</v>
      </c>
      <c r="N1530" s="17" t="n">
        <v>0</v>
      </c>
      <c r="O1530" s="15" t="inlineStr">
        <is>
          <t>Final issue (ipoplatform)</t>
        </is>
      </c>
      <c r="P1530" s="15" t="n"/>
      <c r="Q1530" s="18" t="inlineStr">
        <is>
          <t>https://www.sebi.gov.in/sebi_data/attachdocs/1287470583846.pdf</t>
        </is>
      </c>
      <c r="R1530" s="18" t="inlineStr">
        <is>
          <t>https://www.sebi.gov.in/filings/public-issues/sep-2010/moil-limited_138.html</t>
        </is>
      </c>
      <c r="S1530" s="15" t="n"/>
      <c r="T1530" s="15" t="inlineStr">
        <is>
          <t>SEBI filing link</t>
        </is>
      </c>
      <c r="U1530" s="15" t="inlineStr">
        <is>
          <t>MOIL Limited</t>
        </is>
      </c>
      <c r="V1530" s="15" t="n"/>
      <c r="W1530" s="15" t="n"/>
      <c r="X1530" s="15" t="n"/>
      <c r="Y1530" s="15" t="n"/>
      <c r="Z1530" s="15" t="n"/>
      <c r="AA1530" s="15" t="n"/>
      <c r="AB1530" s="15" t="n"/>
    </row>
    <row r="1531" ht="15" customHeight="1" s="12">
      <c r="A1531" s="14" t="n">
        <v>1530</v>
      </c>
      <c r="B1531" s="16" t="n">
        <v>40449</v>
      </c>
      <c r="C1531" s="15" t="n">
        <v>2010</v>
      </c>
      <c r="D1531" s="15" t="inlineStr">
        <is>
          <t>AGS Transact Technologies Limited</t>
        </is>
      </c>
      <c r="E1531" s="15" t="inlineStr">
        <is>
          <t>DRHP</t>
        </is>
      </c>
      <c r="F1531" s="15" t="inlineStr">
        <is>
          <t>AGS Transact Technologies Limited</t>
        </is>
      </c>
      <c r="G1531" s="15" t="inlineStr">
        <is>
          <t>No launched IPO found</t>
        </is>
      </c>
      <c r="H1531" s="15" t="n"/>
      <c r="I1531" s="16" t="n"/>
      <c r="J1531" s="16" t="n"/>
      <c r="K1531" s="16" t="n"/>
      <c r="L1531" s="17" t="n"/>
      <c r="M1531" s="17" t="n"/>
      <c r="N1531" s="17" t="n"/>
      <c r="O1531" s="15" t="n"/>
      <c r="P1531" s="15" t="n"/>
      <c r="Q1531" s="18" t="inlineStr">
        <is>
          <t>https://www.sebi.gov.in/sebi_data/attachdocs/1287470358708.pdf</t>
        </is>
      </c>
      <c r="R1531" s="18" t="inlineStr">
        <is>
          <t>https://www.sebi.gov.in/filings/public-issues/sep-2010/ags-transact-technologies-limited_135.html</t>
        </is>
      </c>
      <c r="S1531" s="15" t="n"/>
      <c r="T1531" s="15" t="n"/>
      <c r="U1531" s="15" t="n"/>
      <c r="V1531" s="15" t="inlineStr">
        <is>
          <t>Same-name IPO opened 19-Jan-2022 — outside 2 years of this filing, so not linked</t>
        </is>
      </c>
      <c r="W1531" s="25" t="n">
        <v>44580</v>
      </c>
      <c r="X1531" s="25" t="n">
        <v>44582</v>
      </c>
      <c r="Y1531" s="25" t="n">
        <v>44592</v>
      </c>
      <c r="Z1531" s="26" t="inlineStr">
        <is>
          <t>Later IPO — not from this draft</t>
        </is>
      </c>
      <c r="AA1531" s="15" t="inlineStr">
        <is>
          <t>IPO opened over 3 years after last_filed (2015); later listing, likely fresh DRHP.</t>
        </is>
      </c>
      <c r="AB1531" s="18" t="inlineStr">
        <is>
          <t>https://www.chittorgarh.com/ipo/ags-transact-ipo/1209/</t>
        </is>
      </c>
    </row>
    <row r="1532" ht="15" customHeight="1" s="12">
      <c r="A1532" s="14" t="n">
        <v>1531</v>
      </c>
      <c r="B1532" s="16" t="n">
        <v>40449</v>
      </c>
      <c r="C1532" s="15" t="n">
        <v>2010</v>
      </c>
      <c r="D1532" s="15" t="inlineStr">
        <is>
          <t>Aravali Infrapower Limited</t>
        </is>
      </c>
      <c r="E1532" s="15" t="inlineStr">
        <is>
          <t>DRHP</t>
        </is>
      </c>
      <c r="F1532" s="15" t="inlineStr">
        <is>
          <t>Aravali Infrapower Limited</t>
        </is>
      </c>
      <c r="G1532" s="15" t="inlineStr">
        <is>
          <t>No launched IPO found</t>
        </is>
      </c>
      <c r="H1532" s="15" t="n"/>
      <c r="I1532" s="16" t="n"/>
      <c r="J1532" s="16" t="n"/>
      <c r="K1532" s="16" t="n"/>
      <c r="L1532" s="17" t="n"/>
      <c r="M1532" s="17" t="n"/>
      <c r="N1532" s="17" t="n"/>
      <c r="O1532" s="15" t="n"/>
      <c r="P1532" s="15" t="n"/>
      <c r="Q1532" s="18" t="inlineStr">
        <is>
          <t>https://www.sebi.gov.in/sebi_data/attachdocs/1287470300082.pdf</t>
        </is>
      </c>
      <c r="R1532" s="18" t="inlineStr">
        <is>
          <t>https://www.sebi.gov.in/filings/public-issues/sep-2010/aravali-infrapower-limited_134.html</t>
        </is>
      </c>
      <c r="S1532" s="15" t="n"/>
      <c r="T1532" s="15" t="n"/>
      <c r="U1532" s="15" t="n"/>
      <c r="V1532" s="15" t="n"/>
      <c r="W1532" s="16" t="n"/>
      <c r="X1532" s="16" t="n"/>
      <c r="Y1532" s="16" t="n"/>
      <c r="Z1532" s="15" t="inlineStr">
        <is>
          <t>No issue found</t>
        </is>
      </c>
      <c r="AA1532" s="15" t="inlineStr">
        <is>
          <t>Business Standard lists the company but shows no issue dates; web search limit reached</t>
        </is>
      </c>
      <c r="AB1532" s="18" t="inlineStr">
        <is>
          <t>https://www.business-standard.com/markets/ipo/aravali-infrapower-ltd-ipo-30295</t>
        </is>
      </c>
    </row>
    <row r="1533" ht="15" customHeight="1" s="12">
      <c r="A1533" s="14" t="n">
        <v>1532</v>
      </c>
      <c r="B1533" s="16" t="n">
        <v>40449</v>
      </c>
      <c r="C1533" s="15" t="n">
        <v>2010</v>
      </c>
      <c r="D1533" s="15" t="inlineStr">
        <is>
          <t>Timbor Home Limited</t>
        </is>
      </c>
      <c r="E1533" s="15" t="inlineStr">
        <is>
          <t>DRHP</t>
        </is>
      </c>
      <c r="F1533" s="15" t="inlineStr">
        <is>
          <t>Timbor Home Limited</t>
        </is>
      </c>
      <c r="G1533" s="15" t="inlineStr">
        <is>
          <t>No launched IPO found</t>
        </is>
      </c>
      <c r="H1533" s="15" t="n"/>
      <c r="I1533" s="16" t="n"/>
      <c r="J1533" s="16" t="n"/>
      <c r="K1533" s="16" t="n"/>
      <c r="L1533" s="17" t="n"/>
      <c r="M1533" s="17" t="n"/>
      <c r="N1533" s="17" t="n"/>
      <c r="O1533" s="15" t="n"/>
      <c r="P1533" s="15" t="n"/>
      <c r="Q1533" s="18" t="inlineStr">
        <is>
          <t>https://www.sebi.gov.in/sebi_data/attachdocs/1287470434294.pdf</t>
        </is>
      </c>
      <c r="R1533" s="18" t="inlineStr">
        <is>
          <t>https://www.sebi.gov.in/filings/public-issues/sep-2010/timbor-home-limited_136.html</t>
        </is>
      </c>
      <c r="S1533" s="15" t="n"/>
      <c r="T1533" s="15" t="n"/>
      <c r="U1533" s="15" t="n"/>
      <c r="V1533" s="15" t="n"/>
      <c r="W1533" s="19" t="n">
        <v>40693</v>
      </c>
      <c r="X1533" s="19" t="n">
        <v>40696</v>
      </c>
      <c r="Y1533" s="19" t="n"/>
      <c r="Z1533" s="20" t="inlineStr">
        <is>
          <t>Issue opened</t>
        </is>
      </c>
      <c r="AA1533" s="15" t="inlineStr">
        <is>
          <t>Matched on chittorgarh.com</t>
        </is>
      </c>
      <c r="AB1533" s="18" t="inlineStr">
        <is>
          <t>https://www.chittorgarh.com/ipo/timbor_home_ipo/312/</t>
        </is>
      </c>
    </row>
    <row r="1534" ht="15" customHeight="1" s="12">
      <c r="A1534" s="14" t="n">
        <v>1533</v>
      </c>
      <c r="B1534" s="16" t="n">
        <v>40448</v>
      </c>
      <c r="C1534" s="15" t="n">
        <v>2010</v>
      </c>
      <c r="D1534" s="15" t="inlineStr">
        <is>
          <t>Kalpataru Limited</t>
        </is>
      </c>
      <c r="E1534" s="15" t="inlineStr">
        <is>
          <t>DRHP</t>
        </is>
      </c>
      <c r="F1534" s="15" t="inlineStr">
        <is>
          <t>Kalpataru Limited</t>
        </is>
      </c>
      <c r="G1534" s="15" t="inlineStr">
        <is>
          <t>No launched IPO found</t>
        </is>
      </c>
      <c r="H1534" s="15" t="n"/>
      <c r="I1534" s="16" t="n"/>
      <c r="J1534" s="16" t="n"/>
      <c r="K1534" s="16" t="n"/>
      <c r="L1534" s="17" t="n"/>
      <c r="M1534" s="17" t="n"/>
      <c r="N1534" s="17" t="n"/>
      <c r="O1534" s="15" t="n"/>
      <c r="P1534" s="15" t="n"/>
      <c r="Q1534" s="18" t="inlineStr">
        <is>
          <t>https://www.sebi.gov.in/sebi_data/attachdocs/1287470172089.pdf</t>
        </is>
      </c>
      <c r="R1534" s="18" t="inlineStr">
        <is>
          <t>https://www.sebi.gov.in/filings/public-issues/sep-2010/kalpataru-limited_132.html</t>
        </is>
      </c>
      <c r="S1534" s="15" t="n"/>
      <c r="T1534" s="15" t="n"/>
      <c r="U1534" s="15" t="n"/>
      <c r="V1534" s="15" t="inlineStr">
        <is>
          <t>Same-name IPO opened 24-Jun-2025 — outside 2 years of this filing, so not linked</t>
        </is>
      </c>
      <c r="W1534" s="25" t="n">
        <v>45832</v>
      </c>
      <c r="X1534" s="25" t="n">
        <v>45834</v>
      </c>
      <c r="Y1534" s="25" t="n">
        <v>45839</v>
      </c>
      <c r="Z1534" s="26" t="inlineStr">
        <is>
          <t>Later IPO — not from this draft</t>
        </is>
      </c>
      <c r="AA1534" s="15" t="inlineStr">
        <is>
          <t>Opened 14.7 yrs after this filing, under a later draft</t>
        </is>
      </c>
      <c r="AB1534" s="18" t="inlineStr">
        <is>
          <t>https://www.business-standard.com/markets/ipo/kalpataru-ltd-ipo-25565</t>
        </is>
      </c>
    </row>
    <row r="1535" ht="15" customHeight="1" s="12">
      <c r="A1535" s="14" t="n">
        <v>1534</v>
      </c>
      <c r="B1535" s="16" t="n">
        <v>40448</v>
      </c>
      <c r="C1535" s="15" t="n">
        <v>2010</v>
      </c>
      <c r="D1535" s="15" t="inlineStr">
        <is>
          <t>Paramount Printpackaging Limited</t>
        </is>
      </c>
      <c r="E1535" s="15" t="inlineStr">
        <is>
          <t>DRHP</t>
        </is>
      </c>
      <c r="F1535" s="15" t="inlineStr">
        <is>
          <t>Paramount Printpackaging Limited</t>
        </is>
      </c>
      <c r="G1535" s="15" t="inlineStr">
        <is>
          <t>No launched IPO found</t>
        </is>
      </c>
      <c r="H1535" s="15" t="n"/>
      <c r="I1535" s="16" t="n"/>
      <c r="J1535" s="16" t="n"/>
      <c r="K1535" s="16" t="n"/>
      <c r="L1535" s="17" t="n"/>
      <c r="M1535" s="17" t="n"/>
      <c r="N1535" s="17" t="n"/>
      <c r="O1535" s="15" t="n"/>
      <c r="P1535" s="15" t="n"/>
      <c r="Q1535" s="18" t="inlineStr">
        <is>
          <t>https://www.sebi.gov.in/sebi_data/attachdocs/1287470246589.pdf</t>
        </is>
      </c>
      <c r="R1535" s="18" t="inlineStr">
        <is>
          <t>https://www.sebi.gov.in/filings/public-issues/sep-2010/paramount-printpackaging-limited_133.html</t>
        </is>
      </c>
      <c r="S1535" s="15" t="n"/>
      <c r="T1535" s="15" t="n"/>
      <c r="U1535" s="15" t="n"/>
      <c r="V1535" s="15" t="n"/>
      <c r="W1535" s="19" t="n">
        <v>40653</v>
      </c>
      <c r="X1535" s="19" t="n">
        <v>40658</v>
      </c>
      <c r="Y1535" s="19" t="n"/>
      <c r="Z1535" s="20" t="inlineStr">
        <is>
          <t>Issue opened</t>
        </is>
      </c>
      <c r="AA1535" s="15" t="inlineStr">
        <is>
          <t>Matched on chittorgarh.com</t>
        </is>
      </c>
      <c r="AB1535" s="18" t="inlineStr">
        <is>
          <t>https://www.chittorgarh.com/ipo/paramount_printpackaging_ipo/302/</t>
        </is>
      </c>
    </row>
    <row r="1536" ht="15" customHeight="1" s="12">
      <c r="A1536" s="14" t="n">
        <v>1535</v>
      </c>
      <c r="B1536" s="16" t="n">
        <v>40448</v>
      </c>
      <c r="C1536" s="15" t="n">
        <v>2010</v>
      </c>
      <c r="D1536" s="15" t="inlineStr">
        <is>
          <t>PG Electroplast Limited</t>
        </is>
      </c>
      <c r="E1536" s="15" t="inlineStr">
        <is>
          <t>DRHP</t>
        </is>
      </c>
      <c r="F1536" s="15" t="inlineStr">
        <is>
          <t>PG Electroplast Limited</t>
        </is>
      </c>
      <c r="G1536" s="15" t="inlineStr">
        <is>
          <t>IPO launched</t>
        </is>
      </c>
      <c r="H1536" s="15" t="inlineStr">
        <is>
          <t>Mainboard</t>
        </is>
      </c>
      <c r="I1536" s="16" t="n">
        <v>40793</v>
      </c>
      <c r="J1536" s="16" t="n">
        <v>40798</v>
      </c>
      <c r="K1536" s="16" t="n">
        <v>40812</v>
      </c>
      <c r="L1536" s="17" t="n">
        <v>120.65</v>
      </c>
      <c r="M1536" s="17" t="n">
        <v>120.65</v>
      </c>
      <c r="N1536" s="17" t="n">
        <v>0</v>
      </c>
      <c r="O1536" s="15" t="inlineStr">
        <is>
          <t>Final issue (ipoplatform)</t>
        </is>
      </c>
      <c r="P1536" s="15" t="n"/>
      <c r="Q1536" s="18" t="inlineStr">
        <is>
          <t>https://www.sebi.gov.in/sebi_data/attachdocs/1287470033714.pdf</t>
        </is>
      </c>
      <c r="R1536" s="18" t="inlineStr">
        <is>
          <t>https://www.sebi.gov.in/filings/public-issues/sep-2010/pg-electroplast-limited_130.html</t>
        </is>
      </c>
      <c r="S1536" s="15" t="n"/>
      <c r="T1536" s="15" t="inlineStr">
        <is>
          <t>SEBI filing link</t>
        </is>
      </c>
      <c r="U1536" s="15" t="inlineStr">
        <is>
          <t>PG Electroplast Limited</t>
        </is>
      </c>
      <c r="V1536" s="15" t="n"/>
      <c r="W1536" s="15" t="n"/>
      <c r="X1536" s="15" t="n"/>
      <c r="Y1536" s="15" t="n"/>
      <c r="Z1536" s="15" t="n"/>
      <c r="AA1536" s="15" t="n"/>
      <c r="AB1536" s="15" t="n"/>
    </row>
    <row r="1537" ht="15" customHeight="1" s="12">
      <c r="A1537" s="14" t="n">
        <v>1536</v>
      </c>
      <c r="B1537" s="16" t="n">
        <v>40448</v>
      </c>
      <c r="C1537" s="15" t="n">
        <v>2010</v>
      </c>
      <c r="D1537" s="15" t="inlineStr">
        <is>
          <t>Rama Medicares Limited</t>
        </is>
      </c>
      <c r="E1537" s="15" t="inlineStr">
        <is>
          <t>DRHP</t>
        </is>
      </c>
      <c r="F1537" s="15" t="inlineStr">
        <is>
          <t>Rama Medicares Limited</t>
        </is>
      </c>
      <c r="G1537" s="15" t="inlineStr">
        <is>
          <t>No launched IPO found</t>
        </is>
      </c>
      <c r="H1537" s="15" t="n"/>
      <c r="I1537" s="16" t="n"/>
      <c r="J1537" s="16" t="n"/>
      <c r="K1537" s="16" t="n"/>
      <c r="L1537" s="17" t="n"/>
      <c r="M1537" s="17" t="n"/>
      <c r="N1537" s="17" t="n"/>
      <c r="O1537" s="15" t="n"/>
      <c r="P1537" s="15" t="n"/>
      <c r="Q1537" s="18" t="inlineStr">
        <is>
          <t>https://www.sebi.gov.in/sebi_data/attachdocs/1287470111452.pdf</t>
        </is>
      </c>
      <c r="R1537" s="18" t="inlineStr">
        <is>
          <t>https://www.sebi.gov.in/filings/public-issues/sep-2010/rama-medicares-limited_131.html</t>
        </is>
      </c>
      <c r="S1537" s="15" t="n"/>
      <c r="T1537" s="15" t="n"/>
      <c r="U1537" s="15" t="n"/>
      <c r="V1537" s="15" t="n"/>
      <c r="W1537" s="16" t="n"/>
      <c r="X1537" s="16" t="n"/>
      <c r="Y1537" s="16" t="n"/>
      <c r="Z1537" s="15" t="inlineStr">
        <is>
          <t>No issue found</t>
        </is>
      </c>
      <c r="AA1537" s="15" t="inlineStr">
        <is>
          <t>No IPO evidence found in search.</t>
        </is>
      </c>
      <c r="AB1537" s="15" t="n"/>
    </row>
    <row r="1538" ht="15" customHeight="1" s="12">
      <c r="A1538" s="14" t="n">
        <v>1537</v>
      </c>
      <c r="B1538" s="16" t="n">
        <v>40445</v>
      </c>
      <c r="C1538" s="15" t="n">
        <v>2010</v>
      </c>
      <c r="D1538" s="15" t="inlineStr">
        <is>
          <t>Blend Financial Services Limited</t>
        </is>
      </c>
      <c r="E1538" s="15" t="inlineStr">
        <is>
          <t>DRHP</t>
        </is>
      </c>
      <c r="F1538" s="15" t="inlineStr">
        <is>
          <t>Blend Financial Services Limited</t>
        </is>
      </c>
      <c r="G1538" s="15" t="inlineStr">
        <is>
          <t>No launched IPO found</t>
        </is>
      </c>
      <c r="H1538" s="15" t="n"/>
      <c r="I1538" s="16" t="n"/>
      <c r="J1538" s="16" t="n"/>
      <c r="K1538" s="16" t="n"/>
      <c r="L1538" s="17" t="n"/>
      <c r="M1538" s="17" t="n"/>
      <c r="N1538" s="17" t="n"/>
      <c r="O1538" s="15" t="n"/>
      <c r="P1538" s="15" t="n"/>
      <c r="Q1538" s="18" t="inlineStr">
        <is>
          <t>https://www.sebi.gov.in/sebi_data/attachdocs/1287469924881.pdf</t>
        </is>
      </c>
      <c r="R1538" s="18" t="inlineStr">
        <is>
          <t>https://www.sebi.gov.in/filings/public-issues/sep-2010/blend-financial-services-limited_129.html</t>
        </is>
      </c>
      <c r="S1538" s="15" t="n"/>
      <c r="T1538" s="15" t="n"/>
      <c r="U1538" s="15" t="n"/>
      <c r="V1538" s="15" t="n"/>
      <c r="W1538" s="16" t="n"/>
      <c r="X1538" s="16" t="n"/>
      <c r="Y1538" s="16" t="n"/>
      <c r="Z1538" s="15" t="inlineStr">
        <is>
          <t>No issue found</t>
        </is>
      </c>
      <c r="AA1538" s="15" t="inlineStr">
        <is>
          <t>Business Standard lists the company but shows no issue dates; web search limit reached</t>
        </is>
      </c>
      <c r="AB1538" s="18" t="inlineStr">
        <is>
          <t>https://www.business-standard.com/markets/ipo/blend-financial-services-ltd-ipo-40447</t>
        </is>
      </c>
    </row>
    <row r="1539" ht="15" customHeight="1" s="12">
      <c r="A1539" s="14" t="n">
        <v>1538</v>
      </c>
      <c r="B1539" s="16" t="n">
        <v>40436</v>
      </c>
      <c r="C1539" s="15" t="n">
        <v>2010</v>
      </c>
      <c r="D1539" s="15" t="inlineStr">
        <is>
          <t>Aanjaneya Lifecare Limited</t>
        </is>
      </c>
      <c r="E1539" s="15" t="inlineStr">
        <is>
          <t>DRHP</t>
        </is>
      </c>
      <c r="F1539" s="15" t="inlineStr">
        <is>
          <t>Aanjaneya Lifecare Limited</t>
        </is>
      </c>
      <c r="G1539" s="15" t="inlineStr">
        <is>
          <t>No launched IPO found</t>
        </is>
      </c>
      <c r="H1539" s="15" t="n"/>
      <c r="I1539" s="16" t="n"/>
      <c r="J1539" s="16" t="n"/>
      <c r="K1539" s="16" t="n"/>
      <c r="L1539" s="17" t="n"/>
      <c r="M1539" s="17" t="n"/>
      <c r="N1539" s="17" t="n"/>
      <c r="O1539" s="15" t="n"/>
      <c r="P1539" s="15" t="n"/>
      <c r="Q1539" s="18" t="inlineStr">
        <is>
          <t>https://www.sebi.gov.in/sebi_data/attachdocs/1287469816238.pdf</t>
        </is>
      </c>
      <c r="R1539" s="18" t="inlineStr">
        <is>
          <t>https://www.sebi.gov.in/filings/public-issues/sep-2010/aanjaneya-lifecare-limited_127.html</t>
        </is>
      </c>
      <c r="S1539" s="15" t="n"/>
      <c r="T1539" s="15" t="n"/>
      <c r="U1539" s="15" t="n"/>
      <c r="V1539" s="15" t="n"/>
      <c r="W1539" s="19" t="n">
        <v>40672</v>
      </c>
      <c r="X1539" s="19" t="n">
        <v>40675</v>
      </c>
      <c r="Y1539" s="19" t="n"/>
      <c r="Z1539" s="20" t="inlineStr">
        <is>
          <t>Issue opened</t>
        </is>
      </c>
      <c r="AA1539" s="15" t="inlineStr">
        <is>
          <t>Matched on chittorgarh.com</t>
        </is>
      </c>
      <c r="AB1539" s="18" t="inlineStr">
        <is>
          <t>https://www.chittorgarh.com/ipo/aanjaneya_ipo/308/</t>
        </is>
      </c>
    </row>
    <row r="1540" ht="15" customHeight="1" s="12">
      <c r="A1540" s="14" t="n">
        <v>1539</v>
      </c>
      <c r="B1540" s="16" t="n">
        <v>40436</v>
      </c>
      <c r="C1540" s="15" t="n">
        <v>2010</v>
      </c>
      <c r="D1540" s="15" t="inlineStr">
        <is>
          <t>Lavasa Corporation Limited</t>
        </is>
      </c>
      <c r="E1540" s="15" t="inlineStr">
        <is>
          <t>DRHP</t>
        </is>
      </c>
      <c r="F1540" s="15" t="inlineStr">
        <is>
          <t>Lavasa Corporation Limited</t>
        </is>
      </c>
      <c r="G1540" s="15" t="inlineStr">
        <is>
          <t>No launched IPO found</t>
        </is>
      </c>
      <c r="H1540" s="15" t="n"/>
      <c r="I1540" s="16" t="n"/>
      <c r="J1540" s="16" t="n"/>
      <c r="K1540" s="16" t="n"/>
      <c r="L1540" s="17" t="n"/>
      <c r="M1540" s="17" t="n"/>
      <c r="N1540" s="17" t="n"/>
      <c r="O1540" s="15" t="n"/>
      <c r="P1540" s="15" t="n"/>
      <c r="Q1540" s="18" t="inlineStr">
        <is>
          <t>https://www.sebi.gov.in/sebi_data/attachdocs/1287469863768.pdf</t>
        </is>
      </c>
      <c r="R1540" s="18" t="inlineStr">
        <is>
          <t>https://www.sebi.gov.in/filings/public-issues/sep-2010/lavasa-corporation-limited_128.html</t>
        </is>
      </c>
      <c r="S1540" s="15" t="n"/>
      <c r="T1540" s="15" t="n"/>
      <c r="U1540" s="15" t="n"/>
      <c r="V1540" s="15" t="n"/>
      <c r="W1540" s="16" t="n"/>
      <c r="X1540" s="16" t="n"/>
      <c r="Y1540" s="16" t="n"/>
      <c r="Z1540" s="15" t="inlineStr">
        <is>
          <t>No issue found</t>
        </is>
      </c>
      <c r="AA1540" s="15" t="inlineStr">
        <is>
          <t>Business Standard lists the company but shows no issue dates; web search limit reached</t>
        </is>
      </c>
      <c r="AB1540" s="18" t="inlineStr">
        <is>
          <t>https://www.business-standard.com/markets/ipo/lavasa-corporation-ltd-ipo-34370</t>
        </is>
      </c>
    </row>
    <row r="1541" ht="15" customHeight="1" s="12">
      <c r="A1541" s="14" t="n">
        <v>1540</v>
      </c>
      <c r="B1541" s="16" t="n">
        <v>40435</v>
      </c>
      <c r="C1541" s="15" t="n">
        <v>2010</v>
      </c>
      <c r="D1541" s="15" t="inlineStr">
        <is>
          <t>IOT Infrastructure and Energy Services Limited</t>
        </is>
      </c>
      <c r="E1541" s="15" t="inlineStr">
        <is>
          <t>DRHP</t>
        </is>
      </c>
      <c r="F1541" s="15" t="inlineStr">
        <is>
          <t>IOT Infrastructure and Energy Services Limited</t>
        </is>
      </c>
      <c r="G1541" s="15" t="inlineStr">
        <is>
          <t>No launched IPO found</t>
        </is>
      </c>
      <c r="H1541" s="15" t="n"/>
      <c r="I1541" s="16" t="n"/>
      <c r="J1541" s="16" t="n"/>
      <c r="K1541" s="16" t="n"/>
      <c r="L1541" s="17" t="n"/>
      <c r="M1541" s="17" t="n"/>
      <c r="N1541" s="17" t="n"/>
      <c r="O1541" s="15" t="n"/>
      <c r="P1541" s="15" t="n"/>
      <c r="Q1541" s="18" t="inlineStr">
        <is>
          <t>https://www.sebi.gov.in/sebi_data/attachdocs/1287467773954.pdf</t>
        </is>
      </c>
      <c r="R1541" s="18" t="inlineStr">
        <is>
          <t>https://www.sebi.gov.in/filings/public-issues/sep-2010/iot-infrastructure-and-energy-services-limited_125.html</t>
        </is>
      </c>
      <c r="S1541" s="15" t="n"/>
      <c r="T1541" s="15" t="n"/>
      <c r="U1541" s="15" t="n"/>
      <c r="V1541" s="15" t="n"/>
      <c r="W1541" s="16" t="n"/>
      <c r="X1541" s="16" t="n"/>
      <c r="Y1541" s="16" t="n"/>
      <c r="Z1541" s="15" t="inlineStr">
        <is>
          <t>No issue found</t>
        </is>
      </c>
      <c r="AA1541" s="15" t="inlineStr">
        <is>
          <t>Business Standard lists the company but shows no issue dates; web search limit reached</t>
        </is>
      </c>
      <c r="AB1541" s="18" t="inlineStr">
        <is>
          <t>https://www.business-standard.com/markets/ipo/iot-infrastructure-energy-services-ltd-ipo-35530</t>
        </is>
      </c>
    </row>
    <row r="1542" ht="15" customHeight="1" s="12">
      <c r="A1542" s="14" t="n">
        <v>1541</v>
      </c>
      <c r="B1542" s="16" t="n">
        <v>40435</v>
      </c>
      <c r="C1542" s="15" t="n">
        <v>2010</v>
      </c>
      <c r="D1542" s="15" t="inlineStr">
        <is>
          <t>Servalakshmi Paper Limited</t>
        </is>
      </c>
      <c r="E1542" s="15" t="inlineStr">
        <is>
          <t>DRHP</t>
        </is>
      </c>
      <c r="F1542" s="15" t="inlineStr">
        <is>
          <t>Servalakshmi Paper Limited</t>
        </is>
      </c>
      <c r="G1542" s="15" t="inlineStr">
        <is>
          <t>No launched IPO found</t>
        </is>
      </c>
      <c r="H1542" s="15" t="n"/>
      <c r="I1542" s="16" t="n"/>
      <c r="J1542" s="16" t="n"/>
      <c r="K1542" s="16" t="n"/>
      <c r="L1542" s="17" t="n"/>
      <c r="M1542" s="17" t="n"/>
      <c r="N1542" s="17" t="n"/>
      <c r="O1542" s="15" t="n"/>
      <c r="P1542" s="15" t="n"/>
      <c r="Q1542" s="18" t="inlineStr">
        <is>
          <t>https://www.sebi.gov.in/sebi_data/attachdocs/1287469544689.pdf</t>
        </is>
      </c>
      <c r="R1542" s="18" t="inlineStr">
        <is>
          <t>https://www.sebi.gov.in/filings/public-issues/sep-2010/servalakshmi-paper-limited_126.html</t>
        </is>
      </c>
      <c r="S1542" s="15" t="n"/>
      <c r="T1542" s="15" t="n"/>
      <c r="U1542" s="15" t="n"/>
      <c r="V1542" s="15" t="n"/>
      <c r="W1542" s="19" t="n">
        <v>40660</v>
      </c>
      <c r="X1542" s="19" t="n">
        <v>40662</v>
      </c>
      <c r="Y1542" s="19" t="n"/>
      <c r="Z1542" s="20" t="inlineStr">
        <is>
          <t>Issue opened</t>
        </is>
      </c>
      <c r="AA1542" s="15" t="inlineStr">
        <is>
          <t>Matched on chittorgarh.com</t>
        </is>
      </c>
      <c r="AB1542" s="18" t="inlineStr">
        <is>
          <t>https://www.chittorgarh.com/ipo/servalakshmi_ipo/301/</t>
        </is>
      </c>
    </row>
    <row r="1543" ht="15" customHeight="1" s="12">
      <c r="A1543" s="14" t="n">
        <v>1542</v>
      </c>
      <c r="B1543" s="16" t="n">
        <v>40430</v>
      </c>
      <c r="C1543" s="15" t="n">
        <v>2010</v>
      </c>
      <c r="D1543" s="15" t="inlineStr">
        <is>
          <t>SVEC Constructions Ltd</t>
        </is>
      </c>
      <c r="E1543" s="15" t="inlineStr">
        <is>
          <t>DRHP</t>
        </is>
      </c>
      <c r="F1543" s="15" t="inlineStr">
        <is>
          <t>SVEC Constructions Ltd</t>
        </is>
      </c>
      <c r="G1543" s="15" t="inlineStr">
        <is>
          <t>No launched IPO found</t>
        </is>
      </c>
      <c r="H1543" s="15" t="n"/>
      <c r="I1543" s="16" t="n"/>
      <c r="J1543" s="16" t="n"/>
      <c r="K1543" s="16" t="n"/>
      <c r="L1543" s="17" t="n"/>
      <c r="M1543" s="17" t="n"/>
      <c r="N1543" s="17" t="n"/>
      <c r="O1543" s="15" t="n"/>
      <c r="P1543" s="15" t="n"/>
      <c r="Q1543" s="18" t="inlineStr">
        <is>
          <t>https://www.sebi.gov.in/sebi_data/attachdocs/1287467636587.pdf</t>
        </is>
      </c>
      <c r="R1543" s="18" t="inlineStr">
        <is>
          <t>https://www.sebi.gov.in/filings/public-issues/sep-2010/svec-constructions-ltd_124.html</t>
        </is>
      </c>
      <c r="S1543" s="15" t="n"/>
      <c r="T1543" s="15" t="n"/>
      <c r="U1543" s="15" t="n"/>
      <c r="V1543" s="15" t="n"/>
      <c r="W1543" s="16" t="n"/>
      <c r="X1543" s="16" t="n"/>
      <c r="Y1543" s="16" t="n"/>
      <c r="Z1543" s="15" t="inlineStr">
        <is>
          <t>No issue found</t>
        </is>
      </c>
      <c r="AA1543" s="15" t="inlineStr">
        <is>
          <t>Business Standard lists the company but shows no issue dates; web search limit reached</t>
        </is>
      </c>
      <c r="AB1543" s="18" t="inlineStr">
        <is>
          <t>https://www.business-standard.com/markets/ipo/svec-construction-ltd-ipo-28054</t>
        </is>
      </c>
    </row>
    <row r="1544" ht="15" customHeight="1" s="12">
      <c r="A1544" s="14" t="n">
        <v>1543</v>
      </c>
      <c r="B1544" s="16" t="n">
        <v>40429</v>
      </c>
      <c r="C1544" s="15" t="n">
        <v>2010</v>
      </c>
      <c r="D1544" s="15" t="inlineStr">
        <is>
          <t>Sudar Garments Limited</t>
        </is>
      </c>
      <c r="E1544" s="15" t="inlineStr">
        <is>
          <t>DRHP</t>
        </is>
      </c>
      <c r="F1544" s="15" t="inlineStr">
        <is>
          <t>Sudar Garments Limited</t>
        </is>
      </c>
      <c r="G1544" s="15" t="inlineStr">
        <is>
          <t>No launched IPO found</t>
        </is>
      </c>
      <c r="H1544" s="15" t="n"/>
      <c r="I1544" s="16" t="n"/>
      <c r="J1544" s="16" t="n"/>
      <c r="K1544" s="16" t="n"/>
      <c r="L1544" s="17" t="n"/>
      <c r="M1544" s="17" t="n"/>
      <c r="N1544" s="17" t="n"/>
      <c r="O1544" s="15" t="n"/>
      <c r="P1544" s="15" t="n"/>
      <c r="Q1544" s="18" t="inlineStr">
        <is>
          <t>https://www.sebi.gov.in/sebi_data/attachdocs/1287809182846.pdf</t>
        </is>
      </c>
      <c r="R1544" s="18" t="inlineStr">
        <is>
          <t>https://www.sebi.gov.in/filings/public-issues/sep-2010/sudar-garments-limited_624.html</t>
        </is>
      </c>
      <c r="S1544" s="15" t="n"/>
      <c r="T1544" s="15" t="n"/>
      <c r="U1544" s="15" t="n"/>
      <c r="V1544" s="15" t="n"/>
      <c r="W1544" s="19" t="n">
        <v>40595</v>
      </c>
      <c r="X1544" s="19" t="n">
        <v>40598</v>
      </c>
      <c r="Y1544" s="19" t="n"/>
      <c r="Z1544" s="20" t="inlineStr">
        <is>
          <t>Issue opened</t>
        </is>
      </c>
      <c r="AA1544" s="15" t="inlineStr">
        <is>
          <t>Matched on chittorgarh.com</t>
        </is>
      </c>
      <c r="AB1544" s="18" t="inlineStr">
        <is>
          <t>https://www.chittorgarh.com/ipo/sudar_ipo/295/</t>
        </is>
      </c>
    </row>
    <row r="1545" ht="15" customHeight="1" s="12">
      <c r="A1545" s="14" t="n">
        <v>1544</v>
      </c>
      <c r="B1545" s="16" t="n">
        <v>40429</v>
      </c>
      <c r="C1545" s="15" t="n">
        <v>2010</v>
      </c>
      <c r="D1545" s="15" t="inlineStr">
        <is>
          <t>Future Ventures India Limited</t>
        </is>
      </c>
      <c r="E1545" s="15" t="inlineStr">
        <is>
          <t>DRHP</t>
        </is>
      </c>
      <c r="F1545" s="15" t="inlineStr">
        <is>
          <t>Future Ventures India Limited</t>
        </is>
      </c>
      <c r="G1545" s="15" t="inlineStr">
        <is>
          <t>No launched IPO found</t>
        </is>
      </c>
      <c r="H1545" s="15" t="n"/>
      <c r="I1545" s="16" t="n"/>
      <c r="J1545" s="16" t="n"/>
      <c r="K1545" s="16" t="n"/>
      <c r="L1545" s="17" t="n"/>
      <c r="M1545" s="17" t="n"/>
      <c r="N1545" s="17" t="n"/>
      <c r="O1545" s="15" t="n"/>
      <c r="P1545" s="15" t="n"/>
      <c r="Q1545" s="18" t="inlineStr">
        <is>
          <t>https://www.sebi.gov.in/sebi_data/attachdocs/1287467570242.pdf</t>
        </is>
      </c>
      <c r="R1545" s="18" t="inlineStr">
        <is>
          <t>https://www.sebi.gov.in/filings/public-issues/sep-2010/future-ventures-india-limited_123.html</t>
        </is>
      </c>
      <c r="S1545" s="15" t="n"/>
      <c r="T1545" s="15" t="n"/>
      <c r="U1545" s="15" t="n"/>
      <c r="V1545" s="15" t="n"/>
      <c r="W1545" s="19" t="n">
        <v>40658</v>
      </c>
      <c r="X1545" s="19" t="n">
        <v>40661</v>
      </c>
      <c r="Y1545" s="19" t="n"/>
      <c r="Z1545" s="20" t="inlineStr">
        <is>
          <t>Issue opened</t>
        </is>
      </c>
      <c r="AA1545" s="15" t="inlineStr">
        <is>
          <t>Matched on chittorgarh.com</t>
        </is>
      </c>
      <c r="AB1545" s="18" t="inlineStr">
        <is>
          <t>https://www.chittorgarh.com/ipo/future_ventures_ipo/304/</t>
        </is>
      </c>
    </row>
    <row r="1546" ht="15" customHeight="1" s="12">
      <c r="A1546" s="14" t="n">
        <v>1545</v>
      </c>
      <c r="B1546" s="16" t="n">
        <v>40424</v>
      </c>
      <c r="C1546" s="15" t="n">
        <v>2010</v>
      </c>
      <c r="D1546" s="15" t="inlineStr">
        <is>
          <t>Shilpi Cable Technologies Limited</t>
        </is>
      </c>
      <c r="E1546" s="15" t="inlineStr">
        <is>
          <t>DRHP</t>
        </is>
      </c>
      <c r="F1546" s="15" t="inlineStr">
        <is>
          <t>Shilpi Cable Technologies Limited</t>
        </is>
      </c>
      <c r="G1546" s="15" t="inlineStr">
        <is>
          <t>No launched IPO found</t>
        </is>
      </c>
      <c r="H1546" s="15" t="n"/>
      <c r="I1546" s="16" t="n"/>
      <c r="J1546" s="16" t="n"/>
      <c r="K1546" s="16" t="n"/>
      <c r="L1546" s="17" t="n"/>
      <c r="M1546" s="17" t="n"/>
      <c r="N1546" s="17" t="n"/>
      <c r="O1546" s="15" t="n"/>
      <c r="P1546" s="15" t="n"/>
      <c r="Q1546" s="18" t="inlineStr">
        <is>
          <t>https://www.sebi.gov.in/sebi_data/attachdocs/1287467480414.pdf</t>
        </is>
      </c>
      <c r="R1546" s="18" t="inlineStr">
        <is>
          <t>https://www.sebi.gov.in/filings/public-issues/sep-2010/shilpi-cable-technologies-limited_122.html</t>
        </is>
      </c>
      <c r="S1546" s="15" t="n"/>
      <c r="T1546" s="15" t="n"/>
      <c r="U1546" s="15" t="n"/>
      <c r="V1546" s="15" t="n"/>
      <c r="W1546" s="19" t="n">
        <v>40624</v>
      </c>
      <c r="X1546" s="19" t="n">
        <v>40627</v>
      </c>
      <c r="Y1546" s="19" t="n"/>
      <c r="Z1546" s="20" t="inlineStr">
        <is>
          <t>Issue opened</t>
        </is>
      </c>
      <c r="AA1546" s="15" t="inlineStr">
        <is>
          <t>Matched on chittorgarh.com</t>
        </is>
      </c>
      <c r="AB1546" s="18" t="inlineStr">
        <is>
          <t>https://www.chittorgarh.com/ipo/shilpi_cables_ipo/299/</t>
        </is>
      </c>
    </row>
    <row r="1547" ht="15" customHeight="1" s="12">
      <c r="A1547" s="14" t="n">
        <v>1546</v>
      </c>
      <c r="B1547" s="16" t="n">
        <v>40423</v>
      </c>
      <c r="C1547" s="15" t="n">
        <v>2010</v>
      </c>
      <c r="D1547" s="15" t="inlineStr">
        <is>
          <t>MidValley Entertainment Limited</t>
        </is>
      </c>
      <c r="E1547" s="15" t="inlineStr">
        <is>
          <t>DRHP</t>
        </is>
      </c>
      <c r="F1547" s="15" t="inlineStr">
        <is>
          <t>MidValley Entertainment Limited</t>
        </is>
      </c>
      <c r="G1547" s="15" t="inlineStr">
        <is>
          <t>No launched IPO found</t>
        </is>
      </c>
      <c r="H1547" s="15" t="n"/>
      <c r="I1547" s="16" t="n"/>
      <c r="J1547" s="16" t="n"/>
      <c r="K1547" s="16" t="n"/>
      <c r="L1547" s="17" t="n"/>
      <c r="M1547" s="17" t="n"/>
      <c r="N1547" s="17" t="n"/>
      <c r="O1547" s="15" t="n"/>
      <c r="P1547" s="15" t="n"/>
      <c r="Q1547" s="18" t="inlineStr">
        <is>
          <t>https://www.sebi.gov.in/sebi_data/attachdocs/1287467393738.pdf</t>
        </is>
      </c>
      <c r="R1547" s="18" t="inlineStr">
        <is>
          <t>https://www.sebi.gov.in/filings/public-issues/sep-2010/midvalley-entertainment-limited_121.html</t>
        </is>
      </c>
      <c r="S1547" s="15" t="n"/>
      <c r="T1547" s="15" t="n"/>
      <c r="U1547" s="15" t="n"/>
      <c r="V1547" s="15" t="n"/>
      <c r="W1547" s="19" t="n">
        <v>40553</v>
      </c>
      <c r="X1547" s="19" t="n">
        <v>40555</v>
      </c>
      <c r="Y1547" s="19" t="n"/>
      <c r="Z1547" s="20" t="inlineStr">
        <is>
          <t>Issue opened</t>
        </is>
      </c>
      <c r="AA1547" s="15" t="inlineStr">
        <is>
          <t>Matched on chittorgarh.com</t>
        </is>
      </c>
      <c r="AB1547" s="18" t="inlineStr">
        <is>
          <t>https://www.chittorgarh.com/ipo/midvalley_entertainment_ipo/291/</t>
        </is>
      </c>
    </row>
    <row r="1548" ht="15" customHeight="1" s="12">
      <c r="A1548" s="14" t="n">
        <v>1547</v>
      </c>
      <c r="B1548" s="16" t="n">
        <v>40421</v>
      </c>
      <c r="C1548" s="15" t="n">
        <v>2010</v>
      </c>
      <c r="D1548" s="15" t="inlineStr">
        <is>
          <t>Dev Procon Limited</t>
        </is>
      </c>
      <c r="E1548" s="15" t="inlineStr">
        <is>
          <t>DRHP</t>
        </is>
      </c>
      <c r="F1548" s="15" t="inlineStr">
        <is>
          <t>Dev Procon Limited</t>
        </is>
      </c>
      <c r="G1548" s="15" t="inlineStr">
        <is>
          <t>No launched IPO found</t>
        </is>
      </c>
      <c r="H1548" s="15" t="n"/>
      <c r="I1548" s="16" t="n"/>
      <c r="J1548" s="16" t="n"/>
      <c r="K1548" s="16" t="n"/>
      <c r="L1548" s="17" t="n"/>
      <c r="M1548" s="17" t="n"/>
      <c r="N1548" s="17" t="n"/>
      <c r="O1548" s="15" t="n"/>
      <c r="P1548" s="15" t="n"/>
      <c r="Q1548" s="18" t="inlineStr">
        <is>
          <t>https://www.sebi.gov.in/sebi_data/attachdocs/1287744304554.pdf</t>
        </is>
      </c>
      <c r="R1548" s="18" t="inlineStr">
        <is>
          <t>https://www.sebi.gov.in/filings/public-issues/aug-2010/dev-procon-limited_599.html</t>
        </is>
      </c>
      <c r="S1548" s="15" t="n"/>
      <c r="T1548" s="15" t="n"/>
      <c r="U1548" s="15" t="n"/>
      <c r="V1548" s="15" t="n"/>
      <c r="W1548" s="16" t="n"/>
      <c r="X1548" s="16" t="n"/>
      <c r="Y1548" s="16" t="n"/>
      <c r="Z1548" s="15" t="inlineStr">
        <is>
          <t>No issue found</t>
        </is>
      </c>
      <c r="AA1548" s="15" t="inlineStr">
        <is>
          <t>Business Standard lists the company but shows no issue dates; web search limit reached</t>
        </is>
      </c>
      <c r="AB1548" s="18" t="inlineStr">
        <is>
          <t>https://www.business-standard.com/markets/ipo/dev-procon-ltd-ipo-40433</t>
        </is>
      </c>
    </row>
    <row r="1549" ht="15" customHeight="1" s="12">
      <c r="A1549" s="14" t="n">
        <v>1548</v>
      </c>
      <c r="B1549" s="16" t="n">
        <v>40420</v>
      </c>
      <c r="C1549" s="15" t="n">
        <v>2010</v>
      </c>
      <c r="D1549" s="15" t="inlineStr">
        <is>
          <t>Omkar Speciality Chemicals Limited</t>
        </is>
      </c>
      <c r="E1549" s="15" t="inlineStr">
        <is>
          <t>DRHP</t>
        </is>
      </c>
      <c r="F1549" s="15" t="inlineStr">
        <is>
          <t>Omkar Speciality Chemicals Limited</t>
        </is>
      </c>
      <c r="G1549" s="15" t="inlineStr">
        <is>
          <t>IPO launched</t>
        </is>
      </c>
      <c r="H1549" s="15" t="inlineStr">
        <is>
          <t>Mainboard</t>
        </is>
      </c>
      <c r="I1549" s="16" t="n">
        <v>40567</v>
      </c>
      <c r="J1549" s="16" t="n">
        <v>40570</v>
      </c>
      <c r="K1549" s="16" t="n">
        <v>40584</v>
      </c>
      <c r="L1549" s="17" t="n">
        <v>79.38</v>
      </c>
      <c r="M1549" s="17" t="n">
        <v>79.38</v>
      </c>
      <c r="N1549" s="17" t="n">
        <v>0</v>
      </c>
      <c r="O1549" s="15" t="inlineStr">
        <is>
          <t>Final issue (ipoplatform)</t>
        </is>
      </c>
      <c r="P1549" s="15" t="n"/>
      <c r="Q1549" s="18" t="inlineStr">
        <is>
          <t>https://www.sebi.gov.in/sebi_data/attachdocs/1287807825099.pdf</t>
        </is>
      </c>
      <c r="R1549" s="18" t="inlineStr">
        <is>
          <t>https://www.sebi.gov.in/filings/public-issues/aug-2010/omkar-speciality-chemicals-limited_617.html</t>
        </is>
      </c>
      <c r="S1549" s="15" t="n"/>
      <c r="T1549" s="15" t="inlineStr">
        <is>
          <t>SEBI filing link</t>
        </is>
      </c>
      <c r="U1549" s="15" t="inlineStr">
        <is>
          <t>Omkar Speciality Chemicals Limited</t>
        </is>
      </c>
      <c r="V1549" s="15" t="n"/>
      <c r="W1549" s="15" t="n"/>
      <c r="X1549" s="15" t="n"/>
      <c r="Y1549" s="15" t="n"/>
      <c r="Z1549" s="15" t="n"/>
      <c r="AA1549" s="15" t="n"/>
      <c r="AB1549" s="15" t="n"/>
    </row>
    <row r="1550" ht="15" customHeight="1" s="12">
      <c r="A1550" s="14" t="n">
        <v>1549</v>
      </c>
      <c r="B1550" s="16" t="n">
        <v>40420</v>
      </c>
      <c r="C1550" s="15" t="n">
        <v>2010</v>
      </c>
      <c r="D1550" s="15" t="inlineStr">
        <is>
          <t>Punjab and Sind Bank</t>
        </is>
      </c>
      <c r="E1550" s="15" t="inlineStr">
        <is>
          <t>DRHP</t>
        </is>
      </c>
      <c r="F1550" s="15" t="inlineStr">
        <is>
          <t>Punjab and Sind Bank</t>
        </is>
      </c>
      <c r="G1550" s="15" t="inlineStr">
        <is>
          <t>IPO launched</t>
        </is>
      </c>
      <c r="H1550" s="15" t="inlineStr">
        <is>
          <t>Mainboard</t>
        </is>
      </c>
      <c r="I1550" s="16" t="n">
        <v>40525</v>
      </c>
      <c r="J1550" s="16" t="n"/>
      <c r="K1550" s="16" t="n">
        <v>40542</v>
      </c>
      <c r="L1550" s="17" t="n">
        <v>470.82</v>
      </c>
      <c r="M1550" s="17" t="n">
        <v>470.82</v>
      </c>
      <c r="N1550" s="17" t="n">
        <v>0</v>
      </c>
      <c r="O1550" s="15" t="inlineStr">
        <is>
          <t>Final issue (ipoplatform)</t>
        </is>
      </c>
      <c r="P1550" s="15" t="n"/>
      <c r="Q1550" s="18" t="inlineStr">
        <is>
          <t>https://www.sebi.gov.in/sebi_data/attachdocs/1287807944938.pdf</t>
        </is>
      </c>
      <c r="R1550" s="18" t="inlineStr">
        <is>
          <t>https://www.sebi.gov.in/filings/public-issues/aug-2010/punjab-and-sind-bank_618.html</t>
        </is>
      </c>
      <c r="S1550" s="15" t="n"/>
      <c r="T1550" s="15" t="inlineStr">
        <is>
          <t>SEBI filing link</t>
        </is>
      </c>
      <c r="U1550" s="15" t="inlineStr">
        <is>
          <t>Punjab &amp; Sind Bank</t>
        </is>
      </c>
      <c r="V1550" s="15" t="inlineStr">
        <is>
          <t>CHECK — source close/listing date inconsistent with open date</t>
        </is>
      </c>
      <c r="W1550" s="15" t="n"/>
      <c r="X1550" s="15" t="n"/>
      <c r="Y1550" s="15" t="n"/>
      <c r="Z1550" s="15" t="n"/>
      <c r="AA1550" s="15" t="n"/>
      <c r="AB1550" s="15" t="n"/>
    </row>
    <row r="1551" ht="15" customHeight="1" s="12">
      <c r="A1551" s="14" t="n">
        <v>1550</v>
      </c>
      <c r="B1551" s="16" t="n">
        <v>40415</v>
      </c>
      <c r="C1551" s="15" t="n">
        <v>2010</v>
      </c>
      <c r="D1551" s="15" t="inlineStr">
        <is>
          <t>Galaxy Surfactants Limited</t>
        </is>
      </c>
      <c r="E1551" s="15" t="inlineStr">
        <is>
          <t>DRHP</t>
        </is>
      </c>
      <c r="F1551" s="15" t="inlineStr">
        <is>
          <t>Galaxy Surfactants Limited</t>
        </is>
      </c>
      <c r="G1551" s="15" t="inlineStr">
        <is>
          <t>No launched IPO found</t>
        </is>
      </c>
      <c r="H1551" s="15" t="n"/>
      <c r="I1551" s="16" t="n"/>
      <c r="J1551" s="16" t="n"/>
      <c r="K1551" s="16" t="n"/>
      <c r="L1551" s="17" t="n"/>
      <c r="M1551" s="17" t="n"/>
      <c r="N1551" s="17" t="n"/>
      <c r="O1551" s="15" t="n"/>
      <c r="P1551" s="15" t="n"/>
      <c r="Q1551" s="18" t="inlineStr">
        <is>
          <t>https://www.sebi.gov.in/sebi_data/attachdocs/1287744117450.pdf</t>
        </is>
      </c>
      <c r="R1551" s="18" t="inlineStr">
        <is>
          <t>https://www.sebi.gov.in/filings/public-issues/aug-2010/galaxy-surfactants-limited_598.html</t>
        </is>
      </c>
      <c r="S1551" s="15" t="n"/>
      <c r="T1551" s="15" t="n"/>
      <c r="U1551" s="15" t="n"/>
      <c r="V1551" s="15" t="inlineStr">
        <is>
          <t>Same-name IPO opened 29-Jan-2018 — outside 2 years of this filing, so not linked</t>
        </is>
      </c>
      <c r="W1551" s="19" t="n">
        <v>40676</v>
      </c>
      <c r="X1551" s="19" t="n">
        <v>40682</v>
      </c>
      <c r="Y1551" s="19" t="n"/>
      <c r="Z1551" s="20" t="inlineStr">
        <is>
          <t>Issue opened</t>
        </is>
      </c>
      <c r="AA1551" s="15" t="inlineStr">
        <is>
          <t>Matched on chittorgarh.com</t>
        </is>
      </c>
      <c r="AB1551" s="18" t="inlineStr">
        <is>
          <t>https://www.chittorgarh.com/ipo/galaxy_ipo/309/</t>
        </is>
      </c>
    </row>
    <row r="1552" ht="15" customHeight="1" s="12">
      <c r="A1552" s="14" t="n">
        <v>1551</v>
      </c>
      <c r="B1552" s="16" t="n">
        <v>40401</v>
      </c>
      <c r="C1552" s="15" t="n">
        <v>2010</v>
      </c>
      <c r="D1552" s="15" t="inlineStr">
        <is>
          <t>Coal India Limited</t>
        </is>
      </c>
      <c r="E1552" s="15" t="inlineStr">
        <is>
          <t>DRHP</t>
        </is>
      </c>
      <c r="F1552" s="15" t="inlineStr">
        <is>
          <t>Coal India Limited</t>
        </is>
      </c>
      <c r="G1552" s="15" t="inlineStr">
        <is>
          <t>IPO launched</t>
        </is>
      </c>
      <c r="H1552" s="15" t="inlineStr">
        <is>
          <t>Mainboard</t>
        </is>
      </c>
      <c r="I1552" s="16" t="n">
        <v>40469</v>
      </c>
      <c r="J1552" s="16" t="n">
        <v>40472</v>
      </c>
      <c r="K1552" s="16" t="n">
        <v>40486</v>
      </c>
      <c r="L1552" s="17" t="n">
        <v>15199.44</v>
      </c>
      <c r="M1552" s="17" t="n">
        <v>15199.44</v>
      </c>
      <c r="N1552" s="17" t="n">
        <v>0</v>
      </c>
      <c r="O1552" s="15" t="inlineStr">
        <is>
          <t>Final issue (ipoplatform)</t>
        </is>
      </c>
      <c r="P1552" s="15" t="n"/>
      <c r="Q1552" s="18" t="inlineStr">
        <is>
          <t>https://www.sebi.gov.in/sebi_data/attachdocs/1287744029412.pdf</t>
        </is>
      </c>
      <c r="R1552" s="18" t="inlineStr">
        <is>
          <t>https://www.sebi.gov.in/filings/public-issues/aug-2010/coal-india-limited_597.html</t>
        </is>
      </c>
      <c r="S1552" s="15" t="n"/>
      <c r="T1552" s="15" t="inlineStr">
        <is>
          <t>SEBI filing link</t>
        </is>
      </c>
      <c r="U1552" s="15" t="inlineStr">
        <is>
          <t>Coal India Limited</t>
        </is>
      </c>
      <c r="V1552" s="15" t="n"/>
      <c r="W1552" s="15" t="n"/>
      <c r="X1552" s="15" t="n"/>
      <c r="Y1552" s="15" t="n"/>
      <c r="Z1552" s="15" t="n"/>
      <c r="AA1552" s="15" t="n"/>
      <c r="AB1552" s="15" t="n"/>
    </row>
    <row r="1553" ht="15" customHeight="1" s="12">
      <c r="A1553" s="14" t="n">
        <v>1552</v>
      </c>
      <c r="B1553" s="16" t="n">
        <v>40393</v>
      </c>
      <c r="C1553" s="15" t="n">
        <v>2010</v>
      </c>
      <c r="D1553" s="15" t="inlineStr">
        <is>
          <t>Betul Oil Limited</t>
        </is>
      </c>
      <c r="E1553" s="15" t="inlineStr">
        <is>
          <t>DRHP</t>
        </is>
      </c>
      <c r="F1553" s="15" t="inlineStr">
        <is>
          <t>Betul Oil Limited</t>
        </is>
      </c>
      <c r="G1553" s="15" t="inlineStr">
        <is>
          <t>No launched IPO found</t>
        </is>
      </c>
      <c r="H1553" s="15" t="n"/>
      <c r="I1553" s="16" t="n"/>
      <c r="J1553" s="16" t="n"/>
      <c r="K1553" s="16" t="n"/>
      <c r="L1553" s="17" t="n"/>
      <c r="M1553" s="17" t="n"/>
      <c r="N1553" s="17" t="n"/>
      <c r="O1553" s="15" t="n"/>
      <c r="P1553" s="15" t="n"/>
      <c r="Q1553" s="18" t="inlineStr">
        <is>
          <t>https://www.sebi.gov.in/sebi_data/attachdocs/1287743890901.pdf</t>
        </is>
      </c>
      <c r="R1553" s="18" t="inlineStr">
        <is>
          <t>https://www.sebi.gov.in/filings/public-issues/aug-2010/betul-oil-limited_596.html</t>
        </is>
      </c>
      <c r="S1553" s="15" t="n"/>
      <c r="T1553" s="15" t="n"/>
      <c r="U1553" s="15" t="n"/>
      <c r="V1553" s="15" t="n"/>
      <c r="W1553" s="16" t="n"/>
      <c r="X1553" s="16" t="n"/>
      <c r="Y1553" s="16" t="n"/>
      <c r="Z1553" s="15" t="inlineStr">
        <is>
          <t>No issue found</t>
        </is>
      </c>
      <c r="AA1553" s="15" t="inlineStr">
        <is>
          <t>Business Standard lists the company but shows no issue dates; web search limit reached</t>
        </is>
      </c>
      <c r="AB1553" s="18" t="inlineStr">
        <is>
          <t>https://www.business-standard.com/markets/ipo/betul-oil-ltd-ipo-33494</t>
        </is>
      </c>
    </row>
    <row r="1554" ht="15" customHeight="1" s="12">
      <c r="A1554" s="14" t="n">
        <v>1553</v>
      </c>
      <c r="B1554" s="16" t="n">
        <v>40392</v>
      </c>
      <c r="C1554" s="15" t="n">
        <v>2010</v>
      </c>
      <c r="D1554" s="15" t="inlineStr">
        <is>
          <t>Birla Pacific Medspa Limited</t>
        </is>
      </c>
      <c r="E1554" s="15" t="inlineStr">
        <is>
          <t>DRHP</t>
        </is>
      </c>
      <c r="F1554" s="15" t="inlineStr">
        <is>
          <t>Birla Pacific Medspa Limited</t>
        </is>
      </c>
      <c r="G1554" s="15" t="inlineStr">
        <is>
          <t>No launched IPO found</t>
        </is>
      </c>
      <c r="H1554" s="15" t="n"/>
      <c r="I1554" s="16" t="n"/>
      <c r="J1554" s="16" t="n"/>
      <c r="K1554" s="16" t="n"/>
      <c r="L1554" s="17" t="n"/>
      <c r="M1554" s="17" t="n"/>
      <c r="N1554" s="17" t="n"/>
      <c r="O1554" s="15" t="n"/>
      <c r="P1554" s="15" t="n"/>
      <c r="Q1554" s="18" t="inlineStr">
        <is>
          <t>https://www.sebi.gov.in/sebi_data/attachdocs/1287743819429.pdf</t>
        </is>
      </c>
      <c r="R1554" s="18" t="inlineStr">
        <is>
          <t>https://www.sebi.gov.in/filings/public-issues/aug-2010/birla-pacific-medspa-limited_595.html</t>
        </is>
      </c>
      <c r="S1554" s="15" t="n"/>
      <c r="T1554" s="15" t="n"/>
      <c r="U1554" s="15" t="n"/>
      <c r="V1554" s="15" t="n"/>
      <c r="W1554" s="19" t="n">
        <v>40714</v>
      </c>
      <c r="X1554" s="19" t="n">
        <v>40717</v>
      </c>
      <c r="Y1554" s="19" t="n"/>
      <c r="Z1554" s="20" t="inlineStr">
        <is>
          <t>Issue opened</t>
        </is>
      </c>
      <c r="AA1554" s="15" t="inlineStr">
        <is>
          <t>Matched on chittorgarh.com</t>
        </is>
      </c>
      <c r="AB1554" s="18" t="inlineStr">
        <is>
          <t>https://www.chittorgarh.com/ipo/birla_pacific_medspa_ipo/314/</t>
        </is>
      </c>
    </row>
    <row r="1555" ht="15" customHeight="1" s="12">
      <c r="A1555" s="14" t="n">
        <v>1554</v>
      </c>
      <c r="B1555" s="16" t="n">
        <v>40388</v>
      </c>
      <c r="C1555" s="15" t="n">
        <v>2010</v>
      </c>
      <c r="D1555" s="15" t="inlineStr">
        <is>
          <t>A2Z Maintenance and Engineering Services Limited</t>
        </is>
      </c>
      <c r="E1555" s="15" t="inlineStr">
        <is>
          <t>DRHP</t>
        </is>
      </c>
      <c r="F1555" s="15" t="inlineStr">
        <is>
          <t>A2Z Maintenance and Engineering Services Limited</t>
        </is>
      </c>
      <c r="G1555" s="15" t="inlineStr">
        <is>
          <t>IPO launched</t>
        </is>
      </c>
      <c r="H1555" s="15" t="inlineStr">
        <is>
          <t>Mainboard</t>
        </is>
      </c>
      <c r="I1555" s="16" t="n">
        <v>40520</v>
      </c>
      <c r="J1555" s="16" t="n">
        <v>40522</v>
      </c>
      <c r="K1555" s="16" t="n">
        <v>40535</v>
      </c>
      <c r="L1555" s="17" t="n">
        <v>675</v>
      </c>
      <c r="M1555" s="17" t="n">
        <v>675</v>
      </c>
      <c r="N1555" s="17" t="n">
        <v>0</v>
      </c>
      <c r="O1555" s="15" t="inlineStr">
        <is>
          <t>Final issue (ipoplatform)</t>
        </is>
      </c>
      <c r="P1555" s="15" t="n"/>
      <c r="Q1555" s="18" t="inlineStr">
        <is>
          <t>https://www.sebi.gov.in/sebi_data/attachdocs/1287824053650.pdf</t>
        </is>
      </c>
      <c r="R1555" s="18" t="inlineStr">
        <is>
          <t>https://www.sebi.gov.in/filings/public-issues/jul-2010/a2z-maintenance-and-engineering-services-limited_708.html</t>
        </is>
      </c>
      <c r="S1555" s="15" t="n"/>
      <c r="T1555" s="15" t="inlineStr">
        <is>
          <t>SEBI filing link</t>
        </is>
      </c>
      <c r="U1555" s="15" t="inlineStr">
        <is>
          <t>A2Z Maintenance &amp; Engineering Services Limited</t>
        </is>
      </c>
      <c r="V1555" s="15" t="n"/>
      <c r="W1555" s="15" t="n"/>
      <c r="X1555" s="15" t="n"/>
      <c r="Y1555" s="15" t="n"/>
      <c r="Z1555" s="15" t="n"/>
      <c r="AA1555" s="15" t="n"/>
      <c r="AB1555" s="15" t="n"/>
    </row>
    <row r="1556" ht="15" customHeight="1" s="12">
      <c r="A1556" s="14" t="n">
        <v>1555</v>
      </c>
      <c r="B1556" s="16" t="n">
        <v>40373</v>
      </c>
      <c r="C1556" s="15" t="n">
        <v>2010</v>
      </c>
      <c r="D1556" s="15" t="inlineStr">
        <is>
          <t>Entertainment World Developers Limited</t>
        </is>
      </c>
      <c r="E1556" s="15" t="inlineStr">
        <is>
          <t>DRHP</t>
        </is>
      </c>
      <c r="F1556" s="15" t="inlineStr">
        <is>
          <t>Entertainment World Developers Limited</t>
        </is>
      </c>
      <c r="G1556" s="15" t="inlineStr">
        <is>
          <t>No launched IPO found</t>
        </is>
      </c>
      <c r="H1556" s="15" t="n"/>
      <c r="I1556" s="16" t="n"/>
      <c r="J1556" s="16" t="n"/>
      <c r="K1556" s="16" t="n"/>
      <c r="L1556" s="17" t="n"/>
      <c r="M1556" s="17" t="n"/>
      <c r="N1556" s="17" t="n"/>
      <c r="O1556" s="15" t="n"/>
      <c r="P1556" s="15" t="n"/>
      <c r="Q1556" s="18" t="inlineStr">
        <is>
          <t>https://www.sebi.gov.in/sebi_data/attachdocs/1287823802940.pdf</t>
        </is>
      </c>
      <c r="R1556" s="18" t="inlineStr">
        <is>
          <t>https://www.sebi.gov.in/filings/public-issues/jul-2010/entertainment-world-developers-limited_706.html</t>
        </is>
      </c>
      <c r="S1556" s="15" t="n"/>
      <c r="T1556" s="15" t="n"/>
      <c r="U1556" s="15" t="n"/>
      <c r="V1556" s="15" t="n"/>
      <c r="W1556" s="16" t="n"/>
      <c r="X1556" s="16" t="n"/>
      <c r="Y1556" s="16" t="n"/>
      <c r="Z1556" s="15" t="inlineStr">
        <is>
          <t>No issue found</t>
        </is>
      </c>
      <c r="AA1556" s="15" t="inlineStr">
        <is>
          <t>3.89cr-share book-built IPO never opened; company unlisted and later struck off</t>
        </is>
      </c>
      <c r="AB1556" s="18" t="inlineStr">
        <is>
          <t>https://www.zaubacorp.com/ENTERTAINMENT-WORLD-DEVELOPERS-LIMITED-U45202MH1999PLC164003</t>
        </is>
      </c>
    </row>
    <row r="1557" ht="15" customHeight="1" s="12">
      <c r="A1557" s="14" t="n">
        <v>1556</v>
      </c>
      <c r="B1557" s="16" t="n">
        <v>40373</v>
      </c>
      <c r="C1557" s="15" t="n">
        <v>2010</v>
      </c>
      <c r="D1557" s="15" t="inlineStr">
        <is>
          <t>SRS Limited</t>
        </is>
      </c>
      <c r="E1557" s="15" t="inlineStr">
        <is>
          <t>DRHP</t>
        </is>
      </c>
      <c r="F1557" s="15" t="inlineStr">
        <is>
          <t>SRS Limited</t>
        </is>
      </c>
      <c r="G1557" s="15" t="inlineStr">
        <is>
          <t>No launched IPO found</t>
        </is>
      </c>
      <c r="H1557" s="15" t="n"/>
      <c r="I1557" s="16" t="n"/>
      <c r="J1557" s="16" t="n"/>
      <c r="K1557" s="16" t="n"/>
      <c r="L1557" s="17" t="n"/>
      <c r="M1557" s="17" t="n"/>
      <c r="N1557" s="17" t="n"/>
      <c r="O1557" s="15" t="n"/>
      <c r="P1557" s="15" t="n"/>
      <c r="Q1557" s="18" t="inlineStr">
        <is>
          <t>https://www.sebi.gov.in/sebi_data/attachdocs/1287823961210.pdf</t>
        </is>
      </c>
      <c r="R1557" s="18" t="inlineStr">
        <is>
          <t>https://www.sebi.gov.in/filings/public-issues/jul-2010/srs-limited_707.html</t>
        </is>
      </c>
      <c r="S1557" s="15" t="n"/>
      <c r="T1557" s="15" t="n"/>
      <c r="U1557" s="15" t="n"/>
      <c r="V1557" s="15" t="n"/>
      <c r="W1557" s="19" t="n">
        <v>40778</v>
      </c>
      <c r="X1557" s="19" t="n">
        <v>40781</v>
      </c>
      <c r="Y1557" s="19" t="n"/>
      <c r="Z1557" s="20" t="inlineStr">
        <is>
          <t>Issue opened</t>
        </is>
      </c>
      <c r="AA1557" s="15" t="inlineStr">
        <is>
          <t>Matched on chittorgarh.com</t>
        </is>
      </c>
      <c r="AB1557" s="18" t="inlineStr">
        <is>
          <t>https://www.chittorgarh.com/ipo/srs_ipo/320/</t>
        </is>
      </c>
    </row>
    <row r="1558" ht="15" customHeight="1" s="12">
      <c r="A1558" s="14" t="n">
        <v>1557</v>
      </c>
      <c r="B1558" s="16" t="n">
        <v>40372</v>
      </c>
      <c r="C1558" s="15" t="n">
        <v>2010</v>
      </c>
      <c r="D1558" s="15" t="inlineStr">
        <is>
          <t>Embassy Property Developments Limited</t>
        </is>
      </c>
      <c r="E1558" s="15" t="inlineStr">
        <is>
          <t>DRHP</t>
        </is>
      </c>
      <c r="F1558" s="15" t="inlineStr">
        <is>
          <t>Embassy Property Developments Limited</t>
        </is>
      </c>
      <c r="G1558" s="15" t="inlineStr">
        <is>
          <t>No launched IPO found</t>
        </is>
      </c>
      <c r="H1558" s="15" t="n"/>
      <c r="I1558" s="16" t="n"/>
      <c r="J1558" s="16" t="n"/>
      <c r="K1558" s="16" t="n"/>
      <c r="L1558" s="17" t="n"/>
      <c r="M1558" s="17" t="n"/>
      <c r="N1558" s="17" t="n"/>
      <c r="O1558" s="15" t="n"/>
      <c r="P1558" s="15" t="n"/>
      <c r="Q1558" s="18" t="inlineStr">
        <is>
          <t>https://www.sebi.gov.in/sebi_data/attachdocs/1287823377071.pdf</t>
        </is>
      </c>
      <c r="R1558" s="18" t="inlineStr">
        <is>
          <t>https://www.sebi.gov.in/filings/public-issues/jul-2010/embassy-property-developments-limited_703.html</t>
        </is>
      </c>
      <c r="S1558" s="15" t="n"/>
      <c r="T1558" s="15" t="n"/>
      <c r="U1558" s="15" t="n"/>
      <c r="V1558" s="15" t="n"/>
      <c r="W1558" s="16" t="n"/>
      <c r="X1558" s="16" t="n"/>
      <c r="Y1558" s="16" t="n"/>
      <c r="Z1558" s="15" t="inlineStr">
        <is>
          <t>No issue found</t>
        </is>
      </c>
      <c r="AA1558" s="15" t="inlineStr">
        <is>
          <t>Business Standard lists the company but shows no issue dates; web search limit reached</t>
        </is>
      </c>
      <c r="AB1558" s="18" t="inlineStr">
        <is>
          <t>https://www.business-standard.com/markets/ipo/embassy-property-developments-pvt-ltd-ipo-40407</t>
        </is>
      </c>
    </row>
    <row r="1559" ht="15" customHeight="1" s="12">
      <c r="A1559" s="14" t="n">
        <v>1558</v>
      </c>
      <c r="B1559" s="16" t="n">
        <v>40372</v>
      </c>
      <c r="C1559" s="15" t="n">
        <v>2010</v>
      </c>
      <c r="D1559" s="15" t="inlineStr">
        <is>
          <t>Tunip Agro Limited</t>
        </is>
      </c>
      <c r="E1559" s="15" t="inlineStr">
        <is>
          <t>DRHP</t>
        </is>
      </c>
      <c r="F1559" s="15" t="inlineStr">
        <is>
          <t>Tunip Agro Limited</t>
        </is>
      </c>
      <c r="G1559" s="15" t="inlineStr">
        <is>
          <t>No launched IPO found</t>
        </is>
      </c>
      <c r="H1559" s="15" t="n"/>
      <c r="I1559" s="16" t="n"/>
      <c r="J1559" s="16" t="n"/>
      <c r="K1559" s="16" t="n"/>
      <c r="L1559" s="17" t="n"/>
      <c r="M1559" s="17" t="n"/>
      <c r="N1559" s="17" t="n"/>
      <c r="O1559" s="15" t="n"/>
      <c r="P1559" s="15" t="n"/>
      <c r="Q1559" s="18" t="inlineStr">
        <is>
          <t>https://www.sebi.gov.in/sebi_data/attachdocs/1287823603820.pdf</t>
        </is>
      </c>
      <c r="R1559" s="18" t="inlineStr">
        <is>
          <t>https://www.sebi.gov.in/filings/public-issues/jul-2010/tunip-agro-limited_705.html</t>
        </is>
      </c>
      <c r="S1559" s="15" t="n"/>
      <c r="T1559" s="15" t="n"/>
      <c r="U1559" s="15" t="n"/>
      <c r="V1559" s="15" t="n"/>
      <c r="W1559" s="16" t="n"/>
      <c r="X1559" s="16" t="n"/>
      <c r="Y1559" s="16" t="n"/>
      <c r="Z1559" s="15" t="inlineStr">
        <is>
          <t>No issue found</t>
        </is>
      </c>
      <c r="AA1559" s="15" t="inlineStr">
        <is>
          <t>Onjus juice maker planned Rs45cr IPO; company remains unlisted</t>
        </is>
      </c>
      <c r="AB1559" s="18" t="inlineStr">
        <is>
          <t>http://www.moneylife.in/article/times-group-backed-tunip-agro-hijacks-lsquoonjusrsquo-brand-plans-ipo/12867.html</t>
        </is>
      </c>
    </row>
    <row r="1560" ht="15" customHeight="1" s="12">
      <c r="A1560" s="14" t="n">
        <v>1559</v>
      </c>
      <c r="B1560" s="16" t="n">
        <v>40372</v>
      </c>
      <c r="C1560" s="15" t="n">
        <v>2010</v>
      </c>
      <c r="D1560" s="15" t="inlineStr">
        <is>
          <t>Virgo Engineers Limited</t>
        </is>
      </c>
      <c r="E1560" s="15" t="inlineStr">
        <is>
          <t>DRHP</t>
        </is>
      </c>
      <c r="F1560" s="15" t="inlineStr">
        <is>
          <t>Virgo Engineers Limited</t>
        </is>
      </c>
      <c r="G1560" s="15" t="inlineStr">
        <is>
          <t>No launched IPO found</t>
        </is>
      </c>
      <c r="H1560" s="15" t="n"/>
      <c r="I1560" s="16" t="n"/>
      <c r="J1560" s="16" t="n"/>
      <c r="K1560" s="16" t="n"/>
      <c r="L1560" s="17" t="n"/>
      <c r="M1560" s="17" t="n"/>
      <c r="N1560" s="17" t="n"/>
      <c r="O1560" s="15" t="n"/>
      <c r="P1560" s="15" t="n"/>
      <c r="Q1560" s="18" t="inlineStr">
        <is>
          <t>https://www.sebi.gov.in/sebi_data/attachdocs/1287823531839.pdf</t>
        </is>
      </c>
      <c r="R1560" s="18" t="inlineStr">
        <is>
          <t>https://www.sebi.gov.in/filings/public-issues/jul-2010/virgo-engineers-limited_704.html</t>
        </is>
      </c>
      <c r="S1560" s="15" t="n"/>
      <c r="T1560" s="15" t="n"/>
      <c r="U1560" s="15" t="n"/>
      <c r="V1560" s="15" t="n"/>
      <c r="W1560" s="16" t="n"/>
      <c r="X1560" s="16" t="n"/>
      <c r="Y1560" s="16" t="n"/>
      <c r="Z1560" s="15" t="inlineStr">
        <is>
          <t>No issue found</t>
        </is>
      </c>
      <c r="AA1560" s="15" t="inlineStr">
        <is>
          <t>Business Standard lists the company but shows no issue dates; web search limit reached</t>
        </is>
      </c>
      <c r="AB1560" s="18" t="inlineStr">
        <is>
          <t>https://www.business-standard.com/markets/ipo/virgo-engineers-ltd-ipo-23978</t>
        </is>
      </c>
    </row>
    <row r="1561" ht="15" customHeight="1" s="12">
      <c r="A1561" s="14" t="n">
        <v>1560</v>
      </c>
      <c r="B1561" s="16" t="n">
        <v>40368</v>
      </c>
      <c r="C1561" s="15" t="n">
        <v>2010</v>
      </c>
      <c r="D1561" s="15" t="inlineStr">
        <is>
          <t>Shekhawati Poly-yarn Limited</t>
        </is>
      </c>
      <c r="E1561" s="15" t="inlineStr">
        <is>
          <t>DRHP</t>
        </is>
      </c>
      <c r="F1561" s="15" t="inlineStr">
        <is>
          <t>Shekhawati Poly-yarn Limited</t>
        </is>
      </c>
      <c r="G1561" s="15" t="inlineStr">
        <is>
          <t>IPO launched</t>
        </is>
      </c>
      <c r="H1561" s="15" t="inlineStr">
        <is>
          <t>Mainboard</t>
        </is>
      </c>
      <c r="I1561" s="16" t="n">
        <v>40539</v>
      </c>
      <c r="J1561" s="16" t="n">
        <v>40541</v>
      </c>
      <c r="K1561" s="16" t="n">
        <v>40555</v>
      </c>
      <c r="L1561" s="17" t="n">
        <v>36</v>
      </c>
      <c r="M1561" s="17" t="n">
        <v>36</v>
      </c>
      <c r="N1561" s="17" t="n">
        <v>0</v>
      </c>
      <c r="O1561" s="15" t="inlineStr">
        <is>
          <t>Final issue (ipoplatform)</t>
        </is>
      </c>
      <c r="P1561" s="15" t="n"/>
      <c r="Q1561" s="18" t="inlineStr">
        <is>
          <t>https://www.sebi.gov.in/sebi_data/attachdocs/1287823187828.pdf</t>
        </is>
      </c>
      <c r="R1561" s="18" t="inlineStr">
        <is>
          <t>https://www.sebi.gov.in/filings/public-issues/jul-2010/shekhawati-poly-yarn-limited_702.html</t>
        </is>
      </c>
      <c r="S1561" s="15" t="n"/>
      <c r="T1561" s="15" t="inlineStr">
        <is>
          <t>SEBI filing link</t>
        </is>
      </c>
      <c r="U1561" s="15" t="inlineStr">
        <is>
          <t>Shekhawati Poly-Yarn Limited</t>
        </is>
      </c>
      <c r="V1561" s="15" t="n"/>
      <c r="W1561" s="15" t="n"/>
      <c r="X1561" s="15" t="n"/>
      <c r="Y1561" s="15" t="n"/>
      <c r="Z1561" s="15" t="n"/>
      <c r="AA1561" s="15" t="n"/>
      <c r="AB1561" s="15" t="n"/>
    </row>
    <row r="1562" ht="15" customHeight="1" s="12">
      <c r="A1562" s="14" t="n">
        <v>1561</v>
      </c>
      <c r="B1562" s="16" t="n">
        <v>40366</v>
      </c>
      <c r="C1562" s="15" t="n">
        <v>2010</v>
      </c>
      <c r="D1562" s="15" t="inlineStr">
        <is>
          <t>VMS Industries Limited</t>
        </is>
      </c>
      <c r="E1562" s="15" t="inlineStr">
        <is>
          <t>DRHP</t>
        </is>
      </c>
      <c r="F1562" s="15" t="inlineStr">
        <is>
          <t>VMS Industries Limited</t>
        </is>
      </c>
      <c r="G1562" s="15" t="inlineStr">
        <is>
          <t>IPO launched</t>
        </is>
      </c>
      <c r="H1562" s="15" t="inlineStr">
        <is>
          <t>Mainboard</t>
        </is>
      </c>
      <c r="I1562" s="16" t="n">
        <v>40693</v>
      </c>
      <c r="J1562" s="16" t="n">
        <v>40696</v>
      </c>
      <c r="K1562" s="16" t="n">
        <v>40708</v>
      </c>
      <c r="L1562" s="17" t="n">
        <v>25.75</v>
      </c>
      <c r="M1562" s="17" t="n">
        <v>25.75</v>
      </c>
      <c r="N1562" s="17" t="n">
        <v>0</v>
      </c>
      <c r="O1562" s="15" t="inlineStr">
        <is>
          <t>Final issue (ipoplatform)</t>
        </is>
      </c>
      <c r="P1562" s="15" t="n"/>
      <c r="Q1562" s="18" t="inlineStr">
        <is>
          <t>https://www.sebi.gov.in/sebi_data/attachdocs/1287823105028.pdf</t>
        </is>
      </c>
      <c r="R1562" s="18" t="inlineStr">
        <is>
          <t>https://www.sebi.gov.in/filings/public-issues/jul-2010/vms-industries-limited_701.html</t>
        </is>
      </c>
      <c r="S1562" s="15" t="n"/>
      <c r="T1562" s="15" t="inlineStr">
        <is>
          <t>SEBI filing link</t>
        </is>
      </c>
      <c r="U1562" s="15" t="inlineStr">
        <is>
          <t>VMS Industries Limited</t>
        </is>
      </c>
      <c r="V1562" s="15" t="n"/>
      <c r="W1562" s="15" t="n"/>
      <c r="X1562" s="15" t="n"/>
      <c r="Y1562" s="15" t="n"/>
      <c r="Z1562" s="15" t="n"/>
      <c r="AA1562" s="15" t="n"/>
      <c r="AB1562" s="15" t="n"/>
    </row>
    <row r="1563" ht="15" customHeight="1" s="12">
      <c r="A1563" s="14" t="n">
        <v>1562</v>
      </c>
      <c r="B1563" s="16" t="n">
        <v>40361</v>
      </c>
      <c r="C1563" s="15" t="n">
        <v>2010</v>
      </c>
      <c r="D1563" s="15" t="inlineStr">
        <is>
          <t>Jain Infraprojects Limited</t>
        </is>
      </c>
      <c r="E1563" s="15" t="inlineStr">
        <is>
          <t>DRHP</t>
        </is>
      </c>
      <c r="F1563" s="15" t="inlineStr">
        <is>
          <t>Jain Infraprojects Limited</t>
        </is>
      </c>
      <c r="G1563" s="15" t="inlineStr">
        <is>
          <t>No launched IPO found</t>
        </is>
      </c>
      <c r="H1563" s="15" t="n"/>
      <c r="I1563" s="16" t="n"/>
      <c r="J1563" s="16" t="n"/>
      <c r="K1563" s="16" t="n"/>
      <c r="L1563" s="17" t="n"/>
      <c r="M1563" s="17" t="n"/>
      <c r="N1563" s="17" t="n"/>
      <c r="O1563" s="15" t="n"/>
      <c r="P1563" s="15" t="n"/>
      <c r="Q1563" s="18" t="inlineStr">
        <is>
          <t>https://www.sebi.gov.in/sebi_data/attachdocs/1287822811336.pdf</t>
        </is>
      </c>
      <c r="R1563" s="18" t="inlineStr">
        <is>
          <t>https://www.sebi.gov.in/filings/public-issues/jul-2010/jain-infraprojects-limited_699.html</t>
        </is>
      </c>
      <c r="S1563" s="15" t="n"/>
      <c r="T1563" s="15" t="n"/>
      <c r="U1563" s="15" t="n"/>
      <c r="V1563" s="15" t="n"/>
      <c r="W1563" s="16" t="n"/>
      <c r="X1563" s="16" t="n"/>
      <c r="Y1563" s="16" t="n"/>
      <c r="Z1563" s="15" t="inlineStr">
        <is>
          <t>No issue found</t>
        </is>
      </c>
      <c r="AA1563" s="15" t="inlineStr">
        <is>
          <t>Kolkata co; Rs300cr IPO DRHP June 2010; still unlisted</t>
        </is>
      </c>
      <c r="AB1563" s="18" t="inlineStr">
        <is>
          <t>https://www.tofler.in/jain-infraprojects-limited/company/U45203WB2006PLC111712</t>
        </is>
      </c>
    </row>
    <row r="1564" ht="15" customHeight="1" s="12">
      <c r="A1564" s="14" t="n">
        <v>1563</v>
      </c>
      <c r="B1564" s="16" t="n">
        <v>40361</v>
      </c>
      <c r="C1564" s="15" t="n">
        <v>2010</v>
      </c>
      <c r="D1564" s="15" t="inlineStr">
        <is>
          <t>Rajputana Stainless Limited</t>
        </is>
      </c>
      <c r="E1564" s="15" t="inlineStr">
        <is>
          <t>DRHP</t>
        </is>
      </c>
      <c r="F1564" s="15" t="inlineStr">
        <is>
          <t>Rajputana Stainless Limited</t>
        </is>
      </c>
      <c r="G1564" s="15" t="inlineStr">
        <is>
          <t>No launched IPO found</t>
        </is>
      </c>
      <c r="H1564" s="15" t="n"/>
      <c r="I1564" s="16" t="n"/>
      <c r="J1564" s="16" t="n"/>
      <c r="K1564" s="16" t="n"/>
      <c r="L1564" s="17" t="n"/>
      <c r="M1564" s="17" t="n"/>
      <c r="N1564" s="17" t="n"/>
      <c r="O1564" s="15" t="n"/>
      <c r="P1564" s="15" t="n"/>
      <c r="Q1564" s="18" t="inlineStr">
        <is>
          <t>https://www.sebi.gov.in/sebi_data/attachdocs/1287822925470.pdf</t>
        </is>
      </c>
      <c r="R1564" s="18" t="inlineStr">
        <is>
          <t>https://www.sebi.gov.in/filings/public-issues/jul-2010/rajputana-stainless-limited_700.html</t>
        </is>
      </c>
      <c r="S1564" s="15" t="n"/>
      <c r="T1564" s="15" t="n"/>
      <c r="U1564" s="15" t="n"/>
      <c r="V1564" s="15" t="inlineStr">
        <is>
          <t>Same-name IPO opened 09-Mar-2026 — outside 2 years of this filing, so not linked</t>
        </is>
      </c>
      <c r="W1564" s="25" t="n">
        <v>46090</v>
      </c>
      <c r="X1564" s="25" t="n">
        <v>46092</v>
      </c>
      <c r="Y1564" s="25" t="n">
        <v>46100</v>
      </c>
      <c r="Z1564" s="26" t="inlineStr">
        <is>
          <t>Later IPO — not from this draft</t>
        </is>
      </c>
      <c r="AA1564" s="15" t="inlineStr">
        <is>
          <t>Opened 15.7 yrs after this filing, under a later draft</t>
        </is>
      </c>
      <c r="AB1564" s="18" t="inlineStr">
        <is>
          <t>https://www.business-standard.com/markets/ipo/rajputana-stainless-ltd-ipo-40296</t>
        </is>
      </c>
    </row>
    <row r="1565" ht="15" customHeight="1" s="12">
      <c r="A1565" s="14" t="n">
        <v>1564</v>
      </c>
      <c r="B1565" s="16" t="n">
        <v>40359</v>
      </c>
      <c r="C1565" s="15" t="n">
        <v>2010</v>
      </c>
      <c r="D1565" s="15" t="inlineStr">
        <is>
          <t>Milestone Capital Advisors Limited</t>
        </is>
      </c>
      <c r="E1565" s="15" t="inlineStr">
        <is>
          <t>DRHP</t>
        </is>
      </c>
      <c r="F1565" s="15" t="inlineStr">
        <is>
          <t>Milestone Capital Advisors Limited</t>
        </is>
      </c>
      <c r="G1565" s="15" t="inlineStr">
        <is>
          <t>No launched IPO found</t>
        </is>
      </c>
      <c r="H1565" s="15" t="n"/>
      <c r="I1565" s="16" t="n"/>
      <c r="J1565" s="16" t="n"/>
      <c r="K1565" s="16" t="n"/>
      <c r="L1565" s="17" t="n"/>
      <c r="M1565" s="17" t="n"/>
      <c r="N1565" s="17" t="n"/>
      <c r="O1565" s="15" t="n"/>
      <c r="P1565" s="15" t="n"/>
      <c r="Q1565" s="18" t="inlineStr">
        <is>
          <t>https://www.sebi.gov.in/sebi_data/attachdocs/1290231310320.pdf</t>
        </is>
      </c>
      <c r="R1565" s="18" t="inlineStr">
        <is>
          <t>https://www.sebi.gov.in/filings/public-issues/jun-2010/milestone-capital-advisors-limited_5551.html</t>
        </is>
      </c>
      <c r="S1565" s="15" t="n"/>
      <c r="T1565" s="15" t="n"/>
      <c r="U1565" s="15" t="n"/>
      <c r="V1565" s="15" t="n"/>
      <c r="W1565" s="16" t="n"/>
      <c r="X1565" s="16" t="n"/>
      <c r="Y1565" s="16" t="n"/>
      <c r="Z1565" s="15" t="inlineStr">
        <is>
          <t>Withdrawn / approval lapsed</t>
        </is>
      </c>
      <c r="AA1565" s="15" t="inlineStr">
        <is>
          <t>DRHP withdrawn by LM (IDFC Capital) letter dated 2011-02-17; never listed</t>
        </is>
      </c>
      <c r="AB1565" s="18" t="inlineStr">
        <is>
          <t>https://www.sebi.gov.in/sebi_data/commondocs/Processing1011_h.html</t>
        </is>
      </c>
    </row>
    <row r="1566" ht="15" customHeight="1" s="12">
      <c r="A1566" s="14" t="n">
        <v>1565</v>
      </c>
      <c r="B1566" s="16" t="n">
        <v>40359</v>
      </c>
      <c r="C1566" s="15" t="n">
        <v>2010</v>
      </c>
      <c r="D1566" s="15" t="inlineStr">
        <is>
          <t>Planet 41 Mobi-Venture Limited</t>
        </is>
      </c>
      <c r="E1566" s="15" t="inlineStr">
        <is>
          <t>DRHP</t>
        </is>
      </c>
      <c r="F1566" s="15" t="inlineStr">
        <is>
          <t>Planet 41 Mobi-Venture Limited</t>
        </is>
      </c>
      <c r="G1566" s="15" t="inlineStr">
        <is>
          <t>No launched IPO found</t>
        </is>
      </c>
      <c r="H1566" s="15" t="n"/>
      <c r="I1566" s="16" t="n"/>
      <c r="J1566" s="16" t="n"/>
      <c r="K1566" s="16" t="n"/>
      <c r="L1566" s="17" t="n"/>
      <c r="M1566" s="17" t="n"/>
      <c r="N1566" s="17" t="n"/>
      <c r="O1566" s="15" t="n"/>
      <c r="P1566" s="15" t="n"/>
      <c r="Q1566" s="18" t="inlineStr">
        <is>
          <t>https://www.sebi.gov.in/sebi_data/attachdocs/1288085273713.pdf</t>
        </is>
      </c>
      <c r="R1566" s="18" t="inlineStr">
        <is>
          <t>https://www.sebi.gov.in/filings/public-issues/jun-2010/planet-41-mobi-venture-limited_1310.html</t>
        </is>
      </c>
      <c r="S1566" s="15" t="n"/>
      <c r="T1566" s="15" t="n"/>
      <c r="U1566" s="15" t="n"/>
      <c r="V1566" s="15" t="n"/>
      <c r="W1566" s="16" t="n"/>
      <c r="X1566" s="16" t="n"/>
      <c r="Y1566" s="16" t="n"/>
      <c r="Z1566" s="15" t="inlineStr">
        <is>
          <t>No issue found</t>
        </is>
      </c>
      <c r="AA1566" s="15" t="inlineStr">
        <is>
          <t>Business Standard lists the company but shows no issue dates; web search limit reached</t>
        </is>
      </c>
      <c r="AB1566" s="18" t="inlineStr">
        <is>
          <t>https://www.business-standard.com/markets/ipo/planet-41-mobi-venture-ltd-ipo-40295</t>
        </is>
      </c>
    </row>
    <row r="1567" ht="15" customHeight="1" s="12">
      <c r="A1567" s="14" t="n">
        <v>1566</v>
      </c>
      <c r="B1567" s="16" t="n">
        <v>40357</v>
      </c>
      <c r="C1567" s="15" t="n">
        <v>2010</v>
      </c>
      <c r="D1567" s="15" t="inlineStr">
        <is>
          <t>NKG Infrastructure Limited</t>
        </is>
      </c>
      <c r="E1567" s="15" t="inlineStr">
        <is>
          <t>DRHP</t>
        </is>
      </c>
      <c r="F1567" s="15" t="inlineStr">
        <is>
          <t>NKG Infrastructure Limited</t>
        </is>
      </c>
      <c r="G1567" s="15" t="inlineStr">
        <is>
          <t>No launched IPO found</t>
        </is>
      </c>
      <c r="H1567" s="15" t="n"/>
      <c r="I1567" s="16" t="n"/>
      <c r="J1567" s="16" t="n"/>
      <c r="K1567" s="16" t="n"/>
      <c r="L1567" s="17" t="n"/>
      <c r="M1567" s="17" t="n"/>
      <c r="N1567" s="17" t="n"/>
      <c r="O1567" s="15" t="n"/>
      <c r="P1567" s="15" t="n"/>
      <c r="Q1567" s="18" t="inlineStr">
        <is>
          <t>https://www.sebi.gov.in/sebi_data/attachdocs/1288085204054.pdf</t>
        </is>
      </c>
      <c r="R1567" s="18" t="inlineStr">
        <is>
          <t>https://www.sebi.gov.in/filings/public-issues/jun-2010/nkg-infrastructure-limited_1309.html</t>
        </is>
      </c>
      <c r="S1567" s="15" t="n"/>
      <c r="T1567" s="15" t="n"/>
      <c r="U1567" s="15" t="n"/>
      <c r="V1567" s="15" t="n"/>
      <c r="W1567" s="16" t="n"/>
      <c r="X1567" s="16" t="n"/>
      <c r="Y1567" s="16" t="n"/>
      <c r="Z1567" s="15" t="inlineStr">
        <is>
          <t>No issue found</t>
        </is>
      </c>
      <c r="AA1567" s="15" t="inlineStr">
        <is>
          <t>Only DRHP filing found; no issue dates.</t>
        </is>
      </c>
      <c r="AB1567" s="15" t="n"/>
    </row>
    <row r="1568" ht="15" customHeight="1" s="12">
      <c r="A1568" s="14" t="n">
        <v>1567</v>
      </c>
      <c r="B1568" s="16" t="n">
        <v>40354</v>
      </c>
      <c r="C1568" s="15" t="n">
        <v>2010</v>
      </c>
      <c r="D1568" s="15" t="inlineStr">
        <is>
          <t>Ind-Barath Power Infra Limited</t>
        </is>
      </c>
      <c r="E1568" s="15" t="inlineStr">
        <is>
          <t>DRHP</t>
        </is>
      </c>
      <c r="F1568" s="15" t="inlineStr">
        <is>
          <t>Ind-Barath Power Infra Limited</t>
        </is>
      </c>
      <c r="G1568" s="15" t="inlineStr">
        <is>
          <t>No launched IPO found</t>
        </is>
      </c>
      <c r="H1568" s="15" t="n"/>
      <c r="I1568" s="16" t="n"/>
      <c r="J1568" s="16" t="n"/>
      <c r="K1568" s="16" t="n"/>
      <c r="L1568" s="17" t="n"/>
      <c r="M1568" s="17" t="n"/>
      <c r="N1568" s="17" t="n"/>
      <c r="O1568" s="15" t="n"/>
      <c r="P1568" s="15" t="n"/>
      <c r="Q1568" s="18" t="inlineStr">
        <is>
          <t>https://www.sebi.gov.in/sebi_data/attachdocs/1288085387201.pdf</t>
        </is>
      </c>
      <c r="R1568" s="18" t="inlineStr">
        <is>
          <t>https://www.sebi.gov.in/filings/public-issues/jun-2010/ind-barath-power-infra-limited_1311.html</t>
        </is>
      </c>
      <c r="S1568" s="15" t="n"/>
      <c r="T1568" s="15" t="n"/>
      <c r="U1568" s="15" t="n"/>
      <c r="V1568" s="15" t="n"/>
      <c r="W1568" s="16" t="n"/>
      <c r="X1568" s="16" t="n"/>
      <c r="Y1568" s="16" t="n"/>
      <c r="Z1568" s="15" t="inlineStr">
        <is>
          <t>No issue found</t>
        </is>
      </c>
      <c r="AA1568" s="15" t="inlineStr">
        <is>
          <t>Business Standard lists the company but shows no issue dates; web search limit reached</t>
        </is>
      </c>
      <c r="AB1568" s="18" t="inlineStr">
        <is>
          <t>https://www.business-standard.com/markets/ipo/ind-barath-power-infra-ltd-ipo-40285</t>
        </is>
      </c>
    </row>
    <row r="1569" ht="15" customHeight="1" s="12">
      <c r="A1569" s="14" t="n">
        <v>1568</v>
      </c>
      <c r="B1569" s="16" t="n">
        <v>40351</v>
      </c>
      <c r="C1569" s="15" t="n">
        <v>2010</v>
      </c>
      <c r="D1569" s="15" t="inlineStr">
        <is>
          <t>Engineers India Limited</t>
        </is>
      </c>
      <c r="E1569" s="15" t="inlineStr">
        <is>
          <t>DRHP</t>
        </is>
      </c>
      <c r="F1569" s="15" t="inlineStr">
        <is>
          <t>Engineers India Limited</t>
        </is>
      </c>
      <c r="G1569" s="15" t="inlineStr">
        <is>
          <t>IPO launched</t>
        </is>
      </c>
      <c r="H1569" s="15" t="inlineStr">
        <is>
          <t>Mainboard</t>
        </is>
      </c>
      <c r="I1569" s="16" t="n">
        <v>41676</v>
      </c>
      <c r="J1569" s="16" t="n">
        <v>41682</v>
      </c>
      <c r="K1569" s="16" t="n">
        <v>41698</v>
      </c>
      <c r="L1569" s="17" t="n">
        <v>505.4</v>
      </c>
      <c r="M1569" s="17" t="n">
        <v>505.4</v>
      </c>
      <c r="N1569" s="17" t="n">
        <v>0</v>
      </c>
      <c r="O1569" s="15" t="inlineStr">
        <is>
          <t>Final issue (ipoplatform)</t>
        </is>
      </c>
      <c r="P1569" s="15" t="n"/>
      <c r="Q1569" s="18" t="inlineStr">
        <is>
          <t>https://www.sebi.gov.in/sebi_data/attachdocs/1288084482675.pdf</t>
        </is>
      </c>
      <c r="R1569" s="18" t="inlineStr">
        <is>
          <t>https://www.sebi.gov.in/filings/public-issues/jun-2010/engineers-india-limited_1306.html</t>
        </is>
      </c>
      <c r="S1569" s="15" t="n"/>
      <c r="T1569" s="15" t="inlineStr">
        <is>
          <t>SEBI filing link</t>
        </is>
      </c>
      <c r="U1569" s="15" t="inlineStr">
        <is>
          <t>Engineers India Limited</t>
        </is>
      </c>
      <c r="V1569" s="15" t="n"/>
      <c r="W1569" s="15" t="n"/>
      <c r="X1569" s="15" t="n"/>
      <c r="Y1569" s="15" t="n"/>
      <c r="Z1569" s="15" t="n"/>
      <c r="AA1569" s="15" t="n"/>
      <c r="AB1569" s="15" t="n"/>
    </row>
    <row r="1570" ht="15" customHeight="1" s="12">
      <c r="A1570" s="14" t="n">
        <v>1569</v>
      </c>
      <c r="B1570" s="16" t="n">
        <v>40330</v>
      </c>
      <c r="C1570" s="15" t="n">
        <v>2010</v>
      </c>
      <c r="D1570" s="15" t="inlineStr">
        <is>
          <t>R.P.P. Infra Projects Limited</t>
        </is>
      </c>
      <c r="E1570" s="15" t="inlineStr">
        <is>
          <t>DRHP</t>
        </is>
      </c>
      <c r="F1570" s="15" t="inlineStr">
        <is>
          <t>M/s. R.P.P. Infra Projects Limited</t>
        </is>
      </c>
      <c r="G1570" s="15" t="inlineStr">
        <is>
          <t>IPO launched</t>
        </is>
      </c>
      <c r="H1570" s="15" t="inlineStr">
        <is>
          <t>Mainboard</t>
        </is>
      </c>
      <c r="I1570" s="16" t="n">
        <v>40500</v>
      </c>
      <c r="J1570" s="16" t="n">
        <v>40504</v>
      </c>
      <c r="K1570" s="16" t="n">
        <v>40518</v>
      </c>
      <c r="L1570" s="17" t="n">
        <v>48.75</v>
      </c>
      <c r="M1570" s="17" t="n">
        <v>48.75</v>
      </c>
      <c r="N1570" s="17" t="n">
        <v>0</v>
      </c>
      <c r="O1570" s="15" t="inlineStr">
        <is>
          <t>Final issue (ipoplatform)</t>
        </is>
      </c>
      <c r="P1570" s="15" t="n"/>
      <c r="Q1570" s="18" t="inlineStr">
        <is>
          <t>https://www.sebi.gov.in/sebi_data/attachdocs/1288084292988.pdf</t>
        </is>
      </c>
      <c r="R1570" s="18" t="inlineStr">
        <is>
          <t>https://www.sebi.gov.in/filings/public-issues/jun-2010/m-s-r-p-p-infra-projects-limited_1305.html</t>
        </is>
      </c>
      <c r="S1570" s="15" t="n"/>
      <c r="T1570" s="15" t="inlineStr">
        <is>
          <t>Company name + date window</t>
        </is>
      </c>
      <c r="U1570" s="15" t="inlineStr">
        <is>
          <t>RPP Infra Projects Limited</t>
        </is>
      </c>
      <c r="V1570" s="15" t="n"/>
      <c r="W1570" s="15" t="n"/>
      <c r="X1570" s="15" t="n"/>
      <c r="Y1570" s="15" t="n"/>
      <c r="Z1570" s="15" t="n"/>
      <c r="AA1570" s="15" t="n"/>
      <c r="AB1570" s="15" t="n"/>
    </row>
    <row r="1571" ht="15" customHeight="1" s="12">
      <c r="A1571" s="14" t="n">
        <v>1570</v>
      </c>
      <c r="B1571" s="16" t="n">
        <v>40322</v>
      </c>
      <c r="C1571" s="15" t="n">
        <v>2010</v>
      </c>
      <c r="D1571" s="15" t="inlineStr">
        <is>
          <t>One97 Communications Limited</t>
        </is>
      </c>
      <c r="E1571" s="15" t="inlineStr">
        <is>
          <t>DRHP</t>
        </is>
      </c>
      <c r="F1571" s="15" t="inlineStr">
        <is>
          <t>One97 Communications Limited</t>
        </is>
      </c>
      <c r="G1571" s="15" t="inlineStr">
        <is>
          <t>No launched IPO found</t>
        </is>
      </c>
      <c r="H1571" s="15" t="n"/>
      <c r="I1571" s="16" t="n"/>
      <c r="J1571" s="16" t="n"/>
      <c r="K1571" s="16" t="n"/>
      <c r="L1571" s="17" t="n"/>
      <c r="M1571" s="17" t="n"/>
      <c r="N1571" s="17" t="n"/>
      <c r="O1571" s="15" t="n"/>
      <c r="P1571" s="15" t="n"/>
      <c r="Q1571" s="18" t="inlineStr">
        <is>
          <t>https://www.sebi.gov.in/sebi_data/attachdocs/1288167592852.pdf</t>
        </is>
      </c>
      <c r="R1571" s="18" t="inlineStr">
        <is>
          <t>https://www.sebi.gov.in/filings/public-issues/may-2010/one97-communications-limited_1640.html</t>
        </is>
      </c>
      <c r="S1571" s="15" t="n"/>
      <c r="T1571" s="15" t="n"/>
      <c r="U1571" s="15" t="n"/>
      <c r="V1571" s="15" t="inlineStr">
        <is>
          <t>Same-name IPO opened 08-Nov-2021 — outside 2 years of this filing, so not linked</t>
        </is>
      </c>
      <c r="W1571" s="25" t="n">
        <v>44508</v>
      </c>
      <c r="X1571" s="25" t="n">
        <v>44510</v>
      </c>
      <c r="Y1571" s="25" t="n">
        <v>44518</v>
      </c>
      <c r="Z1571" s="26" t="inlineStr">
        <is>
          <t>Later IPO — not from this draft</t>
        </is>
      </c>
      <c r="AA1571" s="15" t="inlineStr">
        <is>
          <t>Opened 11.5 yrs after this filing, under a later draft</t>
        </is>
      </c>
      <c r="AB1571" s="18" t="inlineStr">
        <is>
          <t>https://www.business-standard.com/markets/ipo/one-97-communications-ltd-ipo-40147</t>
        </is>
      </c>
    </row>
    <row r="1572" ht="15" customHeight="1" s="12">
      <c r="A1572" s="14" t="n">
        <v>1571</v>
      </c>
      <c r="B1572" s="16" t="n">
        <v>40312</v>
      </c>
      <c r="C1572" s="15" t="n">
        <v>2010</v>
      </c>
      <c r="D1572" s="15" t="inlineStr">
        <is>
          <t>Greatship ( India) Limited</t>
        </is>
      </c>
      <c r="E1572" s="15" t="inlineStr">
        <is>
          <t>DRHP</t>
        </is>
      </c>
      <c r="F1572" s="15" t="inlineStr">
        <is>
          <t>Greatship ( India) Limited</t>
        </is>
      </c>
      <c r="G1572" s="15" t="inlineStr">
        <is>
          <t>No launched IPO found</t>
        </is>
      </c>
      <c r="H1572" s="15" t="n"/>
      <c r="I1572" s="16" t="n"/>
      <c r="J1572" s="16" t="n"/>
      <c r="K1572" s="16" t="n"/>
      <c r="L1572" s="17" t="n"/>
      <c r="M1572" s="17" t="n"/>
      <c r="N1572" s="17" t="n"/>
      <c r="O1572" s="15" t="n"/>
      <c r="P1572" s="15" t="n"/>
      <c r="Q1572" s="18" t="inlineStr">
        <is>
          <t>https://www.sebi.gov.in/sebi_data/attachdocs/1290231121199.pdf</t>
        </is>
      </c>
      <c r="R1572" s="18" t="inlineStr">
        <is>
          <t>https://www.sebi.gov.in/filings/public-issues/may-2010/greatship-india-limited_5550.html</t>
        </is>
      </c>
      <c r="S1572" s="15" t="n"/>
      <c r="T1572" s="15" t="n"/>
      <c r="U1572" s="15" t="n"/>
      <c r="V1572" s="15" t="n"/>
      <c r="W1572" s="16" t="n"/>
      <c r="X1572" s="16" t="n"/>
      <c r="Y1572" s="16" t="n"/>
      <c r="Z1572" s="15" t="inlineStr">
        <is>
          <t>No issue found</t>
        </is>
      </c>
      <c r="AA1572" s="15" t="inlineStr">
        <is>
          <t>Business Standard lists the company but shows no issue dates; web search limit reached</t>
        </is>
      </c>
      <c r="AB1572" s="18" t="inlineStr">
        <is>
          <t>https://www.business-standard.com/markets/ipo/greatship-india-ltd-ipo-25482</t>
        </is>
      </c>
    </row>
    <row r="1573" ht="15" customHeight="1" s="12">
      <c r="A1573" s="14" t="n">
        <v>1572</v>
      </c>
      <c r="B1573" s="16" t="n">
        <v>40298</v>
      </c>
      <c r="C1573" s="15" t="n">
        <v>2010</v>
      </c>
      <c r="D1573" s="15" t="inlineStr">
        <is>
          <t>Tecpro Systems Limited</t>
        </is>
      </c>
      <c r="E1573" s="15" t="inlineStr">
        <is>
          <t>DRHP</t>
        </is>
      </c>
      <c r="F1573" s="15" t="inlineStr">
        <is>
          <t>Tecpro Systems Limited</t>
        </is>
      </c>
      <c r="G1573" s="15" t="inlineStr">
        <is>
          <t>No launched IPO found</t>
        </is>
      </c>
      <c r="H1573" s="15" t="n"/>
      <c r="I1573" s="16" t="n"/>
      <c r="J1573" s="16" t="n"/>
      <c r="K1573" s="16" t="n"/>
      <c r="L1573" s="17" t="n"/>
      <c r="M1573" s="17" t="n"/>
      <c r="N1573" s="17" t="n"/>
      <c r="O1573" s="15" t="n"/>
      <c r="P1573" s="15" t="n"/>
      <c r="Q1573" s="18" t="inlineStr">
        <is>
          <t>https://www.sebi.gov.in/sebi_data/attachdocs/1288254064334.pdf</t>
        </is>
      </c>
      <c r="R1573" s="18" t="inlineStr">
        <is>
          <t>https://www.sebi.gov.in/filings/public-issues/apr-2010/tecpro-systems-limited_1919.html</t>
        </is>
      </c>
      <c r="S1573" s="15" t="n"/>
      <c r="T1573" s="15" t="n"/>
      <c r="U1573" s="15" t="n"/>
      <c r="V1573" s="15" t="n"/>
      <c r="W1573" s="19" t="n">
        <v>40444</v>
      </c>
      <c r="X1573" s="19" t="n">
        <v>40449</v>
      </c>
      <c r="Y1573" s="19" t="n"/>
      <c r="Z1573" s="20" t="inlineStr">
        <is>
          <t>Issue opened</t>
        </is>
      </c>
      <c r="AA1573" s="15" t="inlineStr">
        <is>
          <t>Matched on chittorgarh.com</t>
        </is>
      </c>
      <c r="AB1573" s="18" t="inlineStr">
        <is>
          <t>https://www.chittorgarh.com/ipo/tecpro_ipo/269/</t>
        </is>
      </c>
    </row>
    <row r="1574" ht="15" customHeight="1" s="12">
      <c r="A1574" s="14" t="n">
        <v>1573</v>
      </c>
      <c r="B1574" s="16" t="n">
        <v>40295</v>
      </c>
      <c r="C1574" s="15" t="n">
        <v>2010</v>
      </c>
      <c r="D1574" s="15" t="inlineStr">
        <is>
          <t>Shirdi Industries Limited</t>
        </is>
      </c>
      <c r="E1574" s="15" t="inlineStr">
        <is>
          <t>DRHP</t>
        </is>
      </c>
      <c r="F1574" s="15" t="inlineStr">
        <is>
          <t>Shirdi Industries Limited</t>
        </is>
      </c>
      <c r="G1574" s="15" t="inlineStr">
        <is>
          <t>No launched IPO found</t>
        </is>
      </c>
      <c r="H1574" s="15" t="n"/>
      <c r="I1574" s="16" t="n"/>
      <c r="J1574" s="16" t="n"/>
      <c r="K1574" s="16" t="n"/>
      <c r="L1574" s="17" t="n"/>
      <c r="M1574" s="17" t="n"/>
      <c r="N1574" s="17" t="n"/>
      <c r="O1574" s="15" t="n"/>
      <c r="P1574" s="15" t="n"/>
      <c r="Q1574" s="18" t="inlineStr">
        <is>
          <t>https://www.sebi.gov.in/sebi_data/attachdocs/1288254015597.pdf</t>
        </is>
      </c>
      <c r="R1574" s="18" t="inlineStr">
        <is>
          <t>https://www.sebi.gov.in/filings/public-issues/apr-2010/shirdi-industries-limited_1918.html</t>
        </is>
      </c>
      <c r="S1574" s="15" t="n"/>
      <c r="T1574" s="15" t="n"/>
      <c r="U1574" s="15" t="n"/>
      <c r="V1574" s="15" t="n"/>
      <c r="W1574" s="16" t="n"/>
      <c r="X1574" s="16" t="n"/>
      <c r="Y1574" s="16" t="n"/>
      <c r="Z1574" s="15" t="inlineStr">
        <is>
          <t>Withdrawn / approval lapsed</t>
        </is>
      </c>
      <c r="AA1574" s="15" t="inlineStr">
        <is>
          <t>SEBI obs 24-Dec-2012 on this draft but issue never opened; approval lapsed; never listed</t>
        </is>
      </c>
      <c r="AB1574" s="18" t="inlineStr">
        <is>
          <t>https://www.sebi.gov.in/sebi_data/commondocs/feb-2020/Issues%20Obs%20Issued%2031012020_p.pdf</t>
        </is>
      </c>
    </row>
    <row r="1575" ht="15" customHeight="1" s="12">
      <c r="A1575" s="14" t="n">
        <v>1574</v>
      </c>
      <c r="B1575" s="16" t="n">
        <v>40290</v>
      </c>
      <c r="C1575" s="15" t="n">
        <v>2010</v>
      </c>
      <c r="D1575" s="15" t="inlineStr">
        <is>
          <t>Orient Green Power Company Limited</t>
        </is>
      </c>
      <c r="E1575" s="15" t="inlineStr">
        <is>
          <t>DRHP</t>
        </is>
      </c>
      <c r="F1575" s="15" t="inlineStr">
        <is>
          <t>Orient Green Power Company Limited</t>
        </is>
      </c>
      <c r="G1575" s="15" t="inlineStr">
        <is>
          <t>IPO launched</t>
        </is>
      </c>
      <c r="H1575" s="15" t="inlineStr">
        <is>
          <t>Mainboard</t>
        </is>
      </c>
      <c r="I1575" s="16" t="n">
        <v>40442</v>
      </c>
      <c r="J1575" s="16" t="n">
        <v>40445</v>
      </c>
      <c r="K1575" s="16" t="n">
        <v>40459</v>
      </c>
      <c r="L1575" s="17" t="n">
        <v>900</v>
      </c>
      <c r="M1575" s="17" t="n">
        <v>900</v>
      </c>
      <c r="N1575" s="17" t="n">
        <v>0</v>
      </c>
      <c r="O1575" s="15" t="inlineStr">
        <is>
          <t>Final issue (ipoplatform)</t>
        </is>
      </c>
      <c r="P1575" s="15" t="n"/>
      <c r="Q1575" s="18" t="inlineStr">
        <is>
          <t>https://www.sebi.gov.in/sebi_data/attachdocs/1288253978369.pdf</t>
        </is>
      </c>
      <c r="R1575" s="18" t="inlineStr">
        <is>
          <t>https://www.sebi.gov.in/filings/public-issues/apr-2010/orient-green-power-company-limited_1917.html</t>
        </is>
      </c>
      <c r="S1575" s="15" t="n"/>
      <c r="T1575" s="15" t="inlineStr">
        <is>
          <t>SEBI filing link</t>
        </is>
      </c>
      <c r="U1575" s="15" t="inlineStr">
        <is>
          <t>Orient Green Power Company Limited</t>
        </is>
      </c>
      <c r="V1575" s="15" t="n"/>
      <c r="W1575" s="15" t="n"/>
      <c r="X1575" s="15" t="n"/>
      <c r="Y1575" s="15" t="n"/>
      <c r="Z1575" s="15" t="n"/>
      <c r="AA1575" s="15" t="n"/>
      <c r="AB1575" s="15" t="n"/>
    </row>
    <row r="1576" ht="15" customHeight="1" s="12">
      <c r="A1576" s="14" t="n">
        <v>1575</v>
      </c>
      <c r="B1576" s="16" t="n">
        <v>40288</v>
      </c>
      <c r="C1576" s="15" t="n">
        <v>2010</v>
      </c>
      <c r="D1576" s="15" t="inlineStr">
        <is>
          <t>Claris Lifesciences Limited</t>
        </is>
      </c>
      <c r="E1576" s="15" t="inlineStr">
        <is>
          <t>DRHP</t>
        </is>
      </c>
      <c r="F1576" s="15" t="inlineStr">
        <is>
          <t>Claris Lifesciences Limited</t>
        </is>
      </c>
      <c r="G1576" s="15" t="inlineStr">
        <is>
          <t>No launched IPO found</t>
        </is>
      </c>
      <c r="H1576" s="15" t="n"/>
      <c r="I1576" s="16" t="n"/>
      <c r="J1576" s="16" t="n"/>
      <c r="K1576" s="16" t="n"/>
      <c r="L1576" s="17" t="n"/>
      <c r="M1576" s="17" t="n"/>
      <c r="N1576" s="17" t="n"/>
      <c r="O1576" s="15" t="n"/>
      <c r="P1576" s="15" t="n"/>
      <c r="Q1576" s="18" t="inlineStr">
        <is>
          <t>https://www.sebi.gov.in/sebi_data/attachdocs/1288253917813.pdf</t>
        </is>
      </c>
      <c r="R1576" s="18" t="inlineStr">
        <is>
          <t>https://www.sebi.gov.in/filings/public-issues/apr-2010/claris-lifesciences-limited_1916.html</t>
        </is>
      </c>
      <c r="S1576" s="15" t="n"/>
      <c r="T1576" s="15" t="n"/>
      <c r="U1576" s="15" t="n"/>
      <c r="V1576" s="15" t="n"/>
      <c r="W1576" s="19" t="n">
        <v>40506</v>
      </c>
      <c r="X1576" s="19" t="n">
        <v>40514</v>
      </c>
      <c r="Y1576" s="19" t="n"/>
      <c r="Z1576" s="20" t="inlineStr">
        <is>
          <t>Issue opened</t>
        </is>
      </c>
      <c r="AA1576" s="15" t="inlineStr">
        <is>
          <t>Matched on chittorgarh.com</t>
        </is>
      </c>
      <c r="AB1576" s="18" t="inlineStr">
        <is>
          <t>https://www.chittorgarh.com/ipo/claris_ipo/284/</t>
        </is>
      </c>
    </row>
    <row r="1577" ht="15" customHeight="1" s="12">
      <c r="A1577" s="14" t="n">
        <v>1576</v>
      </c>
      <c r="B1577" s="16" t="n">
        <v>40276</v>
      </c>
      <c r="C1577" s="15" t="n">
        <v>2010</v>
      </c>
      <c r="D1577" s="15" t="inlineStr">
        <is>
          <t>C Mahendra Exports Limited</t>
        </is>
      </c>
      <c r="E1577" s="15" t="inlineStr">
        <is>
          <t>DRHP</t>
        </is>
      </c>
      <c r="F1577" s="15" t="inlineStr">
        <is>
          <t>C Mahendra Exports Limited</t>
        </is>
      </c>
      <c r="G1577" s="15" t="inlineStr">
        <is>
          <t>No launched IPO found</t>
        </is>
      </c>
      <c r="H1577" s="15" t="n"/>
      <c r="I1577" s="16" t="n"/>
      <c r="J1577" s="16" t="n"/>
      <c r="K1577" s="16" t="n"/>
      <c r="L1577" s="17" t="n"/>
      <c r="M1577" s="17" t="n"/>
      <c r="N1577" s="17" t="n"/>
      <c r="O1577" s="15" t="n"/>
      <c r="P1577" s="15" t="n"/>
      <c r="Q1577" s="18" t="inlineStr">
        <is>
          <t>https://www.sebi.gov.in/sebi_data/attachdocs/1288253852959.pdf</t>
        </is>
      </c>
      <c r="R1577" s="18" t="inlineStr">
        <is>
          <t>https://www.sebi.gov.in/filings/public-issues/apr-2010/c-mahendra-exports-limited_1915.html</t>
        </is>
      </c>
      <c r="S1577" s="15" t="n"/>
      <c r="T1577" s="15" t="n"/>
      <c r="U1577" s="15" t="n"/>
      <c r="V1577" s="15" t="n"/>
      <c r="W1577" s="19" t="n">
        <v>40543</v>
      </c>
      <c r="X1577" s="19" t="n">
        <v>40549</v>
      </c>
      <c r="Y1577" s="19" t="n"/>
      <c r="Z1577" s="20" t="inlineStr">
        <is>
          <t>Issue opened</t>
        </is>
      </c>
      <c r="AA1577" s="15" t="inlineStr">
        <is>
          <t>Matched on chittorgarh.com</t>
        </is>
      </c>
      <c r="AB1577" s="18" t="inlineStr">
        <is>
          <t>https://www.chittorgarh.com/ipo/c_mahendra_ipo/290/</t>
        </is>
      </c>
    </row>
    <row r="1578" ht="15" customHeight="1" s="12">
      <c r="A1578" s="14" t="n">
        <v>1577</v>
      </c>
      <c r="B1578" s="16" t="n">
        <v>40273</v>
      </c>
      <c r="C1578" s="15" t="n">
        <v>2010</v>
      </c>
      <c r="D1578" s="15" t="inlineStr">
        <is>
          <t>ICOMM Tele Limited</t>
        </is>
      </c>
      <c r="E1578" s="15" t="inlineStr">
        <is>
          <t>DRHP</t>
        </is>
      </c>
      <c r="F1578" s="15" t="inlineStr">
        <is>
          <t>ICOMM Tele Limited</t>
        </is>
      </c>
      <c r="G1578" s="15" t="inlineStr">
        <is>
          <t>No launched IPO found</t>
        </is>
      </c>
      <c r="H1578" s="15" t="n"/>
      <c r="I1578" s="16" t="n"/>
      <c r="J1578" s="16" t="n"/>
      <c r="K1578" s="16" t="n"/>
      <c r="L1578" s="17" t="n"/>
      <c r="M1578" s="17" t="n"/>
      <c r="N1578" s="17" t="n"/>
      <c r="O1578" s="15" t="n"/>
      <c r="P1578" s="15" t="n"/>
      <c r="Q1578" s="18" t="inlineStr">
        <is>
          <t>https://www.sebi.gov.in/sebi_data/attachdocs/1288253579172.pdf</t>
        </is>
      </c>
      <c r="R1578" s="18" t="inlineStr">
        <is>
          <t>https://www.sebi.gov.in/filings/public-issues/apr-2010/icomm-tele-limited_1913.html</t>
        </is>
      </c>
      <c r="S1578" s="15" t="n"/>
      <c r="T1578" s="15" t="n"/>
      <c r="U1578" s="15" t="n"/>
      <c r="V1578" s="15" t="n"/>
      <c r="W1578" s="16" t="n"/>
      <c r="X1578" s="16" t="n"/>
      <c r="Y1578" s="16" t="n"/>
      <c r="Z1578" s="15" t="inlineStr">
        <is>
          <t>No issue found</t>
        </is>
      </c>
      <c r="AA1578" s="15" t="inlineStr">
        <is>
          <t>Business Standard lists the company but shows no issue dates; web search limit reached</t>
        </is>
      </c>
      <c r="AB1578" s="18" t="inlineStr">
        <is>
          <t>https://www.business-standard.com/markets/ipo/icomm-tele-ltd-ipo-25048</t>
        </is>
      </c>
    </row>
    <row r="1579" ht="15" customHeight="1" s="12">
      <c r="A1579" s="14" t="n">
        <v>1578</v>
      </c>
      <c r="B1579" s="16" t="n">
        <v>40273</v>
      </c>
      <c r="C1579" s="15" t="n">
        <v>2010</v>
      </c>
      <c r="D1579" s="15" t="inlineStr">
        <is>
          <t>JP Infrastructure Limited</t>
        </is>
      </c>
      <c r="E1579" s="15" t="inlineStr">
        <is>
          <t>DRHP</t>
        </is>
      </c>
      <c r="F1579" s="15" t="inlineStr">
        <is>
          <t>JP Infrastructure Limited</t>
        </is>
      </c>
      <c r="G1579" s="15" t="inlineStr">
        <is>
          <t>No launched IPO found</t>
        </is>
      </c>
      <c r="H1579" s="15" t="n"/>
      <c r="I1579" s="16" t="n"/>
      <c r="J1579" s="16" t="n"/>
      <c r="K1579" s="16" t="n"/>
      <c r="L1579" s="17" t="n"/>
      <c r="M1579" s="17" t="n"/>
      <c r="N1579" s="17" t="n"/>
      <c r="O1579" s="15" t="n"/>
      <c r="P1579" s="15" t="n"/>
      <c r="Q1579" s="18" t="inlineStr">
        <is>
          <t>https://www.sebi.gov.in/sebi_data/attachdocs/1288253539799.pdf</t>
        </is>
      </c>
      <c r="R1579" s="18" t="inlineStr">
        <is>
          <t>https://www.sebi.gov.in/filings/public-issues/apr-2010/jp-infrastructure-limited_1912.html</t>
        </is>
      </c>
      <c r="S1579" s="15" t="n"/>
      <c r="T1579" s="15" t="n"/>
      <c r="U1579" s="15" t="n"/>
      <c r="V1579" s="15" t="n"/>
      <c r="W1579" s="25" t="n">
        <v>45194</v>
      </c>
      <c r="X1579" s="25" t="n">
        <v>45196</v>
      </c>
      <c r="Y1579" s="25" t="n">
        <v>45202</v>
      </c>
      <c r="Z1579" s="26" t="inlineStr">
        <is>
          <t>Later IPO — not from this draft</t>
        </is>
      </c>
      <c r="AA1579" s="15" t="inlineStr">
        <is>
          <t>Opened 13.5 yrs after this filing, under a later draft</t>
        </is>
      </c>
      <c r="AB1579" s="18" t="inlineStr">
        <is>
          <t>https://www.business-standard.com/markets/ipo/jsw-infrastructure-ltd-ipo-42944</t>
        </is>
      </c>
    </row>
    <row r="1580" ht="15" customHeight="1" s="12">
      <c r="A1580" s="14" t="n">
        <v>1579</v>
      </c>
      <c r="B1580" s="16" t="n">
        <v>40273</v>
      </c>
      <c r="C1580" s="15" t="n">
        <v>2010</v>
      </c>
      <c r="D1580" s="15" t="inlineStr">
        <is>
          <t>Ravi Kumar Distilleries Limited</t>
        </is>
      </c>
      <c r="E1580" s="15" t="inlineStr">
        <is>
          <t>DRHP</t>
        </is>
      </c>
      <c r="F1580" s="15" t="inlineStr">
        <is>
          <t>Ravi Kumar Distilleries Limited</t>
        </is>
      </c>
      <c r="G1580" s="15" t="inlineStr">
        <is>
          <t>IPO launched</t>
        </is>
      </c>
      <c r="H1580" s="15" t="inlineStr">
        <is>
          <t>Mainboard</t>
        </is>
      </c>
      <c r="I1580" s="16" t="n">
        <v>40520</v>
      </c>
      <c r="J1580" s="16" t="n">
        <v>40522</v>
      </c>
      <c r="K1580" s="16" t="n">
        <v>40539</v>
      </c>
      <c r="L1580" s="17" t="n">
        <v>73.59999999999999</v>
      </c>
      <c r="M1580" s="17" t="n">
        <v>73.59999999999999</v>
      </c>
      <c r="N1580" s="17" t="n">
        <v>0</v>
      </c>
      <c r="O1580" s="15" t="inlineStr">
        <is>
          <t>Final issue (ipoplatform)</t>
        </is>
      </c>
      <c r="P1580" s="15" t="n"/>
      <c r="Q1580" s="18" t="inlineStr">
        <is>
          <t>https://www.sebi.gov.in/sebi_data/attachdocs/1288253486954.pdf</t>
        </is>
      </c>
      <c r="R1580" s="18" t="inlineStr">
        <is>
          <t>https://www.sebi.gov.in/filings/public-issues/apr-2010/ravi-kumar-distilleries-limited_1910.html</t>
        </is>
      </c>
      <c r="S1580" s="15" t="n"/>
      <c r="T1580" s="15" t="inlineStr">
        <is>
          <t>SEBI filing link</t>
        </is>
      </c>
      <c r="U1580" s="15" t="inlineStr">
        <is>
          <t>Ravi Kumar Distilleries Limited</t>
        </is>
      </c>
      <c r="V1580" s="15" t="n"/>
      <c r="W1580" s="15" t="n"/>
      <c r="X1580" s="15" t="n"/>
      <c r="Y1580" s="15" t="n"/>
      <c r="Z1580" s="15" t="n"/>
      <c r="AA1580" s="15" t="n"/>
      <c r="AB1580" s="15" t="n"/>
    </row>
    <row r="1581" ht="15" customHeight="1" s="12">
      <c r="A1581" s="14" t="n">
        <v>1580</v>
      </c>
      <c r="B1581" s="16" t="n">
        <v>40273</v>
      </c>
      <c r="C1581" s="15" t="n">
        <v>2010</v>
      </c>
      <c r="D1581" s="15" t="inlineStr">
        <is>
          <t>You Broadband and Cable India Limited</t>
        </is>
      </c>
      <c r="E1581" s="15" t="inlineStr">
        <is>
          <t>DRHP</t>
        </is>
      </c>
      <c r="F1581" s="15" t="inlineStr">
        <is>
          <t>You Broadband and Cable India Limited</t>
        </is>
      </c>
      <c r="G1581" s="15" t="inlineStr">
        <is>
          <t>No launched IPO found</t>
        </is>
      </c>
      <c r="H1581" s="15" t="n"/>
      <c r="I1581" s="16" t="n"/>
      <c r="J1581" s="16" t="n"/>
      <c r="K1581" s="16" t="n"/>
      <c r="L1581" s="17" t="n"/>
      <c r="M1581" s="17" t="n"/>
      <c r="N1581" s="17" t="n"/>
      <c r="O1581" s="15" t="n"/>
      <c r="P1581" s="15" t="n"/>
      <c r="Q1581" s="18" t="inlineStr">
        <is>
          <t>https://www.sebi.gov.in/sebi_data/attachdocs/1288253408913.pdf</t>
        </is>
      </c>
      <c r="R1581" s="18" t="inlineStr">
        <is>
          <t>https://www.sebi.gov.in/filings/public-issues/apr-2010/you-broadband-and-cable-india-limited_1908.html</t>
        </is>
      </c>
      <c r="S1581" s="15" t="n"/>
      <c r="T1581" s="15" t="n"/>
      <c r="U1581" s="15" t="n"/>
      <c r="V1581" s="15" t="n"/>
      <c r="W1581" s="16" t="n"/>
      <c r="X1581" s="16" t="n"/>
      <c r="Y1581" s="16" t="n"/>
      <c r="Z1581" s="15" t="inlineStr">
        <is>
          <t>No issue found</t>
        </is>
      </c>
      <c r="AA1581" s="15" t="inlineStr">
        <is>
          <t>Never listed; later became a Vodafone (Vodafone Idea) subsidiary</t>
        </is>
      </c>
      <c r="AB1581" s="18" t="inlineStr">
        <is>
          <t>https://pitchbook.com/profiles/company/97601-77</t>
        </is>
      </c>
    </row>
    <row r="1582" ht="15" customHeight="1" s="12">
      <c r="A1582" s="14" t="n">
        <v>1581</v>
      </c>
      <c r="B1582" s="16" t="n">
        <v>40269</v>
      </c>
      <c r="C1582" s="15" t="n">
        <v>2010</v>
      </c>
      <c r="D1582" s="15" t="inlineStr">
        <is>
          <t>Genus Paper Products Limited</t>
        </is>
      </c>
      <c r="E1582" s="15" t="inlineStr">
        <is>
          <t>DRHP</t>
        </is>
      </c>
      <c r="F1582" s="15" t="inlineStr">
        <is>
          <t>Genus Paper Products Limited</t>
        </is>
      </c>
      <c r="G1582" s="15" t="inlineStr">
        <is>
          <t>No launched IPO found</t>
        </is>
      </c>
      <c r="H1582" s="15" t="n"/>
      <c r="I1582" s="16" t="n"/>
      <c r="J1582" s="16" t="n"/>
      <c r="K1582" s="16" t="n"/>
      <c r="L1582" s="17" t="n"/>
      <c r="M1582" s="17" t="n"/>
      <c r="N1582" s="17" t="n"/>
      <c r="O1582" s="15" t="n"/>
      <c r="P1582" s="15" t="n"/>
      <c r="Q1582" s="18" t="inlineStr">
        <is>
          <t>https://www.sebi.gov.in/sebi_data/attachdocs/1288253270455.pdf</t>
        </is>
      </c>
      <c r="R1582" s="18" t="inlineStr">
        <is>
          <t>https://www.sebi.gov.in/filings/public-issues/apr-2010/genus-paper-products-limited_1906.html</t>
        </is>
      </c>
      <c r="S1582" s="15" t="n"/>
      <c r="T1582" s="15" t="n"/>
      <c r="U1582" s="15" t="n"/>
      <c r="V1582" s="15" t="n"/>
      <c r="W1582" s="16" t="n"/>
      <c r="X1582" s="16" t="n"/>
      <c r="Y1582" s="16" t="n"/>
      <c r="Z1582" s="15" t="inlineStr">
        <is>
          <t>No issue found</t>
        </is>
      </c>
      <c r="AA1582" s="15" t="inlineStr">
        <is>
          <t>No IPO found; Genus paper business later listed 2015 via demerger as Genus Paper &amp; Boards (not an issue)</t>
        </is>
      </c>
      <c r="AB1582" s="18" t="inlineStr">
        <is>
          <t>https://www.bseindia.com/downloads/ipo/2015212143919Genus%20paper-IM.pdf</t>
        </is>
      </c>
    </row>
    <row r="1583" ht="15" customHeight="1" s="12">
      <c r="A1583" s="14" t="n">
        <v>1582</v>
      </c>
      <c r="B1583" s="16" t="n">
        <v>40269</v>
      </c>
      <c r="C1583" s="15" t="n">
        <v>2010</v>
      </c>
      <c r="D1583" s="15" t="inlineStr">
        <is>
          <t>Raheja Universal Limited</t>
        </is>
      </c>
      <c r="E1583" s="15" t="inlineStr">
        <is>
          <t>DRHP</t>
        </is>
      </c>
      <c r="F1583" s="15" t="inlineStr">
        <is>
          <t>Raheja Universal Limited</t>
        </is>
      </c>
      <c r="G1583" s="15" t="inlineStr">
        <is>
          <t>No launched IPO found</t>
        </is>
      </c>
      <c r="H1583" s="15" t="n"/>
      <c r="I1583" s="16" t="n"/>
      <c r="J1583" s="16" t="n"/>
      <c r="K1583" s="16" t="n"/>
      <c r="L1583" s="17" t="n"/>
      <c r="M1583" s="17" t="n"/>
      <c r="N1583" s="17" t="n"/>
      <c r="O1583" s="15" t="n"/>
      <c r="P1583" s="15" t="n"/>
      <c r="Q1583" s="18" t="inlineStr">
        <is>
          <t>https://www.sebi.gov.in/sebi_data/attachdocs/1288253358352.pdf</t>
        </is>
      </c>
      <c r="R1583" s="18" t="inlineStr">
        <is>
          <t>https://www.sebi.gov.in/filings/public-issues/apr-2010/raheja-universal-limited_1907.html</t>
        </is>
      </c>
      <c r="S1583" s="15" t="n"/>
      <c r="T1583" s="15" t="n"/>
      <c r="U1583" s="15" t="n"/>
      <c r="V1583" s="15" t="n"/>
      <c r="W1583" s="16" t="n"/>
      <c r="X1583" s="16" t="n"/>
      <c r="Y1583" s="16" t="n"/>
      <c r="Z1583" s="15" t="inlineStr">
        <is>
          <t>No issue found</t>
        </is>
      </c>
      <c r="AA1583" s="15" t="inlineStr">
        <is>
          <t>Business Standard lists the company but shows no issue dates; web search limit reached</t>
        </is>
      </c>
      <c r="AB1583" s="18" t="inlineStr">
        <is>
          <t>https://www.business-standard.com/markets/ipo/raheja-universal-pvt-ltd-ipo-29494</t>
        </is>
      </c>
    </row>
    <row r="1584" ht="15" customHeight="1" s="12">
      <c r="A1584" s="14" t="n">
        <v>1583</v>
      </c>
      <c r="B1584" s="16" t="n">
        <v>40268</v>
      </c>
      <c r="C1584" s="15" t="n">
        <v>2010</v>
      </c>
      <c r="D1584" s="15" t="inlineStr">
        <is>
          <t>Avantha Power and Infrastructure Limited</t>
        </is>
      </c>
      <c r="E1584" s="15" t="inlineStr">
        <is>
          <t>DRHP</t>
        </is>
      </c>
      <c r="F1584" s="15" t="inlineStr">
        <is>
          <t>Avantha Power and Infrastructure Limited</t>
        </is>
      </c>
      <c r="G1584" s="15" t="inlineStr">
        <is>
          <t>No launched IPO found</t>
        </is>
      </c>
      <c r="H1584" s="15" t="n"/>
      <c r="I1584" s="16" t="n"/>
      <c r="J1584" s="16" t="n"/>
      <c r="K1584" s="16" t="n"/>
      <c r="L1584" s="17" t="n"/>
      <c r="M1584" s="17" t="n"/>
      <c r="N1584" s="17" t="n"/>
      <c r="O1584" s="15" t="n"/>
      <c r="P1584" s="15" t="n"/>
      <c r="Q1584" s="18" t="inlineStr">
        <is>
          <t>https://www.sebi.gov.in/sebi_data/attachdocs/1288346684034.pdf</t>
        </is>
      </c>
      <c r="R1584" s="18" t="inlineStr">
        <is>
          <t>https://www.sebi.gov.in/filings/public-issues/mar-2010/avantha-power-and-infrastructure-limited_2393.html</t>
        </is>
      </c>
      <c r="S1584" s="15" t="n"/>
      <c r="T1584" s="15" t="n"/>
      <c r="U1584" s="15" t="n"/>
      <c r="V1584" s="15" t="n"/>
      <c r="W1584" s="16" t="n"/>
      <c r="X1584" s="16" t="n"/>
      <c r="Y1584" s="16" t="n"/>
      <c r="Z1584" s="15" t="inlineStr">
        <is>
          <t>No issue found</t>
        </is>
      </c>
      <c r="AA1584" s="15" t="inlineStr">
        <is>
          <t>Business Standard lists the company but shows no issue dates; web search limit reached</t>
        </is>
      </c>
      <c r="AB1584" s="18" t="inlineStr">
        <is>
          <t>https://www.business-standard.com/markets/ipo/avantha-power-infrastructure-ltd-ipo-38212</t>
        </is>
      </c>
    </row>
    <row r="1585" ht="15" customHeight="1" s="12">
      <c r="A1585" s="14" t="n">
        <v>1584</v>
      </c>
      <c r="B1585" s="16" t="n">
        <v>40268</v>
      </c>
      <c r="C1585" s="15" t="n">
        <v>2010</v>
      </c>
      <c r="D1585" s="15" t="inlineStr">
        <is>
          <t>Commercial Engineers and Body Builders Co Limited</t>
        </is>
      </c>
      <c r="E1585" s="15" t="inlineStr">
        <is>
          <t>DRHP</t>
        </is>
      </c>
      <c r="F1585" s="15" t="inlineStr">
        <is>
          <t>Commercial Engineers and Body Builders Co Limited</t>
        </is>
      </c>
      <c r="G1585" s="15" t="inlineStr">
        <is>
          <t>IPO launched</t>
        </is>
      </c>
      <c r="H1585" s="15" t="inlineStr">
        <is>
          <t>Mainboard</t>
        </is>
      </c>
      <c r="I1585" s="16" t="n">
        <v>40451</v>
      </c>
      <c r="J1585" s="16" t="n">
        <v>40456</v>
      </c>
      <c r="K1585" s="16" t="n">
        <v>40469</v>
      </c>
      <c r="L1585" s="17" t="n">
        <v>153</v>
      </c>
      <c r="M1585" s="17" t="n">
        <v>153</v>
      </c>
      <c r="N1585" s="17" t="n">
        <v>0</v>
      </c>
      <c r="O1585" s="15" t="inlineStr">
        <is>
          <t>Final issue (ipoplatform)</t>
        </is>
      </c>
      <c r="P1585" s="15" t="n"/>
      <c r="Q1585" s="18" t="inlineStr">
        <is>
          <t>https://www.sebi.gov.in/sebi_data/attachdocs/1288346790544.pdf</t>
        </is>
      </c>
      <c r="R1585" s="18" t="inlineStr">
        <is>
          <t>https://www.sebi.gov.in/filings/public-issues/mar-2010/commercial-engineers-and-body-builders-co-limited_2394.html</t>
        </is>
      </c>
      <c r="S1585" s="15" t="n"/>
      <c r="T1585" s="15" t="inlineStr">
        <is>
          <t>SEBI filing link</t>
        </is>
      </c>
      <c r="U1585" s="15" t="inlineStr">
        <is>
          <t>Commercial Engineers &amp; Body Builders Co Limited</t>
        </is>
      </c>
      <c r="V1585" s="15" t="n"/>
      <c r="W1585" s="15" t="n"/>
      <c r="X1585" s="15" t="n"/>
      <c r="Y1585" s="15" t="n"/>
      <c r="Z1585" s="15" t="n"/>
      <c r="AA1585" s="15" t="n"/>
      <c r="AB1585" s="15" t="n"/>
    </row>
    <row r="1586" ht="15" customHeight="1" s="12">
      <c r="A1586" s="14" t="n">
        <v>1585</v>
      </c>
      <c r="B1586" s="16" t="n">
        <v>40267</v>
      </c>
      <c r="C1586" s="15" t="n">
        <v>2010</v>
      </c>
      <c r="D1586" s="15" t="inlineStr">
        <is>
          <t>Electrosteel Integrated Limited</t>
        </is>
      </c>
      <c r="E1586" s="15" t="inlineStr">
        <is>
          <t>DRHP</t>
        </is>
      </c>
      <c r="F1586" s="15" t="inlineStr">
        <is>
          <t>Electrosteel Integrated Limited</t>
        </is>
      </c>
      <c r="G1586" s="15" t="inlineStr">
        <is>
          <t>IPO launched</t>
        </is>
      </c>
      <c r="H1586" s="15" t="inlineStr">
        <is>
          <t>Mainboard</t>
        </is>
      </c>
      <c r="I1586" s="16" t="n">
        <v>40442</v>
      </c>
      <c r="J1586" s="16" t="n">
        <v>40445</v>
      </c>
      <c r="K1586" s="16" t="n">
        <v>40459</v>
      </c>
      <c r="L1586" s="17" t="n">
        <v>248.07</v>
      </c>
      <c r="M1586" s="17" t="n"/>
      <c r="N1586" s="17" t="n">
        <v>248.07</v>
      </c>
      <c r="O1586" s="15" t="inlineStr">
        <is>
          <t>Final issue (ipoplatform)</t>
        </is>
      </c>
      <c r="P1586" s="15" t="n"/>
      <c r="Q1586" s="18" t="inlineStr">
        <is>
          <t>https://www.sebi.gov.in/sebi_data/attachdocs/1288346613150.pdf</t>
        </is>
      </c>
      <c r="R1586" s="18" t="inlineStr">
        <is>
          <t>https://www.sebi.gov.in/filings/public-issues/mar-2010/electrosteel-integrated-limited_2392.html</t>
        </is>
      </c>
      <c r="S1586" s="15" t="n"/>
      <c r="T1586" s="15" t="inlineStr">
        <is>
          <t>Company name + date window</t>
        </is>
      </c>
      <c r="U1586" s="15" t="inlineStr">
        <is>
          <t>Electrosteel Integrated Limited</t>
        </is>
      </c>
      <c r="V1586" s="15" t="n"/>
      <c r="W1586" s="15" t="n"/>
      <c r="X1586" s="15" t="n"/>
      <c r="Y1586" s="15" t="n"/>
      <c r="Z1586" s="15" t="n"/>
      <c r="AA1586" s="15" t="n"/>
      <c r="AB1586" s="15" t="n"/>
    </row>
    <row r="1587" ht="15" customHeight="1" s="12">
      <c r="A1587" s="14" t="n">
        <v>1586</v>
      </c>
      <c r="B1587" s="16" t="n">
        <v>40267</v>
      </c>
      <c r="C1587" s="15" t="n">
        <v>2010</v>
      </c>
      <c r="D1587" s="15" t="inlineStr">
        <is>
          <t>Ramky Infrastructure Limited</t>
        </is>
      </c>
      <c r="E1587" s="15" t="inlineStr">
        <is>
          <t>DRHP</t>
        </is>
      </c>
      <c r="F1587" s="15" t="inlineStr">
        <is>
          <t>Ramky Infrastructure Limited</t>
        </is>
      </c>
      <c r="G1587" s="15" t="inlineStr">
        <is>
          <t>IPO launched</t>
        </is>
      </c>
      <c r="H1587" s="15" t="inlineStr">
        <is>
          <t>Mainboard</t>
        </is>
      </c>
      <c r="I1587" s="16" t="n">
        <v>40442</v>
      </c>
      <c r="J1587" s="16" t="n">
        <v>40444</v>
      </c>
      <c r="K1587" s="16" t="n">
        <v>40459</v>
      </c>
      <c r="L1587" s="17" t="n">
        <v>530</v>
      </c>
      <c r="M1587" s="17" t="n">
        <v>530</v>
      </c>
      <c r="N1587" s="17" t="n">
        <v>0</v>
      </c>
      <c r="O1587" s="15" t="inlineStr">
        <is>
          <t>Final issue (ipoplatform)</t>
        </is>
      </c>
      <c r="P1587" s="15" t="n"/>
      <c r="Q1587" s="18" t="inlineStr">
        <is>
          <t>https://www.sebi.gov.in/sebi_data/attachdocs/1288346567322.pdf</t>
        </is>
      </c>
      <c r="R1587" s="18" t="inlineStr">
        <is>
          <t>https://www.sebi.gov.in/filings/public-issues/mar-2010/ramky-infrastructure-limited_2391.html</t>
        </is>
      </c>
      <c r="S1587" s="15" t="n"/>
      <c r="T1587" s="15" t="inlineStr">
        <is>
          <t>SEBI filing link</t>
        </is>
      </c>
      <c r="U1587" s="15" t="inlineStr">
        <is>
          <t>Ramky Infrastructure Limited</t>
        </is>
      </c>
      <c r="V1587" s="15" t="n"/>
      <c r="W1587" s="15" t="n"/>
      <c r="X1587" s="15" t="n"/>
      <c r="Y1587" s="15" t="n"/>
      <c r="Z1587" s="15" t="n"/>
      <c r="AA1587" s="15" t="n"/>
      <c r="AB1587" s="15" t="n"/>
    </row>
    <row r="1588" ht="15" customHeight="1" s="12">
      <c r="A1588" s="14" t="n">
        <v>1587</v>
      </c>
      <c r="B1588" s="16" t="n">
        <v>40266</v>
      </c>
      <c r="C1588" s="15" t="n">
        <v>2010</v>
      </c>
      <c r="D1588" s="15" t="inlineStr">
        <is>
          <t>SKS Microfinance Limited</t>
        </is>
      </c>
      <c r="E1588" s="15" t="inlineStr">
        <is>
          <t>DRHP</t>
        </is>
      </c>
      <c r="F1588" s="15" t="inlineStr">
        <is>
          <t>SKS Microfinance Limited</t>
        </is>
      </c>
      <c r="G1588" s="15" t="inlineStr">
        <is>
          <t>No launched IPO found</t>
        </is>
      </c>
      <c r="H1588" s="15" t="n"/>
      <c r="I1588" s="16" t="n"/>
      <c r="J1588" s="16" t="n"/>
      <c r="K1588" s="16" t="n"/>
      <c r="L1588" s="17" t="n"/>
      <c r="M1588" s="17" t="n"/>
      <c r="N1588" s="17" t="n"/>
      <c r="O1588" s="15" t="n"/>
      <c r="P1588" s="15" t="n"/>
      <c r="Q1588" s="18" t="inlineStr">
        <is>
          <t>https://www.sebi.gov.in/sebi_data/attachdocs/1288346484809.pdf</t>
        </is>
      </c>
      <c r="R1588" s="18" t="inlineStr">
        <is>
          <t>https://www.sebi.gov.in/filings/public-issues/mar-2010/sks-microfinance-limited_2390.html</t>
        </is>
      </c>
      <c r="S1588" s="15" t="n"/>
      <c r="T1588" s="15" t="n"/>
      <c r="U1588" s="15" t="n"/>
      <c r="V1588" s="15" t="n"/>
      <c r="W1588" s="19" t="n">
        <v>40387</v>
      </c>
      <c r="X1588" s="19" t="n">
        <v>40392</v>
      </c>
      <c r="Y1588" s="19" t="n"/>
      <c r="Z1588" s="20" t="inlineStr">
        <is>
          <t>Issue opened</t>
        </is>
      </c>
      <c r="AA1588" s="15" t="inlineStr">
        <is>
          <t>Matched on chittorgarh.com</t>
        </is>
      </c>
      <c r="AB1588" s="18" t="inlineStr">
        <is>
          <t>https://www.chittorgarh.com/ipo/sks_microfinance_ipo/253/</t>
        </is>
      </c>
    </row>
    <row r="1589" ht="15" customHeight="1" s="12">
      <c r="A1589" s="14" t="n">
        <v>1588</v>
      </c>
      <c r="B1589" s="16" t="n">
        <v>40263</v>
      </c>
      <c r="C1589" s="15" t="n">
        <v>2010</v>
      </c>
      <c r="D1589" s="15" t="inlineStr">
        <is>
          <t>Gujarat State Petroleum Corporation Limited</t>
        </is>
      </c>
      <c r="E1589" s="15" t="inlineStr">
        <is>
          <t>DRHP</t>
        </is>
      </c>
      <c r="F1589" s="15" t="inlineStr">
        <is>
          <t>Gujarat State Petroleum Corporation Limited</t>
        </is>
      </c>
      <c r="G1589" s="15" t="inlineStr">
        <is>
          <t>No launched IPO found</t>
        </is>
      </c>
      <c r="H1589" s="15" t="n"/>
      <c r="I1589" s="16" t="n"/>
      <c r="J1589" s="16" t="n"/>
      <c r="K1589" s="16" t="n"/>
      <c r="L1589" s="17" t="n"/>
      <c r="M1589" s="17" t="n"/>
      <c r="N1589" s="17" t="n"/>
      <c r="O1589" s="15" t="n"/>
      <c r="P1589" s="15" t="n"/>
      <c r="Q1589" s="18" t="inlineStr">
        <is>
          <t>https://www.sebi.gov.in/sebi_data/attachdocs/1288346387617.pdf</t>
        </is>
      </c>
      <c r="R1589" s="18" t="inlineStr">
        <is>
          <t>https://www.sebi.gov.in/filings/public-issues/mar-2010/gujarat-state-petroleum-corporation-limited_2388.html</t>
        </is>
      </c>
      <c r="S1589" s="15" t="n"/>
      <c r="T1589" s="15" t="n"/>
      <c r="U1589" s="15" t="n"/>
      <c r="V1589" s="15" t="n"/>
      <c r="W1589" s="16" t="n"/>
      <c r="X1589" s="16" t="n"/>
      <c r="Y1589" s="16" t="n"/>
      <c r="Z1589" s="15" t="inlineStr">
        <is>
          <t>No issue found</t>
        </is>
      </c>
      <c r="AA1589" s="15" t="inlineStr">
        <is>
          <t>Business Standard lists the company but shows no issue dates; web search limit reached</t>
        </is>
      </c>
      <c r="AB1589" s="18" t="inlineStr">
        <is>
          <t>https://www.business-standard.com/markets/ipo/gujarat-state-petroleum-corporation-ltd-ipo-15853</t>
        </is>
      </c>
    </row>
    <row r="1590" ht="15" customHeight="1" s="12">
      <c r="A1590" s="14" t="n">
        <v>1589</v>
      </c>
      <c r="B1590" s="16" t="n">
        <v>40263</v>
      </c>
      <c r="C1590" s="15" t="n">
        <v>2010</v>
      </c>
      <c r="D1590" s="15" t="inlineStr">
        <is>
          <t>RDB Rasayans Limited</t>
        </is>
      </c>
      <c r="E1590" s="15" t="inlineStr">
        <is>
          <t>DRHP</t>
        </is>
      </c>
      <c r="F1590" s="15" t="inlineStr">
        <is>
          <t>RDB Rasayans Limited</t>
        </is>
      </c>
      <c r="G1590" s="15" t="inlineStr">
        <is>
          <t>IPO launched</t>
        </is>
      </c>
      <c r="H1590" s="15" t="inlineStr">
        <is>
          <t>Mainboard</t>
        </is>
      </c>
      <c r="I1590" s="16" t="n">
        <v>40807</v>
      </c>
      <c r="J1590" s="16" t="n">
        <v>40809</v>
      </c>
      <c r="K1590" s="16" t="n">
        <v>40823</v>
      </c>
      <c r="L1590" s="17" t="n">
        <v>35.55</v>
      </c>
      <c r="M1590" s="17" t="n">
        <v>35.55</v>
      </c>
      <c r="N1590" s="17" t="n">
        <v>0</v>
      </c>
      <c r="O1590" s="15" t="inlineStr">
        <is>
          <t>Final issue (ipoplatform)</t>
        </is>
      </c>
      <c r="P1590" s="15" t="n"/>
      <c r="Q1590" s="18" t="inlineStr">
        <is>
          <t>https://www.sebi.gov.in/sebi_data/attachdocs/1288346425359.pdf</t>
        </is>
      </c>
      <c r="R1590" s="18" t="inlineStr">
        <is>
          <t>https://www.sebi.gov.in/filings/public-issues/mar-2010/rdb-rasayans-limited_2389.html</t>
        </is>
      </c>
      <c r="S1590" s="15" t="n"/>
      <c r="T1590" s="15" t="inlineStr">
        <is>
          <t>SEBI filing link</t>
        </is>
      </c>
      <c r="U1590" s="15" t="inlineStr">
        <is>
          <t>RDB Rasayans Limited</t>
        </is>
      </c>
      <c r="V1590" s="15" t="n"/>
      <c r="W1590" s="15" t="n"/>
      <c r="X1590" s="15" t="n"/>
      <c r="Y1590" s="15" t="n"/>
      <c r="Z1590" s="15" t="n"/>
      <c r="AA1590" s="15" t="n"/>
      <c r="AB1590" s="15" t="n"/>
    </row>
    <row r="1591" ht="15" customHeight="1" s="12">
      <c r="A1591" s="14" t="n">
        <v>1590</v>
      </c>
      <c r="B1591" s="16" t="n">
        <v>40262</v>
      </c>
      <c r="C1591" s="15" t="n">
        <v>2010</v>
      </c>
      <c r="D1591" s="15" t="inlineStr">
        <is>
          <t>Microsec Financial Services Limited</t>
        </is>
      </c>
      <c r="E1591" s="15" t="inlineStr">
        <is>
          <t>DRHP</t>
        </is>
      </c>
      <c r="F1591" s="15" t="inlineStr">
        <is>
          <t>Microsec Financial Services Limited</t>
        </is>
      </c>
      <c r="G1591" s="15" t="inlineStr">
        <is>
          <t>IPO launched</t>
        </is>
      </c>
      <c r="H1591" s="15" t="inlineStr">
        <is>
          <t>Mainboard</t>
        </is>
      </c>
      <c r="I1591" s="16" t="n">
        <v>40438</v>
      </c>
      <c r="J1591" s="16" t="n">
        <v>40442</v>
      </c>
      <c r="K1591" s="16" t="n">
        <v>40456</v>
      </c>
      <c r="L1591" s="17" t="n">
        <v>147.5</v>
      </c>
      <c r="M1591" s="17" t="n">
        <v>147.5</v>
      </c>
      <c r="N1591" s="17" t="n">
        <v>0</v>
      </c>
      <c r="O1591" s="15" t="inlineStr">
        <is>
          <t>Final issue (ipoplatform)</t>
        </is>
      </c>
      <c r="P1591" s="15" t="n"/>
      <c r="Q1591" s="18" t="inlineStr">
        <is>
          <t>https://www.sebi.gov.in/sebi_data/attachdocs/1288346194625.pdf</t>
        </is>
      </c>
      <c r="R1591" s="18" t="inlineStr">
        <is>
          <t>https://www.sebi.gov.in/filings/public-issues/mar-2010/microsec-financial-services-limited_2386.html</t>
        </is>
      </c>
      <c r="S1591" s="15" t="n"/>
      <c r="T1591" s="15" t="inlineStr">
        <is>
          <t>SEBI filing link</t>
        </is>
      </c>
      <c r="U1591" s="15" t="inlineStr">
        <is>
          <t>Microsec Financial Services Limited</t>
        </is>
      </c>
      <c r="V1591" s="15" t="n"/>
      <c r="W1591" s="15" t="n"/>
      <c r="X1591" s="15" t="n"/>
      <c r="Y1591" s="15" t="n"/>
      <c r="Z1591" s="15" t="n"/>
      <c r="AA1591" s="15" t="n"/>
      <c r="AB1591" s="15" t="n"/>
    </row>
    <row r="1592" ht="15" customHeight="1" s="12">
      <c r="A1592" s="14" t="n">
        <v>1591</v>
      </c>
      <c r="B1592" s="16" t="n">
        <v>40262</v>
      </c>
      <c r="C1592" s="15" t="n">
        <v>2010</v>
      </c>
      <c r="D1592" s="15" t="inlineStr">
        <is>
          <t>Prakash Steelage Limited</t>
        </is>
      </c>
      <c r="E1592" s="15" t="inlineStr">
        <is>
          <t>DRHP</t>
        </is>
      </c>
      <c r="F1592" s="15" t="inlineStr">
        <is>
          <t>Prakash Steelage Limited</t>
        </is>
      </c>
      <c r="G1592" s="15" t="inlineStr">
        <is>
          <t>IPO launched</t>
        </is>
      </c>
      <c r="H1592" s="15" t="inlineStr">
        <is>
          <t>Mainboard</t>
        </is>
      </c>
      <c r="I1592" s="16" t="n">
        <v>40395</v>
      </c>
      <c r="J1592" s="16" t="n">
        <v>40400</v>
      </c>
      <c r="K1592" s="16" t="n">
        <v>40415</v>
      </c>
      <c r="L1592" s="17" t="n">
        <v>68.75</v>
      </c>
      <c r="M1592" s="17" t="n">
        <v>68.75</v>
      </c>
      <c r="N1592" s="17" t="n">
        <v>0</v>
      </c>
      <c r="O1592" s="15" t="inlineStr">
        <is>
          <t>Final issue (ipoplatform)</t>
        </is>
      </c>
      <c r="P1592" s="15" t="n"/>
      <c r="Q1592" s="18" t="inlineStr">
        <is>
          <t>https://www.sebi.gov.in/sebi_data/attachdocs/1288346296484.pdf</t>
        </is>
      </c>
      <c r="R1592" s="18" t="inlineStr">
        <is>
          <t>https://www.sebi.gov.in/filings/public-issues/mar-2010/prakash-steelage-limited_2387.html</t>
        </is>
      </c>
      <c r="S1592" s="15" t="n"/>
      <c r="T1592" s="15" t="inlineStr">
        <is>
          <t>SEBI filing link</t>
        </is>
      </c>
      <c r="U1592" s="15" t="inlineStr">
        <is>
          <t>Prakash Steelage Limited</t>
        </is>
      </c>
      <c r="V1592" s="15" t="n"/>
      <c r="W1592" s="15" t="n"/>
      <c r="X1592" s="15" t="n"/>
      <c r="Y1592" s="15" t="n"/>
      <c r="Z1592" s="15" t="n"/>
      <c r="AA1592" s="15" t="n"/>
      <c r="AB1592" s="15" t="n"/>
    </row>
    <row r="1593" ht="15" customHeight="1" s="12">
      <c r="A1593" s="14" t="n">
        <v>1592</v>
      </c>
      <c r="B1593" s="16" t="n">
        <v>40262</v>
      </c>
      <c r="C1593" s="15" t="n">
        <v>2010</v>
      </c>
      <c r="D1593" s="15" t="inlineStr">
        <is>
          <t>Rushil Decor Limited</t>
        </is>
      </c>
      <c r="E1593" s="15" t="inlineStr">
        <is>
          <t>DRHP</t>
        </is>
      </c>
      <c r="F1593" s="15" t="inlineStr">
        <is>
          <t>Rushil Decor Limited</t>
        </is>
      </c>
      <c r="G1593" s="15" t="inlineStr">
        <is>
          <t>IPO launched</t>
        </is>
      </c>
      <c r="H1593" s="15" t="inlineStr">
        <is>
          <t>Mainboard</t>
        </is>
      </c>
      <c r="I1593" s="16" t="n">
        <v>40714</v>
      </c>
      <c r="J1593" s="16" t="n">
        <v>40717</v>
      </c>
      <c r="K1593" s="16" t="n">
        <v>40731</v>
      </c>
      <c r="L1593" s="17" t="n">
        <v>40.64</v>
      </c>
      <c r="M1593" s="17" t="n">
        <v>40.64</v>
      </c>
      <c r="N1593" s="17" t="n">
        <v>0</v>
      </c>
      <c r="O1593" s="15" t="inlineStr">
        <is>
          <t>Final issue (ipoplatform)</t>
        </is>
      </c>
      <c r="P1593" s="15" t="n"/>
      <c r="Q1593" s="18" t="inlineStr">
        <is>
          <t>https://www.sebi.gov.in/sebi_data/attachdocs/1288346120190.pdf</t>
        </is>
      </c>
      <c r="R1593" s="18" t="inlineStr">
        <is>
          <t>https://www.sebi.gov.in/filings/public-issues/mar-2010/rushil-decor-limited_2385.html</t>
        </is>
      </c>
      <c r="S1593" s="15" t="n"/>
      <c r="T1593" s="15" t="inlineStr">
        <is>
          <t>SEBI filing link</t>
        </is>
      </c>
      <c r="U1593" s="15" t="inlineStr">
        <is>
          <t>Rushil Decor Limited</t>
        </is>
      </c>
      <c r="V1593" s="15" t="n"/>
      <c r="W1593" s="15" t="n"/>
      <c r="X1593" s="15" t="n"/>
      <c r="Y1593" s="15" t="n"/>
      <c r="Z1593" s="15" t="n"/>
      <c r="AA1593" s="15" t="n"/>
      <c r="AB1593" s="15" t="n"/>
    </row>
    <row r="1594" ht="15" customHeight="1" s="12">
      <c r="A1594" s="14" t="n">
        <v>1593</v>
      </c>
      <c r="B1594" s="16" t="n">
        <v>40259</v>
      </c>
      <c r="C1594" s="15" t="n">
        <v>2010</v>
      </c>
      <c r="D1594" s="15" t="inlineStr">
        <is>
          <t>Bedmutha Industries Limited</t>
        </is>
      </c>
      <c r="E1594" s="15" t="inlineStr">
        <is>
          <t>DRHP</t>
        </is>
      </c>
      <c r="F1594" s="15" t="inlineStr">
        <is>
          <t>Bedmutha Industries Limited</t>
        </is>
      </c>
      <c r="G1594" s="15" t="inlineStr">
        <is>
          <t>IPO launched</t>
        </is>
      </c>
      <c r="H1594" s="15" t="inlineStr">
        <is>
          <t>Mainboard</t>
        </is>
      </c>
      <c r="I1594" s="16" t="n">
        <v>40449</v>
      </c>
      <c r="J1594" s="16" t="n">
        <v>40452</v>
      </c>
      <c r="K1594" s="16" t="n">
        <v>40465</v>
      </c>
      <c r="L1594" s="17" t="n">
        <v>91.8</v>
      </c>
      <c r="M1594" s="17" t="n">
        <v>91.8</v>
      </c>
      <c r="N1594" s="17" t="n">
        <v>0</v>
      </c>
      <c r="O1594" s="15" t="inlineStr">
        <is>
          <t>Final issue (ipoplatform)</t>
        </is>
      </c>
      <c r="P1594" s="15" t="n"/>
      <c r="Q1594" s="18" t="inlineStr">
        <is>
          <t>https://www.sebi.gov.in/sebi_data/attachdocs/1288346073513.pdf</t>
        </is>
      </c>
      <c r="R1594" s="18" t="inlineStr">
        <is>
          <t>https://www.sebi.gov.in/filings/public-issues/mar-2010/bedmutha-industries-limited_2384.html</t>
        </is>
      </c>
      <c r="S1594" s="15" t="n"/>
      <c r="T1594" s="15" t="inlineStr">
        <is>
          <t>SEBI filing link</t>
        </is>
      </c>
      <c r="U1594" s="15" t="inlineStr">
        <is>
          <t>Bedmutha Industries Limited</t>
        </is>
      </c>
      <c r="V1594" s="15" t="n"/>
      <c r="W1594" s="15" t="n"/>
      <c r="X1594" s="15" t="n"/>
      <c r="Y1594" s="15" t="n"/>
      <c r="Z1594" s="15" t="n"/>
      <c r="AA1594" s="15" t="n"/>
      <c r="AB1594" s="15" t="n"/>
    </row>
    <row r="1595" ht="15" customHeight="1" s="12">
      <c r="A1595" s="14" t="n">
        <v>1594</v>
      </c>
      <c r="B1595" s="16" t="n">
        <v>40256</v>
      </c>
      <c r="C1595" s="15" t="n">
        <v>2010</v>
      </c>
      <c r="D1595" s="15" t="inlineStr">
        <is>
          <t>Acropetal Technologies Limited</t>
        </is>
      </c>
      <c r="E1595" s="15" t="inlineStr">
        <is>
          <t>DRHP</t>
        </is>
      </c>
      <c r="F1595" s="15" t="inlineStr">
        <is>
          <t>Acropetal Technologies Limited</t>
        </is>
      </c>
      <c r="G1595" s="15" t="inlineStr">
        <is>
          <t>No launched IPO found</t>
        </is>
      </c>
      <c r="H1595" s="15" t="n"/>
      <c r="I1595" s="16" t="n"/>
      <c r="J1595" s="16" t="n"/>
      <c r="K1595" s="16" t="n"/>
      <c r="L1595" s="17" t="n"/>
      <c r="M1595" s="17" t="n"/>
      <c r="N1595" s="17" t="n"/>
      <c r="O1595" s="15" t="n"/>
      <c r="P1595" s="15" t="n"/>
      <c r="Q1595" s="18" t="inlineStr">
        <is>
          <t>https://www.sebi.gov.in/sebi_data/attachdocs/1288346003788.pdf</t>
        </is>
      </c>
      <c r="R1595" s="18" t="inlineStr">
        <is>
          <t>https://www.sebi.gov.in/filings/public-issues/mar-2010/acropetal-technologies-limited_2383.html</t>
        </is>
      </c>
      <c r="S1595" s="15" t="n"/>
      <c r="T1595" s="15" t="n"/>
      <c r="U1595" s="15" t="n"/>
      <c r="V1595" s="15" t="n"/>
      <c r="W1595" s="19" t="n">
        <v>40595</v>
      </c>
      <c r="X1595" s="19" t="n">
        <v>40598</v>
      </c>
      <c r="Y1595" s="19" t="n"/>
      <c r="Z1595" s="20" t="inlineStr">
        <is>
          <t>Issue opened</t>
        </is>
      </c>
      <c r="AA1595" s="15" t="inlineStr">
        <is>
          <t>Matched on chittorgarh.com</t>
        </is>
      </c>
      <c r="AB1595" s="18" t="inlineStr">
        <is>
          <t>https://www.chittorgarh.com/ipo/acropetal_ipo/296/</t>
        </is>
      </c>
    </row>
    <row r="1596" ht="15" customHeight="1" s="12">
      <c r="A1596" s="14" t="n">
        <v>1595</v>
      </c>
      <c r="B1596" s="16" t="n">
        <v>40256</v>
      </c>
      <c r="C1596" s="15" t="n">
        <v>2010</v>
      </c>
      <c r="D1596" s="15" t="inlineStr">
        <is>
          <t>Genus Paper Products Limited</t>
        </is>
      </c>
      <c r="E1596" s="15" t="inlineStr">
        <is>
          <t>DRHP</t>
        </is>
      </c>
      <c r="F1596" s="15" t="inlineStr">
        <is>
          <t>Genus Paper Products Limited</t>
        </is>
      </c>
      <c r="G1596" s="15" t="inlineStr">
        <is>
          <t>No launched IPO found</t>
        </is>
      </c>
      <c r="H1596" s="15" t="n"/>
      <c r="I1596" s="16" t="n"/>
      <c r="J1596" s="16" t="n"/>
      <c r="K1596" s="16" t="n"/>
      <c r="L1596" s="17" t="n"/>
      <c r="M1596" s="17" t="n"/>
      <c r="N1596" s="17" t="n"/>
      <c r="O1596" s="15" t="n"/>
      <c r="P1596" s="15" t="n"/>
      <c r="Q1596" s="18" t="inlineStr">
        <is>
          <t>https://www.sebi.gov.in/sebi_data/attachdocs/1288345969928.pdf</t>
        </is>
      </c>
      <c r="R1596" s="18" t="inlineStr">
        <is>
          <t>https://www.sebi.gov.in/filings/public-issues/mar-2010/genus-paper-products-limited_2382.html</t>
        </is>
      </c>
      <c r="S1596" s="15" t="n"/>
      <c r="T1596" s="15" t="n"/>
      <c r="U1596" s="15" t="n"/>
      <c r="V1596" s="15" t="n"/>
      <c r="W1596" s="16" t="n"/>
      <c r="X1596" s="16" t="n"/>
      <c r="Y1596" s="16" t="n"/>
      <c r="Z1596" s="15" t="inlineStr">
        <is>
          <t>No issue found</t>
        </is>
      </c>
      <c r="AA1596" s="15" t="inlineStr">
        <is>
          <t>No IPO found; Genus paper business later listed 2015 via demerger as Genus Paper &amp; Boards (not an issue)</t>
        </is>
      </c>
      <c r="AB1596" s="18" t="inlineStr">
        <is>
          <t>https://www.bseindia.com/downloads/ipo/2015212143919Genus%20paper-IM.pdf</t>
        </is>
      </c>
    </row>
    <row r="1597" ht="15" customHeight="1" s="12">
      <c r="A1597" s="14" t="n">
        <v>1596</v>
      </c>
      <c r="B1597" s="16" t="n">
        <v>40255</v>
      </c>
      <c r="C1597" s="15" t="n">
        <v>2010</v>
      </c>
      <c r="D1597" s="15" t="inlineStr">
        <is>
          <t>Va Tech Wabag Limited</t>
        </is>
      </c>
      <c r="E1597" s="15" t="inlineStr">
        <is>
          <t>DRHP</t>
        </is>
      </c>
      <c r="F1597" s="15" t="inlineStr">
        <is>
          <t>Va Tech Wabag Limited</t>
        </is>
      </c>
      <c r="G1597" s="15" t="inlineStr">
        <is>
          <t>IPO launched</t>
        </is>
      </c>
      <c r="H1597" s="15" t="inlineStr">
        <is>
          <t>Mainboard</t>
        </is>
      </c>
      <c r="I1597" s="16" t="n">
        <v>40443</v>
      </c>
      <c r="J1597" s="16" t="n">
        <v>40448</v>
      </c>
      <c r="K1597" s="16" t="n">
        <v>40464</v>
      </c>
      <c r="L1597" s="17" t="n">
        <v>125</v>
      </c>
      <c r="M1597" s="17" t="n">
        <v>125</v>
      </c>
      <c r="N1597" s="17" t="n">
        <v>0</v>
      </c>
      <c r="O1597" s="15" t="inlineStr">
        <is>
          <t>Final issue (ipoplatform)</t>
        </is>
      </c>
      <c r="P1597" s="15" t="n"/>
      <c r="Q1597" s="18" t="inlineStr">
        <is>
          <t>https://www.sebi.gov.in/sebi_data/attachdocs/1288345905307.pdf</t>
        </is>
      </c>
      <c r="R1597" s="18" t="inlineStr">
        <is>
          <t>https://www.sebi.gov.in/filings/public-issues/mar-2010/va-tech-wabag-limited_2381.html</t>
        </is>
      </c>
      <c r="S1597" s="15" t="n"/>
      <c r="T1597" s="15" t="inlineStr">
        <is>
          <t>SEBI filing link</t>
        </is>
      </c>
      <c r="U1597" s="15" t="inlineStr">
        <is>
          <t>VA Tech Wabag Limited</t>
        </is>
      </c>
      <c r="V1597" s="15" t="n"/>
      <c r="W1597" s="15" t="n"/>
      <c r="X1597" s="15" t="n"/>
      <c r="Y1597" s="15" t="n"/>
      <c r="Z1597" s="15" t="n"/>
      <c r="AA1597" s="15" t="n"/>
      <c r="AB1597" s="15" t="n"/>
    </row>
    <row r="1598" ht="15" customHeight="1" s="12">
      <c r="A1598" s="14" t="n">
        <v>1597</v>
      </c>
      <c r="B1598" s="16" t="n">
        <v>40247</v>
      </c>
      <c r="C1598" s="15" t="n">
        <v>2010</v>
      </c>
      <c r="D1598" s="15" t="inlineStr">
        <is>
          <t>Hindustan Media Ventures Limited</t>
        </is>
      </c>
      <c r="E1598" s="15" t="inlineStr">
        <is>
          <t>DRHP</t>
        </is>
      </c>
      <c r="F1598" s="15" t="inlineStr">
        <is>
          <t>Hindustan Media Ventures Limited</t>
        </is>
      </c>
      <c r="G1598" s="15" t="inlineStr">
        <is>
          <t>IPO launched</t>
        </is>
      </c>
      <c r="H1598" s="15" t="inlineStr">
        <is>
          <t>Mainboard</t>
        </is>
      </c>
      <c r="I1598" s="16" t="n">
        <v>40364</v>
      </c>
      <c r="J1598" s="16" t="n">
        <v>40366</v>
      </c>
      <c r="K1598" s="16" t="n">
        <v>40380</v>
      </c>
      <c r="L1598" s="17" t="n">
        <v>270</v>
      </c>
      <c r="M1598" s="17" t="n">
        <v>270</v>
      </c>
      <c r="N1598" s="17" t="n">
        <v>0</v>
      </c>
      <c r="O1598" s="15" t="inlineStr">
        <is>
          <t>Final issue (ipoplatform)</t>
        </is>
      </c>
      <c r="P1598" s="15" t="n"/>
      <c r="Q1598" s="18" t="inlineStr">
        <is>
          <t>https://www.sebi.gov.in/sebi_data/attachdocs/1288345842395.pdf</t>
        </is>
      </c>
      <c r="R1598" s="18" t="inlineStr">
        <is>
          <t>https://www.sebi.gov.in/filings/public-issues/mar-2010/hindustan-media-ventures-limited_2380.html</t>
        </is>
      </c>
      <c r="S1598" s="15" t="n"/>
      <c r="T1598" s="15" t="inlineStr">
        <is>
          <t>SEBI filing link</t>
        </is>
      </c>
      <c r="U1598" s="15" t="inlineStr">
        <is>
          <t>Hindustan Media Ventures Limited</t>
        </is>
      </c>
      <c r="V1598" s="15" t="n"/>
      <c r="W1598" s="15" t="n"/>
      <c r="X1598" s="15" t="n"/>
      <c r="Y1598" s="15" t="n"/>
      <c r="Z1598" s="15" t="n"/>
      <c r="AA1598" s="15" t="n"/>
      <c r="AB1598" s="15" t="n"/>
    </row>
    <row r="1599" ht="15" customHeight="1" s="12">
      <c r="A1599" s="14" t="n">
        <v>1598</v>
      </c>
      <c r="B1599" s="16" t="n">
        <v>40242</v>
      </c>
      <c r="C1599" s="15" t="n">
        <v>2010</v>
      </c>
      <c r="D1599" s="15" t="inlineStr">
        <is>
          <t>Bajaj Corp Limited</t>
        </is>
      </c>
      <c r="E1599" s="15" t="inlineStr">
        <is>
          <t>DRHP</t>
        </is>
      </c>
      <c r="F1599" s="15" t="inlineStr">
        <is>
          <t>Bajaj Corp Limited</t>
        </is>
      </c>
      <c r="G1599" s="15" t="inlineStr">
        <is>
          <t>IPO launched</t>
        </is>
      </c>
      <c r="H1599" s="15" t="inlineStr">
        <is>
          <t>Mainboard</t>
        </is>
      </c>
      <c r="I1599" s="16" t="n">
        <v>40392</v>
      </c>
      <c r="J1599" s="16" t="n">
        <v>40395</v>
      </c>
      <c r="K1599" s="16" t="n">
        <v>40408</v>
      </c>
      <c r="L1599" s="17" t="n">
        <v>297</v>
      </c>
      <c r="M1599" s="17" t="n">
        <v>297</v>
      </c>
      <c r="N1599" s="17" t="n">
        <v>0</v>
      </c>
      <c r="O1599" s="15" t="inlineStr">
        <is>
          <t>Final issue (ipoplatform)</t>
        </is>
      </c>
      <c r="P1599" s="15" t="n"/>
      <c r="Q1599" s="18" t="inlineStr">
        <is>
          <t>https://www.sebi.gov.in/sebi_data/attachdocs/1288345787608.pdf</t>
        </is>
      </c>
      <c r="R1599" s="18" t="inlineStr">
        <is>
          <t>https://www.sebi.gov.in/filings/public-issues/mar-2010/bajaj-corp-limited_2379.html</t>
        </is>
      </c>
      <c r="S1599" s="15" t="n"/>
      <c r="T1599" s="15" t="inlineStr">
        <is>
          <t>SEBI filing link</t>
        </is>
      </c>
      <c r="U1599" s="15" t="inlineStr">
        <is>
          <t>Bajaj Corp Limited</t>
        </is>
      </c>
      <c r="V1599" s="15" t="n"/>
      <c r="W1599" s="15" t="n"/>
      <c r="X1599" s="15" t="n"/>
      <c r="Y1599" s="15" t="n"/>
      <c r="Z1599" s="15" t="n"/>
      <c r="AA1599" s="15" t="n"/>
      <c r="AB1599" s="15" t="n"/>
    </row>
    <row r="1600" ht="15" customHeight="1" s="12">
      <c r="A1600" s="14" t="n">
        <v>1599</v>
      </c>
      <c r="B1600" s="16" t="n">
        <v>40239</v>
      </c>
      <c r="C1600" s="15" t="n">
        <v>2010</v>
      </c>
      <c r="D1600" s="15" t="inlineStr">
        <is>
          <t>SEL Textiles Limited</t>
        </is>
      </c>
      <c r="E1600" s="15" t="inlineStr">
        <is>
          <t>DRHP</t>
        </is>
      </c>
      <c r="F1600" s="15" t="inlineStr">
        <is>
          <t>SEL Textiles Limited</t>
        </is>
      </c>
      <c r="G1600" s="15" t="inlineStr">
        <is>
          <t>No launched IPO found</t>
        </is>
      </c>
      <c r="H1600" s="15" t="n"/>
      <c r="I1600" s="16" t="n"/>
      <c r="J1600" s="16" t="n"/>
      <c r="K1600" s="16" t="n"/>
      <c r="L1600" s="17" t="n"/>
      <c r="M1600" s="17" t="n"/>
      <c r="N1600" s="17" t="n"/>
      <c r="O1600" s="15" t="n"/>
      <c r="P1600" s="15" t="n"/>
      <c r="Q1600" s="18" t="inlineStr">
        <is>
          <t>https://www.sebi.gov.in/sebi_data/attachdocs/1288345656561.pdf</t>
        </is>
      </c>
      <c r="R1600" s="18" t="inlineStr">
        <is>
          <t>https://www.sebi.gov.in/filings/public-issues/mar-2010/sel-textiles-limited_2378.html</t>
        </is>
      </c>
      <c r="S1600" s="15" t="n"/>
      <c r="T1600" s="15" t="n"/>
      <c r="U1600" s="15" t="n"/>
      <c r="V1600" s="15" t="n"/>
      <c r="W1600" s="16" t="n"/>
      <c r="X1600" s="16" t="n"/>
      <c r="Y1600" s="16" t="n"/>
      <c r="Z1600" s="15" t="inlineStr">
        <is>
          <t>No issue found</t>
        </is>
      </c>
      <c r="AA1600" s="15" t="inlineStr">
        <is>
          <t>Business Standard lists the company but shows no issue dates; web search limit reached</t>
        </is>
      </c>
      <c r="AB1600" s="18" t="inlineStr">
        <is>
          <t>https://www.business-standard.com/markets/ipo/sel-textiles-ltd-ipo-38681</t>
        </is>
      </c>
    </row>
    <row r="1601" ht="15" customHeight="1" s="12">
      <c r="A1601" s="14" t="n">
        <v>1600</v>
      </c>
      <c r="B1601" s="16" t="n">
        <v>40239</v>
      </c>
      <c r="C1601" s="15" t="n">
        <v>2010</v>
      </c>
      <c r="D1601" s="15" t="inlineStr">
        <is>
          <t>SJVN Limited</t>
        </is>
      </c>
      <c r="E1601" s="15" t="inlineStr">
        <is>
          <t>DRHP</t>
        </is>
      </c>
      <c r="F1601" s="15" t="inlineStr">
        <is>
          <t>SJVN Limited</t>
        </is>
      </c>
      <c r="G1601" s="15" t="inlineStr">
        <is>
          <t>IPO launched</t>
        </is>
      </c>
      <c r="H1601" s="15" t="inlineStr">
        <is>
          <t>Mainboard</t>
        </is>
      </c>
      <c r="I1601" s="16" t="n">
        <v>40297</v>
      </c>
      <c r="J1601" s="16" t="n">
        <v>40301</v>
      </c>
      <c r="K1601" s="16" t="n">
        <v>40318</v>
      </c>
      <c r="L1601" s="17" t="n">
        <v>1062.74</v>
      </c>
      <c r="M1601" s="17" t="n">
        <v>1062.74</v>
      </c>
      <c r="N1601" s="17" t="n">
        <v>0</v>
      </c>
      <c r="O1601" s="15" t="inlineStr">
        <is>
          <t>Final issue (ipoplatform)</t>
        </is>
      </c>
      <c r="P1601" s="15" t="n"/>
      <c r="Q1601" s="18" t="inlineStr">
        <is>
          <t>https://www.sebi.gov.in/sebi_data/attachdocs/1288345499694.pdf</t>
        </is>
      </c>
      <c r="R1601" s="18" t="inlineStr">
        <is>
          <t>https://www.sebi.gov.in/filings/public-issues/mar-2010/sjvn-limited_2377.html</t>
        </is>
      </c>
      <c r="S1601" s="15" t="n"/>
      <c r="T1601" s="15" t="inlineStr">
        <is>
          <t>SEBI filing link</t>
        </is>
      </c>
      <c r="U1601" s="15" t="inlineStr">
        <is>
          <t>SJVN Limited (Satluj Jal Vidyut Nigam Limited)</t>
        </is>
      </c>
      <c r="V1601" s="15" t="n"/>
      <c r="W1601" s="15" t="n"/>
      <c r="X1601" s="15" t="n"/>
      <c r="Y1601" s="15" t="n"/>
      <c r="Z1601" s="15" t="n"/>
      <c r="AA1601" s="15" t="n"/>
      <c r="AB1601" s="15" t="n"/>
    </row>
    <row r="1602" ht="15" customHeight="1" s="12">
      <c r="A1602" s="14" t="n">
        <v>1601</v>
      </c>
      <c r="B1602" s="16" t="n">
        <v>40235</v>
      </c>
      <c r="C1602" s="15" t="n">
        <v>2010</v>
      </c>
      <c r="D1602" s="15" t="inlineStr">
        <is>
          <t>Career Point Infosystems Limited</t>
        </is>
      </c>
      <c r="E1602" s="15" t="inlineStr">
        <is>
          <t>DRHP</t>
        </is>
      </c>
      <c r="F1602" s="15" t="inlineStr">
        <is>
          <t>Career Point Infosystems Limited</t>
        </is>
      </c>
      <c r="G1602" s="15" t="inlineStr">
        <is>
          <t>IPO launched</t>
        </is>
      </c>
      <c r="H1602" s="15" t="inlineStr">
        <is>
          <t>Mainboard</t>
        </is>
      </c>
      <c r="I1602" s="16" t="n">
        <v>40437</v>
      </c>
      <c r="J1602" s="16" t="n">
        <v>40442</v>
      </c>
      <c r="K1602" s="16" t="n">
        <v>40457</v>
      </c>
      <c r="L1602" s="17" t="n">
        <v>115</v>
      </c>
      <c r="M1602" s="17" t="n">
        <v>115</v>
      </c>
      <c r="N1602" s="17" t="n">
        <v>0</v>
      </c>
      <c r="O1602" s="15" t="inlineStr">
        <is>
          <t>Final issue (ipoplatform)</t>
        </is>
      </c>
      <c r="P1602" s="15" t="n"/>
      <c r="Q1602" s="18" t="inlineStr">
        <is>
          <t>https://www.sebi.gov.in/sebi_data/attachdocs/1288604212010.pdf</t>
        </is>
      </c>
      <c r="R1602" s="18" t="inlineStr">
        <is>
          <t>https://www.sebi.gov.in/filings/public-issues/feb-2010/career-point-infosystems-limited_2663.html</t>
        </is>
      </c>
      <c r="S1602" s="15" t="n"/>
      <c r="T1602" s="15" t="inlineStr">
        <is>
          <t>SEBI filing link</t>
        </is>
      </c>
      <c r="U1602" s="15" t="inlineStr">
        <is>
          <t>Career Point Infosystems Limited</t>
        </is>
      </c>
      <c r="V1602" s="15" t="n"/>
      <c r="W1602" s="15" t="n"/>
      <c r="X1602" s="15" t="n"/>
      <c r="Y1602" s="15" t="n"/>
      <c r="Z1602" s="15" t="n"/>
      <c r="AA1602" s="15" t="n"/>
      <c r="AB1602" s="15" t="n"/>
    </row>
    <row r="1603" ht="15" customHeight="1" s="12">
      <c r="A1603" s="14" t="n">
        <v>1602</v>
      </c>
      <c r="B1603" s="16" t="n">
        <v>40234</v>
      </c>
      <c r="C1603" s="15" t="n">
        <v>2010</v>
      </c>
      <c r="D1603" s="15" t="inlineStr">
        <is>
          <t>Gyscoal Alloys Limited</t>
        </is>
      </c>
      <c r="E1603" s="15" t="inlineStr">
        <is>
          <t>DRHP</t>
        </is>
      </c>
      <c r="F1603" s="15" t="inlineStr">
        <is>
          <t>Gyscoal Alloys Limited</t>
        </is>
      </c>
      <c r="G1603" s="15" t="inlineStr">
        <is>
          <t>IPO launched</t>
        </is>
      </c>
      <c r="H1603" s="15" t="inlineStr">
        <is>
          <t>Mainboard</t>
        </is>
      </c>
      <c r="I1603" s="16" t="n">
        <v>40464</v>
      </c>
      <c r="J1603" s="16" t="n">
        <v>40466</v>
      </c>
      <c r="K1603" s="16" t="n">
        <v>40478</v>
      </c>
      <c r="L1603" s="17" t="n">
        <v>54.67</v>
      </c>
      <c r="M1603" s="17" t="n">
        <v>54.67</v>
      </c>
      <c r="N1603" s="17" t="n">
        <v>0</v>
      </c>
      <c r="O1603" s="15" t="inlineStr">
        <is>
          <t>Final issue (ipoplatform)</t>
        </is>
      </c>
      <c r="P1603" s="15" t="n"/>
      <c r="Q1603" s="18" t="inlineStr">
        <is>
          <t>https://www.sebi.gov.in/sebi_data/attachdocs/1288604098398.pdf</t>
        </is>
      </c>
      <c r="R1603" s="18" t="inlineStr">
        <is>
          <t>https://www.sebi.gov.in/filings/public-issues/feb-2010/gyscoal-alloys-limited_2660.html</t>
        </is>
      </c>
      <c r="S1603" s="15" t="n"/>
      <c r="T1603" s="15" t="inlineStr">
        <is>
          <t>SEBI filing link</t>
        </is>
      </c>
      <c r="U1603" s="15" t="inlineStr">
        <is>
          <t>Gyscoal Alloys Limited</t>
        </is>
      </c>
      <c r="V1603" s="15" t="n"/>
      <c r="W1603" s="15" t="n"/>
      <c r="X1603" s="15" t="n"/>
      <c r="Y1603" s="15" t="n"/>
      <c r="Z1603" s="15" t="n"/>
      <c r="AA1603" s="15" t="n"/>
      <c r="AB1603" s="15" t="n"/>
    </row>
    <row r="1604" ht="15" customHeight="1" s="12">
      <c r="A1604" s="14" t="n">
        <v>1603</v>
      </c>
      <c r="B1604" s="16" t="n">
        <v>40231</v>
      </c>
      <c r="C1604" s="15" t="n">
        <v>2010</v>
      </c>
      <c r="D1604" s="15" t="inlineStr">
        <is>
          <t>Mittal Corp Limited</t>
        </is>
      </c>
      <c r="E1604" s="15" t="inlineStr">
        <is>
          <t>DRHP</t>
        </is>
      </c>
      <c r="F1604" s="15" t="inlineStr">
        <is>
          <t>Mittal Corp Limited</t>
        </is>
      </c>
      <c r="G1604" s="15" t="inlineStr">
        <is>
          <t>No launched IPO found</t>
        </is>
      </c>
      <c r="H1604" s="15" t="n"/>
      <c r="I1604" s="16" t="n"/>
      <c r="J1604" s="16" t="n"/>
      <c r="K1604" s="16" t="n"/>
      <c r="L1604" s="17" t="n"/>
      <c r="M1604" s="17" t="n"/>
      <c r="N1604" s="17" t="n"/>
      <c r="O1604" s="15" t="n"/>
      <c r="P1604" s="15" t="n"/>
      <c r="Q1604" s="18" t="inlineStr">
        <is>
          <t>https://www.sebi.gov.in/sebi_data/attachdocs/1290230867741.pdf</t>
        </is>
      </c>
      <c r="R1604" s="18" t="inlineStr">
        <is>
          <t>https://www.sebi.gov.in/filings/public-issues/feb-2010/mittal-corp-limited_5549.html</t>
        </is>
      </c>
      <c r="S1604" s="15" t="n"/>
      <c r="T1604" s="15" t="n"/>
      <c r="U1604" s="15" t="n"/>
      <c r="V1604" s="15" t="n"/>
      <c r="W1604" s="16" t="n"/>
      <c r="X1604" s="16" t="n"/>
      <c r="Y1604" s="16" t="n"/>
      <c r="Z1604" s="15" t="inlineStr">
        <is>
          <t>No issue found</t>
        </is>
      </c>
      <c r="AA1604" s="15" t="inlineStr">
        <is>
          <t>Ex-Jewel Steels; DRHP dated Feb 17, 2010; no evidence IPO opened</t>
        </is>
      </c>
      <c r="AB1604" s="18" t="inlineStr">
        <is>
          <t>http://www.cmlinks.com/pub/dp/dp34659.pdf</t>
        </is>
      </c>
    </row>
    <row r="1605" ht="15" customHeight="1" s="12">
      <c r="A1605" s="14" t="n">
        <v>1604</v>
      </c>
      <c r="B1605" s="16" t="n">
        <v>40226</v>
      </c>
      <c r="C1605" s="15" t="n">
        <v>2010</v>
      </c>
      <c r="D1605" s="15" t="inlineStr">
        <is>
          <t>Inventuregrowth and Securities Limited</t>
        </is>
      </c>
      <c r="E1605" s="15" t="inlineStr">
        <is>
          <t>DRHP</t>
        </is>
      </c>
      <c r="F1605" s="15" t="inlineStr">
        <is>
          <t>Inventuregrowth and Securities Limited</t>
        </is>
      </c>
      <c r="G1605" s="15" t="inlineStr">
        <is>
          <t>IPO launched</t>
        </is>
      </c>
      <c r="H1605" s="15" t="inlineStr">
        <is>
          <t>Mainboard</t>
        </is>
      </c>
      <c r="I1605" s="16" t="n">
        <v>40744</v>
      </c>
      <c r="J1605" s="16" t="n">
        <v>40746</v>
      </c>
      <c r="K1605" s="16" t="n">
        <v>40759</v>
      </c>
      <c r="L1605" s="17" t="n">
        <v>81.90000000000001</v>
      </c>
      <c r="M1605" s="17" t="n">
        <v>81.90000000000001</v>
      </c>
      <c r="N1605" s="17" t="n">
        <v>0</v>
      </c>
      <c r="O1605" s="15" t="inlineStr">
        <is>
          <t>Final issue (ipoplatform)</t>
        </is>
      </c>
      <c r="P1605" s="15" t="n"/>
      <c r="Q1605" s="18" t="inlineStr">
        <is>
          <t>https://www.sebi.gov.in/sebi_data/attachdocs/1288603964929.pdf</t>
        </is>
      </c>
      <c r="R1605" s="18" t="inlineStr">
        <is>
          <t>https://www.sebi.gov.in/filings/public-issues/feb-2010/inventuregrowth-and-securities-limited_2659.html</t>
        </is>
      </c>
      <c r="S1605" s="15" t="n"/>
      <c r="T1605" s="15" t="inlineStr">
        <is>
          <t>SEBI filing link</t>
        </is>
      </c>
      <c r="U1605" s="15" t="inlineStr">
        <is>
          <t>Inventure Growth &amp; Securities Limited</t>
        </is>
      </c>
      <c r="V1605" s="15" t="n"/>
      <c r="W1605" s="15" t="n"/>
      <c r="X1605" s="15" t="n"/>
      <c r="Y1605" s="15" t="n"/>
      <c r="Z1605" s="15" t="n"/>
      <c r="AA1605" s="15" t="n"/>
      <c r="AB1605" s="15" t="n"/>
    </row>
    <row r="1606" ht="15" customHeight="1" s="12">
      <c r="A1606" s="14" t="n">
        <v>1605</v>
      </c>
      <c r="B1606" s="16" t="n">
        <v>40213</v>
      </c>
      <c r="C1606" s="15" t="n">
        <v>2010</v>
      </c>
      <c r="D1606" s="15" t="inlineStr">
        <is>
          <t>Asian Business Exhibition and Conferences Limited</t>
        </is>
      </c>
      <c r="E1606" s="15" t="inlineStr">
        <is>
          <t>DRHP</t>
        </is>
      </c>
      <c r="F1606" s="15" t="inlineStr">
        <is>
          <t>Asian Business Exhibition and Conferences Limited</t>
        </is>
      </c>
      <c r="G1606" s="15" t="inlineStr">
        <is>
          <t>No launched IPO found</t>
        </is>
      </c>
      <c r="H1606" s="15" t="n"/>
      <c r="I1606" s="16" t="n"/>
      <c r="J1606" s="16" t="n"/>
      <c r="K1606" s="16" t="n"/>
      <c r="L1606" s="17" t="n"/>
      <c r="M1606" s="17" t="n"/>
      <c r="N1606" s="17" t="n"/>
      <c r="O1606" s="15" t="n"/>
      <c r="P1606" s="15" t="n"/>
      <c r="Q1606" s="18" t="inlineStr">
        <is>
          <t>https://www.sebi.gov.in/sebi_data/attachdocs/1288603890030.pdf</t>
        </is>
      </c>
      <c r="R1606" s="18" t="inlineStr">
        <is>
          <t>https://www.sebi.gov.in/filings/public-issues/feb-2010/asian-business-exhibition-and-conferences-limited_2658.html</t>
        </is>
      </c>
      <c r="S1606" s="15" t="n"/>
      <c r="T1606" s="15" t="n"/>
      <c r="U1606" s="15" t="n"/>
      <c r="V1606" s="15" t="n"/>
      <c r="W1606" s="16" t="n"/>
      <c r="X1606" s="16" t="n"/>
      <c r="Y1606" s="16" t="n"/>
      <c r="Z1606" s="15" t="inlineStr">
        <is>
          <t>No issue found</t>
        </is>
      </c>
      <c r="AA1606" s="15" t="inlineStr">
        <is>
          <t>Business Standard lists the company but shows no issue dates; web search limit reached</t>
        </is>
      </c>
      <c r="AB1606" s="18" t="inlineStr">
        <is>
          <t>https://www.business-standard.com/markets/ipo/asian-business-exhibition-conferences-ltd-ipo-38261</t>
        </is>
      </c>
    </row>
    <row r="1607" ht="15" customHeight="1" s="12">
      <c r="A1607" s="14" t="n">
        <v>1606</v>
      </c>
      <c r="B1607" s="16" t="n">
        <v>40206</v>
      </c>
      <c r="C1607" s="15" t="n">
        <v>2010</v>
      </c>
      <c r="D1607" s="15" t="inlineStr">
        <is>
          <t>Parabolic Drugs Limited</t>
        </is>
      </c>
      <c r="E1607" s="15" t="inlineStr">
        <is>
          <t>DRHP</t>
        </is>
      </c>
      <c r="F1607" s="15" t="inlineStr">
        <is>
          <t>Parabolic Drugs Limited</t>
        </is>
      </c>
      <c r="G1607" s="15" t="inlineStr">
        <is>
          <t>IPO launched</t>
        </is>
      </c>
      <c r="H1607" s="15" t="inlineStr">
        <is>
          <t>Mainboard</t>
        </is>
      </c>
      <c r="I1607" s="16" t="n">
        <v>40343</v>
      </c>
      <c r="J1607" s="16" t="n">
        <v>40346</v>
      </c>
      <c r="K1607" s="16" t="n">
        <v>40360</v>
      </c>
      <c r="L1607" s="17" t="n">
        <v>200</v>
      </c>
      <c r="M1607" s="17" t="n">
        <v>200</v>
      </c>
      <c r="N1607" s="17" t="n">
        <v>0</v>
      </c>
      <c r="O1607" s="15" t="inlineStr">
        <is>
          <t>Final issue (ipoplatform)</t>
        </is>
      </c>
      <c r="P1607" s="15" t="n"/>
      <c r="Q1607" s="18" t="inlineStr">
        <is>
          <t>https://www.sebi.gov.in/sebi_data/attachdocs/1288609044051.pdf</t>
        </is>
      </c>
      <c r="R1607" s="18" t="inlineStr">
        <is>
          <t>https://www.sebi.gov.in/filings/public-issues/jan-2010/parabolic-drugs-limited_2750.html</t>
        </is>
      </c>
      <c r="S1607" s="15" t="n"/>
      <c r="T1607" s="15" t="inlineStr">
        <is>
          <t>SEBI filing link</t>
        </is>
      </c>
      <c r="U1607" s="15" t="inlineStr">
        <is>
          <t>Parabolic Drugs Limited</t>
        </is>
      </c>
      <c r="V1607" s="15" t="n"/>
      <c r="W1607" s="15" t="n"/>
      <c r="X1607" s="15" t="n"/>
      <c r="Y1607" s="15" t="n"/>
      <c r="Z1607" s="15" t="n"/>
      <c r="AA1607" s="15" t="n"/>
      <c r="AB1607" s="15" t="n"/>
    </row>
    <row r="1608" ht="15" customHeight="1" s="12">
      <c r="A1608" s="14" t="n">
        <v>1607</v>
      </c>
      <c r="B1608" s="16" t="n">
        <v>40205</v>
      </c>
      <c r="C1608" s="15" t="n">
        <v>2010</v>
      </c>
      <c r="D1608" s="15" t="inlineStr">
        <is>
          <t>NMDC Limited</t>
        </is>
      </c>
      <c r="E1608" s="15" t="inlineStr">
        <is>
          <t>DRHP</t>
        </is>
      </c>
      <c r="F1608" s="15" t="inlineStr">
        <is>
          <t>NMDC Limited</t>
        </is>
      </c>
      <c r="G1608" s="15" t="inlineStr">
        <is>
          <t>IPO launched</t>
        </is>
      </c>
      <c r="H1608" s="15" t="inlineStr">
        <is>
          <t>Mainboard</t>
        </is>
      </c>
      <c r="I1608" s="16" t="n">
        <v>40247</v>
      </c>
      <c r="J1608" s="16" t="n">
        <v>40249</v>
      </c>
      <c r="K1608" s="16" t="n">
        <v>40267</v>
      </c>
      <c r="L1608" s="17" t="n">
        <v>9930.450000000001</v>
      </c>
      <c r="M1608" s="17" t="n">
        <v>9930.450000000001</v>
      </c>
      <c r="N1608" s="17" t="n">
        <v>0</v>
      </c>
      <c r="O1608" s="15" t="inlineStr">
        <is>
          <t>Final issue (ipoplatform)</t>
        </is>
      </c>
      <c r="P1608" s="15" t="n"/>
      <c r="Q1608" s="18" t="inlineStr">
        <is>
          <t>https://www.sebi.gov.in/sebi_data/attachdocs/1290229032264.pdf</t>
        </is>
      </c>
      <c r="R1608" s="18" t="inlineStr">
        <is>
          <t>https://www.sebi.gov.in/filings/public-issues/jan-2010/nmdc-limited_5548.html</t>
        </is>
      </c>
      <c r="S1608" s="15" t="n"/>
      <c r="T1608" s="15" t="inlineStr">
        <is>
          <t>SEBI filing link</t>
        </is>
      </c>
      <c r="U1608" s="15" t="inlineStr">
        <is>
          <t>NMDC Limited</t>
        </is>
      </c>
      <c r="V1608" s="15" t="n"/>
      <c r="W1608" s="15" t="n"/>
      <c r="X1608" s="15" t="n"/>
      <c r="Y1608" s="15" t="n"/>
      <c r="Z1608" s="15" t="n"/>
      <c r="AA1608" s="15" t="n"/>
      <c r="AB1608" s="15" t="n"/>
    </row>
    <row r="1609" ht="15" customHeight="1" s="12">
      <c r="A1609" s="14" t="n">
        <v>1608</v>
      </c>
      <c r="B1609" s="16" t="n">
        <v>40200</v>
      </c>
      <c r="C1609" s="15" t="n">
        <v>2010</v>
      </c>
      <c r="D1609" s="15" t="inlineStr">
        <is>
          <t>Technofab Engineering Limited</t>
        </is>
      </c>
      <c r="E1609" s="15" t="inlineStr">
        <is>
          <t>DRHP</t>
        </is>
      </c>
      <c r="F1609" s="15" t="inlineStr">
        <is>
          <t>Technofab Engineering Limited</t>
        </is>
      </c>
      <c r="G1609" s="15" t="inlineStr">
        <is>
          <t>No launched IPO found</t>
        </is>
      </c>
      <c r="H1609" s="15" t="n"/>
      <c r="I1609" s="16" t="n"/>
      <c r="J1609" s="16" t="n"/>
      <c r="K1609" s="16" t="n"/>
      <c r="L1609" s="17" t="n"/>
      <c r="M1609" s="17" t="n"/>
      <c r="N1609" s="17" t="n"/>
      <c r="O1609" s="15" t="n"/>
      <c r="P1609" s="15" t="n"/>
      <c r="Q1609" s="18" t="inlineStr">
        <is>
          <t>https://www.sebi.gov.in/sebi_data/attachdocs/1290228857257.pdf</t>
        </is>
      </c>
      <c r="R1609" s="18" t="inlineStr">
        <is>
          <t>https://www.sebi.gov.in/filings/public-issues/jan-2010/technofab-engineering-limited_5547.html</t>
        </is>
      </c>
      <c r="S1609" s="15" t="n"/>
      <c r="T1609" s="15" t="n"/>
      <c r="U1609" s="15" t="n"/>
      <c r="V1609" s="15" t="n"/>
      <c r="W1609" s="19" t="n">
        <v>40358</v>
      </c>
      <c r="X1609" s="19" t="n">
        <v>40361</v>
      </c>
      <c r="Y1609" s="19" t="n"/>
      <c r="Z1609" s="20" t="inlineStr">
        <is>
          <t>Issue opened</t>
        </is>
      </c>
      <c r="AA1609" s="15" t="inlineStr">
        <is>
          <t>Matched on chittorgarh.com</t>
        </is>
      </c>
      <c r="AB1609" s="18" t="inlineStr">
        <is>
          <t>https://www.chittorgarh.com/ipo/technofab_ipo/248/</t>
        </is>
      </c>
    </row>
    <row r="1610" ht="15" customHeight="1" s="12">
      <c r="A1610" s="14" t="n">
        <v>1609</v>
      </c>
      <c r="B1610" s="16" t="n">
        <v>40198</v>
      </c>
      <c r="C1610" s="15" t="n">
        <v>2010</v>
      </c>
      <c r="D1610" s="15" t="inlineStr">
        <is>
          <t>Oberoi Realty Limited</t>
        </is>
      </c>
      <c r="E1610" s="15" t="inlineStr">
        <is>
          <t>DRHP</t>
        </is>
      </c>
      <c r="F1610" s="15" t="inlineStr">
        <is>
          <t>Oberoi Realty Limited</t>
        </is>
      </c>
      <c r="G1610" s="15" t="inlineStr">
        <is>
          <t>IPO launched</t>
        </is>
      </c>
      <c r="H1610" s="15" t="inlineStr">
        <is>
          <t>Mainboard</t>
        </is>
      </c>
      <c r="I1610" s="16" t="n">
        <v>40457</v>
      </c>
      <c r="J1610" s="16" t="n">
        <v>40459</v>
      </c>
      <c r="K1610" s="16" t="n">
        <v>40471</v>
      </c>
      <c r="L1610" s="17" t="n">
        <v>1028.61</v>
      </c>
      <c r="M1610" s="17" t="n">
        <v>1028.61</v>
      </c>
      <c r="N1610" s="17" t="n">
        <v>0</v>
      </c>
      <c r="O1610" s="15" t="inlineStr">
        <is>
          <t>Final issue (ipoplatform)</t>
        </is>
      </c>
      <c r="P1610" s="15" t="n"/>
      <c r="Q1610" s="18" t="inlineStr">
        <is>
          <t>https://www.sebi.gov.in/sebi_data/attachdocs/1294984013064.pdf</t>
        </is>
      </c>
      <c r="R1610" s="18" t="inlineStr">
        <is>
          <t>https://www.sebi.gov.in/filings/public-issues/jan-2010/oberoi-realty-limited_14276.html</t>
        </is>
      </c>
      <c r="S1610" s="15" t="n"/>
      <c r="T1610" s="15" t="inlineStr">
        <is>
          <t>SEBI filing link</t>
        </is>
      </c>
      <c r="U1610" s="15" t="inlineStr">
        <is>
          <t>Oberoi Realty Limited</t>
        </is>
      </c>
      <c r="V1610" s="15" t="n"/>
      <c r="W1610" s="15" t="n"/>
      <c r="X1610" s="15" t="n"/>
      <c r="Y1610" s="15" t="n"/>
      <c r="Z1610" s="15" t="n"/>
      <c r="AA1610" s="15" t="n"/>
      <c r="AB1610" s="15" t="n"/>
    </row>
    <row r="1611" ht="15" customHeight="1" s="12">
      <c r="A1611" s="14" t="n">
        <v>1610</v>
      </c>
      <c r="B1611" s="16" t="n">
        <v>40193</v>
      </c>
      <c r="C1611" s="15" t="n">
        <v>2010</v>
      </c>
      <c r="D1611" s="15" t="inlineStr">
        <is>
          <t>Indosolar Limited</t>
        </is>
      </c>
      <c r="E1611" s="15" t="inlineStr">
        <is>
          <t>DRHP</t>
        </is>
      </c>
      <c r="F1611" s="15" t="inlineStr">
        <is>
          <t>Indosolar Limited</t>
        </is>
      </c>
      <c r="G1611" s="15" t="inlineStr">
        <is>
          <t>IPO launched</t>
        </is>
      </c>
      <c r="H1611" s="15" t="inlineStr">
        <is>
          <t>Mainboard</t>
        </is>
      </c>
      <c r="I1611" s="16" t="n">
        <v>40434</v>
      </c>
      <c r="J1611" s="16" t="n"/>
      <c r="K1611" s="16" t="n">
        <v>40450</v>
      </c>
      <c r="L1611" s="17" t="n">
        <v>357</v>
      </c>
      <c r="M1611" s="17" t="n">
        <v>357</v>
      </c>
      <c r="N1611" s="17" t="n">
        <v>0</v>
      </c>
      <c r="O1611" s="15" t="inlineStr">
        <is>
          <t>Final issue (ipoplatform)</t>
        </is>
      </c>
      <c r="P1611" s="15" t="n"/>
      <c r="Q1611" s="18" t="inlineStr">
        <is>
          <t>https://www.sebi.gov.in/sebi_data/attachdocs/1288608994533.pdf</t>
        </is>
      </c>
      <c r="R1611" s="18" t="inlineStr">
        <is>
          <t>https://www.sebi.gov.in/filings/public-issues/jan-2010/indosolar-limited_2749.html</t>
        </is>
      </c>
      <c r="S1611" s="15" t="n"/>
      <c r="T1611" s="15" t="inlineStr">
        <is>
          <t>SEBI filing link</t>
        </is>
      </c>
      <c r="U1611" s="15" t="inlineStr">
        <is>
          <t>Indosolar Limited</t>
        </is>
      </c>
      <c r="V1611" s="15" t="inlineStr">
        <is>
          <t>Open date corrected from source value 2017-09-13 (contradicts source close/listing date); CHECK — source close/listing date inconsistent with open date</t>
        </is>
      </c>
      <c r="W1611" s="15" t="n"/>
      <c r="X1611" s="15" t="n"/>
      <c r="Y1611" s="15" t="n"/>
      <c r="Z1611" s="15" t="n"/>
      <c r="AA1611" s="15" t="n"/>
      <c r="AB1611" s="15" t="n"/>
    </row>
    <row r="1612" ht="15" customHeight="1" s="12">
      <c r="A1612" s="14" t="n">
        <v>1611</v>
      </c>
      <c r="B1612" s="16" t="n">
        <v>40182</v>
      </c>
      <c r="C1612" s="15" t="n">
        <v>2010</v>
      </c>
      <c r="D1612" s="15" t="inlineStr">
        <is>
          <t>Aster Silicates Limited</t>
        </is>
      </c>
      <c r="E1612" s="15" t="inlineStr">
        <is>
          <t>DRHP</t>
        </is>
      </c>
      <c r="F1612" s="15" t="inlineStr">
        <is>
          <t>Aster Silicates Limited</t>
        </is>
      </c>
      <c r="G1612" s="15" t="inlineStr">
        <is>
          <t>No launched IPO found</t>
        </is>
      </c>
      <c r="H1612" s="15" t="n"/>
      <c r="I1612" s="16" t="n"/>
      <c r="J1612" s="16" t="n"/>
      <c r="K1612" s="16" t="n"/>
      <c r="L1612" s="17" t="n"/>
      <c r="M1612" s="17" t="n"/>
      <c r="N1612" s="17" t="n"/>
      <c r="O1612" s="15" t="n"/>
      <c r="P1612" s="15" t="n"/>
      <c r="Q1612" s="18" t="inlineStr">
        <is>
          <t>https://www.sebi.gov.in/sebi_data/attachdocs/1288608956250.pdf</t>
        </is>
      </c>
      <c r="R1612" s="18" t="inlineStr">
        <is>
          <t>https://www.sebi.gov.in/filings/public-issues/jan-2010/aster-silicates-limited_2747.html</t>
        </is>
      </c>
      <c r="S1612" s="15" t="n"/>
      <c r="T1612" s="15" t="n"/>
      <c r="U1612" s="15" t="n"/>
      <c r="V1612" s="15" t="n"/>
      <c r="W1612" s="19" t="n">
        <v>40353</v>
      </c>
      <c r="X1612" s="19" t="n">
        <v>40357</v>
      </c>
      <c r="Y1612" s="19" t="n"/>
      <c r="Z1612" s="20" t="inlineStr">
        <is>
          <t>Issue opened</t>
        </is>
      </c>
      <c r="AA1612" s="15" t="inlineStr">
        <is>
          <t>Matched on chittorgarh.com</t>
        </is>
      </c>
      <c r="AB1612" s="18" t="inlineStr">
        <is>
          <t>https://www.chittorgarh.com/ipo/aster_silicates_ipo/249/</t>
        </is>
      </c>
    </row>
    <row r="1613" ht="15" customHeight="1" s="12">
      <c r="A1613" s="14" t="n">
        <v>1612</v>
      </c>
      <c r="B1613" s="16" t="n">
        <v>40182</v>
      </c>
      <c r="C1613" s="15" t="n">
        <v>2010</v>
      </c>
      <c r="D1613" s="15" t="inlineStr">
        <is>
          <t>Eros International Media Limited</t>
        </is>
      </c>
      <c r="E1613" s="15" t="inlineStr">
        <is>
          <t>DRHP</t>
        </is>
      </c>
      <c r="F1613" s="15" t="inlineStr">
        <is>
          <t>Eros International Media Limited</t>
        </is>
      </c>
      <c r="G1613" s="15" t="inlineStr">
        <is>
          <t>IPO launched</t>
        </is>
      </c>
      <c r="H1613" s="15" t="inlineStr">
        <is>
          <t>Mainboard</t>
        </is>
      </c>
      <c r="I1613" s="16" t="n">
        <v>40438</v>
      </c>
      <c r="J1613" s="16" t="n">
        <v>40442</v>
      </c>
      <c r="K1613" s="16" t="n">
        <v>40457</v>
      </c>
      <c r="L1613" s="17" t="n">
        <v>350</v>
      </c>
      <c r="M1613" s="17" t="n">
        <v>350</v>
      </c>
      <c r="N1613" s="17" t="n">
        <v>0</v>
      </c>
      <c r="O1613" s="15" t="inlineStr">
        <is>
          <t>Final issue (ipoplatform)</t>
        </is>
      </c>
      <c r="P1613" s="15" t="n"/>
      <c r="Q1613" s="18" t="inlineStr">
        <is>
          <t>https://www.sebi.gov.in/sebi_data/attachdocs/1288608915631.pdf</t>
        </is>
      </c>
      <c r="R1613" s="18" t="inlineStr">
        <is>
          <t>https://www.sebi.gov.in/filings/public-issues/jan-2010/eros-international-media-limited_2745.html</t>
        </is>
      </c>
      <c r="S1613" s="15" t="n"/>
      <c r="T1613" s="15" t="inlineStr">
        <is>
          <t>SEBI filing link</t>
        </is>
      </c>
      <c r="U1613" s="15" t="inlineStr">
        <is>
          <t>Eros International Media Limited</t>
        </is>
      </c>
      <c r="V1613" s="15" t="n"/>
      <c r="W1613" s="15" t="n"/>
      <c r="X1613" s="15" t="n"/>
      <c r="Y1613" s="15" t="n"/>
      <c r="Z1613" s="15" t="n"/>
      <c r="AA1613" s="15" t="n"/>
      <c r="AB1613" s="15" t="n"/>
    </row>
    <row r="1614" ht="15" customHeight="1" s="12">
      <c r="A1614" s="14" t="n">
        <v>1613</v>
      </c>
      <c r="B1614" s="16" t="n">
        <v>40179</v>
      </c>
      <c r="C1614" s="15" t="n">
        <v>2010</v>
      </c>
      <c r="D1614" s="15" t="inlineStr">
        <is>
          <t>Jindal Power Limited</t>
        </is>
      </c>
      <c r="E1614" s="15" t="inlineStr">
        <is>
          <t>DRHP</t>
        </is>
      </c>
      <c r="F1614" s="15" t="inlineStr">
        <is>
          <t>Jindal Power Limited</t>
        </is>
      </c>
      <c r="G1614" s="15" t="inlineStr">
        <is>
          <t>No launched IPO found</t>
        </is>
      </c>
      <c r="H1614" s="15" t="n"/>
      <c r="I1614" s="16" t="n"/>
      <c r="J1614" s="16" t="n"/>
      <c r="K1614" s="16" t="n"/>
      <c r="L1614" s="17" t="n"/>
      <c r="M1614" s="17" t="n"/>
      <c r="N1614" s="17" t="n"/>
      <c r="O1614" s="15" t="n"/>
      <c r="P1614" s="15" t="n"/>
      <c r="Q1614" s="18" t="inlineStr">
        <is>
          <t>https://www.sebi.gov.in/sebi_data/attachdocs/1290227671230.pdf</t>
        </is>
      </c>
      <c r="R1614" s="18" t="inlineStr">
        <is>
          <t>https://www.sebi.gov.in/filings/public-issues/jan-2010/jindal-power-limited_5545.html</t>
        </is>
      </c>
      <c r="S1614" s="15" t="n"/>
      <c r="T1614" s="15" t="n"/>
      <c r="U1614" s="15" t="n"/>
      <c r="V1614" s="15" t="n"/>
      <c r="W1614" s="16" t="n"/>
      <c r="X1614" s="16" t="n"/>
      <c r="Y1614" s="16" t="n"/>
      <c r="Z1614" s="15" t="inlineStr">
        <is>
          <t>No issue found</t>
        </is>
      </c>
      <c r="AA1614" s="15" t="inlineStr">
        <is>
          <t>Business Standard lists the company but shows no issue dates; web search limit reached</t>
        </is>
      </c>
      <c r="AB1614" s="18" t="inlineStr">
        <is>
          <t>https://www.business-standard.com/markets/ipo/jindal-power-ltd-ipo-13360</t>
        </is>
      </c>
    </row>
    <row r="1615" ht="15" customHeight="1" s="12">
      <c r="A1615" s="14" t="n">
        <v>1614</v>
      </c>
      <c r="B1615" s="16" t="n">
        <v>40179</v>
      </c>
      <c r="C1615" s="15" t="n">
        <v>2010</v>
      </c>
      <c r="D1615" s="15" t="inlineStr">
        <is>
          <t>Neptune Developers Limited</t>
        </is>
      </c>
      <c r="E1615" s="15" t="inlineStr">
        <is>
          <t>DRHP</t>
        </is>
      </c>
      <c r="F1615" s="15" t="inlineStr">
        <is>
          <t>Neptune Developers Limited</t>
        </is>
      </c>
      <c r="G1615" s="15" t="inlineStr">
        <is>
          <t>No launched IPO found</t>
        </is>
      </c>
      <c r="H1615" s="15" t="n"/>
      <c r="I1615" s="16" t="n"/>
      <c r="J1615" s="16" t="n"/>
      <c r="K1615" s="16" t="n"/>
      <c r="L1615" s="17" t="n"/>
      <c r="M1615" s="17" t="n"/>
      <c r="N1615" s="17" t="n"/>
      <c r="O1615" s="15" t="n"/>
      <c r="P1615" s="15" t="n"/>
      <c r="Q1615" s="18" t="inlineStr">
        <is>
          <t>https://www.sebi.gov.in/sebi_data/attachdocs/1290227505713.pdf</t>
        </is>
      </c>
      <c r="R1615" s="18" t="inlineStr">
        <is>
          <t>https://www.sebi.gov.in/filings/public-issues/jan-2010/neptune-developers-limited_5544.html</t>
        </is>
      </c>
      <c r="S1615" s="15" t="n"/>
      <c r="T1615" s="15" t="n"/>
      <c r="U1615" s="15" t="n"/>
      <c r="V1615" s="15" t="n"/>
      <c r="W1615" s="16" t="n"/>
      <c r="X1615" s="16" t="n"/>
      <c r="Y1615" s="16" t="n"/>
      <c r="Z1615" s="15" t="inlineStr">
        <is>
          <t>No issue found</t>
        </is>
      </c>
      <c r="AA1615" s="15" t="inlineStr">
        <is>
          <t>Business Standard lists the company but shows no issue dates; web search limit reached</t>
        </is>
      </c>
      <c r="AB1615" s="18" t="inlineStr">
        <is>
          <t>https://www.business-standard.com/markets/ipo/neptune-developers-ltd-ipo-37727</t>
        </is>
      </c>
    </row>
    <row r="1616" ht="15" customHeight="1" s="12">
      <c r="A1616" s="14" t="n">
        <v>1615</v>
      </c>
      <c r="B1616" s="16" t="n">
        <v>40179</v>
      </c>
      <c r="C1616" s="15" t="n">
        <v>2010</v>
      </c>
      <c r="D1616" s="15" t="inlineStr">
        <is>
          <t>United Bank of India</t>
        </is>
      </c>
      <c r="E1616" s="15" t="inlineStr">
        <is>
          <t>DRHP</t>
        </is>
      </c>
      <c r="F1616" s="15" t="inlineStr">
        <is>
          <t>United Bank of India</t>
        </is>
      </c>
      <c r="G1616" s="15" t="inlineStr">
        <is>
          <t>IPO launched</t>
        </is>
      </c>
      <c r="H1616" s="15" t="inlineStr">
        <is>
          <t>Mainboard</t>
        </is>
      </c>
      <c r="I1616" s="16" t="n">
        <v>40232</v>
      </c>
      <c r="J1616" s="16" t="n">
        <v>40234</v>
      </c>
      <c r="K1616" s="16" t="n">
        <v>40255</v>
      </c>
      <c r="L1616" s="17" t="n">
        <v>324.98</v>
      </c>
      <c r="M1616" s="17" t="n">
        <v>324.98</v>
      </c>
      <c r="N1616" s="17" t="n">
        <v>0</v>
      </c>
      <c r="O1616" s="15" t="inlineStr">
        <is>
          <t>Final issue (ipoplatform)</t>
        </is>
      </c>
      <c r="P1616" s="15" t="n"/>
      <c r="Q1616" s="18" t="inlineStr">
        <is>
          <t>https://www.sebi.gov.in/sebi_data/attachdocs/1290227890597.pdf</t>
        </is>
      </c>
      <c r="R1616" s="18" t="inlineStr">
        <is>
          <t>https://www.sebi.gov.in/filings/public-issues/jan-2010/united-bank-of-india_5546.html</t>
        </is>
      </c>
      <c r="S1616" s="15" t="n"/>
      <c r="T1616" s="15" t="inlineStr">
        <is>
          <t>SEBI filing link</t>
        </is>
      </c>
      <c r="U1616" s="15" t="inlineStr">
        <is>
          <t>United Bank of India</t>
        </is>
      </c>
      <c r="V1616" s="15" t="n"/>
      <c r="W1616" s="15" t="n"/>
      <c r="X1616" s="15" t="n"/>
      <c r="Y1616" s="15" t="n"/>
      <c r="Z1616" s="15" t="n"/>
      <c r="AA1616" s="15" t="n"/>
      <c r="AB1616" s="15" t="n"/>
    </row>
    <row r="1617" ht="15" customHeight="1" s="12">
      <c r="A1617" s="14" t="n">
        <v>1616</v>
      </c>
      <c r="B1617" s="16" t="n">
        <v>40179</v>
      </c>
      <c r="C1617" s="15" t="n">
        <v>2010</v>
      </c>
      <c r="D1617" s="15" t="inlineStr">
        <is>
          <t>Persistent Systems Limited</t>
        </is>
      </c>
      <c r="E1617" s="15" t="inlineStr">
        <is>
          <t>DRHP</t>
        </is>
      </c>
      <c r="F1617" s="15" t="inlineStr">
        <is>
          <t>Persistent Systems Limited</t>
        </is>
      </c>
      <c r="G1617" s="15" t="inlineStr">
        <is>
          <t>IPO launched</t>
        </is>
      </c>
      <c r="H1617" s="15" t="inlineStr">
        <is>
          <t>Mainboard</t>
        </is>
      </c>
      <c r="I1617" s="16" t="n">
        <v>40254</v>
      </c>
      <c r="J1617" s="16" t="n">
        <v>40256</v>
      </c>
      <c r="K1617" s="16" t="n">
        <v>40274</v>
      </c>
      <c r="L1617" s="17" t="n">
        <v>168.01</v>
      </c>
      <c r="M1617" s="17" t="n">
        <v>168.01</v>
      </c>
      <c r="N1617" s="17" t="n">
        <v>0</v>
      </c>
      <c r="O1617" s="15" t="inlineStr">
        <is>
          <t>Final issue (ipoplatform)</t>
        </is>
      </c>
      <c r="P1617" s="15" t="n"/>
      <c r="Q1617" s="18" t="inlineStr">
        <is>
          <t>https://www.sebi.gov.in/sebi_data/attachdocs/1288608837188.pdf</t>
        </is>
      </c>
      <c r="R1617" s="18" t="inlineStr">
        <is>
          <t>https://www.sebi.gov.in/filings/public-issues/jan-2010/persistent-systems-limited_2744.html</t>
        </is>
      </c>
      <c r="S1617" s="15" t="n"/>
      <c r="T1617" s="15" t="inlineStr">
        <is>
          <t>SEBI filing link</t>
        </is>
      </c>
      <c r="U1617" s="15" t="inlineStr">
        <is>
          <t>Persistent Systems Limited</t>
        </is>
      </c>
      <c r="V1617" s="15" t="n"/>
      <c r="W1617" s="15" t="n"/>
      <c r="X1617" s="15" t="n"/>
      <c r="Y1617" s="15" t="n"/>
      <c r="Z1617" s="15" t="n"/>
      <c r="AA1617" s="15" t="n"/>
      <c r="AB1617" s="15" t="n"/>
    </row>
    <row r="1618" ht="15" customHeight="1" s="12">
      <c r="A1618" s="14" t="n">
        <v>1617</v>
      </c>
      <c r="B1618" s="16" t="n">
        <v>40178</v>
      </c>
      <c r="C1618" s="15" t="n">
        <v>2009</v>
      </c>
      <c r="D1618" s="15" t="inlineStr">
        <is>
          <t>Gujarat Pipavav Port Limited</t>
        </is>
      </c>
      <c r="E1618" s="15" t="inlineStr">
        <is>
          <t>DRHP</t>
        </is>
      </c>
      <c r="F1618" s="15" t="inlineStr">
        <is>
          <t>Gujarat Pipavav Port Limited</t>
        </is>
      </c>
      <c r="G1618" s="15" t="inlineStr">
        <is>
          <t>IPO launched</t>
        </is>
      </c>
      <c r="H1618" s="15" t="inlineStr">
        <is>
          <t>Mainboard</t>
        </is>
      </c>
      <c r="I1618" s="16" t="n">
        <v>40413</v>
      </c>
      <c r="J1618" s="16" t="n">
        <v>40416</v>
      </c>
      <c r="K1618" s="16" t="n">
        <v>40430</v>
      </c>
      <c r="L1618" s="17" t="n">
        <v>500</v>
      </c>
      <c r="M1618" s="17" t="n">
        <v>500</v>
      </c>
      <c r="N1618" s="17" t="n">
        <v>0</v>
      </c>
      <c r="O1618" s="15" t="inlineStr">
        <is>
          <t>Final issue (ipoplatform)</t>
        </is>
      </c>
      <c r="P1618" s="15" t="n"/>
      <c r="Q1618" s="18" t="inlineStr">
        <is>
          <t>https://www.sebi.gov.in/sebi_data/attachdocs/1289381470132.pdf</t>
        </is>
      </c>
      <c r="R1618" s="18" t="inlineStr">
        <is>
          <t>https://www.sebi.gov.in/filings/public-issues/dec-2009/gujarat-pipavav-port-limited_3143.html</t>
        </is>
      </c>
      <c r="S1618" s="15" t="n"/>
      <c r="T1618" s="15" t="inlineStr">
        <is>
          <t>SEBI filing link</t>
        </is>
      </c>
      <c r="U1618" s="15" t="inlineStr">
        <is>
          <t>Gujarat Pipavav Port Limited (GPPL)</t>
        </is>
      </c>
      <c r="V1618" s="15" t="n"/>
      <c r="W1618" s="15" t="n"/>
      <c r="X1618" s="15" t="n"/>
      <c r="Y1618" s="15" t="n"/>
      <c r="Z1618" s="15" t="n"/>
      <c r="AA1618" s="15" t="n"/>
      <c r="AB1618" s="15" t="n"/>
    </row>
    <row r="1619" ht="15" customHeight="1" s="12">
      <c r="A1619" s="14" t="n">
        <v>1618</v>
      </c>
      <c r="B1619" s="16" t="n">
        <v>40177</v>
      </c>
      <c r="C1619" s="15" t="n">
        <v>2009</v>
      </c>
      <c r="D1619" s="15" t="inlineStr">
        <is>
          <t>BPTP Limited</t>
        </is>
      </c>
      <c r="E1619" s="15" t="inlineStr">
        <is>
          <t>DRHP</t>
        </is>
      </c>
      <c r="F1619" s="15" t="inlineStr">
        <is>
          <t>BPTP Limited</t>
        </is>
      </c>
      <c r="G1619" s="15" t="inlineStr">
        <is>
          <t>No launched IPO found</t>
        </is>
      </c>
      <c r="H1619" s="15" t="n"/>
      <c r="I1619" s="16" t="n"/>
      <c r="J1619" s="16" t="n"/>
      <c r="K1619" s="16" t="n"/>
      <c r="L1619" s="17" t="n"/>
      <c r="M1619" s="17" t="n"/>
      <c r="N1619" s="17" t="n"/>
      <c r="O1619" s="15" t="n"/>
      <c r="P1619" s="15" t="n"/>
      <c r="Q1619" s="18" t="inlineStr">
        <is>
          <t>https://www.sebi.gov.in/sebi_data/attachdocs/1289381416555.pdf</t>
        </is>
      </c>
      <c r="R1619" s="18" t="inlineStr">
        <is>
          <t>https://www.sebi.gov.in/filings/public-issues/dec-2009/bptp-limited_3141.html</t>
        </is>
      </c>
      <c r="S1619" s="15" t="n"/>
      <c r="T1619" s="15" t="n"/>
      <c r="U1619" s="15" t="n"/>
      <c r="V1619" s="15" t="n"/>
      <c r="W1619" s="16" t="n"/>
      <c r="X1619" s="16" t="n"/>
      <c r="Y1619" s="16" t="n"/>
      <c r="Z1619" s="15" t="inlineStr">
        <is>
          <t>No issue found</t>
        </is>
      </c>
      <c r="AA1619" s="15" t="inlineStr">
        <is>
          <t>IPO uncertain 2010; later IPO plans only, no issue opened.</t>
        </is>
      </c>
      <c r="AB1619" s="18" t="inlineStr">
        <is>
          <t>https://www.business-standard.com/amp/article/markets/bptp-s-ipo-uncertain-over-market-condition-110121600229_1.html</t>
        </is>
      </c>
    </row>
    <row r="1620" ht="15" customHeight="1" s="12">
      <c r="A1620" s="14" t="n">
        <v>1619</v>
      </c>
      <c r="B1620" s="16" t="n">
        <v>40177</v>
      </c>
      <c r="C1620" s="15" t="n">
        <v>2009</v>
      </c>
      <c r="D1620" s="15" t="inlineStr">
        <is>
          <t>Tirupati Inks Limited</t>
        </is>
      </c>
      <c r="E1620" s="15" t="inlineStr">
        <is>
          <t>DRHP</t>
        </is>
      </c>
      <c r="F1620" s="15" t="inlineStr">
        <is>
          <t>Tirupati Inks Limited</t>
        </is>
      </c>
      <c r="G1620" s="15" t="inlineStr">
        <is>
          <t>IPO launched</t>
        </is>
      </c>
      <c r="H1620" s="15" t="inlineStr">
        <is>
          <t>Mainboard</t>
        </is>
      </c>
      <c r="I1620" s="16" t="n">
        <v>40435</v>
      </c>
      <c r="J1620" s="16" t="n"/>
      <c r="K1620" s="16" t="n">
        <v>40452</v>
      </c>
      <c r="L1620" s="17" t="n">
        <v>51.5</v>
      </c>
      <c r="M1620" s="17" t="n">
        <v>51.5</v>
      </c>
      <c r="N1620" s="17" t="n">
        <v>0</v>
      </c>
      <c r="O1620" s="15" t="inlineStr">
        <is>
          <t>Final issue (ipoplatform)</t>
        </is>
      </c>
      <c r="P1620" s="15" t="n"/>
      <c r="Q1620" s="18" t="inlineStr">
        <is>
          <t>https://www.sebi.gov.in/sebi_data/attachdocs/1289381376623.pdf</t>
        </is>
      </c>
      <c r="R1620" s="18" t="inlineStr">
        <is>
          <t>https://www.sebi.gov.in/filings/public-issues/dec-2009/tirupati-inks-limited_3140.html</t>
        </is>
      </c>
      <c r="S1620" s="15" t="n"/>
      <c r="T1620" s="15" t="inlineStr">
        <is>
          <t>SEBI filing link</t>
        </is>
      </c>
      <c r="U1620" s="15" t="inlineStr">
        <is>
          <t>Tirupati Inks Limited</t>
        </is>
      </c>
      <c r="V1620" s="15" t="inlineStr">
        <is>
          <t>CHECK — source close/listing date inconsistent with open date</t>
        </is>
      </c>
      <c r="W1620" s="15" t="n"/>
      <c r="X1620" s="15" t="n"/>
      <c r="Y1620" s="15" t="n"/>
      <c r="Z1620" s="15" t="n"/>
      <c r="AA1620" s="15" t="n"/>
      <c r="AB1620" s="15" t="n"/>
    </row>
    <row r="1621" ht="15" customHeight="1" s="12">
      <c r="A1621" s="14" t="n">
        <v>1620</v>
      </c>
      <c r="B1621" s="16" t="n">
        <v>40176</v>
      </c>
      <c r="C1621" s="15" t="n">
        <v>2009</v>
      </c>
      <c r="D1621" s="15" t="inlineStr">
        <is>
          <t>Gallantt Ispat Limited</t>
        </is>
      </c>
      <c r="E1621" s="15" t="inlineStr">
        <is>
          <t>DRHP</t>
        </is>
      </c>
      <c r="F1621" s="15" t="inlineStr">
        <is>
          <t>Gallantt Ispat Limited</t>
        </is>
      </c>
      <c r="G1621" s="15" t="inlineStr">
        <is>
          <t>IPO launched</t>
        </is>
      </c>
      <c r="H1621" s="15" t="inlineStr">
        <is>
          <t>Mainboard</t>
        </is>
      </c>
      <c r="I1621" s="16" t="n">
        <v>40443</v>
      </c>
      <c r="J1621" s="16" t="n">
        <v>40445</v>
      </c>
      <c r="K1621" s="16" t="n">
        <v>40462</v>
      </c>
      <c r="L1621" s="17" t="n">
        <v>40.5</v>
      </c>
      <c r="M1621" s="17" t="n">
        <v>40.5</v>
      </c>
      <c r="N1621" s="17" t="n">
        <v>0</v>
      </c>
      <c r="O1621" s="15" t="inlineStr">
        <is>
          <t>Final issue (ipoplatform)</t>
        </is>
      </c>
      <c r="P1621" s="15" t="n"/>
      <c r="Q1621" s="18" t="inlineStr">
        <is>
          <t>https://www.sebi.gov.in/sebi_data/attachdocs/1289381335002.pdf</t>
        </is>
      </c>
      <c r="R1621" s="18" t="inlineStr">
        <is>
          <t>https://www.sebi.gov.in/filings/public-issues/dec-2009/gallantt-ispat-limited_3139.html</t>
        </is>
      </c>
      <c r="S1621" s="15" t="n"/>
      <c r="T1621" s="15" t="inlineStr">
        <is>
          <t>Company name + date window</t>
        </is>
      </c>
      <c r="U1621" s="15" t="inlineStr">
        <is>
          <t>Gallantt Ispat Limited</t>
        </is>
      </c>
      <c r="V1621" s="15" t="n"/>
      <c r="W1621" s="15" t="n"/>
      <c r="X1621" s="15" t="n"/>
      <c r="Y1621" s="15" t="n"/>
      <c r="Z1621" s="15" t="n"/>
      <c r="AA1621" s="15" t="n"/>
      <c r="AB1621" s="15" t="n"/>
    </row>
    <row r="1622" ht="15" customHeight="1" s="12">
      <c r="A1622" s="14" t="n">
        <v>1621</v>
      </c>
      <c r="B1622" s="16" t="n">
        <v>40168</v>
      </c>
      <c r="C1622" s="15" t="n">
        <v>2009</v>
      </c>
      <c r="D1622" s="15" t="inlineStr">
        <is>
          <t>Fatpipe Networks India Ltd</t>
        </is>
      </c>
      <c r="E1622" s="15" t="inlineStr">
        <is>
          <t>DRHP</t>
        </is>
      </c>
      <c r="F1622" s="15" t="inlineStr">
        <is>
          <t>Fatpipe Networks India Ltd</t>
        </is>
      </c>
      <c r="G1622" s="15" t="inlineStr">
        <is>
          <t>No launched IPO found</t>
        </is>
      </c>
      <c r="H1622" s="15" t="n"/>
      <c r="I1622" s="16" t="n"/>
      <c r="J1622" s="16" t="n"/>
      <c r="K1622" s="16" t="n"/>
      <c r="L1622" s="17" t="n"/>
      <c r="M1622" s="17" t="n"/>
      <c r="N1622" s="17" t="n"/>
      <c r="O1622" s="15" t="n"/>
      <c r="P1622" s="15" t="n"/>
      <c r="Q1622" s="18" t="inlineStr">
        <is>
          <t>https://www.sebi.gov.in/sebi_data/attachdocs/1289381287373.pdf</t>
        </is>
      </c>
      <c r="R1622" s="18" t="inlineStr">
        <is>
          <t>https://www.sebi.gov.in/filings/public-issues/dec-2009/fatpipe-networks-india-ltd_3137.html</t>
        </is>
      </c>
      <c r="S1622" s="15" t="n"/>
      <c r="T1622" s="15" t="n"/>
      <c r="U1622" s="15" t="n"/>
      <c r="V1622" s="15" t="n"/>
      <c r="W1622" s="19" t="n">
        <v>40336</v>
      </c>
      <c r="X1622" s="19" t="n">
        <v>40338</v>
      </c>
      <c r="Y1622" s="19" t="n"/>
      <c r="Z1622" s="20" t="inlineStr">
        <is>
          <t>Issue opened</t>
        </is>
      </c>
      <c r="AA1622" s="15" t="inlineStr">
        <is>
          <t>Matched on chittorgarh.com</t>
        </is>
      </c>
      <c r="AB1622" s="18" t="inlineStr">
        <is>
          <t>https://www.chittorgarh.com/ipo/fatpipe_networks_ipo/246/</t>
        </is>
      </c>
    </row>
    <row r="1623" ht="15" customHeight="1" s="12">
      <c r="A1623" s="14" t="n">
        <v>1622</v>
      </c>
      <c r="B1623" s="16" t="n">
        <v>40168</v>
      </c>
      <c r="C1623" s="15" t="n">
        <v>2009</v>
      </c>
      <c r="D1623" s="15" t="inlineStr">
        <is>
          <t>Gallantt Ispat Limited</t>
        </is>
      </c>
      <c r="E1623" s="15" t="inlineStr">
        <is>
          <t>DRHP</t>
        </is>
      </c>
      <c r="F1623" s="15" t="inlineStr">
        <is>
          <t>Gallantt Ispat Limited</t>
        </is>
      </c>
      <c r="G1623" s="15" t="inlineStr">
        <is>
          <t>IPO launched</t>
        </is>
      </c>
      <c r="H1623" s="15" t="inlineStr">
        <is>
          <t>Mainboard</t>
        </is>
      </c>
      <c r="I1623" s="16" t="n">
        <v>40443</v>
      </c>
      <c r="J1623" s="16" t="n">
        <v>40445</v>
      </c>
      <c r="K1623" s="16" t="n">
        <v>40462</v>
      </c>
      <c r="L1623" s="17" t="n">
        <v>40.5</v>
      </c>
      <c r="M1623" s="17" t="n">
        <v>40.5</v>
      </c>
      <c r="N1623" s="17" t="n">
        <v>0</v>
      </c>
      <c r="O1623" s="15" t="inlineStr">
        <is>
          <t>Final issue (ipoplatform)</t>
        </is>
      </c>
      <c r="P1623" s="15" t="n"/>
      <c r="Q1623" s="18" t="inlineStr">
        <is>
          <t>https://www.sebi.gov.in/sebi_data/attachdocs/1289381249441.pdf</t>
        </is>
      </c>
      <c r="R1623" s="18" t="inlineStr">
        <is>
          <t>https://www.sebi.gov.in/filings/public-issues/dec-2009/gallantt-ispat-limited_3136.html</t>
        </is>
      </c>
      <c r="S1623" s="15" t="n"/>
      <c r="T1623" s="15" t="inlineStr">
        <is>
          <t>SEBI filing link</t>
        </is>
      </c>
      <c r="U1623" s="15" t="inlineStr">
        <is>
          <t>Gallantt Ispat Limited</t>
        </is>
      </c>
      <c r="V1623" s="15" t="n"/>
      <c r="W1623" s="15" t="n"/>
      <c r="X1623" s="15" t="n"/>
      <c r="Y1623" s="15" t="n"/>
      <c r="Z1623" s="15" t="n"/>
      <c r="AA1623" s="15" t="n"/>
      <c r="AB1623" s="15" t="n"/>
    </row>
    <row r="1624" ht="15" customHeight="1" s="12">
      <c r="A1624" s="14" t="n">
        <v>1623</v>
      </c>
      <c r="B1624" s="16" t="n">
        <v>40165</v>
      </c>
      <c r="C1624" s="15" t="n">
        <v>2009</v>
      </c>
      <c r="D1624" s="15" t="inlineStr">
        <is>
          <t>Sumatex Limited</t>
        </is>
      </c>
      <c r="E1624" s="15" t="inlineStr">
        <is>
          <t>DRHP</t>
        </is>
      </c>
      <c r="F1624" s="15" t="inlineStr">
        <is>
          <t>Sumatex Limited</t>
        </is>
      </c>
      <c r="G1624" s="15" t="inlineStr">
        <is>
          <t>No launched IPO found</t>
        </is>
      </c>
      <c r="H1624" s="15" t="n"/>
      <c r="I1624" s="16" t="n"/>
      <c r="J1624" s="16" t="n"/>
      <c r="K1624" s="16" t="n"/>
      <c r="L1624" s="17" t="n"/>
      <c r="M1624" s="17" t="n"/>
      <c r="N1624" s="17" t="n"/>
      <c r="O1624" s="15" t="n"/>
      <c r="P1624" s="15" t="n"/>
      <c r="Q1624" s="18" t="inlineStr">
        <is>
          <t>https://www.sebi.gov.in/sebi_data/attachdocs/1289381212287.pdf</t>
        </is>
      </c>
      <c r="R1624" s="18" t="inlineStr">
        <is>
          <t>https://www.sebi.gov.in/filings/public-issues/dec-2009/sumatex-limited_3135.html</t>
        </is>
      </c>
      <c r="S1624" s="15" t="n"/>
      <c r="T1624" s="15" t="n"/>
      <c r="U1624" s="15" t="n"/>
      <c r="V1624" s="15" t="n"/>
      <c r="W1624" s="16" t="n"/>
      <c r="X1624" s="16" t="n"/>
      <c r="Y1624" s="16" t="n"/>
      <c r="Z1624" s="15" t="inlineStr">
        <is>
          <t>No issue found</t>
        </is>
      </c>
      <c r="AA1624" s="15" t="inlineStr">
        <is>
          <t>No post-filing IPO details found.</t>
        </is>
      </c>
      <c r="AB1624" s="15" t="n"/>
    </row>
    <row r="1625" ht="15" customHeight="1" s="12">
      <c r="A1625" s="14" t="n">
        <v>1624</v>
      </c>
      <c r="B1625" s="16" t="n">
        <v>40164</v>
      </c>
      <c r="C1625" s="15" t="n">
        <v>2009</v>
      </c>
      <c r="D1625" s="15" t="inlineStr">
        <is>
          <t>Talwalkars Better Value Fitness Limited</t>
        </is>
      </c>
      <c r="E1625" s="15" t="inlineStr">
        <is>
          <t>DRHP</t>
        </is>
      </c>
      <c r="F1625" s="15" t="inlineStr">
        <is>
          <t>Talwalkars Better Value Fitness Limited</t>
        </is>
      </c>
      <c r="G1625" s="15" t="inlineStr">
        <is>
          <t>IPO launched</t>
        </is>
      </c>
      <c r="H1625" s="15" t="inlineStr">
        <is>
          <t>Mainboard</t>
        </is>
      </c>
      <c r="I1625" s="16" t="n">
        <v>40289</v>
      </c>
      <c r="J1625" s="16" t="n">
        <v>40291</v>
      </c>
      <c r="K1625" s="16" t="n">
        <v>40308</v>
      </c>
      <c r="L1625" s="17" t="n">
        <v>77.44</v>
      </c>
      <c r="M1625" s="17" t="n">
        <v>77.44</v>
      </c>
      <c r="N1625" s="17" t="n">
        <v>0</v>
      </c>
      <c r="O1625" s="15" t="inlineStr">
        <is>
          <t>Final issue (ipoplatform)</t>
        </is>
      </c>
      <c r="P1625" s="15" t="n"/>
      <c r="Q1625" s="18" t="inlineStr">
        <is>
          <t>https://www.sebi.gov.in/sebi_data/attachdocs/1289381160431.pdf</t>
        </is>
      </c>
      <c r="R1625" s="18" t="inlineStr">
        <is>
          <t>https://www.sebi.gov.in/filings/public-issues/dec-2009/talwalkars-better-value-fitness-limited_3134.html</t>
        </is>
      </c>
      <c r="S1625" s="15" t="n"/>
      <c r="T1625" s="15" t="inlineStr">
        <is>
          <t>SEBI filing link</t>
        </is>
      </c>
      <c r="U1625" s="15" t="inlineStr">
        <is>
          <t>Talwalkars Better value Fitness Limited</t>
        </is>
      </c>
      <c r="V1625" s="15" t="n"/>
      <c r="W1625" s="15" t="n"/>
      <c r="X1625" s="15" t="n"/>
      <c r="Y1625" s="15" t="n"/>
      <c r="Z1625" s="15" t="n"/>
      <c r="AA1625" s="15" t="n"/>
      <c r="AB1625" s="15" t="n"/>
    </row>
    <row r="1626" ht="15" customHeight="1" s="12">
      <c r="A1626" s="14" t="n">
        <v>1625</v>
      </c>
      <c r="B1626" s="16" t="n">
        <v>40157</v>
      </c>
      <c r="C1626" s="15" t="n">
        <v>2009</v>
      </c>
      <c r="D1626" s="15" t="inlineStr">
        <is>
          <t>Fineotex Chemical Limited</t>
        </is>
      </c>
      <c r="E1626" s="15" t="inlineStr">
        <is>
          <t>DRHP</t>
        </is>
      </c>
      <c r="F1626" s="15" t="inlineStr">
        <is>
          <t>Fineotex Chemical Limited</t>
        </is>
      </c>
      <c r="G1626" s="15" t="inlineStr">
        <is>
          <t>IPO launched</t>
        </is>
      </c>
      <c r="H1626" s="15" t="inlineStr">
        <is>
          <t>Mainboard</t>
        </is>
      </c>
      <c r="I1626" s="16" t="n">
        <v>40597</v>
      </c>
      <c r="J1626" s="16" t="n">
        <v>40599</v>
      </c>
      <c r="K1626" s="16" t="n">
        <v>40613</v>
      </c>
      <c r="L1626" s="17" t="n">
        <v>29.48</v>
      </c>
      <c r="M1626" s="17" t="n">
        <v>29.48</v>
      </c>
      <c r="N1626" s="17" t="n">
        <v>0</v>
      </c>
      <c r="O1626" s="15" t="inlineStr">
        <is>
          <t>Final issue (ipoplatform)</t>
        </is>
      </c>
      <c r="P1626" s="15" t="n"/>
      <c r="Q1626" s="18" t="inlineStr">
        <is>
          <t>https://www.sebi.gov.in/sebi_data/attachdocs/1289381104594.pdf</t>
        </is>
      </c>
      <c r="R1626" s="18" t="inlineStr">
        <is>
          <t>https://www.sebi.gov.in/filings/public-issues/dec-2009/fineotex-chemical-limited_3133.html</t>
        </is>
      </c>
      <c r="S1626" s="15" t="n"/>
      <c r="T1626" s="15" t="inlineStr">
        <is>
          <t>Company name + date window</t>
        </is>
      </c>
      <c r="U1626" s="15" t="inlineStr">
        <is>
          <t>Fineotex Chemical Limited</t>
        </is>
      </c>
      <c r="V1626" s="15" t="n"/>
      <c r="W1626" s="15" t="n"/>
      <c r="X1626" s="15" t="n"/>
      <c r="Y1626" s="15" t="n"/>
      <c r="Z1626" s="15" t="n"/>
      <c r="AA1626" s="15" t="n"/>
      <c r="AB1626" s="15" t="n"/>
    </row>
    <row r="1627" ht="15" customHeight="1" s="12">
      <c r="A1627" s="14" t="n">
        <v>1626</v>
      </c>
      <c r="B1627" s="16" t="n">
        <v>40156</v>
      </c>
      <c r="C1627" s="15" t="n">
        <v>2009</v>
      </c>
      <c r="D1627" s="15" t="inlineStr">
        <is>
          <t>Tarapur Transformers Limited</t>
        </is>
      </c>
      <c r="E1627" s="15" t="inlineStr">
        <is>
          <t>DRHP</t>
        </is>
      </c>
      <c r="F1627" s="15" t="inlineStr">
        <is>
          <t>Tarapur Transformers Limited</t>
        </is>
      </c>
      <c r="G1627" s="15" t="inlineStr">
        <is>
          <t>IPO launched</t>
        </is>
      </c>
      <c r="H1627" s="15" t="inlineStr">
        <is>
          <t>Mainboard</t>
        </is>
      </c>
      <c r="I1627" s="16" t="n">
        <v>40294</v>
      </c>
      <c r="J1627" s="16" t="n">
        <v>40296</v>
      </c>
      <c r="K1627" s="16" t="n">
        <v>40316</v>
      </c>
      <c r="L1627" s="17" t="n">
        <v>63.75</v>
      </c>
      <c r="M1627" s="17" t="n">
        <v>63.75</v>
      </c>
      <c r="N1627" s="17" t="n">
        <v>0</v>
      </c>
      <c r="O1627" s="15" t="inlineStr">
        <is>
          <t>Final issue (ipoplatform)</t>
        </is>
      </c>
      <c r="P1627" s="15" t="n"/>
      <c r="Q1627" s="18" t="inlineStr">
        <is>
          <t>https://www.sebi.gov.in/sebi_data/attachdocs/1289381062978.pdf</t>
        </is>
      </c>
      <c r="R1627" s="18" t="inlineStr">
        <is>
          <t>https://www.sebi.gov.in/filings/public-issues/dec-2009/tarapur-transformers-limited_3132.html</t>
        </is>
      </c>
      <c r="S1627" s="15" t="n"/>
      <c r="T1627" s="15" t="inlineStr">
        <is>
          <t>SEBI filing link</t>
        </is>
      </c>
      <c r="U1627" s="15" t="inlineStr">
        <is>
          <t>Tarapur Transformers Limited</t>
        </is>
      </c>
      <c r="V1627" s="15" t="n"/>
      <c r="W1627" s="15" t="n"/>
      <c r="X1627" s="15" t="n"/>
      <c r="Y1627" s="15" t="n"/>
      <c r="Z1627" s="15" t="n"/>
      <c r="AA1627" s="15" t="n"/>
      <c r="AB1627" s="15" t="n"/>
    </row>
    <row r="1628" ht="15" customHeight="1" s="12">
      <c r="A1628" s="14" t="n">
        <v>1627</v>
      </c>
      <c r="B1628" s="16" t="n">
        <v>40151</v>
      </c>
      <c r="C1628" s="15" t="n">
        <v>2009</v>
      </c>
      <c r="D1628" s="15" t="inlineStr">
        <is>
          <t>Rural Electrification Corporation Limited</t>
        </is>
      </c>
      <c r="E1628" s="15" t="inlineStr">
        <is>
          <t>DRHP</t>
        </is>
      </c>
      <c r="F1628" s="15" t="inlineStr">
        <is>
          <t>Rural Electrification Corporation Limited</t>
        </is>
      </c>
      <c r="G1628" s="15" t="inlineStr">
        <is>
          <t>No launched IPO found</t>
        </is>
      </c>
      <c r="H1628" s="15" t="n"/>
      <c r="I1628" s="16" t="n"/>
      <c r="J1628" s="16" t="n"/>
      <c r="K1628" s="16" t="n"/>
      <c r="L1628" s="17" t="n"/>
      <c r="M1628" s="17" t="n"/>
      <c r="N1628" s="17" t="n"/>
      <c r="O1628" s="15" t="n"/>
      <c r="P1628" s="15" t="n"/>
      <c r="Q1628" s="18" t="inlineStr">
        <is>
          <t>https://www.sebi.gov.in/sebi_data/attachdocs/1289381024799.pdf</t>
        </is>
      </c>
      <c r="R1628" s="18" t="inlineStr">
        <is>
          <t>https://www.sebi.gov.in/filings/public-issues/dec-2009/rural-electrification-corporation-limited_3131.html</t>
        </is>
      </c>
      <c r="S1628" s="15" t="n"/>
      <c r="T1628" s="15" t="n"/>
      <c r="U1628" s="15" t="n"/>
      <c r="V1628" s="15" t="inlineStr">
        <is>
          <t>Same-name IPO opened 19-Feb-2008 — outside 2 years of this filing, so not linked</t>
        </is>
      </c>
      <c r="W1628" s="19" t="n">
        <v>40228</v>
      </c>
      <c r="X1628" s="19" t="n">
        <v>40232</v>
      </c>
      <c r="Y1628" s="19" t="n"/>
      <c r="Z1628" s="20" t="inlineStr">
        <is>
          <t>Issue opened</t>
        </is>
      </c>
      <c r="AA1628" s="15" t="inlineStr">
        <is>
          <t>FPO: REC FPO; already listed so no fresh listing date.</t>
        </is>
      </c>
      <c r="AB1628" s="18" t="inlineStr">
        <is>
          <t>https://www.chittorgarh.com/ipo/rec_fpo/223/</t>
        </is>
      </c>
    </row>
    <row r="1629" ht="15" customHeight="1" s="12">
      <c r="A1629" s="14" t="n">
        <v>1628</v>
      </c>
      <c r="B1629" s="16" t="n">
        <v>40150</v>
      </c>
      <c r="C1629" s="15" t="n">
        <v>2009</v>
      </c>
      <c r="D1629" s="15" t="inlineStr">
        <is>
          <t>Nitesh Estates Limited</t>
        </is>
      </c>
      <c r="E1629" s="15" t="inlineStr">
        <is>
          <t>DRHP</t>
        </is>
      </c>
      <c r="F1629" s="15" t="inlineStr">
        <is>
          <t>Nitesh Estates Limited</t>
        </is>
      </c>
      <c r="G1629" s="15" t="inlineStr">
        <is>
          <t>No launched IPO found</t>
        </is>
      </c>
      <c r="H1629" s="15" t="n"/>
      <c r="I1629" s="16" t="n"/>
      <c r="J1629" s="16" t="n"/>
      <c r="K1629" s="16" t="n"/>
      <c r="L1629" s="17" t="n"/>
      <c r="M1629" s="17" t="n"/>
      <c r="N1629" s="17" t="n"/>
      <c r="O1629" s="15" t="n"/>
      <c r="P1629" s="15" t="n"/>
      <c r="Q1629" s="18" t="inlineStr">
        <is>
          <t>https://www.sebi.gov.in/sebi_data/attachdocs/1289380979179.pdf</t>
        </is>
      </c>
      <c r="R1629" s="18" t="inlineStr">
        <is>
          <t>https://www.sebi.gov.in/filings/public-issues/dec-2009/nitesh-estates-limited_3129.html</t>
        </is>
      </c>
      <c r="S1629" s="15" t="n"/>
      <c r="T1629" s="15" t="n"/>
      <c r="U1629" s="15" t="n"/>
      <c r="V1629" s="15" t="n"/>
      <c r="W1629" s="19" t="n">
        <v>40291</v>
      </c>
      <c r="X1629" s="19" t="n">
        <v>40295</v>
      </c>
      <c r="Y1629" s="19" t="n"/>
      <c r="Z1629" s="20" t="inlineStr">
        <is>
          <t>Issue opened</t>
        </is>
      </c>
      <c r="AA1629" s="15" t="inlineStr">
        <is>
          <t>Matched on chittorgarh.com</t>
        </is>
      </c>
      <c r="AB1629" s="18" t="inlineStr">
        <is>
          <t>https://www.chittorgarh.com/ipo/nitesh_estates_ipo/240/</t>
        </is>
      </c>
    </row>
    <row r="1630" ht="15" customHeight="1" s="12">
      <c r="A1630" s="14" t="n">
        <v>1629</v>
      </c>
      <c r="B1630" s="16" t="n">
        <v>40149</v>
      </c>
      <c r="C1630" s="15" t="n">
        <v>2009</v>
      </c>
      <c r="D1630" s="15" t="inlineStr">
        <is>
          <t>Jaypee Infratech Limited</t>
        </is>
      </c>
      <c r="E1630" s="15" t="inlineStr">
        <is>
          <t>DRHP</t>
        </is>
      </c>
      <c r="F1630" s="15" t="inlineStr">
        <is>
          <t>Jaypee Infratech Limited</t>
        </is>
      </c>
      <c r="G1630" s="15" t="inlineStr">
        <is>
          <t>IPO launched</t>
        </is>
      </c>
      <c r="H1630" s="15" t="inlineStr">
        <is>
          <t>Mainboard</t>
        </is>
      </c>
      <c r="I1630" s="16" t="n">
        <v>40297</v>
      </c>
      <c r="J1630" s="16" t="n">
        <v>40302</v>
      </c>
      <c r="K1630" s="16" t="n">
        <v>40319</v>
      </c>
      <c r="L1630" s="17" t="n">
        <v>1650</v>
      </c>
      <c r="M1630" s="17" t="n">
        <v>1650</v>
      </c>
      <c r="N1630" s="17" t="n">
        <v>0</v>
      </c>
      <c r="O1630" s="15" t="inlineStr">
        <is>
          <t>Final issue (ipoplatform)</t>
        </is>
      </c>
      <c r="P1630" s="15" t="n"/>
      <c r="Q1630" s="18" t="inlineStr">
        <is>
          <t>https://www.sebi.gov.in/sebi_data/attachdocs/1289380942915.pdf</t>
        </is>
      </c>
      <c r="R1630" s="18" t="inlineStr">
        <is>
          <t>https://www.sebi.gov.in/filings/public-issues/dec-2009/jaypee-infratech-limited_3128.html</t>
        </is>
      </c>
      <c r="S1630" s="15" t="n"/>
      <c r="T1630" s="15" t="inlineStr">
        <is>
          <t>SEBI filing link</t>
        </is>
      </c>
      <c r="U1630" s="15" t="inlineStr">
        <is>
          <t>Jaypee Infratech Limited</t>
        </is>
      </c>
      <c r="V1630" s="15" t="n"/>
      <c r="W1630" s="15" t="n"/>
      <c r="X1630" s="15" t="n"/>
      <c r="Y1630" s="15" t="n"/>
      <c r="Z1630" s="15" t="n"/>
      <c r="AA1630" s="15" t="n"/>
      <c r="AB1630" s="15" t="n"/>
    </row>
    <row r="1631" ht="15" customHeight="1" s="12">
      <c r="A1631" s="14" t="n">
        <v>1630</v>
      </c>
      <c r="B1631" s="16" t="n">
        <v>40147</v>
      </c>
      <c r="C1631" s="15" t="n">
        <v>2009</v>
      </c>
      <c r="D1631" s="15" t="inlineStr">
        <is>
          <t>Prestige Estates Projects Limited</t>
        </is>
      </c>
      <c r="E1631" s="15" t="inlineStr">
        <is>
          <t>DRHP</t>
        </is>
      </c>
      <c r="F1631" s="15" t="inlineStr">
        <is>
          <t>Prestige Estates Projects Limited</t>
        </is>
      </c>
      <c r="G1631" s="15" t="inlineStr">
        <is>
          <t>IPO launched</t>
        </is>
      </c>
      <c r="H1631" s="15" t="inlineStr">
        <is>
          <t>Mainboard</t>
        </is>
      </c>
      <c r="I1631" s="16" t="n">
        <v>40463</v>
      </c>
      <c r="J1631" s="16" t="n">
        <v>40465</v>
      </c>
      <c r="K1631" s="16" t="n">
        <v>40478</v>
      </c>
      <c r="L1631" s="17" t="n">
        <v>1200</v>
      </c>
      <c r="M1631" s="17" t="n">
        <v>1200</v>
      </c>
      <c r="N1631" s="17" t="n">
        <v>0</v>
      </c>
      <c r="O1631" s="15" t="inlineStr">
        <is>
          <t>Final issue (ipoplatform)</t>
        </is>
      </c>
      <c r="P1631" s="15" t="n"/>
      <c r="Q1631" s="18" t="inlineStr">
        <is>
          <t>https://www.sebi.gov.in/sebi_data/attachdocs/1289459315500.pdf</t>
        </is>
      </c>
      <c r="R1631" s="18" t="inlineStr">
        <is>
          <t>https://www.sebi.gov.in/filings/public-issues/nov-2009/prestige-estates-projects-limited_3439.html</t>
        </is>
      </c>
      <c r="S1631" s="15" t="n"/>
      <c r="T1631" s="15" t="inlineStr">
        <is>
          <t>SEBI filing link</t>
        </is>
      </c>
      <c r="U1631" s="15" t="inlineStr">
        <is>
          <t>Prestige Estates Projects Limited</t>
        </is>
      </c>
      <c r="V1631" s="15" t="n"/>
      <c r="W1631" s="15" t="n"/>
      <c r="X1631" s="15" t="n"/>
      <c r="Y1631" s="15" t="n"/>
      <c r="Z1631" s="15" t="n"/>
      <c r="AA1631" s="15" t="n"/>
      <c r="AB1631" s="15" t="n"/>
    </row>
    <row r="1632" ht="15" customHeight="1" s="12">
      <c r="A1632" s="14" t="n">
        <v>1631</v>
      </c>
      <c r="B1632" s="16" t="n">
        <v>40141</v>
      </c>
      <c r="C1632" s="15" t="n">
        <v>2009</v>
      </c>
      <c r="D1632" s="15" t="inlineStr">
        <is>
          <t>PNC Infratech Limited</t>
        </is>
      </c>
      <c r="E1632" s="15" t="inlineStr">
        <is>
          <t>DRHP</t>
        </is>
      </c>
      <c r="F1632" s="15" t="inlineStr">
        <is>
          <t>PNC Infratech Limited</t>
        </is>
      </c>
      <c r="G1632" s="15" t="inlineStr">
        <is>
          <t>No launched IPO found</t>
        </is>
      </c>
      <c r="H1632" s="15" t="n"/>
      <c r="I1632" s="16" t="n"/>
      <c r="J1632" s="16" t="n"/>
      <c r="K1632" s="16" t="n"/>
      <c r="L1632" s="17" t="n"/>
      <c r="M1632" s="17" t="n"/>
      <c r="N1632" s="17" t="n"/>
      <c r="O1632" s="15" t="n"/>
      <c r="P1632" s="15" t="n"/>
      <c r="Q1632" s="18" t="inlineStr">
        <is>
          <t>https://www.sebi.gov.in/sebi_data/attachdocs/1289459276974.pdf</t>
        </is>
      </c>
      <c r="R1632" s="18" t="inlineStr">
        <is>
          <t>https://www.sebi.gov.in/filings/public-issues/nov-2009/pnc-infratech-limited_3438.html</t>
        </is>
      </c>
      <c r="S1632" s="15" t="n"/>
      <c r="T1632" s="15" t="n"/>
      <c r="U1632" s="15" t="n"/>
      <c r="V1632" s="15" t="inlineStr">
        <is>
          <t>Same-name IPO opened 08-May-2015 — outside 2 years of this filing, so not linked</t>
        </is>
      </c>
      <c r="W1632" s="25" t="n">
        <v>42132</v>
      </c>
      <c r="X1632" s="25" t="n">
        <v>42136</v>
      </c>
      <c r="Y1632" s="25" t="n">
        <v>42150</v>
      </c>
      <c r="Z1632" s="26" t="inlineStr">
        <is>
          <t>Later IPO — not from this draft</t>
        </is>
      </c>
      <c r="AA1632" s="15" t="inlineStr">
        <is>
          <t>Opened 5.5 yrs after this filing, under a later draft</t>
        </is>
      </c>
      <c r="AB1632" s="18" t="inlineStr">
        <is>
          <t>https://www.business-standard.com/markets/ipo/pnc-infratech-ltd-ipo-28695</t>
        </is>
      </c>
    </row>
    <row r="1633" ht="15" customHeight="1" s="12">
      <c r="A1633" s="14" t="n">
        <v>1632</v>
      </c>
      <c r="B1633" s="16" t="n">
        <v>40133</v>
      </c>
      <c r="C1633" s="15" t="n">
        <v>2009</v>
      </c>
      <c r="D1633" s="15" t="inlineStr">
        <is>
          <t>Aqua Logistics Limited</t>
        </is>
      </c>
      <c r="E1633" s="15" t="inlineStr">
        <is>
          <t>DRHP</t>
        </is>
      </c>
      <c r="F1633" s="15" t="inlineStr">
        <is>
          <t>Aqua Logistics Limited</t>
        </is>
      </c>
      <c r="G1633" s="15" t="inlineStr">
        <is>
          <t>No launched IPO found</t>
        </is>
      </c>
      <c r="H1633" s="15" t="n"/>
      <c r="I1633" s="16" t="n"/>
      <c r="J1633" s="16" t="n"/>
      <c r="K1633" s="16" t="n"/>
      <c r="L1633" s="17" t="n"/>
      <c r="M1633" s="17" t="n"/>
      <c r="N1633" s="17" t="n"/>
      <c r="O1633" s="15" t="n"/>
      <c r="P1633" s="15" t="n"/>
      <c r="Q1633" s="18" t="inlineStr">
        <is>
          <t>https://www.sebi.gov.in/sebi_data/attachdocs/1289459229842.pdf</t>
        </is>
      </c>
      <c r="R1633" s="18" t="inlineStr">
        <is>
          <t>https://www.sebi.gov.in/filings/public-issues/nov-2009/aqua-logistics-limited_3437.html</t>
        </is>
      </c>
      <c r="S1633" s="15" t="n"/>
      <c r="T1633" s="15" t="n"/>
      <c r="U1633" s="15" t="n"/>
      <c r="V1633" s="15" t="n"/>
      <c r="W1633" s="19" t="n">
        <v>40203</v>
      </c>
      <c r="X1633" s="19" t="n">
        <v>40211</v>
      </c>
      <c r="Y1633" s="19" t="n"/>
      <c r="Z1633" s="20" t="inlineStr">
        <is>
          <t>Issue opened</t>
        </is>
      </c>
      <c r="AA1633" s="15" t="inlineStr">
        <is>
          <t>Matched on chittorgarh.com</t>
        </is>
      </c>
      <c r="AB1633" s="18" t="inlineStr">
        <is>
          <t>https://www.chittorgarh.com/ipo/aqua_logistics_ipo/216/</t>
        </is>
      </c>
    </row>
    <row r="1634" ht="15" customHeight="1" s="12">
      <c r="A1634" s="14" t="n">
        <v>1633</v>
      </c>
      <c r="B1634" s="16" t="n">
        <v>40130</v>
      </c>
      <c r="C1634" s="15" t="n">
        <v>2009</v>
      </c>
      <c r="D1634" s="15" t="inlineStr">
        <is>
          <t>Everest Infra Energy Limited</t>
        </is>
      </c>
      <c r="E1634" s="15" t="inlineStr">
        <is>
          <t>DRHP</t>
        </is>
      </c>
      <c r="F1634" s="15" t="inlineStr">
        <is>
          <t>Everest Infra Energy Limited</t>
        </is>
      </c>
      <c r="G1634" s="15" t="inlineStr">
        <is>
          <t>No launched IPO found</t>
        </is>
      </c>
      <c r="H1634" s="15" t="n"/>
      <c r="I1634" s="16" t="n"/>
      <c r="J1634" s="16" t="n"/>
      <c r="K1634" s="16" t="n"/>
      <c r="L1634" s="17" t="n"/>
      <c r="M1634" s="17" t="n"/>
      <c r="N1634" s="17" t="n"/>
      <c r="O1634" s="15" t="n"/>
      <c r="P1634" s="15" t="n"/>
      <c r="Q1634" s="18" t="inlineStr">
        <is>
          <t>https://www.sebi.gov.in/sebi_data/attachdocs/1289459183936.pdf</t>
        </is>
      </c>
      <c r="R1634" s="18" t="inlineStr">
        <is>
          <t>https://www.sebi.gov.in/filings/public-issues/nov-2009/everest-infra-energy-limited_3436.html</t>
        </is>
      </c>
      <c r="S1634" s="15" t="n"/>
      <c r="T1634" s="15" t="n"/>
      <c r="U1634" s="15" t="n"/>
      <c r="V1634" s="15" t="n"/>
      <c r="W1634" s="16" t="n"/>
      <c r="X1634" s="16" t="n"/>
      <c r="Y1634" s="16" t="n"/>
      <c r="Z1634" s="15" t="inlineStr">
        <is>
          <t>No issue found</t>
        </is>
      </c>
      <c r="AA1634" s="15" t="inlineStr">
        <is>
          <t>Only unrelated EverestIMS found; no IPO.</t>
        </is>
      </c>
      <c r="AB1634" s="15" t="n"/>
    </row>
    <row r="1635" ht="15" customHeight="1" s="12">
      <c r="A1635" s="14" t="n">
        <v>1634</v>
      </c>
      <c r="B1635" s="16" t="n">
        <v>40122</v>
      </c>
      <c r="C1635" s="15" t="n">
        <v>2009</v>
      </c>
      <c r="D1635" s="15" t="inlineStr">
        <is>
          <t>Intrasoft Technologies Limited</t>
        </is>
      </c>
      <c r="E1635" s="15" t="inlineStr">
        <is>
          <t>DRHP</t>
        </is>
      </c>
      <c r="F1635" s="15" t="inlineStr">
        <is>
          <t>Intrasoft Technologies Limited</t>
        </is>
      </c>
      <c r="G1635" s="15" t="inlineStr">
        <is>
          <t>IPO launched</t>
        </is>
      </c>
      <c r="H1635" s="15" t="inlineStr">
        <is>
          <t>Mainboard</t>
        </is>
      </c>
      <c r="I1635" s="16" t="n">
        <v>40260</v>
      </c>
      <c r="J1635" s="16" t="n">
        <v>40263</v>
      </c>
      <c r="K1635" s="16" t="n">
        <v>40280</v>
      </c>
      <c r="L1635" s="17" t="n">
        <v>53.65</v>
      </c>
      <c r="M1635" s="17" t="n">
        <v>53.65</v>
      </c>
      <c r="N1635" s="17" t="n">
        <v>0</v>
      </c>
      <c r="O1635" s="15" t="inlineStr">
        <is>
          <t>Final issue (ipoplatform)</t>
        </is>
      </c>
      <c r="P1635" s="15" t="n"/>
      <c r="Q1635" s="18" t="inlineStr">
        <is>
          <t>https://www.sebi.gov.in/sebi_data/attachdocs/1289459145337.pdf</t>
        </is>
      </c>
      <c r="R1635" s="18" t="inlineStr">
        <is>
          <t>https://www.sebi.gov.in/filings/public-issues/nov-2009/intrasoft-technologies-limited_3435.html</t>
        </is>
      </c>
      <c r="S1635" s="15" t="n"/>
      <c r="T1635" s="15" t="inlineStr">
        <is>
          <t>SEBI filing link</t>
        </is>
      </c>
      <c r="U1635" s="15" t="inlineStr">
        <is>
          <t>Intrasoft Technologies Limited</t>
        </is>
      </c>
      <c r="V1635" s="15" t="n"/>
      <c r="W1635" s="15" t="n"/>
      <c r="X1635" s="15" t="n"/>
      <c r="Y1635" s="15" t="n"/>
      <c r="Z1635" s="15" t="n"/>
      <c r="AA1635" s="15" t="n"/>
      <c r="AB1635" s="15" t="n"/>
    </row>
    <row r="1636" ht="15" customHeight="1" s="12">
      <c r="A1636" s="14" t="n">
        <v>1635</v>
      </c>
      <c r="B1636" s="16" t="n">
        <v>40120</v>
      </c>
      <c r="C1636" s="15" t="n">
        <v>2009</v>
      </c>
      <c r="D1636" s="15" t="inlineStr">
        <is>
          <t>Sterlite Energy Limited</t>
        </is>
      </c>
      <c r="E1636" s="15" t="inlineStr">
        <is>
          <t>DRHP</t>
        </is>
      </c>
      <c r="F1636" s="15" t="inlineStr">
        <is>
          <t>Sterlite Energy Limited</t>
        </is>
      </c>
      <c r="G1636" s="15" t="inlineStr">
        <is>
          <t>No launched IPO found</t>
        </is>
      </c>
      <c r="H1636" s="15" t="n"/>
      <c r="I1636" s="16" t="n"/>
      <c r="J1636" s="16" t="n"/>
      <c r="K1636" s="16" t="n"/>
      <c r="L1636" s="17" t="n"/>
      <c r="M1636" s="17" t="n"/>
      <c r="N1636" s="17" t="n"/>
      <c r="O1636" s="15" t="n"/>
      <c r="P1636" s="15" t="n"/>
      <c r="Q1636" s="18" t="inlineStr">
        <is>
          <t>https://www.sebi.gov.in/sebi_data/attachdocs/1289459100669.pdf</t>
        </is>
      </c>
      <c r="R1636" s="18" t="inlineStr">
        <is>
          <t>https://www.sebi.gov.in/filings/public-issues/nov-2009/sterlite-energy-limited_3434.html</t>
        </is>
      </c>
      <c r="S1636" s="15" t="n"/>
      <c r="T1636" s="15" t="n"/>
      <c r="U1636" s="15" t="n"/>
      <c r="V1636" s="15" t="n"/>
      <c r="W1636" s="16" t="n"/>
      <c r="X1636" s="16" t="n"/>
      <c r="Y1636" s="16" t="n"/>
      <c r="Z1636" s="15" t="inlineStr">
        <is>
          <t>No issue found</t>
        </is>
      </c>
      <c r="AA1636" s="15" t="inlineStr">
        <is>
          <t>Only unrelated Sterlite Electric found; no IPO for Sterlite Energy.</t>
        </is>
      </c>
      <c r="AB1636" s="15" t="n"/>
    </row>
    <row r="1637" ht="15" customHeight="1" s="12">
      <c r="A1637" s="14" t="n">
        <v>1636</v>
      </c>
      <c r="B1637" s="16" t="n">
        <v>40114</v>
      </c>
      <c r="C1637" s="15" t="n">
        <v>2009</v>
      </c>
      <c r="D1637" s="15" t="inlineStr">
        <is>
          <t>Godrej Properties Limited</t>
        </is>
      </c>
      <c r="E1637" s="15" t="inlineStr">
        <is>
          <t>DRHP</t>
        </is>
      </c>
      <c r="F1637" s="15" t="inlineStr">
        <is>
          <t>Godrej Properties Limited</t>
        </is>
      </c>
      <c r="G1637" s="15" t="inlineStr">
        <is>
          <t>IPO launched</t>
        </is>
      </c>
      <c r="H1637" s="15" t="inlineStr">
        <is>
          <t>Mainboard</t>
        </is>
      </c>
      <c r="I1637" s="16" t="n">
        <v>40156</v>
      </c>
      <c r="J1637" s="16" t="n">
        <v>40158</v>
      </c>
      <c r="K1637" s="16" t="n">
        <v>40183</v>
      </c>
      <c r="L1637" s="17" t="n">
        <v>468.85</v>
      </c>
      <c r="M1637" s="17" t="n">
        <v>468.85</v>
      </c>
      <c r="N1637" s="17" t="n">
        <v>0</v>
      </c>
      <c r="O1637" s="15" t="inlineStr">
        <is>
          <t>Final issue (ipoplatform)</t>
        </is>
      </c>
      <c r="P1637" s="15" t="n"/>
      <c r="Q1637" s="18" t="inlineStr">
        <is>
          <t>https://www.sebi.gov.in/sebi_data/attachdocs/1289541165530.pdf</t>
        </is>
      </c>
      <c r="R1637" s="18" t="inlineStr">
        <is>
          <t>https://www.sebi.gov.in/filings/public-issues/oct-2009/godrej-properties-limited_3718.html</t>
        </is>
      </c>
      <c r="S1637" s="15" t="n"/>
      <c r="T1637" s="15" t="inlineStr">
        <is>
          <t>Company name + date window</t>
        </is>
      </c>
      <c r="U1637" s="15" t="inlineStr">
        <is>
          <t>Godrej Properties Limited</t>
        </is>
      </c>
      <c r="V1637" s="15" t="n"/>
      <c r="W1637" s="15" t="n"/>
      <c r="X1637" s="15" t="n"/>
      <c r="Y1637" s="15" t="n"/>
      <c r="Z1637" s="15" t="n"/>
      <c r="AA1637" s="15" t="n"/>
      <c r="AB1637" s="15" t="n"/>
    </row>
    <row r="1638" ht="15" customHeight="1" s="12">
      <c r="A1638" s="14" t="n">
        <v>1637</v>
      </c>
      <c r="B1638" s="16" t="n">
        <v>40106</v>
      </c>
      <c r="C1638" s="15" t="n">
        <v>2009</v>
      </c>
      <c r="D1638" s="15" t="inlineStr">
        <is>
          <t>Tara Health Foods Limited</t>
        </is>
      </c>
      <c r="E1638" s="15" t="inlineStr">
        <is>
          <t>DRHP</t>
        </is>
      </c>
      <c r="F1638" s="15" t="inlineStr">
        <is>
          <t>Tara Health Foods Limited</t>
        </is>
      </c>
      <c r="G1638" s="15" t="inlineStr">
        <is>
          <t>No launched IPO found</t>
        </is>
      </c>
      <c r="H1638" s="15" t="n"/>
      <c r="I1638" s="16" t="n"/>
      <c r="J1638" s="16" t="n"/>
      <c r="K1638" s="16" t="n"/>
      <c r="L1638" s="17" t="n"/>
      <c r="M1638" s="17" t="n"/>
      <c r="N1638" s="17" t="n"/>
      <c r="O1638" s="15" t="n"/>
      <c r="P1638" s="15" t="n"/>
      <c r="Q1638" s="18" t="inlineStr">
        <is>
          <t>https://www.sebi.gov.in/sebi_data/attachdocs/1289541121672.pdf</t>
        </is>
      </c>
      <c r="R1638" s="18" t="inlineStr">
        <is>
          <t>https://www.sebi.gov.in/filings/public-issues/oct-2009/tara-health-foods-limited_3717.html</t>
        </is>
      </c>
      <c r="S1638" s="15" t="n"/>
      <c r="T1638" s="15" t="n"/>
      <c r="U1638" s="15" t="n"/>
      <c r="V1638" s="15" t="n"/>
      <c r="W1638" s="19" t="n">
        <v>40296</v>
      </c>
      <c r="X1638" s="19" t="n">
        <v>40298</v>
      </c>
      <c r="Y1638" s="19" t="n"/>
      <c r="Z1638" s="20" t="inlineStr">
        <is>
          <t>Issue opened</t>
        </is>
      </c>
      <c r="AA1638" s="15" t="inlineStr">
        <is>
          <t>Matched on chittorgarh.com</t>
        </is>
      </c>
      <c r="AB1638" s="18" t="inlineStr">
        <is>
          <t>https://www.chittorgarh.com/ipo/tara_health_ipo/244/</t>
        </is>
      </c>
    </row>
    <row r="1639" ht="15" customHeight="1" s="12">
      <c r="A1639" s="14" t="n">
        <v>1638</v>
      </c>
      <c r="B1639" s="16" t="n">
        <v>40101</v>
      </c>
      <c r="C1639" s="15" t="n">
        <v>2009</v>
      </c>
      <c r="D1639" s="15" t="inlineStr">
        <is>
          <t>Jubilant FoodWorks Limited</t>
        </is>
      </c>
      <c r="E1639" s="15" t="inlineStr">
        <is>
          <t>DRHP</t>
        </is>
      </c>
      <c r="F1639" s="15" t="inlineStr">
        <is>
          <t>Jubilant FoodWorks Limited</t>
        </is>
      </c>
      <c r="G1639" s="15" t="inlineStr">
        <is>
          <t>IPO launched</t>
        </is>
      </c>
      <c r="H1639" s="15" t="inlineStr">
        <is>
          <t>Mainboard</t>
        </is>
      </c>
      <c r="I1639" s="16" t="n">
        <v>40196</v>
      </c>
      <c r="J1639" s="16" t="n">
        <v>40198</v>
      </c>
      <c r="K1639" s="16" t="n">
        <v>40217</v>
      </c>
      <c r="L1639" s="17" t="n">
        <v>328.72</v>
      </c>
      <c r="M1639" s="17" t="n">
        <v>328.72</v>
      </c>
      <c r="N1639" s="17" t="n">
        <v>0</v>
      </c>
      <c r="O1639" s="15" t="inlineStr">
        <is>
          <t>Final issue (ipoplatform)</t>
        </is>
      </c>
      <c r="P1639" s="15" t="n"/>
      <c r="Q1639" s="18" t="inlineStr">
        <is>
          <t>https://www.sebi.gov.in/sebi_data/attachdocs/1289541082935.pdf</t>
        </is>
      </c>
      <c r="R1639" s="18" t="inlineStr">
        <is>
          <t>https://www.sebi.gov.in/filings/public-issues/oct-2009/jubilant-foodworks-limited_3715.html</t>
        </is>
      </c>
      <c r="S1639" s="15" t="n"/>
      <c r="T1639" s="15" t="inlineStr">
        <is>
          <t>SEBI filing link</t>
        </is>
      </c>
      <c r="U1639" s="15" t="inlineStr">
        <is>
          <t>Jubilant Foodworks Limited</t>
        </is>
      </c>
      <c r="V1639" s="15" t="n"/>
      <c r="W1639" s="15" t="n"/>
      <c r="X1639" s="15" t="n"/>
      <c r="Y1639" s="15" t="n"/>
      <c r="Z1639" s="15" t="n"/>
      <c r="AA1639" s="15" t="n"/>
      <c r="AB1639" s="15" t="n"/>
    </row>
    <row r="1640" ht="15" customHeight="1" s="12">
      <c r="A1640" s="14" t="n">
        <v>1639</v>
      </c>
      <c r="B1640" s="16" t="n">
        <v>40100</v>
      </c>
      <c r="C1640" s="15" t="n">
        <v>2009</v>
      </c>
      <c r="D1640" s="15" t="inlineStr">
        <is>
          <t>Man Infra Construction Limited</t>
        </is>
      </c>
      <c r="E1640" s="15" t="inlineStr">
        <is>
          <t>DRHP</t>
        </is>
      </c>
      <c r="F1640" s="15" t="inlineStr">
        <is>
          <t>Man Infra Construction Limited</t>
        </is>
      </c>
      <c r="G1640" s="15" t="inlineStr">
        <is>
          <t>IPO launched</t>
        </is>
      </c>
      <c r="H1640" s="15" t="inlineStr">
        <is>
          <t>Mainboard</t>
        </is>
      </c>
      <c r="I1640" s="16" t="n">
        <v>40227</v>
      </c>
      <c r="J1640" s="16" t="n">
        <v>40231</v>
      </c>
      <c r="K1640" s="16" t="n">
        <v>40248</v>
      </c>
      <c r="L1640" s="17" t="n">
        <v>141.75</v>
      </c>
      <c r="M1640" s="17" t="n">
        <v>141.75</v>
      </c>
      <c r="N1640" s="17" t="n">
        <v>0</v>
      </c>
      <c r="O1640" s="15" t="inlineStr">
        <is>
          <t>Final issue (ipoplatform)</t>
        </is>
      </c>
      <c r="P1640" s="15" t="n"/>
      <c r="Q1640" s="18" t="inlineStr">
        <is>
          <t>https://www.sebi.gov.in/sebi_data/attachdocs/1289541024342.pdf</t>
        </is>
      </c>
      <c r="R1640" s="18" t="inlineStr">
        <is>
          <t>https://www.sebi.gov.in/filings/public-issues/oct-2009/man-infra-construction-limited_3714.html</t>
        </is>
      </c>
      <c r="S1640" s="15" t="n"/>
      <c r="T1640" s="15" t="inlineStr">
        <is>
          <t>SEBI filing link</t>
        </is>
      </c>
      <c r="U1640" s="15" t="inlineStr">
        <is>
          <t>Man Infraconstruction Limited</t>
        </is>
      </c>
      <c r="V1640" s="15" t="n"/>
      <c r="W1640" s="15" t="n"/>
      <c r="X1640" s="15" t="n"/>
      <c r="Y1640" s="15" t="n"/>
      <c r="Z1640" s="15" t="n"/>
      <c r="AA1640" s="15" t="n"/>
      <c r="AB1640" s="15" t="n"/>
    </row>
    <row r="1641" ht="15" customHeight="1" s="12">
      <c r="A1641" s="14" t="n">
        <v>1640</v>
      </c>
      <c r="B1641" s="16" t="n">
        <v>40093</v>
      </c>
      <c r="C1641" s="15" t="n">
        <v>2009</v>
      </c>
      <c r="D1641" s="15" t="inlineStr">
        <is>
          <t>Goenka Diamonds and Jewels Limited</t>
        </is>
      </c>
      <c r="E1641" s="15" t="inlineStr">
        <is>
          <t>DRHP</t>
        </is>
      </c>
      <c r="F1641" s="15" t="inlineStr">
        <is>
          <t>Goenka Diamonds and Jewels Limited</t>
        </is>
      </c>
      <c r="G1641" s="15" t="inlineStr">
        <is>
          <t>IPO launched</t>
        </is>
      </c>
      <c r="H1641" s="15" t="inlineStr">
        <is>
          <t>Mainboard</t>
        </is>
      </c>
      <c r="I1641" s="16" t="n">
        <v>40260</v>
      </c>
      <c r="J1641" s="16" t="n">
        <v>40263</v>
      </c>
      <c r="K1641" s="16" t="n">
        <v>40284</v>
      </c>
      <c r="L1641" s="17" t="n">
        <v>126.51</v>
      </c>
      <c r="M1641" s="17" t="n">
        <v>126.51</v>
      </c>
      <c r="N1641" s="17" t="n">
        <v>0</v>
      </c>
      <c r="O1641" s="15" t="inlineStr">
        <is>
          <t>Final issue (ipoplatform)</t>
        </is>
      </c>
      <c r="P1641" s="15" t="n"/>
      <c r="Q1641" s="18" t="inlineStr">
        <is>
          <t>https://www.sebi.gov.in/sebi_data/attachdocs/1289540963606.pdf</t>
        </is>
      </c>
      <c r="R1641" s="18" t="inlineStr">
        <is>
          <t>https://www.sebi.gov.in/filings/public-issues/oct-2009/goenka-diamonds-and-jewels-limited_3713.html</t>
        </is>
      </c>
      <c r="S1641" s="15" t="n"/>
      <c r="T1641" s="15" t="inlineStr">
        <is>
          <t>SEBI filing link</t>
        </is>
      </c>
      <c r="U1641" s="15" t="inlineStr">
        <is>
          <t>Goenka Diamond &amp; Jewels Limited</t>
        </is>
      </c>
      <c r="V1641" s="15" t="n"/>
      <c r="W1641" s="15" t="n"/>
      <c r="X1641" s="15" t="n"/>
      <c r="Y1641" s="15" t="n"/>
      <c r="Z1641" s="15" t="n"/>
      <c r="AA1641" s="15" t="n"/>
      <c r="AB1641" s="15" t="n"/>
    </row>
    <row r="1642" ht="15" customHeight="1" s="12">
      <c r="A1642" s="14" t="n">
        <v>1641</v>
      </c>
      <c r="B1642" s="16" t="n">
        <v>40092</v>
      </c>
      <c r="C1642" s="15" t="n">
        <v>2009</v>
      </c>
      <c r="D1642" s="15" t="inlineStr">
        <is>
          <t>Ankita Knit Wear Limited</t>
        </is>
      </c>
      <c r="E1642" s="15" t="inlineStr">
        <is>
          <t>DRHP</t>
        </is>
      </c>
      <c r="F1642" s="15" t="inlineStr">
        <is>
          <t>Ankita Knit Wear Limited</t>
        </is>
      </c>
      <c r="G1642" s="15" t="inlineStr">
        <is>
          <t>No launched IPO found</t>
        </is>
      </c>
      <c r="H1642" s="15" t="n"/>
      <c r="I1642" s="16" t="n"/>
      <c r="J1642" s="16" t="n"/>
      <c r="K1642" s="16" t="n"/>
      <c r="L1642" s="17" t="n"/>
      <c r="M1642" s="17" t="n"/>
      <c r="N1642" s="17" t="n"/>
      <c r="O1642" s="15" t="n"/>
      <c r="P1642" s="15" t="n"/>
      <c r="Q1642" s="18" t="inlineStr">
        <is>
          <t>https://www.sebi.gov.in/sebi_data/attachdocs/1289540901670.pdf</t>
        </is>
      </c>
      <c r="R1642" s="18" t="inlineStr">
        <is>
          <t>https://www.sebi.gov.in/filings/public-issues/oct-2009/ankita-knit-wear-limited_3711.html</t>
        </is>
      </c>
      <c r="S1642" s="15" t="n"/>
      <c r="T1642" s="15" t="n"/>
      <c r="U1642" s="15" t="n"/>
      <c r="V1642" s="15" t="n"/>
      <c r="W1642" s="16" t="n"/>
      <c r="X1642" s="16" t="n"/>
      <c r="Y1642" s="16" t="n"/>
      <c r="Z1642" s="15" t="inlineStr">
        <is>
          <t>No issue found</t>
        </is>
      </c>
      <c r="AA1642" s="15" t="inlineStr">
        <is>
          <t>Only draft prospectus found; no IPO.</t>
        </is>
      </c>
      <c r="AB1642" s="15" t="n"/>
    </row>
    <row r="1643" ht="15" customHeight="1" s="12">
      <c r="A1643" s="14" t="n">
        <v>1642</v>
      </c>
      <c r="B1643" s="16" t="n">
        <v>40091</v>
      </c>
      <c r="C1643" s="15" t="n">
        <v>2009</v>
      </c>
      <c r="D1643" s="15" t="inlineStr">
        <is>
          <t>Cantabil Retail India Limited</t>
        </is>
      </c>
      <c r="E1643" s="15" t="inlineStr">
        <is>
          <t>DRHP</t>
        </is>
      </c>
      <c r="F1643" s="15" t="inlineStr">
        <is>
          <t>Cantabil Retail India Limited</t>
        </is>
      </c>
      <c r="G1643" s="15" t="inlineStr">
        <is>
          <t>IPO launched</t>
        </is>
      </c>
      <c r="H1643" s="15" t="inlineStr">
        <is>
          <t>Mainboard</t>
        </is>
      </c>
      <c r="I1643" s="16" t="n">
        <v>40443</v>
      </c>
      <c r="J1643" s="16" t="n">
        <v>40448</v>
      </c>
      <c r="K1643" s="16" t="n">
        <v>40463</v>
      </c>
      <c r="L1643" s="17" t="n">
        <v>105</v>
      </c>
      <c r="M1643" s="17" t="n">
        <v>105</v>
      </c>
      <c r="N1643" s="17" t="n">
        <v>0</v>
      </c>
      <c r="O1643" s="15" t="inlineStr">
        <is>
          <t>Final issue (ipoplatform)</t>
        </is>
      </c>
      <c r="P1643" s="15" t="n"/>
      <c r="Q1643" s="18" t="inlineStr">
        <is>
          <t>https://www.sebi.gov.in/sebi_data/attachdocs/1289540721608.pdf</t>
        </is>
      </c>
      <c r="R1643" s="18" t="inlineStr">
        <is>
          <t>https://www.sebi.gov.in/filings/public-issues/oct-2009/cantabil-retail-india-limited_3706.html</t>
        </is>
      </c>
      <c r="S1643" s="15" t="n"/>
      <c r="T1643" s="15" t="inlineStr">
        <is>
          <t>SEBI filing link</t>
        </is>
      </c>
      <c r="U1643" s="15" t="inlineStr">
        <is>
          <t>Cantabil Retail India Limited</t>
        </is>
      </c>
      <c r="V1643" s="15" t="n"/>
      <c r="W1643" s="15" t="n"/>
      <c r="X1643" s="15" t="n"/>
      <c r="Y1643" s="15" t="n"/>
      <c r="Z1643" s="15" t="n"/>
      <c r="AA1643" s="15" t="n"/>
      <c r="AB1643" s="15" t="n"/>
    </row>
    <row r="1644" ht="15" customHeight="1" s="12">
      <c r="A1644" s="14" t="n">
        <v>1643</v>
      </c>
      <c r="B1644" s="16" t="n">
        <v>40091</v>
      </c>
      <c r="C1644" s="15" t="n">
        <v>2009</v>
      </c>
      <c r="D1644" s="15" t="inlineStr">
        <is>
          <t>DB Realty Limited</t>
        </is>
      </c>
      <c r="E1644" s="15" t="inlineStr">
        <is>
          <t>DRHP</t>
        </is>
      </c>
      <c r="F1644" s="15" t="inlineStr">
        <is>
          <t>DB Realty Limited</t>
        </is>
      </c>
      <c r="G1644" s="15" t="inlineStr">
        <is>
          <t>IPO launched</t>
        </is>
      </c>
      <c r="H1644" s="15" t="inlineStr">
        <is>
          <t>Mainboard</t>
        </is>
      </c>
      <c r="I1644" s="16" t="n">
        <v>40207</v>
      </c>
      <c r="J1644" s="16" t="n">
        <v>40211</v>
      </c>
      <c r="K1644" s="16" t="n">
        <v>40233</v>
      </c>
      <c r="L1644" s="17" t="n">
        <v>1500</v>
      </c>
      <c r="M1644" s="17" t="n">
        <v>1500</v>
      </c>
      <c r="N1644" s="17" t="n">
        <v>0</v>
      </c>
      <c r="O1644" s="15" t="inlineStr">
        <is>
          <t>Final issue (ipoplatform)</t>
        </is>
      </c>
      <c r="P1644" s="15" t="n"/>
      <c r="Q1644" s="18" t="inlineStr">
        <is>
          <t>https://www.sebi.gov.in/sebi_data/attachdocs/1289540668614.pdf</t>
        </is>
      </c>
      <c r="R1644" s="18" t="inlineStr">
        <is>
          <t>https://www.sebi.gov.in/filings/public-issues/oct-2009/db-realty-limited_3704.html</t>
        </is>
      </c>
      <c r="S1644" s="15" t="n"/>
      <c r="T1644" s="15" t="inlineStr">
        <is>
          <t>SEBI filing link</t>
        </is>
      </c>
      <c r="U1644" s="15" t="inlineStr">
        <is>
          <t>DB Realty Limited</t>
        </is>
      </c>
      <c r="V1644" s="15" t="n"/>
      <c r="W1644" s="15" t="n"/>
      <c r="X1644" s="15" t="n"/>
      <c r="Y1644" s="15" t="n"/>
      <c r="Z1644" s="15" t="n"/>
      <c r="AA1644" s="15" t="n"/>
      <c r="AB1644" s="15" t="n"/>
    </row>
    <row r="1645" ht="15" customHeight="1" s="12">
      <c r="A1645" s="14" t="n">
        <v>1644</v>
      </c>
      <c r="B1645" s="16" t="n">
        <v>40091</v>
      </c>
      <c r="C1645" s="15" t="n">
        <v>2009</v>
      </c>
      <c r="D1645" s="15" t="inlineStr">
        <is>
          <t>Kumar Urban Development Limited</t>
        </is>
      </c>
      <c r="E1645" s="15" t="inlineStr">
        <is>
          <t>DRHP</t>
        </is>
      </c>
      <c r="F1645" s="15" t="inlineStr">
        <is>
          <t>Kumar Urban Development Limited</t>
        </is>
      </c>
      <c r="G1645" s="15" t="inlineStr">
        <is>
          <t>No launched IPO found</t>
        </is>
      </c>
      <c r="H1645" s="15" t="n"/>
      <c r="I1645" s="16" t="n"/>
      <c r="J1645" s="16" t="n"/>
      <c r="K1645" s="16" t="n"/>
      <c r="L1645" s="17" t="n"/>
      <c r="M1645" s="17" t="n"/>
      <c r="N1645" s="17" t="n"/>
      <c r="O1645" s="15" t="n"/>
      <c r="P1645" s="15" t="n"/>
      <c r="Q1645" s="18" t="inlineStr">
        <is>
          <t>https://www.sebi.gov.in/sebi_data/attachdocs/1289540786130.pdf</t>
        </is>
      </c>
      <c r="R1645" s="18" t="inlineStr">
        <is>
          <t>https://www.sebi.gov.in/filings/public-issues/oct-2009/kumar-urban-development-limited_3707.html</t>
        </is>
      </c>
      <c r="S1645" s="15" t="n"/>
      <c r="T1645" s="15" t="n"/>
      <c r="U1645" s="15" t="n"/>
      <c r="V1645" s="15" t="n"/>
      <c r="W1645" s="16" t="n"/>
      <c r="X1645" s="16" t="n"/>
      <c r="Y1645" s="16" t="n"/>
      <c r="Z1645" s="15" t="inlineStr">
        <is>
          <t>No issue found</t>
        </is>
      </c>
      <c r="AA1645" s="15" t="inlineStr">
        <is>
          <t>Planned Rs 450 cr issue; no open date found.</t>
        </is>
      </c>
      <c r="AB1645" s="18" t="inlineStr">
        <is>
          <t>https://www.business-standard.com/markets/ipo/kumar-urban-development-ltd-ipo-35716</t>
        </is>
      </c>
    </row>
    <row r="1646" ht="15" customHeight="1" s="12">
      <c r="A1646" s="14" t="n">
        <v>1645</v>
      </c>
      <c r="B1646" s="16" t="n">
        <v>40091</v>
      </c>
      <c r="C1646" s="15" t="n">
        <v>2009</v>
      </c>
      <c r="D1646" s="15" t="inlineStr">
        <is>
          <t>Pipvav Shipyard Limited</t>
        </is>
      </c>
      <c r="E1646" s="15" t="inlineStr">
        <is>
          <t>Addendum</t>
        </is>
      </c>
      <c r="F1646" s="15" t="inlineStr">
        <is>
          <t>Pipvav Shipyard Limited - Addendum to RHP</t>
        </is>
      </c>
      <c r="G1646" s="15" t="inlineStr">
        <is>
          <t>No launched IPO found</t>
        </is>
      </c>
      <c r="H1646" s="15" t="n"/>
      <c r="I1646" s="16" t="n"/>
      <c r="J1646" s="16" t="n"/>
      <c r="K1646" s="16" t="n"/>
      <c r="L1646" s="17" t="n"/>
      <c r="M1646" s="17" t="n"/>
      <c r="N1646" s="17" t="n"/>
      <c r="O1646" s="15" t="n"/>
      <c r="P1646" s="15" t="n"/>
      <c r="Q1646" s="18" t="inlineStr">
        <is>
          <t>https://www.sebi.gov.in/sebi_data/attachdocs/1289540846276.pdf</t>
        </is>
      </c>
      <c r="R1646" s="18" t="inlineStr">
        <is>
          <t>https://www.sebi.gov.in/filings/public-issues/oct-2009/pipvav-shipyard-limited-addendum-to-rhp_3709.html</t>
        </is>
      </c>
      <c r="S1646" s="15" t="n"/>
      <c r="T1646" s="15" t="n"/>
      <c r="U1646" s="15" t="n"/>
      <c r="V1646" s="15" t="n"/>
      <c r="W1646" s="16" t="n"/>
      <c r="X1646" s="16" t="n"/>
      <c r="Y1646" s="16" t="n"/>
      <c r="Z1646" s="15" t="inlineStr">
        <is>
          <t>No issue found</t>
        </is>
      </c>
      <c r="AA1646" s="15" t="inlineStr">
        <is>
          <t>IPO opened 2009-09-16, before first_filed 2009-10-05; not accepted.</t>
        </is>
      </c>
      <c r="AB1646" s="18" t="inlineStr">
        <is>
          <t>https://www.chittorgarh.com/ipo/pipavav_shipyard_ipo/203/</t>
        </is>
      </c>
    </row>
    <row r="1647" ht="15" customHeight="1" s="12">
      <c r="A1647" s="14" t="n">
        <v>1646</v>
      </c>
      <c r="B1647" s="16" t="n">
        <v>40087</v>
      </c>
      <c r="C1647" s="15" t="n">
        <v>2009</v>
      </c>
      <c r="D1647" s="15" t="inlineStr">
        <is>
          <t>DQ Entertainment (International) Limited</t>
        </is>
      </c>
      <c r="E1647" s="15" t="inlineStr">
        <is>
          <t>DRHP</t>
        </is>
      </c>
      <c r="F1647" s="15" t="inlineStr">
        <is>
          <t>DQ Entertainment (International) Limited</t>
        </is>
      </c>
      <c r="G1647" s="15" t="inlineStr">
        <is>
          <t>IPO launched</t>
        </is>
      </c>
      <c r="H1647" s="15" t="inlineStr">
        <is>
          <t>Mainboard</t>
        </is>
      </c>
      <c r="I1647" s="16" t="n">
        <v>40245</v>
      </c>
      <c r="J1647" s="16" t="n">
        <v>40247</v>
      </c>
      <c r="K1647" s="16" t="n">
        <v>40266</v>
      </c>
      <c r="L1647" s="17" t="n">
        <v>128.16</v>
      </c>
      <c r="M1647" s="17" t="n">
        <v>128.16</v>
      </c>
      <c r="N1647" s="17" t="n">
        <v>0</v>
      </c>
      <c r="O1647" s="15" t="inlineStr">
        <is>
          <t>Final issue (ipoplatform)</t>
        </is>
      </c>
      <c r="P1647" s="15" t="n"/>
      <c r="Q1647" s="18" t="inlineStr">
        <is>
          <t>https://www.sebi.gov.in/sebi_data/attachdocs/1289540251023.pdf</t>
        </is>
      </c>
      <c r="R1647" s="18" t="inlineStr">
        <is>
          <t>https://www.sebi.gov.in/filings/public-issues/oct-2009/dq-entertainment-international-limited_3692.html</t>
        </is>
      </c>
      <c r="S1647" s="15" t="n"/>
      <c r="T1647" s="15" t="inlineStr">
        <is>
          <t>SEBI filing link</t>
        </is>
      </c>
      <c r="U1647" s="15" t="inlineStr">
        <is>
          <t>DQ Entertainment (International) Limited</t>
        </is>
      </c>
      <c r="V1647" s="15" t="n"/>
      <c r="W1647" s="15" t="n"/>
      <c r="X1647" s="15" t="n"/>
      <c r="Y1647" s="15" t="n"/>
      <c r="Z1647" s="15" t="n"/>
      <c r="AA1647" s="15" t="n"/>
      <c r="AB1647" s="15" t="n"/>
    </row>
    <row r="1648" ht="15" customHeight="1" s="12">
      <c r="A1648" s="14" t="n">
        <v>1647</v>
      </c>
      <c r="B1648" s="16" t="n">
        <v>40087</v>
      </c>
      <c r="C1648" s="15" t="n">
        <v>2009</v>
      </c>
      <c r="D1648" s="15" t="inlineStr">
        <is>
          <t>Emaar MGF Land Limited</t>
        </is>
      </c>
      <c r="E1648" s="15" t="inlineStr">
        <is>
          <t>DRHP</t>
        </is>
      </c>
      <c r="F1648" s="15" t="inlineStr">
        <is>
          <t>Emaar MGF Land Limited</t>
        </is>
      </c>
      <c r="G1648" s="15" t="inlineStr">
        <is>
          <t>No launched IPO found</t>
        </is>
      </c>
      <c r="H1648" s="15" t="n"/>
      <c r="I1648" s="16" t="n"/>
      <c r="J1648" s="16" t="n"/>
      <c r="K1648" s="16" t="n"/>
      <c r="L1648" s="17" t="n"/>
      <c r="M1648" s="17" t="n"/>
      <c r="N1648" s="17" t="n"/>
      <c r="O1648" s="15" t="n"/>
      <c r="P1648" s="15" t="n"/>
      <c r="Q1648" s="18" t="inlineStr">
        <is>
          <t>https://www.sebi.gov.in/sebi_data/attachdocs/1289540483079.pdf</t>
        </is>
      </c>
      <c r="R1648" s="18" t="inlineStr">
        <is>
          <t>https://www.sebi.gov.in/filings/public-issues/oct-2009/emaar-mgf-land-limited_3699.html</t>
        </is>
      </c>
      <c r="S1648" s="15" t="n"/>
      <c r="T1648" s="15" t="n"/>
      <c r="U1648" s="15" t="n"/>
      <c r="V1648" s="15" t="n"/>
      <c r="W1648" s="16" t="n"/>
      <c r="X1648" s="16" t="n"/>
      <c r="Y1648" s="16" t="n"/>
      <c r="Z1648" s="15" t="inlineStr">
        <is>
          <t>Withdrawn / approval lapsed</t>
        </is>
      </c>
      <c r="AA1648" s="15" t="inlineStr">
        <is>
          <t>Opened 2008-02-01, scheduled close 2008-02-11; withdrawn by lead managers, never listed.</t>
        </is>
      </c>
      <c r="AB1648" s="18" t="inlineStr">
        <is>
          <t>https://www.chittorgarh.com/ipo/mgf_ipo/152/</t>
        </is>
      </c>
    </row>
    <row r="1649" ht="15" customHeight="1" s="12">
      <c r="A1649" s="14" t="n">
        <v>1648</v>
      </c>
      <c r="B1649" s="16" t="n">
        <v>40087</v>
      </c>
      <c r="C1649" s="15" t="n">
        <v>2009</v>
      </c>
      <c r="D1649" s="15" t="inlineStr">
        <is>
          <t>Glenmark Generics Limited</t>
        </is>
      </c>
      <c r="E1649" s="15" t="inlineStr">
        <is>
          <t>DRHP</t>
        </is>
      </c>
      <c r="F1649" s="15" t="inlineStr">
        <is>
          <t>Glenmark Generics Limited</t>
        </is>
      </c>
      <c r="G1649" s="15" t="inlineStr">
        <is>
          <t>No launched IPO found</t>
        </is>
      </c>
      <c r="H1649" s="15" t="n"/>
      <c r="I1649" s="16" t="n"/>
      <c r="J1649" s="16" t="n"/>
      <c r="K1649" s="16" t="n"/>
      <c r="L1649" s="17" t="n"/>
      <c r="M1649" s="17" t="n"/>
      <c r="N1649" s="17" t="n"/>
      <c r="O1649" s="15" t="n"/>
      <c r="P1649" s="15" t="n"/>
      <c r="Q1649" s="18" t="inlineStr">
        <is>
          <t>https://www.sebi.gov.in/sebi_data/attachdocs/1289540326423.pdf</t>
        </is>
      </c>
      <c r="R1649" s="18" t="inlineStr">
        <is>
          <t>https://www.sebi.gov.in/filings/public-issues/oct-2009/glenmark-generics-limited_3694.html</t>
        </is>
      </c>
      <c r="S1649" s="15" t="n"/>
      <c r="T1649" s="15" t="n"/>
      <c r="U1649" s="15" t="n"/>
      <c r="V1649" s="15" t="n"/>
      <c r="W1649" s="16" t="n"/>
      <c r="X1649" s="16" t="n"/>
      <c r="Y1649" s="16" t="n"/>
      <c r="Z1649" s="15" t="inlineStr">
        <is>
          <t>No issue found</t>
        </is>
      </c>
      <c r="AA1649" s="15" t="inlineStr">
        <is>
          <t>Later merged into Glenmark Pharma; no IPO found.</t>
        </is>
      </c>
      <c r="AB1649" s="18" t="inlineStr">
        <is>
          <t>https://www.business-standard.com/markets/ipo/glenmark-generics-ltd-merged-ipo-34280</t>
        </is>
      </c>
    </row>
    <row r="1650" ht="15" customHeight="1" s="12">
      <c r="A1650" s="14" t="n">
        <v>1649</v>
      </c>
      <c r="B1650" s="16" t="n">
        <v>40087</v>
      </c>
      <c r="C1650" s="15" t="n">
        <v>2009</v>
      </c>
      <c r="D1650" s="15" t="inlineStr">
        <is>
          <t>IL and FS Transportation Networks Limited</t>
        </is>
      </c>
      <c r="E1650" s="15" t="inlineStr">
        <is>
          <t>DRHP</t>
        </is>
      </c>
      <c r="F1650" s="15" t="inlineStr">
        <is>
          <t>IL and FS Transportation Networks Limited</t>
        </is>
      </c>
      <c r="G1650" s="15" t="inlineStr">
        <is>
          <t>IPO launched</t>
        </is>
      </c>
      <c r="H1650" s="15" t="inlineStr">
        <is>
          <t>Mainboard</t>
        </is>
      </c>
      <c r="I1650" s="16" t="n">
        <v>40248</v>
      </c>
      <c r="J1650" s="16" t="n">
        <v>40252</v>
      </c>
      <c r="K1650" s="16" t="n">
        <v>40267</v>
      </c>
      <c r="L1650" s="17" t="n">
        <v>700</v>
      </c>
      <c r="M1650" s="17" t="n">
        <v>700</v>
      </c>
      <c r="N1650" s="17" t="n">
        <v>0</v>
      </c>
      <c r="O1650" s="15" t="inlineStr">
        <is>
          <t>Final issue (ipoplatform)</t>
        </is>
      </c>
      <c r="P1650" s="15" t="n"/>
      <c r="Q1650" s="18" t="inlineStr">
        <is>
          <t>https://www.sebi.gov.in/sebi_data/attachdocs/1289540631419.pdf</t>
        </is>
      </c>
      <c r="R1650" s="18" t="inlineStr">
        <is>
          <t>https://www.sebi.gov.in/filings/public-issues/oct-2009/il-and-fs-transportation-networks-limited_3703.html</t>
        </is>
      </c>
      <c r="S1650" s="15" t="n"/>
      <c r="T1650" s="15" t="inlineStr">
        <is>
          <t>SEBI filing link</t>
        </is>
      </c>
      <c r="U1650" s="15" t="inlineStr">
        <is>
          <t>IL&amp;FS Transportation Networks Limited</t>
        </is>
      </c>
      <c r="V1650" s="15" t="n"/>
      <c r="W1650" s="15" t="n"/>
      <c r="X1650" s="15" t="n"/>
      <c r="Y1650" s="15" t="n"/>
      <c r="Z1650" s="15" t="n"/>
      <c r="AA1650" s="15" t="n"/>
      <c r="AB1650" s="15" t="n"/>
    </row>
    <row r="1651" ht="15" customHeight="1" s="12">
      <c r="A1651" s="14" t="n">
        <v>1650</v>
      </c>
      <c r="B1651" s="16" t="n">
        <v>40087</v>
      </c>
      <c r="C1651" s="15" t="n">
        <v>2009</v>
      </c>
      <c r="D1651" s="15" t="inlineStr">
        <is>
          <t>Mandhana Industries Limited</t>
        </is>
      </c>
      <c r="E1651" s="15" t="inlineStr">
        <is>
          <t>DRHP</t>
        </is>
      </c>
      <c r="F1651" s="15" t="inlineStr">
        <is>
          <t>Mandhana Industries Limited</t>
        </is>
      </c>
      <c r="G1651" s="15" t="inlineStr">
        <is>
          <t>No launched IPO found</t>
        </is>
      </c>
      <c r="H1651" s="15" t="n"/>
      <c r="I1651" s="16" t="n"/>
      <c r="J1651" s="16" t="n"/>
      <c r="K1651" s="16" t="n"/>
      <c r="L1651" s="17" t="n"/>
      <c r="M1651" s="17" t="n"/>
      <c r="N1651" s="17" t="n"/>
      <c r="O1651" s="15" t="n"/>
      <c r="P1651" s="15" t="n"/>
      <c r="Q1651" s="18" t="inlineStr">
        <is>
          <t>https://www.sebi.gov.in/sebi_data/attachdocs/1289540534946.pdf</t>
        </is>
      </c>
      <c r="R1651" s="18" t="inlineStr">
        <is>
          <t>https://www.sebi.gov.in/filings/public-issues/oct-2009/mandhana-industries-limited_3701.html</t>
        </is>
      </c>
      <c r="S1651" s="15" t="n"/>
      <c r="T1651" s="15" t="n"/>
      <c r="U1651" s="15" t="n"/>
      <c r="V1651" s="15" t="n"/>
      <c r="W1651" s="19" t="n">
        <v>40295</v>
      </c>
      <c r="X1651" s="19" t="n">
        <v>40297</v>
      </c>
      <c r="Y1651" s="19" t="n"/>
      <c r="Z1651" s="20" t="inlineStr">
        <is>
          <t>Issue opened</t>
        </is>
      </c>
      <c r="AA1651" s="15" t="inlineStr">
        <is>
          <t>Matched on chittorgarh.com</t>
        </is>
      </c>
      <c r="AB1651" s="18" t="inlineStr">
        <is>
          <t>https://www.chittorgarh.com/ipo/mandhana_industries_ipo/242/</t>
        </is>
      </c>
    </row>
    <row r="1652" ht="15" customHeight="1" s="12">
      <c r="A1652" s="14" t="n">
        <v>1651</v>
      </c>
      <c r="B1652" s="16" t="n">
        <v>40087</v>
      </c>
      <c r="C1652" s="15" t="n">
        <v>2009</v>
      </c>
      <c r="D1652" s="15" t="inlineStr">
        <is>
          <t>Midfield Industries Limited</t>
        </is>
      </c>
      <c r="E1652" s="15" t="inlineStr">
        <is>
          <t>DRHP</t>
        </is>
      </c>
      <c r="F1652" s="15" t="inlineStr">
        <is>
          <t>Midfield Industries Limited</t>
        </is>
      </c>
      <c r="G1652" s="15" t="inlineStr">
        <is>
          <t>No launched IPO found</t>
        </is>
      </c>
      <c r="H1652" s="15" t="n"/>
      <c r="I1652" s="16" t="n"/>
      <c r="J1652" s="16" t="n"/>
      <c r="K1652" s="16" t="n"/>
      <c r="L1652" s="17" t="n"/>
      <c r="M1652" s="17" t="n"/>
      <c r="N1652" s="17" t="n"/>
      <c r="O1652" s="15" t="n"/>
      <c r="P1652" s="15" t="n"/>
      <c r="Q1652" s="18" t="inlineStr">
        <is>
          <t>https://www.sebi.gov.in/sebi_data/attachdocs/1289540584967.pdf</t>
        </is>
      </c>
      <c r="R1652" s="18" t="inlineStr">
        <is>
          <t>https://www.sebi.gov.in/filings/public-issues/oct-2009/midfield-industries-limited_3702.html</t>
        </is>
      </c>
      <c r="S1652" s="15" t="n"/>
      <c r="T1652" s="15" t="n"/>
      <c r="U1652" s="15" t="n"/>
      <c r="V1652" s="15" t="n"/>
      <c r="W1652" s="19" t="n">
        <v>40378</v>
      </c>
      <c r="X1652" s="19" t="n">
        <v>40380</v>
      </c>
      <c r="Y1652" s="19" t="n"/>
      <c r="Z1652" s="20" t="inlineStr">
        <is>
          <t>Issue opened</t>
        </is>
      </c>
      <c r="AA1652" s="15" t="inlineStr">
        <is>
          <t>Matched on chittorgarh.com</t>
        </is>
      </c>
      <c r="AB1652" s="18" t="inlineStr">
        <is>
          <t>https://www.chittorgarh.com/ipo/midfield_industries_ipo/251/</t>
        </is>
      </c>
    </row>
    <row r="1653" ht="15" customHeight="1" s="12">
      <c r="A1653" s="14" t="n">
        <v>1652</v>
      </c>
      <c r="B1653" s="16" t="n">
        <v>40087</v>
      </c>
      <c r="C1653" s="15" t="n">
        <v>2009</v>
      </c>
      <c r="D1653" s="15" t="inlineStr">
        <is>
          <t>Rosmerta Technologies Limited</t>
        </is>
      </c>
      <c r="E1653" s="15" t="inlineStr">
        <is>
          <t>DRHP</t>
        </is>
      </c>
      <c r="F1653" s="15" t="inlineStr">
        <is>
          <t>Rosmerta Technologies Limited</t>
        </is>
      </c>
      <c r="G1653" s="15" t="inlineStr">
        <is>
          <t>No launched IPO found</t>
        </is>
      </c>
      <c r="H1653" s="15" t="n"/>
      <c r="I1653" s="16" t="n"/>
      <c r="J1653" s="16" t="n"/>
      <c r="K1653" s="16" t="n"/>
      <c r="L1653" s="17" t="n"/>
      <c r="M1653" s="17" t="n"/>
      <c r="N1653" s="17" t="n"/>
      <c r="O1653" s="15" t="n"/>
      <c r="P1653" s="15" t="n"/>
      <c r="Q1653" s="18" t="inlineStr">
        <is>
          <t>https://www.sebi.gov.in/sebi_data/attachdocs/1289540287771.pdf</t>
        </is>
      </c>
      <c r="R1653" s="18" t="inlineStr">
        <is>
          <t>https://www.sebi.gov.in/filings/public-issues/oct-2009/rosmerta-technologies-limited_3693.html</t>
        </is>
      </c>
      <c r="S1653" s="15" t="n"/>
      <c r="T1653" s="15" t="n"/>
      <c r="U1653" s="15" t="n"/>
      <c r="V1653" s="15" t="n"/>
      <c r="W1653" s="16" t="n"/>
      <c r="X1653" s="16" t="n"/>
      <c r="Y1653" s="16" t="n"/>
      <c r="Z1653" s="15" t="inlineStr">
        <is>
          <t>No issue found</t>
        </is>
      </c>
      <c r="AA1653" s="15" t="inlineStr">
        <is>
          <t>Only subsidiary Rosmerta Digital Services SME IPO (2024) found; different entity.</t>
        </is>
      </c>
      <c r="AB1653" s="15" t="n"/>
    </row>
    <row r="1654" ht="15" customHeight="1" s="12">
      <c r="A1654" s="14" t="n">
        <v>1653</v>
      </c>
      <c r="B1654" s="16" t="n">
        <v>40087</v>
      </c>
      <c r="C1654" s="15" t="n">
        <v>2009</v>
      </c>
      <c r="D1654" s="15" t="inlineStr">
        <is>
          <t>Sahara Prime City Limited</t>
        </is>
      </c>
      <c r="E1654" s="15" t="inlineStr">
        <is>
          <t>DRHP</t>
        </is>
      </c>
      <c r="F1654" s="15" t="inlineStr">
        <is>
          <t>Sahara Prime City Limited</t>
        </is>
      </c>
      <c r="G1654" s="15" t="inlineStr">
        <is>
          <t>No launched IPO found</t>
        </is>
      </c>
      <c r="H1654" s="15" t="n"/>
      <c r="I1654" s="16" t="n"/>
      <c r="J1654" s="16" t="n"/>
      <c r="K1654" s="16" t="n"/>
      <c r="L1654" s="17" t="n"/>
      <c r="M1654" s="17" t="n"/>
      <c r="N1654" s="17" t="n"/>
      <c r="O1654" s="15" t="n"/>
      <c r="P1654" s="15" t="n"/>
      <c r="Q1654" s="18" t="inlineStr">
        <is>
          <t>https://www.sebi.gov.in/sebi_data/attachdocs/1289540376958.pdf</t>
        </is>
      </c>
      <c r="R1654" s="18" t="inlineStr">
        <is>
          <t>https://www.sebi.gov.in/filings/public-issues/oct-2009/sahara-prime-city-limited_3696.html</t>
        </is>
      </c>
      <c r="S1654" s="15" t="n"/>
      <c r="T1654" s="15" t="n"/>
      <c r="U1654" s="15" t="n"/>
      <c r="V1654" s="15" t="n"/>
      <c r="W1654" s="16" t="n"/>
      <c r="X1654" s="16" t="n"/>
      <c r="Y1654" s="16" t="n"/>
      <c r="Z1654" s="15" t="inlineStr">
        <is>
          <t>No issue found</t>
        </is>
      </c>
      <c r="AA1654" s="15" t="inlineStr">
        <is>
          <t>DRHP Sept 2009; no IPO launch found.</t>
        </is>
      </c>
      <c r="AB1654" s="15" t="n"/>
    </row>
    <row r="1655" ht="15" customHeight="1" s="12">
      <c r="A1655" s="14" t="n">
        <v>1654</v>
      </c>
      <c r="B1655" s="16" t="n">
        <v>40086</v>
      </c>
      <c r="C1655" s="15" t="n">
        <v>2009</v>
      </c>
      <c r="D1655" s="15" t="inlineStr">
        <is>
          <t>Ambience Limited</t>
        </is>
      </c>
      <c r="E1655" s="15" t="inlineStr">
        <is>
          <t>DRHP</t>
        </is>
      </c>
      <c r="F1655" s="15" t="inlineStr">
        <is>
          <t>Ambience Limited</t>
        </is>
      </c>
      <c r="G1655" s="15" t="inlineStr">
        <is>
          <t>No launched IPO found</t>
        </is>
      </c>
      <c r="H1655" s="15" t="n"/>
      <c r="I1655" s="16" t="n"/>
      <c r="J1655" s="16" t="n"/>
      <c r="K1655" s="16" t="n"/>
      <c r="L1655" s="17" t="n"/>
      <c r="M1655" s="17" t="n"/>
      <c r="N1655" s="17" t="n"/>
      <c r="O1655" s="15" t="n"/>
      <c r="P1655" s="15" t="n"/>
      <c r="Q1655" s="18" t="inlineStr">
        <is>
          <t>https://www.sebi.gov.in/sebi_data/attachdocs/1289622975612.pdf</t>
        </is>
      </c>
      <c r="R1655" s="18" t="inlineStr">
        <is>
          <t>https://www.sebi.gov.in/filings/public-issues/sep-2009/ambience-limited_4063.html</t>
        </is>
      </c>
      <c r="S1655" s="15" t="n"/>
      <c r="T1655" s="15" t="n"/>
      <c r="U1655" s="15" t="n"/>
      <c r="V1655" s="15" t="n"/>
      <c r="W1655" s="16" t="n"/>
      <c r="X1655" s="16" t="n"/>
      <c r="Y1655" s="16" t="n"/>
      <c r="Z1655" s="15" t="inlineStr">
        <is>
          <t>No issue found</t>
        </is>
      </c>
      <c r="AA1655" s="15" t="inlineStr">
        <is>
          <t>SEBI nod Mar 2010; no evidence IPO launched.</t>
        </is>
      </c>
      <c r="AB1655" s="18" t="inlineStr">
        <is>
          <t>https://www.business-standard.com/amp/article/markets/ambience-gets-sebi-s-nod-for-rs-1-300-cr-ipo-110032300189_1.html</t>
        </is>
      </c>
    </row>
    <row r="1656" ht="15" customHeight="1" s="12">
      <c r="A1656" s="14" t="n">
        <v>1655</v>
      </c>
      <c r="B1656" s="16" t="n">
        <v>40086</v>
      </c>
      <c r="C1656" s="15" t="n">
        <v>2009</v>
      </c>
      <c r="D1656" s="15" t="inlineStr">
        <is>
          <t>Gravita India Limited</t>
        </is>
      </c>
      <c r="E1656" s="15" t="inlineStr">
        <is>
          <t>DRHP</t>
        </is>
      </c>
      <c r="F1656" s="15" t="inlineStr">
        <is>
          <t>Gravita India Limited</t>
        </is>
      </c>
      <c r="G1656" s="15" t="inlineStr">
        <is>
          <t>IPO launched</t>
        </is>
      </c>
      <c r="H1656" s="15" t="inlineStr">
        <is>
          <t>Mainboard</t>
        </is>
      </c>
      <c r="I1656" s="16" t="n">
        <v>40483</v>
      </c>
      <c r="J1656" s="16" t="n">
        <v>40485</v>
      </c>
      <c r="K1656" s="16" t="n">
        <v>40498</v>
      </c>
      <c r="L1656" s="17" t="n">
        <v>45</v>
      </c>
      <c r="M1656" s="17" t="n">
        <v>45</v>
      </c>
      <c r="N1656" s="17" t="n">
        <v>0</v>
      </c>
      <c r="O1656" s="15" t="inlineStr">
        <is>
          <t>Final issue (ipoplatform)</t>
        </is>
      </c>
      <c r="P1656" s="15" t="n"/>
      <c r="Q1656" s="18" t="inlineStr">
        <is>
          <t>https://www.sebi.gov.in/sebi_data/attachdocs/1289623241784.pdf</t>
        </is>
      </c>
      <c r="R1656" s="18" t="inlineStr">
        <is>
          <t>https://www.sebi.gov.in/filings/public-issues/sep-2009/gravita-india-limited_4065.html</t>
        </is>
      </c>
      <c r="S1656" s="15" t="n"/>
      <c r="T1656" s="15" t="inlineStr">
        <is>
          <t>SEBI filing link</t>
        </is>
      </c>
      <c r="U1656" s="15" t="inlineStr">
        <is>
          <t>Gravita India Limited</t>
        </is>
      </c>
      <c r="V1656" s="15" t="n"/>
      <c r="W1656" s="15" t="n"/>
      <c r="X1656" s="15" t="n"/>
      <c r="Y1656" s="15" t="n"/>
      <c r="Z1656" s="15" t="n"/>
      <c r="AA1656" s="15" t="n"/>
      <c r="AB1656" s="15" t="n"/>
    </row>
    <row r="1657" ht="15" customHeight="1" s="12">
      <c r="A1657" s="14" t="n">
        <v>1656</v>
      </c>
      <c r="B1657" s="16" t="n">
        <v>40086</v>
      </c>
      <c r="C1657" s="15" t="n">
        <v>2009</v>
      </c>
      <c r="D1657" s="15" t="inlineStr">
        <is>
          <t>Hathway Cable and Datacom Limited</t>
        </is>
      </c>
      <c r="E1657" s="15" t="inlineStr">
        <is>
          <t>DRHP</t>
        </is>
      </c>
      <c r="F1657" s="15" t="inlineStr">
        <is>
          <t>Hathway Cable and Datacom Limited</t>
        </is>
      </c>
      <c r="G1657" s="15" t="inlineStr">
        <is>
          <t>IPO launched</t>
        </is>
      </c>
      <c r="H1657" s="15" t="inlineStr">
        <is>
          <t>Mainboard</t>
        </is>
      </c>
      <c r="I1657" s="16" t="n">
        <v>40218</v>
      </c>
      <c r="J1657" s="16" t="n">
        <v>40220</v>
      </c>
      <c r="K1657" s="16" t="n">
        <v>40234</v>
      </c>
      <c r="L1657" s="17" t="n">
        <v>666</v>
      </c>
      <c r="M1657" s="17" t="n">
        <v>666</v>
      </c>
      <c r="N1657" s="17" t="n">
        <v>0</v>
      </c>
      <c r="O1657" s="15" t="inlineStr">
        <is>
          <t>Final issue (ipoplatform)</t>
        </is>
      </c>
      <c r="P1657" s="15" t="n"/>
      <c r="Q1657" s="18" t="inlineStr">
        <is>
          <t>https://www.sebi.gov.in/sebi_data/attachdocs/1289622295286.pdf</t>
        </is>
      </c>
      <c r="R1657" s="18" t="inlineStr">
        <is>
          <t>https://www.sebi.gov.in/filings/public-issues/sep-2009/hathway-cable-and-datacom-limited_4056.html</t>
        </is>
      </c>
      <c r="S1657" s="15" t="n"/>
      <c r="T1657" s="15" t="inlineStr">
        <is>
          <t>SEBI filing link</t>
        </is>
      </c>
      <c r="U1657" s="15" t="inlineStr">
        <is>
          <t>Hathway Cable &amp; Datacom Limited</t>
        </is>
      </c>
      <c r="V1657" s="15" t="n"/>
      <c r="W1657" s="15" t="n"/>
      <c r="X1657" s="15" t="n"/>
      <c r="Y1657" s="15" t="n"/>
      <c r="Z1657" s="15" t="n"/>
      <c r="AA1657" s="15" t="n"/>
      <c r="AB1657" s="15" t="n"/>
    </row>
    <row r="1658" ht="15" customHeight="1" s="12">
      <c r="A1658" s="14" t="n">
        <v>1657</v>
      </c>
      <c r="B1658" s="16" t="n">
        <v>40086</v>
      </c>
      <c r="C1658" s="15" t="n">
        <v>2009</v>
      </c>
      <c r="D1658" s="15" t="inlineStr">
        <is>
          <t>Lodha Developers Limited</t>
        </is>
      </c>
      <c r="E1658" s="15" t="inlineStr">
        <is>
          <t>DRHP</t>
        </is>
      </c>
      <c r="F1658" s="15" t="inlineStr">
        <is>
          <t>Lodha Developers Limited</t>
        </is>
      </c>
      <c r="G1658" s="15" t="inlineStr">
        <is>
          <t>No launched IPO found</t>
        </is>
      </c>
      <c r="H1658" s="15" t="n"/>
      <c r="I1658" s="16" t="n"/>
      <c r="J1658" s="16" t="n"/>
      <c r="K1658" s="16" t="n"/>
      <c r="L1658" s="17" t="n"/>
      <c r="M1658" s="17" t="n"/>
      <c r="N1658" s="17" t="n"/>
      <c r="O1658" s="15" t="n"/>
      <c r="P1658" s="15" t="n"/>
      <c r="Q1658" s="18" t="inlineStr">
        <is>
          <t>https://www.sebi.gov.in/sebi_data/attachdocs/1289622453911.pdf</t>
        </is>
      </c>
      <c r="R1658" s="18" t="inlineStr">
        <is>
          <t>https://www.sebi.gov.in/filings/public-issues/sep-2009/lodha-developers-limited_4057.html</t>
        </is>
      </c>
      <c r="S1658" s="15" t="n"/>
      <c r="T1658" s="15" t="n"/>
      <c r="U1658" s="15" t="n"/>
      <c r="V1658" s="15" t="n"/>
      <c r="W1658" s="25" t="n">
        <v>44293</v>
      </c>
      <c r="X1658" s="25" t="n">
        <v>44295</v>
      </c>
      <c r="Y1658" s="25" t="n">
        <v>44305</v>
      </c>
      <c r="Z1658" s="26" t="inlineStr">
        <is>
          <t>Later IPO — not from this draft</t>
        </is>
      </c>
      <c r="AA1658" s="15" t="inlineStr">
        <is>
          <t>Macrotech Developers (Lodha) IPO 2021, Rs 2,500 cr.</t>
        </is>
      </c>
      <c r="AB1658" s="18" t="inlineStr">
        <is>
          <t>https://www.chittorgarh.com/ipo_faqs/lodha-developers-ipo/1107/</t>
        </is>
      </c>
    </row>
    <row r="1659" ht="15" customHeight="1" s="12">
      <c r="A1659" s="14" t="n">
        <v>1658</v>
      </c>
      <c r="B1659" s="16" t="n">
        <v>40086</v>
      </c>
      <c r="C1659" s="15" t="n">
        <v>2009</v>
      </c>
      <c r="D1659" s="15" t="inlineStr">
        <is>
          <t>PCI Limited</t>
        </is>
      </c>
      <c r="E1659" s="15" t="inlineStr">
        <is>
          <t>DRHP</t>
        </is>
      </c>
      <c r="F1659" s="15" t="inlineStr">
        <is>
          <t>PCI Limited</t>
        </is>
      </c>
      <c r="G1659" s="15" t="inlineStr">
        <is>
          <t>No launched IPO found</t>
        </is>
      </c>
      <c r="H1659" s="15" t="n"/>
      <c r="I1659" s="16" t="n"/>
      <c r="J1659" s="16" t="n"/>
      <c r="K1659" s="16" t="n"/>
      <c r="L1659" s="17" t="n"/>
      <c r="M1659" s="17" t="n"/>
      <c r="N1659" s="17" t="n"/>
      <c r="O1659" s="15" t="n"/>
      <c r="P1659" s="15" t="n"/>
      <c r="Q1659" s="18" t="inlineStr">
        <is>
          <t>https://www.sebi.gov.in/sebi_data/attachdocs/1289622210807.pdf</t>
        </is>
      </c>
      <c r="R1659" s="18" t="inlineStr">
        <is>
          <t>https://www.sebi.gov.in/filings/public-issues/sep-2009/pci-limited_4055.html</t>
        </is>
      </c>
      <c r="S1659" s="15" t="n"/>
      <c r="T1659" s="15" t="n"/>
      <c r="U1659" s="15" t="n"/>
      <c r="V1659" s="15" t="n"/>
      <c r="W1659" s="16" t="n"/>
      <c r="X1659" s="16" t="n"/>
      <c r="Y1659" s="16" t="n"/>
      <c r="Z1659" s="15" t="inlineStr">
        <is>
          <t>No issue found</t>
        </is>
      </c>
      <c r="AA1659" s="15" t="inlineStr">
        <is>
          <t>SEBI observations Feb 2010; no IPO found.</t>
        </is>
      </c>
      <c r="AB1659" s="18" t="inlineStr">
        <is>
          <t>https://www.sebi.gov.in/sebi_data/commondocs/Processing0910_h.html</t>
        </is>
      </c>
    </row>
    <row r="1660" ht="15" customHeight="1" s="12">
      <c r="A1660" s="14" t="n">
        <v>1659</v>
      </c>
      <c r="B1660" s="16" t="n">
        <v>40086</v>
      </c>
      <c r="C1660" s="15" t="n">
        <v>2009</v>
      </c>
      <c r="D1660" s="15" t="inlineStr">
        <is>
          <t>Reliance Infra Tel Limited</t>
        </is>
      </c>
      <c r="E1660" s="15" t="inlineStr">
        <is>
          <t>DRHP</t>
        </is>
      </c>
      <c r="F1660" s="15" t="inlineStr">
        <is>
          <t>Reliance Infra Tel Limited</t>
        </is>
      </c>
      <c r="G1660" s="15" t="inlineStr">
        <is>
          <t>No launched IPO found</t>
        </is>
      </c>
      <c r="H1660" s="15" t="n"/>
      <c r="I1660" s="16" t="n"/>
      <c r="J1660" s="16" t="n"/>
      <c r="K1660" s="16" t="n"/>
      <c r="L1660" s="17" t="n"/>
      <c r="M1660" s="17" t="n"/>
      <c r="N1660" s="17" t="n"/>
      <c r="O1660" s="15" t="n"/>
      <c r="P1660" s="15" t="n"/>
      <c r="Q1660" s="18" t="inlineStr">
        <is>
          <t>https://www.sebi.gov.in/sebi_data/attachdocs/1289623561452.pdf</t>
        </is>
      </c>
      <c r="R1660" s="18" t="inlineStr">
        <is>
          <t>https://www.sebi.gov.in/filings/public-issues/sep-2009/reliance-infra-tel-limited_4067.html</t>
        </is>
      </c>
      <c r="S1660" s="15" t="n"/>
      <c r="T1660" s="15" t="n"/>
      <c r="U1660" s="15" t="n"/>
      <c r="V1660" s="15" t="n"/>
      <c r="W1660" s="16" t="n"/>
      <c r="X1660" s="16" t="n"/>
      <c r="Y1660" s="16" t="n"/>
      <c r="Z1660" s="15" t="inlineStr">
        <is>
          <t>No issue found</t>
        </is>
      </c>
      <c r="AA1660" s="15" t="inlineStr">
        <is>
          <t>No IPO found.</t>
        </is>
      </c>
      <c r="AB1660" s="15" t="n"/>
    </row>
    <row r="1661" ht="15" customHeight="1" s="12">
      <c r="A1661" s="14" t="n">
        <v>1660</v>
      </c>
      <c r="B1661" s="16" t="n">
        <v>40086</v>
      </c>
      <c r="C1661" s="15" t="n">
        <v>2009</v>
      </c>
      <c r="D1661" s="15" t="inlineStr">
        <is>
          <t>Shree Ganesh Jewellery House Limited</t>
        </is>
      </c>
      <c r="E1661" s="15" t="inlineStr">
        <is>
          <t>DRHP</t>
        </is>
      </c>
      <c r="F1661" s="15" t="inlineStr">
        <is>
          <t>Shree Ganesh Jewellery House Limited</t>
        </is>
      </c>
      <c r="G1661" s="15" t="inlineStr">
        <is>
          <t>No launched IPO found</t>
        </is>
      </c>
      <c r="H1661" s="15" t="n"/>
      <c r="I1661" s="16" t="n"/>
      <c r="J1661" s="16" t="n"/>
      <c r="K1661" s="16" t="n"/>
      <c r="L1661" s="17" t="n"/>
      <c r="M1661" s="17" t="n"/>
      <c r="N1661" s="17" t="n"/>
      <c r="O1661" s="15" t="n"/>
      <c r="P1661" s="15" t="n"/>
      <c r="Q1661" s="18" t="inlineStr">
        <is>
          <t>https://www.sebi.gov.in/sebi_data/attachdocs/1289622645155.pdf</t>
        </is>
      </c>
      <c r="R1661" s="18" t="inlineStr">
        <is>
          <t>https://www.sebi.gov.in/filings/public-issues/sep-2009/shree-ganesh-jewellery-house-limited_4059.html</t>
        </is>
      </c>
      <c r="S1661" s="15" t="n"/>
      <c r="T1661" s="15" t="n"/>
      <c r="U1661" s="15" t="n"/>
      <c r="V1661" s="15" t="n"/>
      <c r="W1661" s="19" t="n">
        <v>40256</v>
      </c>
      <c r="X1661" s="19" t="n">
        <v>40260</v>
      </c>
      <c r="Y1661" s="19" t="n"/>
      <c r="Z1661" s="20" t="inlineStr">
        <is>
          <t>Issue opened</t>
        </is>
      </c>
      <c r="AA1661" s="15" t="inlineStr">
        <is>
          <t>Matched on chittorgarh.com (close name match: Shree Ganesh Jewellery)</t>
        </is>
      </c>
      <c r="AB1661" s="18" t="inlineStr">
        <is>
          <t>https://www.chittorgarh.com/ipo/shree_ganesh_ipo/235/</t>
        </is>
      </c>
    </row>
    <row r="1662" ht="15" customHeight="1" s="12">
      <c r="A1662" s="14" t="n">
        <v>1661</v>
      </c>
      <c r="B1662" s="16" t="n">
        <v>40086</v>
      </c>
      <c r="C1662" s="15" t="n">
        <v>2009</v>
      </c>
      <c r="D1662" s="15" t="inlineStr">
        <is>
          <t>Vascon Engineers Limited</t>
        </is>
      </c>
      <c r="E1662" s="15" t="inlineStr">
        <is>
          <t>DRHP</t>
        </is>
      </c>
      <c r="F1662" s="15" t="inlineStr">
        <is>
          <t>Vascon Engineers Limited</t>
        </is>
      </c>
      <c r="G1662" s="15" t="inlineStr">
        <is>
          <t>IPO launched</t>
        </is>
      </c>
      <c r="H1662" s="15" t="inlineStr">
        <is>
          <t>Mainboard</t>
        </is>
      </c>
      <c r="I1662" s="16" t="n">
        <v>40205</v>
      </c>
      <c r="J1662" s="16" t="n">
        <v>40207</v>
      </c>
      <c r="K1662" s="16" t="n">
        <v>40224</v>
      </c>
      <c r="L1662" s="17" t="n">
        <v>178.2</v>
      </c>
      <c r="M1662" s="17" t="n">
        <v>178.2</v>
      </c>
      <c r="N1662" s="17" t="n">
        <v>0</v>
      </c>
      <c r="O1662" s="15" t="inlineStr">
        <is>
          <t>Final issue (ipoplatform)</t>
        </is>
      </c>
      <c r="P1662" s="15" t="n"/>
      <c r="Q1662" s="18" t="inlineStr">
        <is>
          <t>https://www.sebi.gov.in/sebi_data/attachdocs/1289623059376.pdf</t>
        </is>
      </c>
      <c r="R1662" s="18" t="inlineStr">
        <is>
          <t>https://www.sebi.gov.in/filings/public-issues/sep-2009/vascon-engineers-limited_4064.html</t>
        </is>
      </c>
      <c r="S1662" s="15" t="n"/>
      <c r="T1662" s="15" t="inlineStr">
        <is>
          <t>SEBI filing link</t>
        </is>
      </c>
      <c r="U1662" s="15" t="inlineStr">
        <is>
          <t>Vascon Engineers Limited</t>
        </is>
      </c>
      <c r="V1662" s="15" t="n"/>
      <c r="W1662" s="15" t="n"/>
      <c r="X1662" s="15" t="n"/>
      <c r="Y1662" s="15" t="n"/>
      <c r="Z1662" s="15" t="n"/>
      <c r="AA1662" s="15" t="n"/>
      <c r="AB1662" s="15" t="n"/>
    </row>
    <row r="1663" ht="15" customHeight="1" s="12">
      <c r="A1663" s="14" t="n">
        <v>1662</v>
      </c>
      <c r="B1663" s="16" t="n">
        <v>40085</v>
      </c>
      <c r="C1663" s="15" t="n">
        <v>2009</v>
      </c>
      <c r="D1663" s="15" t="inlineStr">
        <is>
          <t>Aqua Logistics Limited</t>
        </is>
      </c>
      <c r="E1663" s="15" t="inlineStr">
        <is>
          <t>DRHP</t>
        </is>
      </c>
      <c r="F1663" s="15" t="inlineStr">
        <is>
          <t>Aqua Logistics Limited</t>
        </is>
      </c>
      <c r="G1663" s="15" t="inlineStr">
        <is>
          <t>No launched IPO found</t>
        </is>
      </c>
      <c r="H1663" s="15" t="n"/>
      <c r="I1663" s="16" t="n"/>
      <c r="J1663" s="16" t="n"/>
      <c r="K1663" s="16" t="n"/>
      <c r="L1663" s="17" t="n"/>
      <c r="M1663" s="17" t="n"/>
      <c r="N1663" s="17" t="n"/>
      <c r="O1663" s="15" t="n"/>
      <c r="P1663" s="15" t="n"/>
      <c r="Q1663" s="18" t="inlineStr">
        <is>
          <t>https://www.sebi.gov.in/sebi_data/attachdocs/1289622112835.pdf</t>
        </is>
      </c>
      <c r="R1663" s="18" t="inlineStr">
        <is>
          <t>https://www.sebi.gov.in/filings/public-issues/sep-2009/aqua-logistics-limited_4053.html</t>
        </is>
      </c>
      <c r="S1663" s="15" t="n"/>
      <c r="T1663" s="15" t="n"/>
      <c r="U1663" s="15" t="n"/>
      <c r="V1663" s="15" t="n"/>
      <c r="W1663" s="19" t="n">
        <v>40203</v>
      </c>
      <c r="X1663" s="19" t="n">
        <v>40211</v>
      </c>
      <c r="Y1663" s="19" t="n"/>
      <c r="Z1663" s="20" t="inlineStr">
        <is>
          <t>Issue opened</t>
        </is>
      </c>
      <c r="AA1663" s="15" t="inlineStr">
        <is>
          <t>Matched on chittorgarh.com</t>
        </is>
      </c>
      <c r="AB1663" s="18" t="inlineStr">
        <is>
          <t>https://www.chittorgarh.com/ipo/aqua_logistics_ipo/216/</t>
        </is>
      </c>
    </row>
    <row r="1664" ht="15" customHeight="1" s="12">
      <c r="A1664" s="14" t="n">
        <v>1663</v>
      </c>
      <c r="B1664" s="16" t="n">
        <v>40081</v>
      </c>
      <c r="C1664" s="15" t="n">
        <v>2009</v>
      </c>
      <c r="D1664" s="15" t="inlineStr">
        <is>
          <t>Ashoka Buildcon Limited</t>
        </is>
      </c>
      <c r="E1664" s="15" t="inlineStr">
        <is>
          <t>DRHP</t>
        </is>
      </c>
      <c r="F1664" s="15" t="inlineStr">
        <is>
          <t>Ashoka Buildcon Limited</t>
        </is>
      </c>
      <c r="G1664" s="15" t="inlineStr">
        <is>
          <t>IPO launched</t>
        </is>
      </c>
      <c r="H1664" s="15" t="inlineStr">
        <is>
          <t>Mainboard</t>
        </is>
      </c>
      <c r="I1664" s="16" t="n">
        <v>40445</v>
      </c>
      <c r="J1664" s="16" t="n">
        <v>40449</v>
      </c>
      <c r="K1664" s="16" t="n">
        <v>40465</v>
      </c>
      <c r="L1664" s="17" t="n">
        <v>225</v>
      </c>
      <c r="M1664" s="17" t="n">
        <v>225</v>
      </c>
      <c r="N1664" s="17" t="n">
        <v>0</v>
      </c>
      <c r="O1664" s="15" t="inlineStr">
        <is>
          <t>Final issue (ipoplatform)</t>
        </is>
      </c>
      <c r="P1664" s="15" t="n"/>
      <c r="Q1664" s="18" t="inlineStr">
        <is>
          <t>https://www.sebi.gov.in/sebi_data/attachdocs/1289622030000.pdf</t>
        </is>
      </c>
      <c r="R1664" s="18" t="inlineStr">
        <is>
          <t>https://www.sebi.gov.in/filings/public-issues/sep-2009/ashoka-buildcon-limited_4052.html</t>
        </is>
      </c>
      <c r="S1664" s="15" t="n"/>
      <c r="T1664" s="15" t="inlineStr">
        <is>
          <t>Company name + date window</t>
        </is>
      </c>
      <c r="U1664" s="15" t="inlineStr">
        <is>
          <t>Ashoka Buildcon Limited</t>
        </is>
      </c>
      <c r="V1664" s="15" t="n"/>
      <c r="W1664" s="15" t="n"/>
      <c r="X1664" s="15" t="n"/>
      <c r="Y1664" s="15" t="n"/>
      <c r="Z1664" s="15" t="n"/>
      <c r="AA1664" s="15" t="n"/>
      <c r="AB1664" s="15" t="n"/>
    </row>
    <row r="1665" ht="15" customHeight="1" s="12">
      <c r="A1665" s="14" t="n">
        <v>1664</v>
      </c>
      <c r="B1665" s="16" t="n">
        <v>40079</v>
      </c>
      <c r="C1665" s="15" t="n">
        <v>2009</v>
      </c>
      <c r="D1665" s="15" t="inlineStr">
        <is>
          <t>Emmbi Polyarns Limited</t>
        </is>
      </c>
      <c r="E1665" s="15" t="inlineStr">
        <is>
          <t>DRHP</t>
        </is>
      </c>
      <c r="F1665" s="15" t="inlineStr">
        <is>
          <t>Emmbi Polyarns Limited</t>
        </is>
      </c>
      <c r="G1665" s="15" t="inlineStr">
        <is>
          <t>IPO launched</t>
        </is>
      </c>
      <c r="H1665" s="15" t="inlineStr">
        <is>
          <t>Mainboard</t>
        </is>
      </c>
      <c r="I1665" s="16" t="n">
        <v>40210</v>
      </c>
      <c r="J1665" s="16" t="n">
        <v>40212</v>
      </c>
      <c r="K1665" s="16" t="n">
        <v>40233</v>
      </c>
      <c r="L1665" s="17" t="n">
        <v>38.96</v>
      </c>
      <c r="M1665" s="17" t="n">
        <v>38.96</v>
      </c>
      <c r="N1665" s="17" t="n">
        <v>0</v>
      </c>
      <c r="O1665" s="15" t="inlineStr">
        <is>
          <t>Final issue (ipoplatform)</t>
        </is>
      </c>
      <c r="P1665" s="15" t="n"/>
      <c r="Q1665" s="18" t="inlineStr">
        <is>
          <t>https://www.sebi.gov.in/sebi_data/attachdocs/1289621941910.pdf</t>
        </is>
      </c>
      <c r="R1665" s="18" t="inlineStr">
        <is>
          <t>https://www.sebi.gov.in/filings/public-issues/sep-2009/emmbi-polyarns-limited_4051.html</t>
        </is>
      </c>
      <c r="S1665" s="15" t="n"/>
      <c r="T1665" s="15" t="inlineStr">
        <is>
          <t>SEBI filing link</t>
        </is>
      </c>
      <c r="U1665" s="15" t="inlineStr">
        <is>
          <t>Emmbi Polyarns Limited</t>
        </is>
      </c>
      <c r="V1665" s="15" t="n"/>
      <c r="W1665" s="15" t="n"/>
      <c r="X1665" s="15" t="n"/>
      <c r="Y1665" s="15" t="n"/>
      <c r="Z1665" s="15" t="n"/>
      <c r="AA1665" s="15" t="n"/>
      <c r="AB1665" s="15" t="n"/>
    </row>
    <row r="1666" ht="15" customHeight="1" s="12">
      <c r="A1666" s="14" t="n">
        <v>1665</v>
      </c>
      <c r="B1666" s="16" t="n">
        <v>40060</v>
      </c>
      <c r="C1666" s="15" t="n">
        <v>2009</v>
      </c>
      <c r="D1666" s="15" t="inlineStr">
        <is>
          <t>Birla Shloka Edutech Limited</t>
        </is>
      </c>
      <c r="E1666" s="15" t="inlineStr">
        <is>
          <t>DRHP</t>
        </is>
      </c>
      <c r="F1666" s="15" t="inlineStr">
        <is>
          <t>Birla Shloka Edutech Limited</t>
        </is>
      </c>
      <c r="G1666" s="15" t="inlineStr">
        <is>
          <t>IPO launched</t>
        </is>
      </c>
      <c r="H1666" s="15" t="inlineStr">
        <is>
          <t>Mainboard</t>
        </is>
      </c>
      <c r="I1666" s="16" t="n">
        <v>40189</v>
      </c>
      <c r="J1666" s="16" t="n">
        <v>40191</v>
      </c>
      <c r="K1666" s="16" t="n">
        <v>40207</v>
      </c>
      <c r="L1666" s="17" t="n">
        <v>24.78</v>
      </c>
      <c r="M1666" s="17" t="n">
        <v>24.78</v>
      </c>
      <c r="N1666" s="17" t="n">
        <v>0</v>
      </c>
      <c r="O1666" s="15" t="inlineStr">
        <is>
          <t>Final issue (ipoplatform)</t>
        </is>
      </c>
      <c r="P1666" s="15" t="n"/>
      <c r="Q1666" s="18" t="inlineStr">
        <is>
          <t>https://www.sebi.gov.in/sebi_data/attachdocs/1289621869521.pdf</t>
        </is>
      </c>
      <c r="R1666" s="18" t="inlineStr">
        <is>
          <t>https://www.sebi.gov.in/filings/public-issues/sep-2009/birla-shloka-edutech-limited_4050.html</t>
        </is>
      </c>
      <c r="S1666" s="15" t="n"/>
      <c r="T1666" s="15" t="inlineStr">
        <is>
          <t>SEBI filing link</t>
        </is>
      </c>
      <c r="U1666" s="15" t="inlineStr">
        <is>
          <t>Birla Shloka Edutech Limited</t>
        </is>
      </c>
      <c r="V1666" s="15" t="n"/>
      <c r="W1666" s="15" t="n"/>
      <c r="X1666" s="15" t="n"/>
      <c r="Y1666" s="15" t="n"/>
      <c r="Z1666" s="15" t="n"/>
      <c r="AA1666" s="15" t="n"/>
      <c r="AB1666" s="15" t="n"/>
    </row>
    <row r="1667" ht="15" customHeight="1" s="12">
      <c r="A1667" s="14" t="n">
        <v>1666</v>
      </c>
      <c r="B1667" s="16" t="n">
        <v>40051</v>
      </c>
      <c r="C1667" s="15" t="n">
        <v>2009</v>
      </c>
      <c r="D1667" s="15" t="inlineStr">
        <is>
          <t>ARSS Infrastructure Projects Limited</t>
        </is>
      </c>
      <c r="E1667" s="15" t="inlineStr">
        <is>
          <t>DRHP</t>
        </is>
      </c>
      <c r="F1667" s="15" t="inlineStr">
        <is>
          <t>ARSS Infrastructure Projects Limited</t>
        </is>
      </c>
      <c r="G1667" s="15" t="inlineStr">
        <is>
          <t>IPO launched</t>
        </is>
      </c>
      <c r="H1667" s="15" t="inlineStr">
        <is>
          <t>Mainboard</t>
        </is>
      </c>
      <c r="I1667" s="16" t="n">
        <v>40217</v>
      </c>
      <c r="J1667" s="16" t="n">
        <v>40220</v>
      </c>
      <c r="K1667" s="16" t="n">
        <v>40240</v>
      </c>
      <c r="L1667" s="17" t="n">
        <v>103</v>
      </c>
      <c r="M1667" s="17" t="n">
        <v>103</v>
      </c>
      <c r="N1667" s="17" t="n">
        <v>0</v>
      </c>
      <c r="O1667" s="15" t="inlineStr">
        <is>
          <t>Final issue (ipoplatform)</t>
        </is>
      </c>
      <c r="P1667" s="15" t="n"/>
      <c r="Q1667" s="18" t="inlineStr">
        <is>
          <t>https://www.sebi.gov.in/sebi_data/attachdocs/1289805752257.pdf</t>
        </is>
      </c>
      <c r="R1667" s="18" t="inlineStr">
        <is>
          <t>https://www.sebi.gov.in/filings/public-issues/aug-2009/arss-infrastructure-projects-limited_4347.html</t>
        </is>
      </c>
      <c r="S1667" s="15" t="n"/>
      <c r="T1667" s="15" t="inlineStr">
        <is>
          <t>Company name + date window</t>
        </is>
      </c>
      <c r="U1667" s="15" t="inlineStr">
        <is>
          <t>ARSS Infrastructure Projects Limited</t>
        </is>
      </c>
      <c r="V1667" s="15" t="n"/>
      <c r="W1667" s="15" t="n"/>
      <c r="X1667" s="15" t="n"/>
      <c r="Y1667" s="15" t="n"/>
      <c r="Z1667" s="15" t="n"/>
      <c r="AA1667" s="15" t="n"/>
      <c r="AB1667" s="15" t="n"/>
    </row>
    <row r="1668" ht="15" customHeight="1" s="12">
      <c r="A1668" s="14" t="n">
        <v>1667</v>
      </c>
      <c r="B1668" s="16" t="n">
        <v>40046</v>
      </c>
      <c r="C1668" s="15" t="n">
        <v>2009</v>
      </c>
      <c r="D1668" s="15" t="inlineStr">
        <is>
          <t>Cox and Kings (India) Limited</t>
        </is>
      </c>
      <c r="E1668" s="15" t="inlineStr">
        <is>
          <t>DRHP</t>
        </is>
      </c>
      <c r="F1668" s="15" t="inlineStr">
        <is>
          <t>Cox and Kings (India) Limited</t>
        </is>
      </c>
      <c r="G1668" s="15" t="inlineStr">
        <is>
          <t>IPO launched</t>
        </is>
      </c>
      <c r="H1668" s="15" t="inlineStr">
        <is>
          <t>Mainboard</t>
        </is>
      </c>
      <c r="I1668" s="16" t="n">
        <v>40135</v>
      </c>
      <c r="J1668" s="16" t="n">
        <v>40137</v>
      </c>
      <c r="K1668" s="16" t="n">
        <v>40158</v>
      </c>
      <c r="L1668" s="17" t="n">
        <v>610.39</v>
      </c>
      <c r="M1668" s="17" t="n">
        <v>610.39</v>
      </c>
      <c r="N1668" s="17" t="n">
        <v>0</v>
      </c>
      <c r="O1668" s="15" t="inlineStr">
        <is>
          <t>Final issue (ipoplatform)</t>
        </is>
      </c>
      <c r="P1668" s="15" t="n"/>
      <c r="Q1668" s="18" t="inlineStr">
        <is>
          <t>https://www.sebi.gov.in/sebi_data/attachdocs/1289805718699.pdf</t>
        </is>
      </c>
      <c r="R1668" s="18" t="inlineStr">
        <is>
          <t>https://www.sebi.gov.in/filings/public-issues/aug-2009/cox-and-kings-india-limited_4346.html</t>
        </is>
      </c>
      <c r="S1668" s="15" t="n"/>
      <c r="T1668" s="15" t="inlineStr">
        <is>
          <t>Company name + date window</t>
        </is>
      </c>
      <c r="U1668" s="15" t="inlineStr">
        <is>
          <t>Cox and Kings (India) Limited</t>
        </is>
      </c>
      <c r="V1668" s="15" t="n"/>
      <c r="W1668" s="15" t="n"/>
      <c r="X1668" s="15" t="n"/>
      <c r="Y1668" s="15" t="n"/>
      <c r="Z1668" s="15" t="n"/>
      <c r="AA1668" s="15" t="n"/>
      <c r="AB1668" s="15" t="n"/>
    </row>
    <row r="1669" ht="15" customHeight="1" s="12">
      <c r="A1669" s="14" t="n">
        <v>1668</v>
      </c>
      <c r="B1669" s="16" t="n">
        <v>40039</v>
      </c>
      <c r="C1669" s="15" t="n">
        <v>2009</v>
      </c>
      <c r="D1669" s="15" t="inlineStr">
        <is>
          <t>D B Corp Limited</t>
        </is>
      </c>
      <c r="E1669" s="15" t="inlineStr">
        <is>
          <t>DRHP</t>
        </is>
      </c>
      <c r="F1669" s="15" t="inlineStr">
        <is>
          <t>D B Corp Limited</t>
        </is>
      </c>
      <c r="G1669" s="15" t="inlineStr">
        <is>
          <t>IPO launched</t>
        </is>
      </c>
      <c r="H1669" s="15" t="inlineStr">
        <is>
          <t>Mainboard</t>
        </is>
      </c>
      <c r="I1669" s="16" t="n">
        <v>40158</v>
      </c>
      <c r="J1669" s="16" t="n">
        <v>40162</v>
      </c>
      <c r="K1669" s="16" t="n">
        <v>40184</v>
      </c>
      <c r="L1669" s="17" t="n">
        <v>384.22</v>
      </c>
      <c r="M1669" s="17" t="n">
        <v>384.22</v>
      </c>
      <c r="N1669" s="17" t="n">
        <v>0</v>
      </c>
      <c r="O1669" s="15" t="inlineStr">
        <is>
          <t>Final issue (ipoplatform)</t>
        </is>
      </c>
      <c r="P1669" s="15" t="n"/>
      <c r="Q1669" s="18" t="inlineStr">
        <is>
          <t>https://www.sebi.gov.in/sebi_data/attachdocs/1289805641103.pdf</t>
        </is>
      </c>
      <c r="R1669" s="18" t="inlineStr">
        <is>
          <t>https://www.sebi.gov.in/filings/public-issues/aug-2009/d-b-corp-limited_4344.html</t>
        </is>
      </c>
      <c r="S1669" s="15" t="n"/>
      <c r="T1669" s="15" t="inlineStr">
        <is>
          <t>Company name + date window</t>
        </is>
      </c>
      <c r="U1669" s="15" t="inlineStr">
        <is>
          <t>DB Corp Limited</t>
        </is>
      </c>
      <c r="V1669" s="15" t="n"/>
      <c r="W1669" s="15" t="n"/>
      <c r="X1669" s="15" t="n"/>
      <c r="Y1669" s="15" t="n"/>
      <c r="Z1669" s="15" t="n"/>
      <c r="AA1669" s="15" t="n"/>
      <c r="AB1669" s="15" t="n"/>
    </row>
    <row r="1670" ht="15" customHeight="1" s="12">
      <c r="A1670" s="14" t="n">
        <v>1669</v>
      </c>
      <c r="B1670" s="16" t="n">
        <v>40039</v>
      </c>
      <c r="C1670" s="15" t="n">
        <v>2009</v>
      </c>
      <c r="D1670" s="15" t="inlineStr">
        <is>
          <t>JSW Energy Limited</t>
        </is>
      </c>
      <c r="E1670" s="15" t="inlineStr">
        <is>
          <t>DRHP</t>
        </is>
      </c>
      <c r="F1670" s="15" t="inlineStr">
        <is>
          <t>JSW Energy Limited</t>
        </is>
      </c>
      <c r="G1670" s="15" t="inlineStr">
        <is>
          <t>IPO launched</t>
        </is>
      </c>
      <c r="H1670" s="15" t="inlineStr">
        <is>
          <t>Mainboard</t>
        </is>
      </c>
      <c r="I1670" s="16" t="n">
        <v>40154</v>
      </c>
      <c r="J1670" s="16" t="n">
        <v>40156</v>
      </c>
      <c r="K1670" s="16" t="n">
        <v>40182</v>
      </c>
      <c r="L1670" s="17" t="n">
        <v>2700</v>
      </c>
      <c r="M1670" s="17" t="n">
        <v>2700</v>
      </c>
      <c r="N1670" s="17" t="n">
        <v>0</v>
      </c>
      <c r="O1670" s="15" t="inlineStr">
        <is>
          <t>Final issue (ipoplatform)</t>
        </is>
      </c>
      <c r="P1670" s="15" t="n"/>
      <c r="Q1670" s="18" t="inlineStr">
        <is>
          <t>https://www.sebi.gov.in/sebi_data/attachdocs/1289805680292.pdf</t>
        </is>
      </c>
      <c r="R1670" s="18" t="inlineStr">
        <is>
          <t>https://www.sebi.gov.in/filings/public-issues/aug-2009/jsw-energy-limited_4345.html</t>
        </is>
      </c>
      <c r="S1670" s="15" t="n"/>
      <c r="T1670" s="15" t="inlineStr">
        <is>
          <t>Company name + date window</t>
        </is>
      </c>
      <c r="U1670" s="15" t="inlineStr">
        <is>
          <t>JSW Energy Limited</t>
        </is>
      </c>
      <c r="V1670" s="15" t="n"/>
      <c r="W1670" s="15" t="n"/>
      <c r="X1670" s="15" t="n"/>
      <c r="Y1670" s="15" t="n"/>
      <c r="Z1670" s="15" t="n"/>
      <c r="AA1670" s="15" t="n"/>
      <c r="AB1670" s="15" t="n"/>
    </row>
    <row r="1671" ht="15" customHeight="1" s="12">
      <c r="A1671" s="14" t="n">
        <v>1670</v>
      </c>
      <c r="B1671" s="16" t="n">
        <v>40035</v>
      </c>
      <c r="C1671" s="15" t="n">
        <v>2009</v>
      </c>
      <c r="D1671" s="15" t="inlineStr">
        <is>
          <t>Den Networks Limited</t>
        </is>
      </c>
      <c r="E1671" s="15" t="inlineStr">
        <is>
          <t>DRHP</t>
        </is>
      </c>
      <c r="F1671" s="15" t="inlineStr">
        <is>
          <t>Den Networks Limited</t>
        </is>
      </c>
      <c r="G1671" s="15" t="inlineStr">
        <is>
          <t>IPO launched</t>
        </is>
      </c>
      <c r="H1671" s="15" t="inlineStr">
        <is>
          <t>Mainboard</t>
        </is>
      </c>
      <c r="I1671" s="16" t="n">
        <v>40114</v>
      </c>
      <c r="J1671" s="16" t="n">
        <v>40116</v>
      </c>
      <c r="K1671" s="16" t="n">
        <v>40141</v>
      </c>
      <c r="L1671" s="17" t="n">
        <v>364.46</v>
      </c>
      <c r="M1671" s="17" t="n">
        <v>364.46</v>
      </c>
      <c r="N1671" s="17" t="n">
        <v>0</v>
      </c>
      <c r="O1671" s="15" t="inlineStr">
        <is>
          <t>Final issue (ipoplatform)</t>
        </is>
      </c>
      <c r="P1671" s="15" t="n"/>
      <c r="Q1671" s="18" t="inlineStr">
        <is>
          <t>https://www.sebi.gov.in/sebi_data/attachdocs/1289805597509.pdf</t>
        </is>
      </c>
      <c r="R1671" s="18" t="inlineStr">
        <is>
          <t>https://www.sebi.gov.in/filings/public-issues/aug-2009/den-networks-limited_4343.html</t>
        </is>
      </c>
      <c r="S1671" s="15" t="n"/>
      <c r="T1671" s="15" t="inlineStr">
        <is>
          <t>SEBI filing link</t>
        </is>
      </c>
      <c r="U1671" s="15" t="inlineStr">
        <is>
          <t>Den Networks Limited</t>
        </is>
      </c>
      <c r="V1671" s="15" t="n"/>
      <c r="W1671" s="15" t="n"/>
      <c r="X1671" s="15" t="n"/>
      <c r="Y1671" s="15" t="n"/>
      <c r="Z1671" s="15" t="n"/>
      <c r="AA1671" s="15" t="n"/>
      <c r="AB1671" s="15" t="n"/>
    </row>
    <row r="1672" ht="15" customHeight="1" s="12">
      <c r="A1672" s="14" t="n">
        <v>1671</v>
      </c>
      <c r="B1672" s="16" t="n">
        <v>40032</v>
      </c>
      <c r="C1672" s="15" t="n">
        <v>2009</v>
      </c>
      <c r="D1672" s="15" t="inlineStr">
        <is>
          <t>Thangamayil Jewellery Ltd</t>
        </is>
      </c>
      <c r="E1672" s="15" t="inlineStr">
        <is>
          <t>DRHP</t>
        </is>
      </c>
      <c r="F1672" s="15" t="inlineStr">
        <is>
          <t>M/s. Thangamayil Jewellery Ltd</t>
        </is>
      </c>
      <c r="G1672" s="15" t="inlineStr">
        <is>
          <t>IPO launched</t>
        </is>
      </c>
      <c r="H1672" s="15" t="inlineStr">
        <is>
          <t>Mainboard</t>
        </is>
      </c>
      <c r="I1672" s="16" t="n">
        <v>40205</v>
      </c>
      <c r="J1672" s="16" t="n">
        <v>40207</v>
      </c>
      <c r="K1672" s="16" t="n">
        <v>40228</v>
      </c>
      <c r="L1672" s="17" t="n">
        <v>28.76</v>
      </c>
      <c r="M1672" s="17" t="n">
        <v>28.76</v>
      </c>
      <c r="N1672" s="17" t="n">
        <v>0</v>
      </c>
      <c r="O1672" s="15" t="inlineStr">
        <is>
          <t>Final issue (ipoplatform)</t>
        </is>
      </c>
      <c r="P1672" s="15" t="n"/>
      <c r="Q1672" s="18" t="inlineStr">
        <is>
          <t>https://www.sebi.gov.in/sebi_data/attachdocs/1289805558549.pdf</t>
        </is>
      </c>
      <c r="R1672" s="18" t="inlineStr">
        <is>
          <t>https://www.sebi.gov.in/filings/public-issues/aug-2009/m-s-thangamayil-jewellery-ltd_4342.html</t>
        </is>
      </c>
      <c r="S1672" s="15" t="n"/>
      <c r="T1672" s="15" t="inlineStr">
        <is>
          <t>SEBI filing link</t>
        </is>
      </c>
      <c r="U1672" s="15" t="inlineStr">
        <is>
          <t>Thangamayil Jewellery Limited</t>
        </is>
      </c>
      <c r="V1672" s="15" t="n"/>
      <c r="W1672" s="15" t="n"/>
      <c r="X1672" s="15" t="n"/>
      <c r="Y1672" s="15" t="n"/>
      <c r="Z1672" s="15" t="n"/>
      <c r="AA1672" s="15" t="n"/>
      <c r="AB1672" s="15" t="n"/>
    </row>
    <row r="1673" ht="15" customHeight="1" s="12">
      <c r="A1673" s="14" t="n">
        <v>1672</v>
      </c>
      <c r="B1673" s="16" t="n">
        <v>40014</v>
      </c>
      <c r="C1673" s="15" t="n">
        <v>2009</v>
      </c>
      <c r="D1673" s="15" t="inlineStr">
        <is>
          <t>Vipul Impex and Infrabuild Limited</t>
        </is>
      </c>
      <c r="E1673" s="15" t="inlineStr">
        <is>
          <t>DRHP</t>
        </is>
      </c>
      <c r="F1673" s="15" t="inlineStr">
        <is>
          <t>Vipul Impex and Infrabuild Limited</t>
        </is>
      </c>
      <c r="G1673" s="15" t="inlineStr">
        <is>
          <t>No launched IPO found</t>
        </is>
      </c>
      <c r="H1673" s="15" t="n"/>
      <c r="I1673" s="16" t="n"/>
      <c r="J1673" s="16" t="n"/>
      <c r="K1673" s="16" t="n"/>
      <c r="L1673" s="17" t="n"/>
      <c r="M1673" s="17" t="n"/>
      <c r="N1673" s="17" t="n"/>
      <c r="O1673" s="15" t="n"/>
      <c r="P1673" s="15" t="n"/>
      <c r="Q1673" s="18" t="inlineStr">
        <is>
          <t>https://www.sebi.gov.in/sebi_data/attachdocs/1289882533682.pdf</t>
        </is>
      </c>
      <c r="R1673" s="18" t="inlineStr">
        <is>
          <t>https://www.sebi.gov.in/filings/public-issues/jul-2009/vipul-impex-and-infrabuild-limited_4583.html</t>
        </is>
      </c>
      <c r="S1673" s="15" t="n"/>
      <c r="T1673" s="15" t="n"/>
      <c r="U1673" s="15" t="n"/>
      <c r="V1673" s="15" t="n"/>
      <c r="W1673" s="16" t="n"/>
      <c r="X1673" s="16" t="n"/>
      <c r="Y1673" s="16" t="n"/>
      <c r="Z1673" s="15" t="inlineStr">
        <is>
          <t>No issue found</t>
        </is>
      </c>
      <c r="AA1673" s="15" t="inlineStr">
        <is>
          <t>No IPO found.</t>
        </is>
      </c>
      <c r="AB1673" s="15" t="n"/>
    </row>
    <row r="1674" ht="15" customHeight="1" s="12">
      <c r="A1674" s="14" t="n">
        <v>1673</v>
      </c>
      <c r="B1674" s="16" t="n">
        <v>40010</v>
      </c>
      <c r="C1674" s="15" t="n">
        <v>2009</v>
      </c>
      <c r="D1674" s="15" t="inlineStr">
        <is>
          <t>IndiaBulls Power Limited</t>
        </is>
      </c>
      <c r="E1674" s="15" t="inlineStr">
        <is>
          <t>DRHP</t>
        </is>
      </c>
      <c r="F1674" s="15" t="inlineStr">
        <is>
          <t>IndiaBulls Power Limited</t>
        </is>
      </c>
      <c r="G1674" s="15" t="inlineStr">
        <is>
          <t>IPO launched</t>
        </is>
      </c>
      <c r="H1674" s="15" t="inlineStr">
        <is>
          <t>Mainboard</t>
        </is>
      </c>
      <c r="I1674" s="16" t="n">
        <v>40098</v>
      </c>
      <c r="J1674" s="16" t="n">
        <v>40101</v>
      </c>
      <c r="K1674" s="16" t="n">
        <v>40116</v>
      </c>
      <c r="L1674" s="17" t="n">
        <v>1529.1</v>
      </c>
      <c r="M1674" s="17" t="n">
        <v>1529.1</v>
      </c>
      <c r="N1674" s="17" t="n">
        <v>0</v>
      </c>
      <c r="O1674" s="15" t="inlineStr">
        <is>
          <t>Final issue (ipoplatform)</t>
        </is>
      </c>
      <c r="P1674" s="15" t="n"/>
      <c r="Q1674" s="18" t="inlineStr">
        <is>
          <t>https://www.sebi.gov.in/sebi_data/attachdocs/1289882496044.pdf</t>
        </is>
      </c>
      <c r="R1674" s="18" t="inlineStr">
        <is>
          <t>https://www.sebi.gov.in/filings/public-issues/jul-2009/indiabulls-power-limited_4582.html</t>
        </is>
      </c>
      <c r="S1674" s="15" t="n"/>
      <c r="T1674" s="15" t="inlineStr">
        <is>
          <t>SEBI filing link</t>
        </is>
      </c>
      <c r="U1674" s="15" t="inlineStr">
        <is>
          <t>Indiabulls Power Limited</t>
        </is>
      </c>
      <c r="V1674" s="15" t="n"/>
      <c r="W1674" s="15" t="n"/>
      <c r="X1674" s="15" t="n"/>
      <c r="Y1674" s="15" t="n"/>
      <c r="Z1674" s="15" t="n"/>
      <c r="AA1674" s="15" t="n"/>
      <c r="AB1674" s="15" t="n"/>
    </row>
    <row r="1675" ht="15" customHeight="1" s="12">
      <c r="A1675" s="14" t="n">
        <v>1674</v>
      </c>
      <c r="B1675" s="16" t="n">
        <v>40007</v>
      </c>
      <c r="C1675" s="15" t="n">
        <v>2009</v>
      </c>
      <c r="D1675" s="15" t="inlineStr">
        <is>
          <t>Sai Silks (Kalamandir) Limited</t>
        </is>
      </c>
      <c r="E1675" s="15" t="inlineStr">
        <is>
          <t>DRHP</t>
        </is>
      </c>
      <c r="F1675" s="15" t="inlineStr">
        <is>
          <t>Sai Silks (Kalamandir) Limited</t>
        </is>
      </c>
      <c r="G1675" s="15" t="inlineStr">
        <is>
          <t>No launched IPO found</t>
        </is>
      </c>
      <c r="H1675" s="15" t="n"/>
      <c r="I1675" s="16" t="n"/>
      <c r="J1675" s="16" t="n"/>
      <c r="K1675" s="16" t="n"/>
      <c r="L1675" s="17" t="n"/>
      <c r="M1675" s="17" t="n"/>
      <c r="N1675" s="17" t="n"/>
      <c r="O1675" s="15" t="n"/>
      <c r="P1675" s="15" t="n"/>
      <c r="Q1675" s="18" t="inlineStr">
        <is>
          <t>https://www.sebi.gov.in/sebi_data/attachdocs/1289882457215.pdf</t>
        </is>
      </c>
      <c r="R1675" s="18" t="inlineStr">
        <is>
          <t>https://www.sebi.gov.in/filings/public-issues/jul-2009/sai-silks-kalamandir-limited_4581.html</t>
        </is>
      </c>
      <c r="S1675" s="15" t="n"/>
      <c r="T1675" s="15" t="n"/>
      <c r="U1675" s="15" t="n"/>
      <c r="V1675" s="15" t="inlineStr">
        <is>
          <t>Same-name IPO opened 20-Sep-2023 — outside 2 years of this filing, so not linked</t>
        </is>
      </c>
      <c r="W1675" s="25" t="n">
        <v>41316</v>
      </c>
      <c r="X1675" s="25" t="n">
        <v>41318</v>
      </c>
      <c r="Y1675" s="25" t="n"/>
      <c r="Z1675" s="26" t="inlineStr">
        <is>
          <t>Later IPO — not from this draft</t>
        </is>
      </c>
      <c r="AA1675" s="15" t="inlineStr">
        <is>
          <t>2013 IPO undersubscribed (0.87x), withdrawn; &gt;3y after filing. Later IPO opened 2023-09-20, listed 2023-10-04.</t>
        </is>
      </c>
      <c r="AB1675" s="18" t="inlineStr">
        <is>
          <t>https://www.chittorgarh.com/ipo/sai_silks_kalamandir_ipo/364/</t>
        </is>
      </c>
    </row>
    <row r="1676" ht="15" customHeight="1" s="12">
      <c r="A1676" s="14" t="n">
        <v>1675</v>
      </c>
      <c r="B1676" s="16" t="n">
        <v>39931</v>
      </c>
      <c r="C1676" s="15" t="n">
        <v>2009</v>
      </c>
      <c r="D1676" s="15" t="inlineStr">
        <is>
          <t>Kabirdass Motor Company Limited</t>
        </is>
      </c>
      <c r="E1676" s="15" t="inlineStr">
        <is>
          <t>DRHP</t>
        </is>
      </c>
      <c r="F1676" s="15" t="inlineStr">
        <is>
          <t>Kabirdass Motor Company Limited</t>
        </is>
      </c>
      <c r="G1676" s="15" t="inlineStr">
        <is>
          <t>No launched IPO found</t>
        </is>
      </c>
      <c r="H1676" s="15" t="n"/>
      <c r="I1676" s="16" t="n"/>
      <c r="J1676" s="16" t="n"/>
      <c r="K1676" s="16" t="n"/>
      <c r="L1676" s="17" t="n"/>
      <c r="M1676" s="17" t="n"/>
      <c r="N1676" s="17" t="n"/>
      <c r="O1676" s="15" t="n"/>
      <c r="P1676" s="15" t="n"/>
      <c r="Q1676" s="18" t="inlineStr">
        <is>
          <t>https://www.sebi.gov.in/sebi_data/attachdocs/1290067970608.pdf</t>
        </is>
      </c>
      <c r="R1676" s="18" t="inlineStr">
        <is>
          <t>https://www.sebi.gov.in/filings/public-issues/apr-2009/kabirdass-motor-company-limited_5209.html</t>
        </is>
      </c>
      <c r="S1676" s="15" t="n"/>
      <c r="T1676" s="15" t="n"/>
      <c r="U1676" s="15" t="n"/>
      <c r="V1676" s="15" t="n"/>
      <c r="W1676" s="16" t="n"/>
      <c r="X1676" s="16" t="n"/>
      <c r="Y1676" s="16" t="n"/>
      <c r="Z1676" s="15" t="inlineStr">
        <is>
          <t>No issue found</t>
        </is>
      </c>
      <c r="AA1676" s="15" t="inlineStr">
        <is>
          <t>DRHP seen (Rs 78 cr); no evidence IPO launched.</t>
        </is>
      </c>
      <c r="AB1676" s="15" t="n"/>
    </row>
    <row r="1677" ht="15" customHeight="1" s="12">
      <c r="A1677" s="14" t="n">
        <v>1676</v>
      </c>
      <c r="B1677" s="16" t="n">
        <v>39925</v>
      </c>
      <c r="C1677" s="15" t="n">
        <v>2009</v>
      </c>
      <c r="D1677" s="15" t="inlineStr">
        <is>
          <t>Adani Power Limited</t>
        </is>
      </c>
      <c r="E1677" s="15" t="inlineStr">
        <is>
          <t>DRHP</t>
        </is>
      </c>
      <c r="F1677" s="15" t="inlineStr">
        <is>
          <t>Adani Power Limited</t>
        </is>
      </c>
      <c r="G1677" s="15" t="inlineStr">
        <is>
          <t>IPO launched</t>
        </is>
      </c>
      <c r="H1677" s="15" t="inlineStr">
        <is>
          <t>Mainboard</t>
        </is>
      </c>
      <c r="I1677" s="16" t="n">
        <v>40022</v>
      </c>
      <c r="J1677" s="16" t="n">
        <v>40025</v>
      </c>
      <c r="K1677" s="16" t="n">
        <v>40045</v>
      </c>
      <c r="L1677" s="17" t="n">
        <v>3016.52</v>
      </c>
      <c r="M1677" s="17" t="n">
        <v>3016.52</v>
      </c>
      <c r="N1677" s="17" t="n">
        <v>0</v>
      </c>
      <c r="O1677" s="15" t="inlineStr">
        <is>
          <t>Final issue (ipoplatform)</t>
        </is>
      </c>
      <c r="P1677" s="15" t="n"/>
      <c r="Q1677" s="18" t="inlineStr">
        <is>
          <t>https://www.sebi.gov.in/sebi_data/attachdocs/1290067921102.pdf</t>
        </is>
      </c>
      <c r="R1677" s="18" t="inlineStr">
        <is>
          <t>https://www.sebi.gov.in/filings/public-issues/apr-2009/adani-power-limited_5208.html</t>
        </is>
      </c>
      <c r="S1677" s="15" t="n"/>
      <c r="T1677" s="15" t="inlineStr">
        <is>
          <t>SEBI filing link</t>
        </is>
      </c>
      <c r="U1677" s="15" t="inlineStr">
        <is>
          <t>Adani Power Limited</t>
        </is>
      </c>
      <c r="V1677" s="15" t="n"/>
      <c r="W1677" s="15" t="n"/>
      <c r="X1677" s="15" t="n"/>
      <c r="Y1677" s="15" t="n"/>
      <c r="Z1677" s="15" t="n"/>
      <c r="AA1677" s="15" t="n"/>
      <c r="AB1677" s="15" t="n"/>
    </row>
    <row r="1678" ht="15" customHeight="1" s="12">
      <c r="A1678" s="14" t="n">
        <v>1677</v>
      </c>
      <c r="B1678" s="16" t="n">
        <v>39898</v>
      </c>
      <c r="C1678" s="15" t="n">
        <v>2009</v>
      </c>
      <c r="D1678" s="15" t="inlineStr">
        <is>
          <t>Thinksoft Global Services Limited</t>
        </is>
      </c>
      <c r="E1678" s="15" t="inlineStr">
        <is>
          <t>DRHP</t>
        </is>
      </c>
      <c r="F1678" s="15" t="inlineStr">
        <is>
          <t>Thinksoft Global Services Limited</t>
        </is>
      </c>
      <c r="G1678" s="15" t="inlineStr">
        <is>
          <t>IPO launched</t>
        </is>
      </c>
      <c r="H1678" s="15" t="inlineStr">
        <is>
          <t>Mainboard</t>
        </is>
      </c>
      <c r="I1678" s="16" t="n">
        <v>40078</v>
      </c>
      <c r="J1678" s="16" t="n">
        <v>40087</v>
      </c>
      <c r="K1678" s="16" t="n">
        <v>40112</v>
      </c>
      <c r="L1678" s="17" t="n">
        <v>45.58</v>
      </c>
      <c r="M1678" s="17" t="n">
        <v>45.58</v>
      </c>
      <c r="N1678" s="17" t="n">
        <v>0</v>
      </c>
      <c r="O1678" s="15" t="inlineStr">
        <is>
          <t>Final issue (ipoplatform)</t>
        </is>
      </c>
      <c r="P1678" s="15" t="n"/>
      <c r="Q1678" s="18" t="inlineStr">
        <is>
          <t>https://www.sebi.gov.in/sebi_data/attachdocs/1290076463687.pdf</t>
        </is>
      </c>
      <c r="R1678" s="18" t="inlineStr">
        <is>
          <t>https://www.sebi.gov.in/filings/public-issues/mar-2009/thinksoft-global-services-limited_5363.html</t>
        </is>
      </c>
      <c r="S1678" s="15" t="n"/>
      <c r="T1678" s="15" t="inlineStr">
        <is>
          <t>SEBI filing link</t>
        </is>
      </c>
      <c r="U1678" s="15" t="inlineStr">
        <is>
          <t>Thinksoft Global Services Limited</t>
        </is>
      </c>
      <c r="V1678" s="15" t="n"/>
      <c r="W1678" s="15" t="n"/>
      <c r="X1678" s="15" t="n"/>
      <c r="Y1678" s="15" t="n"/>
      <c r="Z1678" s="15" t="n"/>
      <c r="AA1678" s="15" t="n"/>
      <c r="AB1678" s="15" t="n"/>
    </row>
    <row r="1679" ht="15" customHeight="1" s="12">
      <c r="A1679" s="14" t="n">
        <v>1678</v>
      </c>
      <c r="B1679" s="16" t="n">
        <v>39842</v>
      </c>
      <c r="C1679" s="15" t="n">
        <v>2009</v>
      </c>
      <c r="D1679" s="15" t="inlineStr">
        <is>
          <t>Mayajaal Entertainment Limited</t>
        </is>
      </c>
      <c r="E1679" s="15" t="inlineStr">
        <is>
          <t>DRHP</t>
        </is>
      </c>
      <c r="F1679" s="15" t="inlineStr">
        <is>
          <t>Mayajaal Entertainment Limited</t>
        </is>
      </c>
      <c r="G1679" s="15" t="inlineStr">
        <is>
          <t>No launched IPO found</t>
        </is>
      </c>
      <c r="H1679" s="15" t="n"/>
      <c r="I1679" s="16" t="n"/>
      <c r="J1679" s="16" t="n"/>
      <c r="K1679" s="16" t="n"/>
      <c r="L1679" s="17" t="n"/>
      <c r="M1679" s="17" t="n"/>
      <c r="N1679" s="17" t="n"/>
      <c r="O1679" s="15" t="n"/>
      <c r="P1679" s="15" t="n"/>
      <c r="Q1679" s="18" t="inlineStr">
        <is>
          <t>https://www.sebi.gov.in/sebi_data/attachdocs/1290402640010.pdf</t>
        </is>
      </c>
      <c r="R1679" s="18" t="inlineStr">
        <is>
          <t>https://www.sebi.gov.in/filings/public-issues/jan-2009/mayajaal-entertainment-limited_5598.html</t>
        </is>
      </c>
      <c r="S1679" s="15" t="n"/>
      <c r="T1679" s="15" t="n"/>
      <c r="U1679" s="15" t="n"/>
      <c r="V1679" s="15" t="n"/>
      <c r="W1679" s="16" t="n"/>
      <c r="X1679" s="16" t="n"/>
      <c r="Y1679" s="16" t="n"/>
      <c r="Z1679" s="15" t="inlineStr">
        <is>
          <t>No issue found</t>
        </is>
      </c>
      <c r="AA1679" s="15" t="inlineStr">
        <is>
          <t>Company remains unlisted private limited; no IPO found.</t>
        </is>
      </c>
      <c r="AB1679" s="18" t="inlineStr">
        <is>
          <t>https://en.wikipedia.org/wiki/Mayajaal</t>
        </is>
      </c>
    </row>
    <row r="1680" ht="15" customHeight="1" s="12">
      <c r="A1680" s="14" t="n">
        <v>1679</v>
      </c>
      <c r="B1680" s="16" t="n">
        <v>39814</v>
      </c>
      <c r="C1680" s="15" t="n">
        <v>2009</v>
      </c>
      <c r="D1680" s="15" t="inlineStr">
        <is>
          <t>Pradip Overseas Limited</t>
        </is>
      </c>
      <c r="E1680" s="15" t="inlineStr">
        <is>
          <t>DRHP</t>
        </is>
      </c>
      <c r="F1680" s="15" t="inlineStr">
        <is>
          <t>Pradip Overseas Limited</t>
        </is>
      </c>
      <c r="G1680" s="15" t="inlineStr">
        <is>
          <t>IPO launched</t>
        </is>
      </c>
      <c r="H1680" s="15" t="inlineStr">
        <is>
          <t>Mainboard</t>
        </is>
      </c>
      <c r="I1680" s="16" t="n">
        <v>40248</v>
      </c>
      <c r="J1680" s="16" t="n">
        <v>40252</v>
      </c>
      <c r="K1680" s="16" t="n">
        <v>40273</v>
      </c>
      <c r="L1680" s="17" t="n">
        <v>116.6</v>
      </c>
      <c r="M1680" s="17" t="n">
        <v>116.6</v>
      </c>
      <c r="N1680" s="17" t="n">
        <v>0</v>
      </c>
      <c r="O1680" s="15" t="inlineStr">
        <is>
          <t>Final issue (ipoplatform)</t>
        </is>
      </c>
      <c r="P1680" s="15" t="n"/>
      <c r="Q1680" s="18" t="inlineStr">
        <is>
          <t>https://www.sebi.gov.in/sebi_data/attachdocs/1290402488170.pdf</t>
        </is>
      </c>
      <c r="R1680" s="18" t="inlineStr">
        <is>
          <t>https://www.sebi.gov.in/filings/public-issues/jan-2009/pradip-overseas-limited_5594.html</t>
        </is>
      </c>
      <c r="S1680" s="15" t="n"/>
      <c r="T1680" s="15" t="inlineStr">
        <is>
          <t>SEBI filing link</t>
        </is>
      </c>
      <c r="U1680" s="15" t="inlineStr">
        <is>
          <t>Pradip Overseas Limited</t>
        </is>
      </c>
      <c r="V1680" s="15" t="n"/>
      <c r="W1680" s="15" t="n"/>
      <c r="X1680" s="15" t="n"/>
      <c r="Y1680" s="15" t="n"/>
      <c r="Z1680" s="15" t="n"/>
      <c r="AA1680" s="15" t="n"/>
      <c r="AB1680" s="15" t="n"/>
    </row>
    <row r="1681" ht="15" customHeight="1" s="12">
      <c r="A1681" s="14" t="n">
        <v>1680</v>
      </c>
      <c r="B1681" s="16" t="n">
        <v>39814</v>
      </c>
      <c r="C1681" s="15" t="n">
        <v>2009</v>
      </c>
      <c r="D1681" s="15" t="inlineStr">
        <is>
          <t>Sea TV Network Limited</t>
        </is>
      </c>
      <c r="E1681" s="15" t="inlineStr">
        <is>
          <t>DRHP</t>
        </is>
      </c>
      <c r="F1681" s="15" t="inlineStr">
        <is>
          <t>Sea TV Network Limited</t>
        </is>
      </c>
      <c r="G1681" s="15" t="inlineStr">
        <is>
          <t>IPO launched</t>
        </is>
      </c>
      <c r="H1681" s="15" t="inlineStr">
        <is>
          <t>Mainboard</t>
        </is>
      </c>
      <c r="I1681" s="16" t="n">
        <v>40448</v>
      </c>
      <c r="J1681" s="16" t="n">
        <v>40450</v>
      </c>
      <c r="K1681" s="16" t="n">
        <v>40465</v>
      </c>
      <c r="L1681" s="17" t="n">
        <v>50.2</v>
      </c>
      <c r="M1681" s="17" t="n">
        <v>50.2</v>
      </c>
      <c r="N1681" s="17" t="n">
        <v>0</v>
      </c>
      <c r="O1681" s="15" t="inlineStr">
        <is>
          <t>Final issue (ipoplatform)</t>
        </is>
      </c>
      <c r="P1681" s="15" t="n"/>
      <c r="Q1681" s="18" t="inlineStr">
        <is>
          <t>https://www.sebi.gov.in/sebi_data/attachdocs/1290402550046.pdf</t>
        </is>
      </c>
      <c r="R1681" s="18" t="inlineStr">
        <is>
          <t>https://www.sebi.gov.in/filings/public-issues/jan-2009/sea-tv-network-limited_5595.html</t>
        </is>
      </c>
      <c r="S1681" s="15" t="n"/>
      <c r="T1681" s="15" t="inlineStr">
        <is>
          <t>SEBI filing link</t>
        </is>
      </c>
      <c r="U1681" s="15" t="inlineStr">
        <is>
          <t>Sea TV Network Limited</t>
        </is>
      </c>
      <c r="V1681" s="15" t="n"/>
      <c r="W1681" s="15" t="n"/>
      <c r="X1681" s="15" t="n"/>
      <c r="Y1681" s="15" t="n"/>
      <c r="Z1681" s="15" t="n"/>
      <c r="AA1681" s="15" t="n"/>
      <c r="AB1681" s="15" t="n"/>
    </row>
    <row r="1682" ht="15" customHeight="1" s="12">
      <c r="A1682" s="14" t="n">
        <v>1681</v>
      </c>
      <c r="B1682" s="16" t="n">
        <v>39812</v>
      </c>
      <c r="C1682" s="15" t="n">
        <v>2008</v>
      </c>
      <c r="D1682" s="15" t="inlineStr">
        <is>
          <t>Great Eastern Energy Corporation Limited</t>
        </is>
      </c>
      <c r="E1682" s="15" t="inlineStr">
        <is>
          <t>DRHP</t>
        </is>
      </c>
      <c r="F1682" s="15" t="inlineStr">
        <is>
          <t>Great Eastern Energy Corporation Limited</t>
        </is>
      </c>
      <c r="G1682" s="15" t="inlineStr">
        <is>
          <t>No launched IPO found</t>
        </is>
      </c>
      <c r="H1682" s="15" t="n"/>
      <c r="I1682" s="16" t="n"/>
      <c r="J1682" s="16" t="n"/>
      <c r="K1682" s="16" t="n"/>
      <c r="L1682" s="17" t="n"/>
      <c r="M1682" s="17" t="n"/>
      <c r="N1682" s="17" t="n"/>
      <c r="O1682" s="15" t="n"/>
      <c r="P1682" s="15" t="n"/>
      <c r="Q1682" s="18" t="inlineStr">
        <is>
          <t>https://www.sebi.gov.in/sebi_data/attachdocs/1291436901973.pdf</t>
        </is>
      </c>
      <c r="R1682" s="18" t="inlineStr">
        <is>
          <t>https://www.sebi.gov.in/filings/public-issues/dec-2008/great-eastern-energy-corporation-limited_7982.html</t>
        </is>
      </c>
      <c r="S1682" s="15" t="n"/>
      <c r="T1682" s="15" t="n"/>
      <c r="U1682" s="15" t="n"/>
      <c r="V1682" s="15" t="n"/>
      <c r="W1682" s="16" t="n"/>
      <c r="X1682" s="16" t="n"/>
      <c r="Y1682" s="16" t="n"/>
      <c r="Z1682" s="15" t="inlineStr">
        <is>
          <t>No issue found</t>
        </is>
      </c>
      <c r="AA1682" s="15" t="inlineStr">
        <is>
          <t>Business Standard lists the company but shows no issue dates; web search limit reached</t>
        </is>
      </c>
      <c r="AB1682" s="18" t="inlineStr">
        <is>
          <t>https://www.business-standard.com/markets/ipo/great-eastern-energy-corporation-ltd-ipo-18693</t>
        </is>
      </c>
    </row>
    <row r="1683" ht="15" customHeight="1" s="12">
      <c r="A1683" s="14" t="n">
        <v>1682</v>
      </c>
      <c r="B1683" s="16" t="n">
        <v>39806</v>
      </c>
      <c r="C1683" s="15" t="n">
        <v>2008</v>
      </c>
      <c r="D1683" s="15" t="inlineStr">
        <is>
          <t>Texmo Pipes and Products Ltd</t>
        </is>
      </c>
      <c r="E1683" s="15" t="inlineStr">
        <is>
          <t>DRHP</t>
        </is>
      </c>
      <c r="F1683" s="15" t="inlineStr">
        <is>
          <t>Texmo Pipes and Products Ltd</t>
        </is>
      </c>
      <c r="G1683" s="15" t="inlineStr">
        <is>
          <t>IPO launched</t>
        </is>
      </c>
      <c r="H1683" s="15" t="inlineStr">
        <is>
          <t>Mainboard</t>
        </is>
      </c>
      <c r="I1683" s="16" t="n">
        <v>40225</v>
      </c>
      <c r="J1683" s="16" t="n">
        <v>40228</v>
      </c>
      <c r="K1683" s="16" t="n">
        <v>40247</v>
      </c>
      <c r="L1683" s="17" t="n">
        <v>45</v>
      </c>
      <c r="M1683" s="17" t="n">
        <v>45</v>
      </c>
      <c r="N1683" s="17" t="n">
        <v>0</v>
      </c>
      <c r="O1683" s="15" t="inlineStr">
        <is>
          <t>Final issue (ipoplatform)</t>
        </is>
      </c>
      <c r="P1683" s="15" t="n"/>
      <c r="Q1683" s="18" t="inlineStr">
        <is>
          <t>https://www.sebi.gov.in/sebi_data/attachdocs/1291436800484.pdf</t>
        </is>
      </c>
      <c r="R1683" s="18" t="inlineStr">
        <is>
          <t>https://www.sebi.gov.in/filings/public-issues/dec-2008/texmo-pipes-and-products-ltd_7981.html</t>
        </is>
      </c>
      <c r="S1683" s="15" t="n"/>
      <c r="T1683" s="15" t="inlineStr">
        <is>
          <t>SEBI filing link</t>
        </is>
      </c>
      <c r="U1683" s="15" t="inlineStr">
        <is>
          <t>Texmo Pipes &amp; Products Limited</t>
        </is>
      </c>
      <c r="V1683" s="15" t="n"/>
      <c r="W1683" s="15" t="n"/>
      <c r="X1683" s="15" t="n"/>
      <c r="Y1683" s="15" t="n"/>
      <c r="Z1683" s="15" t="n"/>
      <c r="AA1683" s="15" t="n"/>
      <c r="AB1683" s="15" t="n"/>
    </row>
    <row r="1684" ht="15" customHeight="1" s="12">
      <c r="A1684" s="14" t="n">
        <v>1683</v>
      </c>
      <c r="B1684" s="16" t="n">
        <v>39755</v>
      </c>
      <c r="C1684" s="15" t="n">
        <v>2008</v>
      </c>
      <c r="D1684" s="15" t="inlineStr">
        <is>
          <t>Usher Eco Power Limited</t>
        </is>
      </c>
      <c r="E1684" s="15" t="inlineStr">
        <is>
          <t>DRHP</t>
        </is>
      </c>
      <c r="F1684" s="15" t="inlineStr">
        <is>
          <t>Usher Eco Power Limited</t>
        </is>
      </c>
      <c r="G1684" s="15" t="inlineStr">
        <is>
          <t>No launched IPO found</t>
        </is>
      </c>
      <c r="H1684" s="15" t="n"/>
      <c r="I1684" s="16" t="n"/>
      <c r="J1684" s="16" t="n"/>
      <c r="K1684" s="16" t="n"/>
      <c r="L1684" s="17" t="n"/>
      <c r="M1684" s="17" t="n"/>
      <c r="N1684" s="17" t="n"/>
      <c r="O1684" s="15" t="n"/>
      <c r="P1684" s="15" t="n"/>
      <c r="Q1684" s="18" t="inlineStr">
        <is>
          <t>https://www.sebi.gov.in/sebi_data/attachdocs/1294992576807.pdf</t>
        </is>
      </c>
      <c r="R1684" s="18" t="inlineStr">
        <is>
          <t>https://www.sebi.gov.in/filings/public-issues/nov-2008/usher-eco-power-limited_14278.html</t>
        </is>
      </c>
      <c r="S1684" s="15" t="n"/>
      <c r="T1684" s="15" t="n"/>
      <c r="U1684" s="15" t="n"/>
      <c r="V1684" s="15" t="n"/>
      <c r="W1684" s="16" t="n"/>
      <c r="X1684" s="16" t="n"/>
      <c r="Y1684" s="16" t="n"/>
      <c r="Z1684" s="15" t="inlineStr">
        <is>
          <t>No issue found</t>
        </is>
      </c>
      <c r="AA1684" s="15" t="inlineStr">
        <is>
          <t>Business Standard lists the company but shows no issue dates; web search limit reached</t>
        </is>
      </c>
      <c r="AB1684" s="18" t="inlineStr">
        <is>
          <t>https://www.business-standard.com/markets/ipo/usher-eco-power-ltd-ipo-30366</t>
        </is>
      </c>
    </row>
    <row r="1685" ht="15" customHeight="1" s="12">
      <c r="A1685" s="14" t="n">
        <v>1684</v>
      </c>
      <c r="B1685" s="16" t="n">
        <v>39750</v>
      </c>
      <c r="C1685" s="15" t="n">
        <v>2008</v>
      </c>
      <c r="D1685" s="15" t="inlineStr">
        <is>
          <t>Midvalley Entertainment Limited</t>
        </is>
      </c>
      <c r="E1685" s="15" t="inlineStr">
        <is>
          <t>DRHP</t>
        </is>
      </c>
      <c r="F1685" s="15" t="inlineStr">
        <is>
          <t>Midvalley Entertainment Limited</t>
        </is>
      </c>
      <c r="G1685" s="15" t="inlineStr">
        <is>
          <t>No launched IPO found</t>
        </is>
      </c>
      <c r="H1685" s="15" t="n"/>
      <c r="I1685" s="16" t="n"/>
      <c r="J1685" s="16" t="n"/>
      <c r="K1685" s="16" t="n"/>
      <c r="L1685" s="17" t="n"/>
      <c r="M1685" s="17" t="n"/>
      <c r="N1685" s="17" t="n"/>
      <c r="O1685" s="15" t="n"/>
      <c r="P1685" s="15" t="n"/>
      <c r="Q1685" s="18" t="inlineStr">
        <is>
          <t>https://www.sebi.gov.in/sebi_data/attachdocs/1291289443561.pdf</t>
        </is>
      </c>
      <c r="R1685" s="18" t="inlineStr">
        <is>
          <t>https://www.sebi.gov.in/filings/public-issues/oct-2008/midvalley-entertainment-limited_7577.html</t>
        </is>
      </c>
      <c r="S1685" s="15" t="n"/>
      <c r="T1685" s="15" t="n"/>
      <c r="U1685" s="15" t="n"/>
      <c r="V1685" s="15" t="n"/>
      <c r="W1685" s="19" t="n">
        <v>40553</v>
      </c>
      <c r="X1685" s="19" t="n">
        <v>40555</v>
      </c>
      <c r="Y1685" s="19" t="n"/>
      <c r="Z1685" s="20" t="inlineStr">
        <is>
          <t>Issue opened</t>
        </is>
      </c>
      <c r="AA1685" s="15" t="inlineStr">
        <is>
          <t>Matched on chittorgarh.com</t>
        </is>
      </c>
      <c r="AB1685" s="18" t="inlineStr">
        <is>
          <t>https://www.chittorgarh.com/ipo/midvalley_entertainment_ipo/291/</t>
        </is>
      </c>
    </row>
    <row r="1686" ht="15" customHeight="1" s="12">
      <c r="A1686" s="14" t="n">
        <v>1685</v>
      </c>
      <c r="B1686" s="16" t="n">
        <v>39734</v>
      </c>
      <c r="C1686" s="15" t="n">
        <v>2008</v>
      </c>
      <c r="D1686" s="15" t="inlineStr">
        <is>
          <t>Thomas Cook (India) Limited</t>
        </is>
      </c>
      <c r="E1686" s="15" t="inlineStr">
        <is>
          <t>DRHP</t>
        </is>
      </c>
      <c r="F1686" s="15" t="inlineStr">
        <is>
          <t>Thomas Cook (India) Limited</t>
        </is>
      </c>
      <c r="G1686" s="15" t="inlineStr">
        <is>
          <t>No launched IPO found</t>
        </is>
      </c>
      <c r="H1686" s="15" t="n"/>
      <c r="I1686" s="16" t="n"/>
      <c r="J1686" s="16" t="n"/>
      <c r="K1686" s="16" t="n"/>
      <c r="L1686" s="17" t="n"/>
      <c r="M1686" s="17" t="n"/>
      <c r="N1686" s="17" t="n"/>
      <c r="O1686" s="15" t="n"/>
      <c r="P1686" s="15" t="n"/>
      <c r="Q1686" s="18" t="inlineStr">
        <is>
          <t>https://www.sebi.gov.in/sebi_data/attachdocs/1291289200377.pdf</t>
        </is>
      </c>
      <c r="R1686" s="18" t="inlineStr">
        <is>
          <t>https://www.sebi.gov.in/filings/public-issues/oct-2008/thomas-cook-india-limited_7576.html</t>
        </is>
      </c>
      <c r="S1686" s="15" t="n"/>
      <c r="T1686" s="15" t="n"/>
      <c r="U1686" s="15" t="n"/>
      <c r="V1686" s="15" t="n"/>
      <c r="W1686" s="16" t="n"/>
      <c r="X1686" s="16" t="n"/>
      <c r="Y1686" s="16" t="n"/>
      <c r="Z1686" s="15" t="inlineStr">
        <is>
          <t>No issue found</t>
        </is>
      </c>
      <c r="AA1686" s="15" t="inlineStr">
        <is>
          <t>Rights issue 35:100 at Rs35.50, not IPO/FPO; opened 31-Dec-2008, closed 14-Jan-2009</t>
        </is>
      </c>
      <c r="AB1686" s="18" t="inlineStr">
        <is>
          <t>https://www.ambit.co/public/regulatory/IB/Thomas%20Cook%20(India)%20Limited%20-%20Letter%20of%20Offer.pdf</t>
        </is>
      </c>
    </row>
    <row r="1687" ht="15" customHeight="1" s="12">
      <c r="A1687" s="14" t="n">
        <v>1686</v>
      </c>
      <c r="B1687" s="16" t="n">
        <v>39729</v>
      </c>
      <c r="C1687" s="15" t="n">
        <v>2008</v>
      </c>
      <c r="D1687" s="15" t="inlineStr">
        <is>
          <t>AMR Constructions Limited</t>
        </is>
      </c>
      <c r="E1687" s="15" t="inlineStr">
        <is>
          <t>DRHP</t>
        </is>
      </c>
      <c r="F1687" s="15" t="inlineStr">
        <is>
          <t>AMR Constructions Limited</t>
        </is>
      </c>
      <c r="G1687" s="15" t="inlineStr">
        <is>
          <t>No launched IPO found</t>
        </is>
      </c>
      <c r="H1687" s="15" t="n"/>
      <c r="I1687" s="16" t="n"/>
      <c r="J1687" s="16" t="n"/>
      <c r="K1687" s="16" t="n"/>
      <c r="L1687" s="17" t="n"/>
      <c r="M1687" s="17" t="n"/>
      <c r="N1687" s="17" t="n"/>
      <c r="O1687" s="15" t="n"/>
      <c r="P1687" s="15" t="n"/>
      <c r="Q1687" s="18" t="inlineStr">
        <is>
          <t>https://www.sebi.gov.in/sebi_data/attachdocs/1291289080198.pdf</t>
        </is>
      </c>
      <c r="R1687" s="18" t="inlineStr">
        <is>
          <t>https://www.sebi.gov.in/filings/public-issues/oct-2008/amr-constructions-limited_7575.html</t>
        </is>
      </c>
      <c r="S1687" s="15" t="n"/>
      <c r="T1687" s="15" t="n"/>
      <c r="U1687" s="15" t="n"/>
      <c r="V1687" s="15" t="n"/>
      <c r="W1687" s="16" t="n"/>
      <c r="X1687" s="16" t="n"/>
      <c r="Y1687" s="16" t="n"/>
      <c r="Z1687" s="15" t="inlineStr">
        <is>
          <t>No issue found</t>
        </is>
      </c>
      <c r="AA1687" s="15" t="inlineStr">
        <is>
          <t>Business Standard lists the company but shows no issue dates; web search limit reached</t>
        </is>
      </c>
      <c r="AB1687" s="18" t="inlineStr">
        <is>
          <t>https://www.business-standard.com/markets/ipo/amr-constructions-ltd-ipo-30324</t>
        </is>
      </c>
    </row>
    <row r="1688" ht="15" customHeight="1" s="12">
      <c r="A1688" s="14" t="n">
        <v>1687</v>
      </c>
      <c r="B1688" s="16" t="n">
        <v>39724</v>
      </c>
      <c r="C1688" s="15" t="n">
        <v>2008</v>
      </c>
      <c r="D1688" s="15" t="inlineStr">
        <is>
          <t>Gujarat Pipavav Port Limited</t>
        </is>
      </c>
      <c r="E1688" s="15" t="inlineStr">
        <is>
          <t>DRHP</t>
        </is>
      </c>
      <c r="F1688" s="15" t="inlineStr">
        <is>
          <t>Gujarat Pipavav Port Limited</t>
        </is>
      </c>
      <c r="G1688" s="15" t="inlineStr">
        <is>
          <t>IPO launched</t>
        </is>
      </c>
      <c r="H1688" s="15" t="inlineStr">
        <is>
          <t>Mainboard</t>
        </is>
      </c>
      <c r="I1688" s="16" t="n">
        <v>40413</v>
      </c>
      <c r="J1688" s="16" t="n">
        <v>40416</v>
      </c>
      <c r="K1688" s="16" t="n">
        <v>40430</v>
      </c>
      <c r="L1688" s="17" t="n">
        <v>500</v>
      </c>
      <c r="M1688" s="17" t="n">
        <v>500</v>
      </c>
      <c r="N1688" s="17" t="n">
        <v>0</v>
      </c>
      <c r="O1688" s="15" t="inlineStr">
        <is>
          <t>Final issue (ipoplatform)</t>
        </is>
      </c>
      <c r="P1688" s="15" t="n"/>
      <c r="Q1688" s="18" t="inlineStr">
        <is>
          <t>https://www.sebi.gov.in/sebi_data/attachdocs/1291288906060.pdf</t>
        </is>
      </c>
      <c r="R1688" s="18" t="inlineStr">
        <is>
          <t>https://www.sebi.gov.in/filings/public-issues/oct-2008/gujarat-pipavav-port-limited_7574.html</t>
        </is>
      </c>
      <c r="S1688" s="15" t="n"/>
      <c r="T1688" s="15" t="inlineStr">
        <is>
          <t>Company name + date window</t>
        </is>
      </c>
      <c r="U1688" s="15" t="inlineStr">
        <is>
          <t>Gujarat Pipavav Port Limited (GPPL)</t>
        </is>
      </c>
      <c r="V1688" s="15" t="n"/>
      <c r="W1688" s="15" t="n"/>
      <c r="X1688" s="15" t="n"/>
      <c r="Y1688" s="15" t="n"/>
      <c r="Z1688" s="15" t="n"/>
      <c r="AA1688" s="15" t="n"/>
      <c r="AB1688" s="15" t="n"/>
    </row>
    <row r="1689" ht="15" customHeight="1" s="12">
      <c r="A1689" s="14" t="n">
        <v>1688</v>
      </c>
      <c r="B1689" s="16" t="n">
        <v>39724</v>
      </c>
      <c r="C1689" s="15" t="n">
        <v>2008</v>
      </c>
      <c r="D1689" s="15" t="inlineStr">
        <is>
          <t>Mahindra Holidays and Resorts India Limited</t>
        </is>
      </c>
      <c r="E1689" s="15" t="inlineStr">
        <is>
          <t>DRHP</t>
        </is>
      </c>
      <c r="F1689" s="15" t="inlineStr">
        <is>
          <t>Mahindra Holidays and Resorts India Limited</t>
        </is>
      </c>
      <c r="G1689" s="15" t="inlineStr">
        <is>
          <t>IPO launched</t>
        </is>
      </c>
      <c r="H1689" s="15" t="inlineStr">
        <is>
          <t>Mainboard</t>
        </is>
      </c>
      <c r="I1689" s="16" t="n">
        <v>39987</v>
      </c>
      <c r="J1689" s="16" t="n">
        <v>39990</v>
      </c>
      <c r="K1689" s="16" t="n">
        <v>40010</v>
      </c>
      <c r="L1689" s="17" t="n">
        <v>277.96</v>
      </c>
      <c r="M1689" s="17" t="n">
        <v>277.96</v>
      </c>
      <c r="N1689" s="17" t="n">
        <v>0</v>
      </c>
      <c r="O1689" s="15" t="inlineStr">
        <is>
          <t>Final issue (ipoplatform)</t>
        </is>
      </c>
      <c r="P1689" s="15" t="n"/>
      <c r="Q1689" s="18" t="inlineStr">
        <is>
          <t>https://www.sebi.gov.in/sebi_data/attachdocs/1291288634228.pdf</t>
        </is>
      </c>
      <c r="R1689" s="18" t="inlineStr">
        <is>
          <t>https://www.sebi.gov.in/filings/public-issues/oct-2008/mahindra-holidays-and-resorts-india-limited_7571.html</t>
        </is>
      </c>
      <c r="S1689" s="15" t="n"/>
      <c r="T1689" s="15" t="inlineStr">
        <is>
          <t>SEBI filing link</t>
        </is>
      </c>
      <c r="U1689" s="15" t="inlineStr">
        <is>
          <t>Mahindra Holidays and Resorts India Limited</t>
        </is>
      </c>
      <c r="V1689" s="15" t="n"/>
      <c r="W1689" s="15" t="n"/>
      <c r="X1689" s="15" t="n"/>
      <c r="Y1689" s="15" t="n"/>
      <c r="Z1689" s="15" t="n"/>
      <c r="AA1689" s="15" t="n"/>
      <c r="AB1689" s="15" t="n"/>
    </row>
    <row r="1690" ht="15" customHeight="1" s="12">
      <c r="A1690" s="14" t="n">
        <v>1689</v>
      </c>
      <c r="B1690" s="16" t="n">
        <v>39722</v>
      </c>
      <c r="C1690" s="15" t="n">
        <v>2008</v>
      </c>
      <c r="D1690" s="15" t="inlineStr">
        <is>
          <t>BS Transcomm Limited</t>
        </is>
      </c>
      <c r="E1690" s="15" t="inlineStr">
        <is>
          <t>DRHP</t>
        </is>
      </c>
      <c r="F1690" s="15" t="inlineStr">
        <is>
          <t>BS Transcomm Limited</t>
        </is>
      </c>
      <c r="G1690" s="15" t="inlineStr">
        <is>
          <t>No launched IPO found</t>
        </is>
      </c>
      <c r="H1690" s="15" t="n"/>
      <c r="I1690" s="16" t="n"/>
      <c r="J1690" s="16" t="n"/>
      <c r="K1690" s="16" t="n"/>
      <c r="L1690" s="17" t="n"/>
      <c r="M1690" s="17" t="n"/>
      <c r="N1690" s="17" t="n"/>
      <c r="O1690" s="15" t="n"/>
      <c r="P1690" s="15" t="n"/>
      <c r="Q1690" s="18" t="inlineStr">
        <is>
          <t>https://www.sebi.gov.in/sebi_data/attachdocs/1291288429268.pdf</t>
        </is>
      </c>
      <c r="R1690" s="18" t="inlineStr">
        <is>
          <t>https://www.sebi.gov.in/filings/public-issues/oct-2008/bs-transcomm-limited_7569.html</t>
        </is>
      </c>
      <c r="S1690" s="15" t="n"/>
      <c r="T1690" s="15" t="n"/>
      <c r="U1690" s="15" t="n"/>
      <c r="V1690" s="15" t="n"/>
      <c r="W1690" s="19" t="n">
        <v>40457</v>
      </c>
      <c r="X1690" s="19" t="n">
        <v>40464</v>
      </c>
      <c r="Y1690" s="19" t="n"/>
      <c r="Z1690" s="20" t="inlineStr">
        <is>
          <t>Issue opened</t>
        </is>
      </c>
      <c r="AA1690" s="15" t="inlineStr">
        <is>
          <t>Matched on chittorgarh.com</t>
        </is>
      </c>
      <c r="AB1690" s="18" t="inlineStr">
        <is>
          <t>https://www.chittorgarh.com/ipo/bs_transcomm_ipo/276/</t>
        </is>
      </c>
    </row>
    <row r="1691" ht="15" customHeight="1" s="12">
      <c r="A1691" s="14" t="n">
        <v>1690</v>
      </c>
      <c r="B1691" s="16" t="n">
        <v>39722</v>
      </c>
      <c r="C1691" s="15" t="n">
        <v>2008</v>
      </c>
      <c r="D1691" s="15" t="inlineStr">
        <is>
          <t>MBL Infrastructures Limited</t>
        </is>
      </c>
      <c r="E1691" s="15" t="inlineStr">
        <is>
          <t>DRHP</t>
        </is>
      </c>
      <c r="F1691" s="15" t="inlineStr">
        <is>
          <t>MBL Infrastructures Limited</t>
        </is>
      </c>
      <c r="G1691" s="15" t="inlineStr">
        <is>
          <t>IPO launched</t>
        </is>
      </c>
      <c r="H1691" s="15" t="inlineStr">
        <is>
          <t>Mainboard</t>
        </is>
      </c>
      <c r="I1691" s="16" t="n">
        <v>40144</v>
      </c>
      <c r="J1691" s="16" t="n">
        <v>40148</v>
      </c>
      <c r="K1691" s="16" t="n">
        <v>40189</v>
      </c>
      <c r="L1691" s="17" t="n">
        <v>102.6</v>
      </c>
      <c r="M1691" s="17" t="n">
        <v>102.6</v>
      </c>
      <c r="N1691" s="17" t="n">
        <v>0</v>
      </c>
      <c r="O1691" s="15" t="inlineStr">
        <is>
          <t>Final issue (ipoplatform)</t>
        </is>
      </c>
      <c r="P1691" s="15" t="n"/>
      <c r="Q1691" s="18" t="inlineStr">
        <is>
          <t>https://www.sebi.gov.in/sebi_data/attachdocs/1291288225612.pdf</t>
        </is>
      </c>
      <c r="R1691" s="18" t="inlineStr">
        <is>
          <t>https://www.sebi.gov.in/filings/public-issues/oct-2008/mbl-infrastructures-limited_7568.html</t>
        </is>
      </c>
      <c r="S1691" s="15" t="n"/>
      <c r="T1691" s="15" t="inlineStr">
        <is>
          <t>SEBI filing link</t>
        </is>
      </c>
      <c r="U1691" s="15" t="inlineStr">
        <is>
          <t>MBL Infrastructures Limited</t>
        </is>
      </c>
      <c r="V1691" s="15" t="n"/>
      <c r="W1691" s="15" t="n"/>
      <c r="X1691" s="15" t="n"/>
      <c r="Y1691" s="15" t="n"/>
      <c r="Z1691" s="15" t="n"/>
      <c r="AA1691" s="15" t="n"/>
      <c r="AB1691" s="15" t="n"/>
    </row>
    <row r="1692" ht="15" customHeight="1" s="12">
      <c r="A1692" s="14" t="n">
        <v>1691</v>
      </c>
      <c r="B1692" s="16" t="n">
        <v>39721</v>
      </c>
      <c r="C1692" s="15" t="n">
        <v>2008</v>
      </c>
      <c r="D1692" s="15" t="inlineStr">
        <is>
          <t>Shri Nataraj Ceramic and Chemical Industries Limited</t>
        </is>
      </c>
      <c r="E1692" s="15" t="inlineStr">
        <is>
          <t>DRHP</t>
        </is>
      </c>
      <c r="F1692" s="15" t="inlineStr">
        <is>
          <t>Shri Nataraj Ceramic and Chemical Industries Limited</t>
        </is>
      </c>
      <c r="G1692" s="15" t="inlineStr">
        <is>
          <t>No launched IPO found</t>
        </is>
      </c>
      <c r="H1692" s="15" t="n"/>
      <c r="I1692" s="16" t="n"/>
      <c r="J1692" s="16" t="n"/>
      <c r="K1692" s="16" t="n"/>
      <c r="L1692" s="17" t="n"/>
      <c r="M1692" s="17" t="n"/>
      <c r="N1692" s="17" t="n"/>
      <c r="O1692" s="15" t="n"/>
      <c r="P1692" s="15" t="n"/>
      <c r="Q1692" s="18" t="inlineStr">
        <is>
          <t>https://www.sebi.gov.in/sebi_data/attachdocs/1291278202382.pdf</t>
        </is>
      </c>
      <c r="R1692" s="18" t="inlineStr">
        <is>
          <t>https://www.sebi.gov.in/filings/public-issues/sep-2008/shri-nataraj-ceramic-and-chemical-industries-limited_7420.html</t>
        </is>
      </c>
      <c r="S1692" s="15" t="n"/>
      <c r="T1692" s="15" t="n"/>
      <c r="U1692" s="15" t="n"/>
      <c r="V1692" s="15" t="n"/>
      <c r="W1692" s="16" t="n"/>
      <c r="X1692" s="16" t="n"/>
      <c r="Y1692" s="16" t="n"/>
      <c r="Z1692" s="15" t="inlineStr">
        <is>
          <t>No issue found</t>
        </is>
      </c>
      <c r="AA1692" s="15" t="inlineStr">
        <is>
          <t>Rights issue of NCDs with warrants, not IPO/FPO; opened 20-Jul-2009, closed 03-Aug-2009</t>
        </is>
      </c>
      <c r="AB1692" s="18" t="inlineStr">
        <is>
          <t>https://www.sebi.gov.in/sebi_data/attachdocs/1289883069389.pdf</t>
        </is>
      </c>
    </row>
    <row r="1693" ht="15" customHeight="1" s="12">
      <c r="A1693" s="14" t="n">
        <v>1692</v>
      </c>
      <c r="B1693" s="16" t="n">
        <v>39721</v>
      </c>
      <c r="C1693" s="15" t="n">
        <v>2008</v>
      </c>
      <c r="D1693" s="15" t="inlineStr">
        <is>
          <t>Aravali Infrapower Limited</t>
        </is>
      </c>
      <c r="E1693" s="15" t="inlineStr">
        <is>
          <t>DRHP</t>
        </is>
      </c>
      <c r="F1693" s="15" t="inlineStr">
        <is>
          <t>Aravali Infrapower Limited</t>
        </is>
      </c>
      <c r="G1693" s="15" t="inlineStr">
        <is>
          <t>No launched IPO found</t>
        </is>
      </c>
      <c r="H1693" s="15" t="n"/>
      <c r="I1693" s="16" t="n"/>
      <c r="J1693" s="16" t="n"/>
      <c r="K1693" s="16" t="n"/>
      <c r="L1693" s="17" t="n"/>
      <c r="M1693" s="17" t="n"/>
      <c r="N1693" s="17" t="n"/>
      <c r="O1693" s="15" t="n"/>
      <c r="P1693" s="15" t="n"/>
      <c r="Q1693" s="18" t="inlineStr">
        <is>
          <t>https://www.sebi.gov.in/sebi_data/attachdocs/1291278095340.pdf</t>
        </is>
      </c>
      <c r="R1693" s="18" t="inlineStr">
        <is>
          <t>https://www.sebi.gov.in/filings/public-issues/sep-2008/aravali-infrapower-limited_7413.html</t>
        </is>
      </c>
      <c r="S1693" s="15" t="n"/>
      <c r="T1693" s="15" t="n"/>
      <c r="U1693" s="15" t="n"/>
      <c r="V1693" s="15" t="n"/>
      <c r="W1693" s="16" t="n"/>
      <c r="X1693" s="16" t="n"/>
      <c r="Y1693" s="16" t="n"/>
      <c r="Z1693" s="15" t="inlineStr">
        <is>
          <t>No issue found</t>
        </is>
      </c>
      <c r="AA1693" s="15" t="inlineStr">
        <is>
          <t>Business Standard lists the company but shows no issue dates; web search limit reached</t>
        </is>
      </c>
      <c r="AB1693" s="18" t="inlineStr">
        <is>
          <t>https://www.business-standard.com/markets/ipo/aravali-infrapower-ltd-ipo-30295</t>
        </is>
      </c>
    </row>
    <row r="1694" ht="15" customHeight="1" s="12">
      <c r="A1694" s="14" t="n">
        <v>1693</v>
      </c>
      <c r="B1694" s="16" t="n">
        <v>39720</v>
      </c>
      <c r="C1694" s="15" t="n">
        <v>2008</v>
      </c>
      <c r="D1694" s="15" t="inlineStr">
        <is>
          <t>Globus Spirits Limited</t>
        </is>
      </c>
      <c r="E1694" s="15" t="inlineStr">
        <is>
          <t>DRHP</t>
        </is>
      </c>
      <c r="F1694" s="15" t="inlineStr">
        <is>
          <t>Globus Spirits Limited</t>
        </is>
      </c>
      <c r="G1694" s="15" t="inlineStr">
        <is>
          <t>IPO launched</t>
        </is>
      </c>
      <c r="H1694" s="15" t="inlineStr">
        <is>
          <t>Mainboard</t>
        </is>
      </c>
      <c r="I1694" s="16" t="n">
        <v>40056</v>
      </c>
      <c r="J1694" s="16" t="n">
        <v>40058</v>
      </c>
      <c r="K1694" s="16" t="n">
        <v>40079</v>
      </c>
      <c r="L1694" s="17" t="n">
        <v>75</v>
      </c>
      <c r="M1694" s="17" t="n">
        <v>75</v>
      </c>
      <c r="N1694" s="17" t="n">
        <v>0</v>
      </c>
      <c r="O1694" s="15" t="inlineStr">
        <is>
          <t>Final issue (ipoplatform)</t>
        </is>
      </c>
      <c r="P1694" s="15" t="n"/>
      <c r="Q1694" s="18" t="inlineStr">
        <is>
          <t>https://www.sebi.gov.in/sebi_data/attachdocs/1291277933513.pdf</t>
        </is>
      </c>
      <c r="R1694" s="18" t="inlineStr">
        <is>
          <t>https://www.sebi.gov.in/filings/public-issues/sep-2008/globus-spirits-limited_7407.html</t>
        </is>
      </c>
      <c r="S1694" s="15" t="n"/>
      <c r="T1694" s="15" t="inlineStr">
        <is>
          <t>SEBI filing link</t>
        </is>
      </c>
      <c r="U1694" s="15" t="inlineStr">
        <is>
          <t>Globus Spirits Limited</t>
        </is>
      </c>
      <c r="V1694" s="15" t="n"/>
      <c r="W1694" s="15" t="n"/>
      <c r="X1694" s="15" t="n"/>
      <c r="Y1694" s="15" t="n"/>
      <c r="Z1694" s="15" t="n"/>
      <c r="AA1694" s="15" t="n"/>
      <c r="AB1694" s="15" t="n"/>
    </row>
    <row r="1695" ht="15" customHeight="1" s="12">
      <c r="A1695" s="14" t="n">
        <v>1694</v>
      </c>
      <c r="B1695" s="16" t="n">
        <v>39709</v>
      </c>
      <c r="C1695" s="15" t="n">
        <v>2008</v>
      </c>
      <c r="D1695" s="15" t="inlineStr">
        <is>
          <t>Syncom Healthcare Limited</t>
        </is>
      </c>
      <c r="E1695" s="15" t="inlineStr">
        <is>
          <t>DRHP</t>
        </is>
      </c>
      <c r="F1695" s="15" t="inlineStr">
        <is>
          <t>Syncom Healthcare Limited</t>
        </is>
      </c>
      <c r="G1695" s="15" t="inlineStr">
        <is>
          <t>IPO launched</t>
        </is>
      </c>
      <c r="H1695" s="15" t="inlineStr">
        <is>
          <t>Mainboard</t>
        </is>
      </c>
      <c r="I1695" s="16" t="n">
        <v>40205</v>
      </c>
      <c r="J1695" s="16" t="n">
        <v>40207</v>
      </c>
      <c r="K1695" s="16" t="n">
        <v>40224</v>
      </c>
      <c r="L1695" s="17" t="n">
        <v>56.25</v>
      </c>
      <c r="M1695" s="17" t="n">
        <v>56.25</v>
      </c>
      <c r="N1695" s="17" t="n">
        <v>0</v>
      </c>
      <c r="O1695" s="15" t="inlineStr">
        <is>
          <t>Final issue (ipoplatform)</t>
        </is>
      </c>
      <c r="P1695" s="15" t="n"/>
      <c r="Q1695" s="18" t="inlineStr">
        <is>
          <t>https://www.sebi.gov.in/sebi_data/attachdocs/1291277744120.pdf</t>
        </is>
      </c>
      <c r="R1695" s="18" t="inlineStr">
        <is>
          <t>https://www.sebi.gov.in/filings/public-issues/sep-2008/syncom-healthcare-limited_7405.html</t>
        </is>
      </c>
      <c r="S1695" s="15" t="n"/>
      <c r="T1695" s="15" t="inlineStr">
        <is>
          <t>SEBI filing link</t>
        </is>
      </c>
      <c r="U1695" s="15" t="inlineStr">
        <is>
          <t>Syncom Healthcare Limited</t>
        </is>
      </c>
      <c r="V1695" s="15" t="n"/>
      <c r="W1695" s="15" t="n"/>
      <c r="X1695" s="15" t="n"/>
      <c r="Y1695" s="15" t="n"/>
      <c r="Z1695" s="15" t="n"/>
      <c r="AA1695" s="15" t="n"/>
      <c r="AB1695" s="15" t="n"/>
    </row>
    <row r="1696" ht="15" customHeight="1" s="12">
      <c r="A1696" s="14" t="n">
        <v>1695</v>
      </c>
      <c r="B1696" s="16" t="n">
        <v>39681</v>
      </c>
      <c r="C1696" s="15" t="n">
        <v>2008</v>
      </c>
      <c r="D1696" s="15" t="inlineStr">
        <is>
          <t>Jindal Cotex Limited</t>
        </is>
      </c>
      <c r="E1696" s="15" t="inlineStr">
        <is>
          <t>DRHP</t>
        </is>
      </c>
      <c r="F1696" s="15" t="inlineStr">
        <is>
          <t>Jindal Cotex Limited</t>
        </is>
      </c>
      <c r="G1696" s="15" t="inlineStr">
        <is>
          <t>IPO launched</t>
        </is>
      </c>
      <c r="H1696" s="15" t="inlineStr">
        <is>
          <t>Mainboard</t>
        </is>
      </c>
      <c r="I1696" s="16" t="n">
        <v>40052</v>
      </c>
      <c r="J1696" s="16" t="n">
        <v>40057</v>
      </c>
      <c r="K1696" s="16" t="n">
        <v>40078</v>
      </c>
      <c r="L1696" s="17" t="n">
        <v>84.38</v>
      </c>
      <c r="M1696" s="17" t="n">
        <v>84.38</v>
      </c>
      <c r="N1696" s="17" t="n">
        <v>0</v>
      </c>
      <c r="O1696" s="15" t="inlineStr">
        <is>
          <t>Final issue (ipoplatform)</t>
        </is>
      </c>
      <c r="P1696" s="15" t="n"/>
      <c r="Q1696" s="18" t="inlineStr">
        <is>
          <t>https://www.sebi.gov.in/sebi_data/attachdocs/1291192086656.pdf</t>
        </is>
      </c>
      <c r="R1696" s="18" t="inlineStr">
        <is>
          <t>https://www.sebi.gov.in/filings/public-issues/aug-2008/jindal-cotex-limited_6909.html</t>
        </is>
      </c>
      <c r="S1696" s="15" t="n"/>
      <c r="T1696" s="15" t="inlineStr">
        <is>
          <t>SEBI filing link</t>
        </is>
      </c>
      <c r="U1696" s="15" t="inlineStr">
        <is>
          <t>Jindal Cotex Limited</t>
        </is>
      </c>
      <c r="V1696" s="15" t="n"/>
      <c r="W1696" s="15" t="n"/>
      <c r="X1696" s="15" t="n"/>
      <c r="Y1696" s="15" t="n"/>
      <c r="Z1696" s="15" t="n"/>
      <c r="AA1696" s="15" t="n"/>
      <c r="AB1696" s="15" t="n"/>
    </row>
    <row r="1697" ht="15" customHeight="1" s="12">
      <c r="A1697" s="14" t="n">
        <v>1696</v>
      </c>
      <c r="B1697" s="16" t="n">
        <v>39673</v>
      </c>
      <c r="C1697" s="15" t="n">
        <v>2008</v>
      </c>
      <c r="D1697" s="15" t="inlineStr">
        <is>
          <t>Astec Lifesciences Limited</t>
        </is>
      </c>
      <c r="E1697" s="15" t="inlineStr">
        <is>
          <t>DRHP</t>
        </is>
      </c>
      <c r="F1697" s="15" t="inlineStr">
        <is>
          <t>Astec Lifesciences Limited</t>
        </is>
      </c>
      <c r="G1697" s="15" t="inlineStr">
        <is>
          <t>IPO launched</t>
        </is>
      </c>
      <c r="H1697" s="15" t="inlineStr">
        <is>
          <t>Mainboard</t>
        </is>
      </c>
      <c r="I1697" s="16" t="n">
        <v>40115</v>
      </c>
      <c r="J1697" s="16" t="n">
        <v>40121</v>
      </c>
      <c r="K1697" s="16" t="n">
        <v>40142</v>
      </c>
      <c r="L1697" s="17" t="n">
        <v>61.5</v>
      </c>
      <c r="M1697" s="17" t="n">
        <v>61.5</v>
      </c>
      <c r="N1697" s="17" t="n">
        <v>0</v>
      </c>
      <c r="O1697" s="15" t="inlineStr">
        <is>
          <t>Final issue (ipoplatform)</t>
        </is>
      </c>
      <c r="P1697" s="15" t="n"/>
      <c r="Q1697" s="18" t="inlineStr">
        <is>
          <t>https://www.sebi.gov.in/sebi_data/attachdocs/1291191889723.pdf</t>
        </is>
      </c>
      <c r="R1697" s="18" t="inlineStr">
        <is>
          <t>https://www.sebi.gov.in/filings/public-issues/aug-2008/astec-lifesciences-limited_6904.html</t>
        </is>
      </c>
      <c r="S1697" s="15" t="n"/>
      <c r="T1697" s="15" t="inlineStr">
        <is>
          <t>SEBI filing link</t>
        </is>
      </c>
      <c r="U1697" s="15" t="inlineStr">
        <is>
          <t>Astec LifeSciences Limited</t>
        </is>
      </c>
      <c r="V1697" s="15" t="n"/>
      <c r="W1697" s="15" t="n"/>
      <c r="X1697" s="15" t="n"/>
      <c r="Y1697" s="15" t="n"/>
      <c r="Z1697" s="15" t="n"/>
      <c r="AA1697" s="15" t="n"/>
      <c r="AB1697" s="15" t="n"/>
    </row>
    <row r="1698" ht="15" customHeight="1" s="12">
      <c r="A1698" s="14" t="n">
        <v>1697</v>
      </c>
      <c r="B1698" s="16" t="n">
        <v>39672</v>
      </c>
      <c r="C1698" s="15" t="n">
        <v>2008</v>
      </c>
      <c r="D1698" s="15" t="inlineStr">
        <is>
          <t>Trinity India Limited</t>
        </is>
      </c>
      <c r="E1698" s="15" t="inlineStr">
        <is>
          <t>DRHP</t>
        </is>
      </c>
      <c r="F1698" s="15" t="inlineStr">
        <is>
          <t>Trinity India Limited</t>
        </is>
      </c>
      <c r="G1698" s="15" t="inlineStr">
        <is>
          <t>No launched IPO found</t>
        </is>
      </c>
      <c r="H1698" s="15" t="n"/>
      <c r="I1698" s="16" t="n"/>
      <c r="J1698" s="16" t="n"/>
      <c r="K1698" s="16" t="n"/>
      <c r="L1698" s="17" t="n"/>
      <c r="M1698" s="17" t="n"/>
      <c r="N1698" s="17" t="n"/>
      <c r="O1698" s="15" t="n"/>
      <c r="P1698" s="15" t="n"/>
      <c r="Q1698" s="18" t="inlineStr">
        <is>
          <t>https://www.sebi.gov.in/sebi_data/attachdocs/1291191591621.pdf</t>
        </is>
      </c>
      <c r="R1698" s="18" t="inlineStr">
        <is>
          <t>https://www.sebi.gov.in/filings/public-issues/aug-2008/trinity-india-limited_6900.html</t>
        </is>
      </c>
      <c r="S1698" s="15" t="n"/>
      <c r="T1698" s="15" t="n"/>
      <c r="U1698" s="15" t="n"/>
      <c r="V1698" s="15" t="n"/>
      <c r="W1698" s="16" t="n"/>
      <c r="X1698" s="16" t="n"/>
      <c r="Y1698" s="16" t="n"/>
      <c r="Z1698" s="15" t="inlineStr">
        <is>
          <t>No issue found</t>
        </is>
      </c>
      <c r="AA1698" s="15" t="inlineStr">
        <is>
          <t>Business Standard lists the company but shows no issue dates; web search limit reached</t>
        </is>
      </c>
      <c r="AB1698" s="18" t="inlineStr">
        <is>
          <t>https://www.business-standard.com/markets/ipo/trinity-india-ltd-ipo-23941</t>
        </is>
      </c>
    </row>
    <row r="1699" ht="15" customHeight="1" s="12">
      <c r="A1699" s="14" t="n">
        <v>1698</v>
      </c>
      <c r="B1699" s="16" t="n">
        <v>39668</v>
      </c>
      <c r="C1699" s="15" t="n">
        <v>2008</v>
      </c>
      <c r="D1699" s="15" t="inlineStr">
        <is>
          <t>Rishabdev Technocable Limited</t>
        </is>
      </c>
      <c r="E1699" s="15" t="inlineStr">
        <is>
          <t>DRHP</t>
        </is>
      </c>
      <c r="F1699" s="15" t="inlineStr">
        <is>
          <t>Rishabdev Technocable Limited</t>
        </is>
      </c>
      <c r="G1699" s="15" t="inlineStr">
        <is>
          <t>No launched IPO found</t>
        </is>
      </c>
      <c r="H1699" s="15" t="n"/>
      <c r="I1699" s="16" t="n"/>
      <c r="J1699" s="16" t="n"/>
      <c r="K1699" s="16" t="n"/>
      <c r="L1699" s="17" t="n"/>
      <c r="M1699" s="17" t="n"/>
      <c r="N1699" s="17" t="n"/>
      <c r="O1699" s="15" t="n"/>
      <c r="P1699" s="15" t="n"/>
      <c r="Q1699" s="18" t="inlineStr">
        <is>
          <t>https://www.sebi.gov.in/sebi_data/attachdocs/1294993396876.pdf</t>
        </is>
      </c>
      <c r="R1699" s="18" t="inlineStr">
        <is>
          <t>https://www.sebi.gov.in/filings/public-issues/aug-2008/rishabdev-technocable-limited_14279.html</t>
        </is>
      </c>
      <c r="S1699" s="15" t="n"/>
      <c r="T1699" s="15" t="n"/>
      <c r="U1699" s="15" t="n"/>
      <c r="V1699" s="15" t="n"/>
      <c r="W1699" s="19" t="n">
        <v>39968</v>
      </c>
      <c r="X1699" s="19" t="n">
        <v>39973</v>
      </c>
      <c r="Y1699" s="19" t="n">
        <v>39993</v>
      </c>
      <c r="Z1699" s="20" t="inlineStr">
        <is>
          <t>Issue opened</t>
        </is>
      </c>
      <c r="AA1699" s="15" t="inlineStr">
        <is>
          <t>Business Standard IPO page (close name match)</t>
        </is>
      </c>
      <c r="AB1699" s="18" t="inlineStr">
        <is>
          <t>https://www.business-standard.com/markets/ipo/rishabhdev-technocable-ltd-ipo-7968</t>
        </is>
      </c>
    </row>
    <row r="1700" ht="15" customHeight="1" s="12">
      <c r="A1700" s="14" t="n">
        <v>1699</v>
      </c>
      <c r="B1700" s="16" t="n">
        <v>39667</v>
      </c>
      <c r="C1700" s="15" t="n">
        <v>2008</v>
      </c>
      <c r="D1700" s="15" t="inlineStr">
        <is>
          <t>NHPC Limited</t>
        </is>
      </c>
      <c r="E1700" s="15" t="inlineStr">
        <is>
          <t>DRHP</t>
        </is>
      </c>
      <c r="F1700" s="15" t="inlineStr">
        <is>
          <t>NHPC Limited</t>
        </is>
      </c>
      <c r="G1700" s="15" t="inlineStr">
        <is>
          <t>IPO launched</t>
        </is>
      </c>
      <c r="H1700" s="15" t="inlineStr">
        <is>
          <t>Mainboard</t>
        </is>
      </c>
      <c r="I1700" s="16" t="n">
        <v>40032</v>
      </c>
      <c r="J1700" s="16" t="n">
        <v>40037</v>
      </c>
      <c r="K1700" s="16" t="n">
        <v>40057</v>
      </c>
      <c r="L1700" s="17" t="n">
        <v>6038.55</v>
      </c>
      <c r="M1700" s="17" t="n">
        <v>6038.55</v>
      </c>
      <c r="N1700" s="17" t="n">
        <v>0</v>
      </c>
      <c r="O1700" s="15" t="inlineStr">
        <is>
          <t>Final issue (ipoplatform)</t>
        </is>
      </c>
      <c r="P1700" s="15" t="n"/>
      <c r="Q1700" s="18" t="inlineStr">
        <is>
          <t>https://www.sebi.gov.in/sebi_data/attachdocs/1294993768981.pdf</t>
        </is>
      </c>
      <c r="R1700" s="18" t="inlineStr">
        <is>
          <t>https://www.sebi.gov.in/filings/public-issues/aug-2008/nhpc-limited_14280.html</t>
        </is>
      </c>
      <c r="S1700" s="15" t="n"/>
      <c r="T1700" s="15" t="inlineStr">
        <is>
          <t>SEBI filing link</t>
        </is>
      </c>
      <c r="U1700" s="15" t="inlineStr">
        <is>
          <t>NHPC Limited</t>
        </is>
      </c>
      <c r="V1700" s="15" t="n"/>
      <c r="W1700" s="15" t="n"/>
      <c r="X1700" s="15" t="n"/>
      <c r="Y1700" s="15" t="n"/>
      <c r="Z1700" s="15" t="n"/>
      <c r="AA1700" s="15" t="n"/>
      <c r="AB1700" s="15" t="n"/>
    </row>
    <row r="1701" ht="15" customHeight="1" s="12">
      <c r="A1701" s="14" t="n">
        <v>1700</v>
      </c>
      <c r="B1701" s="16" t="n">
        <v>39665</v>
      </c>
      <c r="C1701" s="15" t="n">
        <v>2008</v>
      </c>
      <c r="D1701" s="15" t="inlineStr">
        <is>
          <t>Excel Infoways Limited</t>
        </is>
      </c>
      <c r="E1701" s="15" t="inlineStr">
        <is>
          <t>DRHP</t>
        </is>
      </c>
      <c r="F1701" s="15" t="inlineStr">
        <is>
          <t>Excel Infoways Limited</t>
        </is>
      </c>
      <c r="G1701" s="15" t="inlineStr">
        <is>
          <t>IPO launched</t>
        </is>
      </c>
      <c r="H1701" s="15" t="inlineStr">
        <is>
          <t>Mainboard</t>
        </is>
      </c>
      <c r="I1701" s="16" t="n">
        <v>40008</v>
      </c>
      <c r="J1701" s="16" t="n">
        <v>40011</v>
      </c>
      <c r="K1701" s="16" t="n">
        <v>40028</v>
      </c>
      <c r="L1701" s="17" t="n">
        <v>48.17</v>
      </c>
      <c r="M1701" s="17" t="n">
        <v>48.17</v>
      </c>
      <c r="N1701" s="17" t="n">
        <v>0</v>
      </c>
      <c r="O1701" s="15" t="inlineStr">
        <is>
          <t>Final issue (ipoplatform)</t>
        </is>
      </c>
      <c r="P1701" s="15" t="n"/>
      <c r="Q1701" s="18" t="inlineStr">
        <is>
          <t>https://www.sebi.gov.in/sebi_data/attachdocs/1291191378145.pdf</t>
        </is>
      </c>
      <c r="R1701" s="18" t="inlineStr">
        <is>
          <t>https://www.sebi.gov.in/filings/public-issues/aug-2008/excel-infoways-limited_6898.html</t>
        </is>
      </c>
      <c r="S1701" s="15" t="n"/>
      <c r="T1701" s="15" t="inlineStr">
        <is>
          <t>SEBI filing link</t>
        </is>
      </c>
      <c r="U1701" s="15" t="inlineStr">
        <is>
          <t>Excel Infoways Limited</t>
        </is>
      </c>
      <c r="V1701" s="15" t="n"/>
      <c r="W1701" s="15" t="n"/>
      <c r="X1701" s="15" t="n"/>
      <c r="Y1701" s="15" t="n"/>
      <c r="Z1701" s="15" t="n"/>
      <c r="AA1701" s="15" t="n"/>
      <c r="AB1701" s="15" t="n"/>
    </row>
    <row r="1702" ht="15" customHeight="1" s="12">
      <c r="A1702" s="14" t="n">
        <v>1701</v>
      </c>
      <c r="B1702" s="16" t="n">
        <v>39661</v>
      </c>
      <c r="C1702" s="15" t="n">
        <v>2008</v>
      </c>
      <c r="D1702" s="15" t="inlineStr">
        <is>
          <t>Radiant Info Systems Limited</t>
        </is>
      </c>
      <c r="E1702" s="15" t="inlineStr">
        <is>
          <t>DRHP</t>
        </is>
      </c>
      <c r="F1702" s="15" t="inlineStr">
        <is>
          <t>Radiant Info Systems Limited</t>
        </is>
      </c>
      <c r="G1702" s="15" t="inlineStr">
        <is>
          <t>No launched IPO found</t>
        </is>
      </c>
      <c r="H1702" s="15" t="n"/>
      <c r="I1702" s="16" t="n"/>
      <c r="J1702" s="16" t="n"/>
      <c r="K1702" s="16" t="n"/>
      <c r="L1702" s="17" t="n"/>
      <c r="M1702" s="17" t="n"/>
      <c r="N1702" s="17" t="n"/>
      <c r="O1702" s="15" t="n"/>
      <c r="P1702" s="15" t="n"/>
      <c r="Q1702" s="18" t="inlineStr">
        <is>
          <t>https://www.sebi.gov.in/sebi_data/attachdocs/1291190781534.pdf</t>
        </is>
      </c>
      <c r="R1702" s="18" t="inlineStr">
        <is>
          <t>https://www.sebi.gov.in/filings/public-issues/aug-2008/radiant-info-systems-limited_6886.html</t>
        </is>
      </c>
      <c r="S1702" s="15" t="n"/>
      <c r="T1702" s="15" t="n"/>
      <c r="U1702" s="15" t="n"/>
      <c r="V1702" s="15" t="n"/>
      <c r="W1702" s="16" t="n"/>
      <c r="X1702" s="16" t="n"/>
      <c r="Y1702" s="16" t="n"/>
      <c r="Z1702" s="15" t="inlineStr">
        <is>
          <t>No issue found</t>
        </is>
      </c>
      <c r="AA1702" s="15" t="inlineStr">
        <is>
          <t>Business Standard lists the company but shows no issue dates; web search limit reached</t>
        </is>
      </c>
      <c r="AB1702" s="18" t="inlineStr">
        <is>
          <t>https://www.business-standard.com/markets/ipo/radiant-info-systems-ltd-ipo-30138</t>
        </is>
      </c>
    </row>
    <row r="1703" ht="15" customHeight="1" s="12">
      <c r="A1703" s="14" t="n">
        <v>1702</v>
      </c>
      <c r="B1703" s="16" t="n">
        <v>39645</v>
      </c>
      <c r="C1703" s="15" t="n">
        <v>2008</v>
      </c>
      <c r="D1703" s="15" t="inlineStr">
        <is>
          <t>Persistent Systems Limited</t>
        </is>
      </c>
      <c r="E1703" s="15" t="inlineStr">
        <is>
          <t>DRHP</t>
        </is>
      </c>
      <c r="F1703" s="15" t="inlineStr">
        <is>
          <t>Persistent Systems Limited</t>
        </is>
      </c>
      <c r="G1703" s="15" t="inlineStr">
        <is>
          <t>IPO launched</t>
        </is>
      </c>
      <c r="H1703" s="15" t="inlineStr">
        <is>
          <t>Mainboard</t>
        </is>
      </c>
      <c r="I1703" s="16" t="n">
        <v>40254</v>
      </c>
      <c r="J1703" s="16" t="n">
        <v>40256</v>
      </c>
      <c r="K1703" s="16" t="n">
        <v>40274</v>
      </c>
      <c r="L1703" s="17" t="n">
        <v>168.01</v>
      </c>
      <c r="M1703" s="17" t="n">
        <v>168.01</v>
      </c>
      <c r="N1703" s="17" t="n">
        <v>0</v>
      </c>
      <c r="O1703" s="15" t="inlineStr">
        <is>
          <t>Final issue (ipoplatform)</t>
        </is>
      </c>
      <c r="P1703" s="15" t="n"/>
      <c r="Q1703" s="18" t="inlineStr">
        <is>
          <t>https://www.sebi.gov.in/sebi_data/attachdocs/1291261788010.pdf</t>
        </is>
      </c>
      <c r="R1703" s="18" t="inlineStr">
        <is>
          <t>https://www.sebi.gov.in/filings/public-issues/jul-2008/persistent-systems-limited_7098.html</t>
        </is>
      </c>
      <c r="S1703" s="15" t="n"/>
      <c r="T1703" s="15" t="inlineStr">
        <is>
          <t>Company name + date window</t>
        </is>
      </c>
      <c r="U1703" s="15" t="inlineStr">
        <is>
          <t>Persistent Systems Limited</t>
        </is>
      </c>
      <c r="V1703" s="15" t="n"/>
      <c r="W1703" s="15" t="n"/>
      <c r="X1703" s="15" t="n"/>
      <c r="Y1703" s="15" t="n"/>
      <c r="Z1703" s="15" t="n"/>
      <c r="AA1703" s="15" t="n"/>
      <c r="AB1703" s="15" t="n"/>
    </row>
    <row r="1704" ht="15" customHeight="1" s="12">
      <c r="A1704" s="14" t="n">
        <v>1703</v>
      </c>
      <c r="B1704" s="16" t="n">
        <v>39640</v>
      </c>
      <c r="C1704" s="15" t="n">
        <v>2008</v>
      </c>
      <c r="D1704" s="15" t="inlineStr">
        <is>
          <t>Gemini Engi - Fab Limited</t>
        </is>
      </c>
      <c r="E1704" s="15" t="inlineStr">
        <is>
          <t>DRHP</t>
        </is>
      </c>
      <c r="F1704" s="15" t="inlineStr">
        <is>
          <t>Gemini Engi - Fab Limited</t>
        </is>
      </c>
      <c r="G1704" s="15" t="inlineStr">
        <is>
          <t>No launched IPO found</t>
        </is>
      </c>
      <c r="H1704" s="15" t="n"/>
      <c r="I1704" s="16" t="n"/>
      <c r="J1704" s="16" t="n"/>
      <c r="K1704" s="16" t="n"/>
      <c r="L1704" s="17" t="n"/>
      <c r="M1704" s="17" t="n"/>
      <c r="N1704" s="17" t="n"/>
      <c r="O1704" s="15" t="n"/>
      <c r="P1704" s="15" t="n"/>
      <c r="Q1704" s="18" t="inlineStr">
        <is>
          <t>https://www.sebi.gov.in/sebi_data/attachdocs/1291261696994.pdf</t>
        </is>
      </c>
      <c r="R1704" s="18" t="inlineStr">
        <is>
          <t>https://www.sebi.gov.in/filings/public-issues/jul-2008/gemini-engi-fab-limited_7096.html</t>
        </is>
      </c>
      <c r="S1704" s="15" t="n"/>
      <c r="T1704" s="15" t="n"/>
      <c r="U1704" s="15" t="n"/>
      <c r="V1704" s="15" t="n"/>
      <c r="W1704" s="19" t="n">
        <v>39847</v>
      </c>
      <c r="X1704" s="19" t="n">
        <v>39850</v>
      </c>
      <c r="Y1704" s="19" t="n"/>
      <c r="Z1704" s="20" t="inlineStr">
        <is>
          <t>Issue opened</t>
        </is>
      </c>
      <c r="AA1704" s="15" t="inlineStr">
        <is>
          <t>Matched on chittorgarh.com</t>
        </is>
      </c>
      <c r="AB1704" s="18" t="inlineStr">
        <is>
          <t>https://www.chittorgarh.com/ipo/gemini_engi-fab_ipo/193/</t>
        </is>
      </c>
    </row>
    <row r="1705" ht="15" customHeight="1" s="12">
      <c r="A1705" s="14" t="n">
        <v>1704</v>
      </c>
      <c r="B1705" s="16" t="n">
        <v>39631</v>
      </c>
      <c r="C1705" s="15" t="n">
        <v>2008</v>
      </c>
      <c r="D1705" s="15" t="inlineStr">
        <is>
          <t>C Mahendra Exports Limited</t>
        </is>
      </c>
      <c r="E1705" s="15" t="inlineStr">
        <is>
          <t>DRHP</t>
        </is>
      </c>
      <c r="F1705" s="15" t="inlineStr">
        <is>
          <t>C Mahendra Exports Limited</t>
        </is>
      </c>
      <c r="G1705" s="15" t="inlineStr">
        <is>
          <t>No launched IPO found</t>
        </is>
      </c>
      <c r="H1705" s="15" t="n"/>
      <c r="I1705" s="16" t="n"/>
      <c r="J1705" s="16" t="n"/>
      <c r="K1705" s="16" t="n"/>
      <c r="L1705" s="17" t="n"/>
      <c r="M1705" s="17" t="n"/>
      <c r="N1705" s="17" t="n"/>
      <c r="O1705" s="15" t="n"/>
      <c r="P1705" s="15" t="n"/>
      <c r="Q1705" s="18" t="inlineStr">
        <is>
          <t>https://www.sebi.gov.in/sebi_data/attachdocs/1291261629163.pdf</t>
        </is>
      </c>
      <c r="R1705" s="18" t="inlineStr">
        <is>
          <t>https://www.sebi.gov.in/filings/public-issues/jul-2008/c-mahendra-exports-limited_7094.html</t>
        </is>
      </c>
      <c r="S1705" s="15" t="n"/>
      <c r="T1705" s="15" t="n"/>
      <c r="U1705" s="15" t="n"/>
      <c r="V1705" s="15" t="n"/>
      <c r="W1705" s="19" t="n">
        <v>40543</v>
      </c>
      <c r="X1705" s="19" t="n">
        <v>40549</v>
      </c>
      <c r="Y1705" s="19" t="n"/>
      <c r="Z1705" s="20" t="inlineStr">
        <is>
          <t>Issue opened</t>
        </is>
      </c>
      <c r="AA1705" s="15" t="inlineStr">
        <is>
          <t>Matched on chittorgarh.com</t>
        </is>
      </c>
      <c r="AB1705" s="18" t="inlineStr">
        <is>
          <t>https://www.chittorgarh.com/ipo/c_mahendra_ipo/290/</t>
        </is>
      </c>
    </row>
    <row r="1706" ht="15" customHeight="1" s="12">
      <c r="A1706" s="14" t="n">
        <v>1705</v>
      </c>
      <c r="B1706" s="16" t="n">
        <v>39629</v>
      </c>
      <c r="C1706" s="15" t="n">
        <v>2008</v>
      </c>
      <c r="D1706" s="15" t="inlineStr">
        <is>
          <t>Cellebrum Technologies Limited</t>
        </is>
      </c>
      <c r="E1706" s="15" t="inlineStr">
        <is>
          <t>DRHP</t>
        </is>
      </c>
      <c r="F1706" s="15" t="inlineStr">
        <is>
          <t>Cellebrum Technologies Limited</t>
        </is>
      </c>
      <c r="G1706" s="15" t="inlineStr">
        <is>
          <t>No launched IPO found</t>
        </is>
      </c>
      <c r="H1706" s="15" t="n"/>
      <c r="I1706" s="16" t="n"/>
      <c r="J1706" s="16" t="n"/>
      <c r="K1706" s="16" t="n"/>
      <c r="L1706" s="17" t="n"/>
      <c r="M1706" s="17" t="n"/>
      <c r="N1706" s="17" t="n"/>
      <c r="O1706" s="15" t="n"/>
      <c r="P1706" s="15" t="n"/>
      <c r="Q1706" s="18" t="inlineStr">
        <is>
          <t>https://www.sebi.gov.in/sebi_data/attachdocs/1291181165286.pdf</t>
        </is>
      </c>
      <c r="R1706" s="18" t="inlineStr">
        <is>
          <t>https://www.sebi.gov.in/filings/public-issues/jun-2008/cellebrum-technologies-limited_6788.html</t>
        </is>
      </c>
      <c r="S1706" s="15" t="n"/>
      <c r="T1706" s="15" t="n"/>
      <c r="U1706" s="15" t="n"/>
      <c r="V1706" s="15" t="n"/>
      <c r="W1706" s="16" t="n"/>
      <c r="X1706" s="16" t="n"/>
      <c r="Y1706" s="16" t="n"/>
      <c r="Z1706" s="15" t="inlineStr">
        <is>
          <t>No issue found</t>
        </is>
      </c>
      <c r="AA1706" s="15" t="inlineStr">
        <is>
          <t>Rs1,000cr IPO never launched; renamed Spice Digital 2009 (later DiGiSPICE group)</t>
        </is>
      </c>
      <c r="AB1706" s="18" t="inlineStr">
        <is>
          <t>https://www.medianama.com/2009/07/223-cellebrum-is-now-spice-digital-technology-arm-spun-off-as-spice-elabs/</t>
        </is>
      </c>
    </row>
    <row r="1707" ht="15" customHeight="1" s="12">
      <c r="A1707" s="14" t="n">
        <v>1706</v>
      </c>
      <c r="B1707" s="16" t="n">
        <v>39612</v>
      </c>
      <c r="C1707" s="15" t="n">
        <v>2008</v>
      </c>
      <c r="D1707" s="15" t="inlineStr">
        <is>
          <t>Raj Oil Mills Limited</t>
        </is>
      </c>
      <c r="E1707" s="15" t="inlineStr">
        <is>
          <t>DRHP</t>
        </is>
      </c>
      <c r="F1707" s="15" t="inlineStr">
        <is>
          <t>Raj Oil Mills Limited</t>
        </is>
      </c>
      <c r="G1707" s="15" t="inlineStr">
        <is>
          <t>IPO launched</t>
        </is>
      </c>
      <c r="H1707" s="15" t="inlineStr">
        <is>
          <t>Mainboard</t>
        </is>
      </c>
      <c r="I1707" s="16" t="n">
        <v>40014</v>
      </c>
      <c r="J1707" s="16" t="n">
        <v>40017</v>
      </c>
      <c r="K1707" s="16" t="n">
        <v>40037</v>
      </c>
      <c r="L1707" s="17" t="n">
        <v>114</v>
      </c>
      <c r="M1707" s="17" t="n">
        <v>114</v>
      </c>
      <c r="N1707" s="17" t="n">
        <v>0</v>
      </c>
      <c r="O1707" s="15" t="inlineStr">
        <is>
          <t>Final issue (ipoplatform)</t>
        </is>
      </c>
      <c r="P1707" s="15" t="n"/>
      <c r="Q1707" s="18" t="inlineStr">
        <is>
          <t>https://www.sebi.gov.in/sebi_data/attachdocs/1291180459889.pdf</t>
        </is>
      </c>
      <c r="R1707" s="18" t="inlineStr">
        <is>
          <t>https://www.sebi.gov.in/filings/public-issues/jun-2008/raj-oil-mills-limited_6782.html</t>
        </is>
      </c>
      <c r="S1707" s="15" t="n"/>
      <c r="T1707" s="15" t="inlineStr">
        <is>
          <t>SEBI filing link</t>
        </is>
      </c>
      <c r="U1707" s="15" t="inlineStr">
        <is>
          <t>Raj Oil Mills Limited</t>
        </is>
      </c>
      <c r="V1707" s="15" t="n"/>
      <c r="W1707" s="15" t="n"/>
      <c r="X1707" s="15" t="n"/>
      <c r="Y1707" s="15" t="n"/>
      <c r="Z1707" s="15" t="n"/>
      <c r="AA1707" s="15" t="n"/>
      <c r="AB1707" s="15" t="n"/>
    </row>
    <row r="1708" ht="15" customHeight="1" s="12">
      <c r="A1708" s="14" t="n">
        <v>1707</v>
      </c>
      <c r="B1708" s="16" t="n">
        <v>39604</v>
      </c>
      <c r="C1708" s="15" t="n">
        <v>2008</v>
      </c>
      <c r="D1708" s="15" t="inlineStr">
        <is>
          <t>Edserv Softsystems Limited</t>
        </is>
      </c>
      <c r="E1708" s="15" t="inlineStr">
        <is>
          <t>DRHP</t>
        </is>
      </c>
      <c r="F1708" s="15" t="inlineStr">
        <is>
          <t>Edserv Softsystems Limited</t>
        </is>
      </c>
      <c r="G1708" s="15" t="inlineStr">
        <is>
          <t>No launched IPO found</t>
        </is>
      </c>
      <c r="H1708" s="15" t="n"/>
      <c r="I1708" s="16" t="n"/>
      <c r="J1708" s="16" t="n"/>
      <c r="K1708" s="16" t="n"/>
      <c r="L1708" s="17" t="n"/>
      <c r="M1708" s="17" t="n"/>
      <c r="N1708" s="17" t="n"/>
      <c r="O1708" s="15" t="n"/>
      <c r="P1708" s="15" t="n"/>
      <c r="Q1708" s="18" t="inlineStr">
        <is>
          <t>https://www.sebi.gov.in/sebi_data/attachdocs/1291180264947.pdf</t>
        </is>
      </c>
      <c r="R1708" s="18" t="inlineStr">
        <is>
          <t>https://www.sebi.gov.in/filings/public-issues/jun-2008/edserv-softsystems-limited_6781.html</t>
        </is>
      </c>
      <c r="S1708" s="15" t="n"/>
      <c r="T1708" s="15" t="n"/>
      <c r="U1708" s="15" t="n"/>
      <c r="V1708" s="15" t="n"/>
      <c r="W1708" s="19" t="n">
        <v>39849</v>
      </c>
      <c r="X1708" s="19" t="n">
        <v>39853</v>
      </c>
      <c r="Y1708" s="19" t="n"/>
      <c r="Z1708" s="20" t="inlineStr">
        <is>
          <t>Issue opened</t>
        </is>
      </c>
      <c r="AA1708" s="15" t="inlineStr">
        <is>
          <t>Matched on chittorgarh.com</t>
        </is>
      </c>
      <c r="AB1708" s="18" t="inlineStr">
        <is>
          <t>https://www.chittorgarh.com/ipo/edserv_softsystems_ipo/194/</t>
        </is>
      </c>
    </row>
    <row r="1709" ht="15" customHeight="1" s="12">
      <c r="A1709" s="14" t="n">
        <v>1708</v>
      </c>
      <c r="B1709" s="16" t="n">
        <v>39603</v>
      </c>
      <c r="C1709" s="15" t="n">
        <v>2008</v>
      </c>
      <c r="D1709" s="15" t="inlineStr">
        <is>
          <t>Alkali Metals Ltd - Draft</t>
        </is>
      </c>
      <c r="E1709" s="15" t="inlineStr">
        <is>
          <t>DRHP</t>
        </is>
      </c>
      <c r="F1709" s="15" t="inlineStr">
        <is>
          <t>Alkali Metals Ltd - Draft RHP</t>
        </is>
      </c>
      <c r="G1709" s="15" t="inlineStr">
        <is>
          <t>IPO launched</t>
        </is>
      </c>
      <c r="H1709" s="15" t="inlineStr">
        <is>
          <t>Mainboard</t>
        </is>
      </c>
      <c r="I1709" s="16" t="n">
        <v>39728</v>
      </c>
      <c r="J1709" s="16" t="n">
        <v>39736</v>
      </c>
      <c r="K1709" s="16" t="n">
        <v>39758</v>
      </c>
      <c r="L1709" s="17" t="n">
        <v>26.27</v>
      </c>
      <c r="M1709" s="17" t="n">
        <v>26.27</v>
      </c>
      <c r="N1709" s="17" t="n">
        <v>0</v>
      </c>
      <c r="O1709" s="15" t="inlineStr">
        <is>
          <t>Final issue (ipoplatform)</t>
        </is>
      </c>
      <c r="P1709" s="15" t="n"/>
      <c r="Q1709" s="18" t="inlineStr">
        <is>
          <t>https://www.sebi.gov.in/sebi_data/attachdocs/1291180148713.pdf</t>
        </is>
      </c>
      <c r="R1709" s="18" t="inlineStr">
        <is>
          <t>https://www.sebi.gov.in/filings/public-issues/jun-2008/alkali-metals-ltd-draft-rhp_6779.html</t>
        </is>
      </c>
      <c r="S1709" s="15" t="n"/>
      <c r="T1709" s="15" t="inlineStr">
        <is>
          <t>SEBI filing link</t>
        </is>
      </c>
      <c r="U1709" s="15" t="inlineStr">
        <is>
          <t>Alkali Metals Limited</t>
        </is>
      </c>
      <c r="V1709" s="15" t="n"/>
      <c r="W1709" s="15" t="n"/>
      <c r="X1709" s="15" t="n"/>
      <c r="Y1709" s="15" t="n"/>
      <c r="Z1709" s="15" t="n"/>
      <c r="AA1709" s="15" t="n"/>
      <c r="AB1709" s="15" t="n"/>
    </row>
    <row r="1710" ht="15" customHeight="1" s="12">
      <c r="A1710" s="14" t="n">
        <v>1709</v>
      </c>
      <c r="B1710" s="16" t="n">
        <v>39602</v>
      </c>
      <c r="C1710" s="15" t="n">
        <v>2008</v>
      </c>
      <c r="D1710" s="15" t="inlineStr">
        <is>
          <t>Godrej Properties Limited</t>
        </is>
      </c>
      <c r="E1710" s="15" t="inlineStr">
        <is>
          <t>DRHP</t>
        </is>
      </c>
      <c r="F1710" s="15" t="inlineStr">
        <is>
          <t>Godrej Properties Limited</t>
        </is>
      </c>
      <c r="G1710" s="15" t="inlineStr">
        <is>
          <t>IPO launched</t>
        </is>
      </c>
      <c r="H1710" s="15" t="inlineStr">
        <is>
          <t>Mainboard</t>
        </is>
      </c>
      <c r="I1710" s="16" t="n">
        <v>40156</v>
      </c>
      <c r="J1710" s="16" t="n">
        <v>40158</v>
      </c>
      <c r="K1710" s="16" t="n">
        <v>40183</v>
      </c>
      <c r="L1710" s="17" t="n">
        <v>468.85</v>
      </c>
      <c r="M1710" s="17" t="n">
        <v>468.85</v>
      </c>
      <c r="N1710" s="17" t="n">
        <v>0</v>
      </c>
      <c r="O1710" s="15" t="inlineStr">
        <is>
          <t>Final issue (ipoplatform)</t>
        </is>
      </c>
      <c r="P1710" s="15" t="n"/>
      <c r="Q1710" s="18" t="inlineStr">
        <is>
          <t>https://www.sebi.gov.in/sebi_data/attachdocs/1291179466579.pdf</t>
        </is>
      </c>
      <c r="R1710" s="18" t="inlineStr">
        <is>
          <t>https://www.sebi.gov.in/filings/public-issues/jun-2008/godrej-properties-limited_6776.html</t>
        </is>
      </c>
      <c r="S1710" s="15" t="n"/>
      <c r="T1710" s="15" t="inlineStr">
        <is>
          <t>SEBI filing link</t>
        </is>
      </c>
      <c r="U1710" s="15" t="inlineStr">
        <is>
          <t>Godrej Properties Limited</t>
        </is>
      </c>
      <c r="V1710" s="15" t="n"/>
      <c r="W1710" s="15" t="n"/>
      <c r="X1710" s="15" t="n"/>
      <c r="Y1710" s="15" t="n"/>
      <c r="Z1710" s="15" t="n"/>
      <c r="AA1710" s="15" t="n"/>
      <c r="AB1710" s="15" t="n"/>
    </row>
    <row r="1711" ht="15" customHeight="1" s="12">
      <c r="A1711" s="14" t="n">
        <v>1710</v>
      </c>
      <c r="B1711" s="16" t="n">
        <v>39584</v>
      </c>
      <c r="C1711" s="15" t="n">
        <v>2008</v>
      </c>
      <c r="D1711" s="15" t="inlineStr">
        <is>
          <t>Triveni Infrastructure Development Company Limited</t>
        </is>
      </c>
      <c r="E1711" s="15" t="inlineStr">
        <is>
          <t>DRHP</t>
        </is>
      </c>
      <c r="F1711" s="15" t="inlineStr">
        <is>
          <t>Triveni Infrastructure Development Company Limited</t>
        </is>
      </c>
      <c r="G1711" s="15" t="inlineStr">
        <is>
          <t>No launched IPO found</t>
        </is>
      </c>
      <c r="H1711" s="15" t="n"/>
      <c r="I1711" s="16" t="n"/>
      <c r="J1711" s="16" t="n"/>
      <c r="K1711" s="16" t="n"/>
      <c r="L1711" s="17" t="n"/>
      <c r="M1711" s="17" t="n"/>
      <c r="N1711" s="17" t="n"/>
      <c r="O1711" s="15" t="n"/>
      <c r="P1711" s="15" t="n"/>
      <c r="Q1711" s="18" t="inlineStr">
        <is>
          <t>https://www.sebi.gov.in/sebi_data/attachdocs/1294994328308.pdf</t>
        </is>
      </c>
      <c r="R1711" s="18" t="inlineStr">
        <is>
          <t>https://www.sebi.gov.in/filings/public-issues/may-2008/triveni-infrastructure-development-company-limited_14282.html</t>
        </is>
      </c>
      <c r="S1711" s="15" t="n"/>
      <c r="T1711" s="15" t="n"/>
      <c r="U1711" s="15" t="n"/>
      <c r="V1711" s="15" t="n"/>
      <c r="W1711" s="16" t="n"/>
      <c r="X1711" s="16" t="n"/>
      <c r="Y1711" s="16" t="n"/>
      <c r="Z1711" s="15" t="inlineStr">
        <is>
          <t>No issue found</t>
        </is>
      </c>
      <c r="AA1711" s="15" t="inlineStr">
        <is>
          <t>Business Standard lists the company but shows no issue dates; web search limit reached</t>
        </is>
      </c>
      <c r="AB1711" s="18" t="inlineStr">
        <is>
          <t>https://www.business-standard.com/markets/ipo/triveni-infrastructure-development-company-ltd-ipo-29976</t>
        </is>
      </c>
    </row>
    <row r="1712" ht="15" customHeight="1" s="12">
      <c r="A1712" s="14" t="n">
        <v>1711</v>
      </c>
      <c r="B1712" s="16" t="n">
        <v>39580</v>
      </c>
      <c r="C1712" s="15" t="n">
        <v>2008</v>
      </c>
      <c r="D1712" s="15" t="inlineStr">
        <is>
          <t>Infinite Computer Solutions (India) Limited</t>
        </is>
      </c>
      <c r="E1712" s="15" t="inlineStr">
        <is>
          <t>DRHP</t>
        </is>
      </c>
      <c r="F1712" s="15" t="inlineStr">
        <is>
          <t>Infinite Computer Solutions (India) Limited</t>
        </is>
      </c>
      <c r="G1712" s="15" t="inlineStr">
        <is>
          <t>No launched IPO found</t>
        </is>
      </c>
      <c r="H1712" s="15" t="n"/>
      <c r="I1712" s="16" t="n"/>
      <c r="J1712" s="16" t="n"/>
      <c r="K1712" s="16" t="n"/>
      <c r="L1712" s="17" t="n"/>
      <c r="M1712" s="17" t="n"/>
      <c r="N1712" s="17" t="n"/>
      <c r="O1712" s="15" t="n"/>
      <c r="P1712" s="15" t="n"/>
      <c r="Q1712" s="18" t="inlineStr">
        <is>
          <t>https://www.sebi.gov.in/sebi_data/attachdocs/1291110089186.pdf</t>
        </is>
      </c>
      <c r="R1712" s="18" t="inlineStr">
        <is>
          <t>https://www.sebi.gov.in/filings/public-issues/may-2008/infinite-computer-solutions-india-limited_6585.html</t>
        </is>
      </c>
      <c r="S1712" s="15" t="n"/>
      <c r="T1712" s="15" t="n"/>
      <c r="U1712" s="15" t="n"/>
      <c r="V1712" s="15" t="n"/>
      <c r="W1712" s="19" t="n">
        <v>40189</v>
      </c>
      <c r="X1712" s="19" t="n">
        <v>40191</v>
      </c>
      <c r="Y1712" s="19" t="n">
        <v>40212</v>
      </c>
      <c r="Z1712" s="20" t="inlineStr">
        <is>
          <t>Issue opened</t>
        </is>
      </c>
      <c r="AA1712" s="15" t="inlineStr">
        <is>
          <t>Business Standard IPO page</t>
        </is>
      </c>
      <c r="AB1712" s="18" t="inlineStr">
        <is>
          <t>https://www.business-standard.com/markets/ipo/infinite-computer-solutions-india-ltd-ipo-29955</t>
        </is>
      </c>
    </row>
    <row r="1713" ht="15" customHeight="1" s="12">
      <c r="A1713" s="14" t="n">
        <v>1712</v>
      </c>
      <c r="B1713" s="16" t="n">
        <v>39577</v>
      </c>
      <c r="C1713" s="15" t="n">
        <v>2008</v>
      </c>
      <c r="D1713" s="15" t="inlineStr">
        <is>
          <t>Gini and Jony Limited</t>
        </is>
      </c>
      <c r="E1713" s="15" t="inlineStr">
        <is>
          <t>DRHP</t>
        </is>
      </c>
      <c r="F1713" s="15" t="inlineStr">
        <is>
          <t>Gini and Jony Limited</t>
        </is>
      </c>
      <c r="G1713" s="15" t="inlineStr">
        <is>
          <t>No launched IPO found</t>
        </is>
      </c>
      <c r="H1713" s="15" t="n"/>
      <c r="I1713" s="16" t="n"/>
      <c r="J1713" s="16" t="n"/>
      <c r="K1713" s="16" t="n"/>
      <c r="L1713" s="17" t="n"/>
      <c r="M1713" s="17" t="n"/>
      <c r="N1713" s="17" t="n"/>
      <c r="O1713" s="15" t="n"/>
      <c r="P1713" s="15" t="n"/>
      <c r="Q1713" s="18" t="inlineStr">
        <is>
          <t>https://www.sebi.gov.in/sebi_data/attachdocs/1291109983927.pdf</t>
        </is>
      </c>
      <c r="R1713" s="18" t="inlineStr">
        <is>
          <t>https://www.sebi.gov.in/filings/public-issues/may-2008/gini-and-jony-limited_6583.html</t>
        </is>
      </c>
      <c r="S1713" s="15" t="n"/>
      <c r="T1713" s="15" t="n"/>
      <c r="U1713" s="15" t="n"/>
      <c r="V1713" s="15" t="n"/>
      <c r="W1713" s="16" t="n"/>
      <c r="X1713" s="16" t="n"/>
      <c r="Y1713" s="16" t="n"/>
      <c r="Z1713" s="15" t="inlineStr">
        <is>
          <t>No issue found</t>
        </is>
      </c>
      <c r="AA1713" s="15" t="inlineStr">
        <is>
          <t>Business Standard lists the company but shows no issue dates; web search limit reached</t>
        </is>
      </c>
      <c r="AB1713" s="18" t="inlineStr">
        <is>
          <t>https://www.business-standard.com/markets/ipo/gini-jony-ltd-ipo-17811</t>
        </is>
      </c>
    </row>
    <row r="1714" ht="15" customHeight="1" s="12">
      <c r="A1714" s="14" t="n">
        <v>1713</v>
      </c>
      <c r="B1714" s="16" t="n">
        <v>39573</v>
      </c>
      <c r="C1714" s="15" t="n">
        <v>2008</v>
      </c>
      <c r="D1714" s="15" t="inlineStr">
        <is>
          <t>Adani Power Limited</t>
        </is>
      </c>
      <c r="E1714" s="15" t="inlineStr">
        <is>
          <t>DRHP</t>
        </is>
      </c>
      <c r="F1714" s="15" t="inlineStr">
        <is>
          <t>Adani Power Limited</t>
        </is>
      </c>
      <c r="G1714" s="15" t="inlineStr">
        <is>
          <t>IPO launched</t>
        </is>
      </c>
      <c r="H1714" s="15" t="inlineStr">
        <is>
          <t>Mainboard</t>
        </is>
      </c>
      <c r="I1714" s="16" t="n">
        <v>40022</v>
      </c>
      <c r="J1714" s="16" t="n">
        <v>40025</v>
      </c>
      <c r="K1714" s="16" t="n">
        <v>40045</v>
      </c>
      <c r="L1714" s="17" t="n">
        <v>3016.52</v>
      </c>
      <c r="M1714" s="17" t="n">
        <v>3016.52</v>
      </c>
      <c r="N1714" s="17" t="n">
        <v>0</v>
      </c>
      <c r="O1714" s="15" t="inlineStr">
        <is>
          <t>Final issue (ipoplatform)</t>
        </is>
      </c>
      <c r="P1714" s="15" t="n"/>
      <c r="Q1714" s="18" t="inlineStr">
        <is>
          <t>https://www.sebi.gov.in/sebi_data/attachdocs/1291109873170.pdf</t>
        </is>
      </c>
      <c r="R1714" s="18" t="inlineStr">
        <is>
          <t>https://www.sebi.gov.in/filings/public-issues/may-2008/adani-power-limited_6582.html</t>
        </is>
      </c>
      <c r="S1714" s="15" t="n"/>
      <c r="T1714" s="15" t="inlineStr">
        <is>
          <t>Company name + date window</t>
        </is>
      </c>
      <c r="U1714" s="15" t="inlineStr">
        <is>
          <t>Adani Power Limited</t>
        </is>
      </c>
      <c r="V1714" s="15" t="n"/>
      <c r="W1714" s="15" t="n"/>
      <c r="X1714" s="15" t="n"/>
      <c r="Y1714" s="15" t="n"/>
      <c r="Z1714" s="15" t="n"/>
      <c r="AA1714" s="15" t="n"/>
      <c r="AB1714" s="15" t="n"/>
    </row>
    <row r="1715" ht="15" customHeight="1" s="12">
      <c r="A1715" s="14" t="n">
        <v>1714</v>
      </c>
      <c r="B1715" s="16" t="n">
        <v>39568</v>
      </c>
      <c r="C1715" s="15" t="n">
        <v>2008</v>
      </c>
      <c r="D1715" s="15" t="inlineStr">
        <is>
          <t>Neoteric Infomatique Limited</t>
        </is>
      </c>
      <c r="E1715" s="15" t="inlineStr">
        <is>
          <t>DRHP</t>
        </is>
      </c>
      <c r="F1715" s="15" t="inlineStr">
        <is>
          <t>Neoteric Infomatique Limited</t>
        </is>
      </c>
      <c r="G1715" s="15" t="inlineStr">
        <is>
          <t>No launched IPO found</t>
        </is>
      </c>
      <c r="H1715" s="15" t="n"/>
      <c r="I1715" s="16" t="n"/>
      <c r="J1715" s="16" t="n"/>
      <c r="K1715" s="16" t="n"/>
      <c r="L1715" s="17" t="n"/>
      <c r="M1715" s="17" t="n"/>
      <c r="N1715" s="17" t="n"/>
      <c r="O1715" s="15" t="n"/>
      <c r="P1715" s="15" t="n"/>
      <c r="Q1715" s="18" t="inlineStr">
        <is>
          <t>https://www.sebi.gov.in/sebi_data/attachdocs/1291110628141.pdf</t>
        </is>
      </c>
      <c r="R1715" s="18" t="inlineStr">
        <is>
          <t>https://www.sebi.gov.in/filings/public-issues/apr-2008/neoteric-infomatique-limited_6588.html</t>
        </is>
      </c>
      <c r="S1715" s="15" t="n"/>
      <c r="T1715" s="15" t="n"/>
      <c r="U1715" s="15" t="n"/>
      <c r="V1715" s="15" t="n"/>
      <c r="W1715" s="16" t="n"/>
      <c r="X1715" s="16" t="n"/>
      <c r="Y1715" s="16" t="n"/>
      <c r="Z1715" s="15" t="inlineStr">
        <is>
          <t>No issue found</t>
        </is>
      </c>
      <c r="AA1715" s="15" t="inlineStr">
        <is>
          <t>IT distributor applied for Rs50-60cr IPO May 2008; no issue held, company unlisted</t>
        </is>
      </c>
      <c r="AB1715" s="18" t="inlineStr">
        <is>
          <t>https://www.dqchannels.com/neoteric-applies-for-ipo/</t>
        </is>
      </c>
    </row>
    <row r="1716" ht="15" customHeight="1" s="12">
      <c r="A1716" s="14" t="n">
        <v>1715</v>
      </c>
      <c r="B1716" s="16" t="n">
        <v>39568</v>
      </c>
      <c r="C1716" s="15" t="n">
        <v>2008</v>
      </c>
      <c r="D1716" s="15" t="inlineStr">
        <is>
          <t>Vijai Infrstructure Limited</t>
        </is>
      </c>
      <c r="E1716" s="15" t="inlineStr">
        <is>
          <t>DRHP</t>
        </is>
      </c>
      <c r="F1716" s="15" t="inlineStr">
        <is>
          <t>Vijai Infrstructure Limited</t>
        </is>
      </c>
      <c r="G1716" s="15" t="inlineStr">
        <is>
          <t>No launched IPO found</t>
        </is>
      </c>
      <c r="H1716" s="15" t="n"/>
      <c r="I1716" s="16" t="n"/>
      <c r="J1716" s="16" t="n"/>
      <c r="K1716" s="16" t="n"/>
      <c r="L1716" s="17" t="n"/>
      <c r="M1716" s="17" t="n"/>
      <c r="N1716" s="17" t="n"/>
      <c r="O1716" s="15" t="n"/>
      <c r="P1716" s="15" t="n"/>
      <c r="Q1716" s="18" t="inlineStr">
        <is>
          <t>https://www.sebi.gov.in/sebi_data/attachdocs/1291111052163.pdf</t>
        </is>
      </c>
      <c r="R1716" s="18" t="inlineStr">
        <is>
          <t>https://www.sebi.gov.in/filings/public-issues/apr-2008/vijai-infrstructure-limited_6592.html</t>
        </is>
      </c>
      <c r="S1716" s="15" t="n"/>
      <c r="T1716" s="15" t="n"/>
      <c r="U1716" s="15" t="n"/>
      <c r="V1716" s="15" t="n"/>
      <c r="W1716" s="16" t="n"/>
      <c r="X1716" s="16" t="n"/>
      <c r="Y1716" s="16" t="n"/>
      <c r="Z1716" s="15" t="inlineStr">
        <is>
          <t>No issue found</t>
        </is>
      </c>
      <c r="AA1716" s="15" t="inlineStr">
        <is>
          <t>Vijai Infrastructure Ltd (Lucknow); no IPO record; later went into insolvency</t>
        </is>
      </c>
      <c r="AB1716" s="18" t="inlineStr">
        <is>
          <t>https://insolvencyandbankruptcy.in/wp-content/uploads/2019/09/VIL-brief.pdf</t>
        </is>
      </c>
    </row>
    <row r="1717" ht="15" customHeight="1" s="12">
      <c r="A1717" s="14" t="n">
        <v>1716</v>
      </c>
      <c r="B1717" s="16" t="n">
        <v>39553</v>
      </c>
      <c r="C1717" s="15" t="n">
        <v>2008</v>
      </c>
      <c r="D1717" s="15" t="inlineStr">
        <is>
          <t>Ajanta Manufacturing Limited</t>
        </is>
      </c>
      <c r="E1717" s="15" t="inlineStr">
        <is>
          <t>DRHP</t>
        </is>
      </c>
      <c r="F1717" s="15" t="inlineStr">
        <is>
          <t>Ajanta Manufacturing Limited</t>
        </is>
      </c>
      <c r="G1717" s="15" t="inlineStr">
        <is>
          <t>No launched IPO found</t>
        </is>
      </c>
      <c r="H1717" s="15" t="n"/>
      <c r="I1717" s="16" t="n"/>
      <c r="J1717" s="16" t="n"/>
      <c r="K1717" s="16" t="n"/>
      <c r="L1717" s="17" t="n"/>
      <c r="M1717" s="17" t="n"/>
      <c r="N1717" s="17" t="n"/>
      <c r="O1717" s="15" t="n"/>
      <c r="P1717" s="15" t="n"/>
      <c r="Q1717" s="18" t="inlineStr">
        <is>
          <t>https://www.sebi.gov.in/sebi_data/attachdocs/1291109768704.pdf</t>
        </is>
      </c>
      <c r="R1717" s="18" t="inlineStr">
        <is>
          <t>https://www.sebi.gov.in/filings/public-issues/apr-2008/ajanta-manufacturing-limited_6581.html</t>
        </is>
      </c>
      <c r="S1717" s="15" t="n"/>
      <c r="T1717" s="15" t="n"/>
      <c r="U1717" s="15" t="n"/>
      <c r="V1717" s="15" t="n"/>
      <c r="W1717" s="16" t="n"/>
      <c r="X1717" s="16" t="n"/>
      <c r="Y1717" s="16" t="n"/>
      <c r="Z1717" s="15" t="inlineStr">
        <is>
          <t>Withdrawn / approval lapsed</t>
        </is>
      </c>
      <c r="AA1717" s="15" t="inlineStr">
        <is>
          <t>IPO (Orpat/Ajanta) DRHP withdrawn vide LM letter dated 2008-12-10</t>
        </is>
      </c>
      <c r="AB1717" s="18" t="inlineStr">
        <is>
          <t>https://www.sebi.gov.in/sebi_data/commondocs/Processing0809_h.html</t>
        </is>
      </c>
    </row>
    <row r="1718" ht="15" customHeight="1" s="12">
      <c r="A1718" s="14" t="n">
        <v>1717</v>
      </c>
      <c r="B1718" s="16" t="n">
        <v>39541</v>
      </c>
      <c r="C1718" s="15" t="n">
        <v>2008</v>
      </c>
      <c r="D1718" s="15" t="inlineStr">
        <is>
          <t>Rites Limited</t>
        </is>
      </c>
      <c r="E1718" s="15" t="inlineStr">
        <is>
          <t>DRHP</t>
        </is>
      </c>
      <c r="F1718" s="15" t="inlineStr">
        <is>
          <t>Rites Limited</t>
        </is>
      </c>
      <c r="G1718" s="15" t="inlineStr">
        <is>
          <t>No launched IPO found</t>
        </is>
      </c>
      <c r="H1718" s="15" t="n"/>
      <c r="I1718" s="16" t="n"/>
      <c r="J1718" s="16" t="n"/>
      <c r="K1718" s="16" t="n"/>
      <c r="L1718" s="17" t="n"/>
      <c r="M1718" s="17" t="n"/>
      <c r="N1718" s="17" t="n"/>
      <c r="O1718" s="15" t="n"/>
      <c r="P1718" s="15" t="n"/>
      <c r="Q1718" s="18" t="inlineStr">
        <is>
          <t>https://www.sebi.gov.in/sebi_data/attachdocs/1294995330166.pdf</t>
        </is>
      </c>
      <c r="R1718" s="18" t="inlineStr">
        <is>
          <t>https://www.sebi.gov.in/filings/public-issues/apr-2008/rites-limited_14283.html</t>
        </is>
      </c>
      <c r="S1718" s="15" t="n"/>
      <c r="T1718" s="15" t="n"/>
      <c r="U1718" s="15" t="n"/>
      <c r="V1718" s="15" t="inlineStr">
        <is>
          <t>Same-name IPO opened 20-Jun-2018 — outside 2 years of this filing, so not linked</t>
        </is>
      </c>
      <c r="W1718" s="25" t="n">
        <v>43271</v>
      </c>
      <c r="X1718" s="25" t="n">
        <v>43273</v>
      </c>
      <c r="Y1718" s="25" t="n">
        <v>43283</v>
      </c>
      <c r="Z1718" s="26" t="inlineStr">
        <is>
          <t>Later IPO — not from this draft</t>
        </is>
      </c>
      <c r="AA1718" s="15" t="inlineStr">
        <is>
          <t>Opened 10.2 yrs after this filing, under a later draft</t>
        </is>
      </c>
      <c r="AB1718" s="18" t="inlineStr">
        <is>
          <t>https://www.business-standard.com/markets/ipo/rites-ltd-ipo-24268</t>
        </is>
      </c>
    </row>
    <row r="1719" ht="15" customHeight="1" s="12">
      <c r="A1719" s="14" t="n">
        <v>1718</v>
      </c>
      <c r="B1719" s="16" t="n">
        <v>39540</v>
      </c>
      <c r="C1719" s="15" t="n">
        <v>2008</v>
      </c>
      <c r="D1719" s="15" t="inlineStr">
        <is>
          <t>VRL Logistics Limited</t>
        </is>
      </c>
      <c r="E1719" s="15" t="inlineStr">
        <is>
          <t>DRHP</t>
        </is>
      </c>
      <c r="F1719" s="15" t="inlineStr">
        <is>
          <t>VRL Logistics Limited</t>
        </is>
      </c>
      <c r="G1719" s="15" t="inlineStr">
        <is>
          <t>No launched IPO found</t>
        </is>
      </c>
      <c r="H1719" s="15" t="n"/>
      <c r="I1719" s="16" t="n"/>
      <c r="J1719" s="16" t="n"/>
      <c r="K1719" s="16" t="n"/>
      <c r="L1719" s="17" t="n"/>
      <c r="M1719" s="17" t="n"/>
      <c r="N1719" s="17" t="n"/>
      <c r="O1719" s="15" t="n"/>
      <c r="P1719" s="15" t="n"/>
      <c r="Q1719" s="18" t="inlineStr">
        <is>
          <t>https://www.sebi.gov.in/sebi_data/attachdocs/1291108929369.pdf</t>
        </is>
      </c>
      <c r="R1719" s="18" t="inlineStr">
        <is>
          <t>https://www.sebi.gov.in/filings/public-issues/apr-2008/vrl-logistics-limited_6576.html</t>
        </is>
      </c>
      <c r="S1719" s="15" t="n"/>
      <c r="T1719" s="15" t="n"/>
      <c r="U1719" s="15" t="n"/>
      <c r="V1719" s="15" t="inlineStr">
        <is>
          <t>Same-name IPO opened 15-Apr-2015 — outside 2 years of this filing, so not linked</t>
        </is>
      </c>
      <c r="W1719" s="25" t="n">
        <v>42109</v>
      </c>
      <c r="X1719" s="25" t="n">
        <v>42111</v>
      </c>
      <c r="Y1719" s="25" t="n">
        <v>42124</v>
      </c>
      <c r="Z1719" s="26" t="inlineStr">
        <is>
          <t>Later IPO — not from this draft</t>
        </is>
      </c>
      <c r="AA1719" s="15" t="inlineStr">
        <is>
          <t>Opened 7.0 yrs after this filing, under a later draft</t>
        </is>
      </c>
      <c r="AB1719" s="18" t="inlineStr">
        <is>
          <t>https://www.business-standard.com/markets/ipo/vrl-logistics-ltd-ipo-29776</t>
        </is>
      </c>
    </row>
    <row r="1720" ht="15" customHeight="1" s="12">
      <c r="A1720" s="14" t="n">
        <v>1719</v>
      </c>
      <c r="B1720" s="16" t="n">
        <v>39539</v>
      </c>
      <c r="C1720" s="15" t="n">
        <v>2008</v>
      </c>
      <c r="D1720" s="15" t="inlineStr">
        <is>
          <t>Bharat Oman Refineries Limited</t>
        </is>
      </c>
      <c r="E1720" s="15" t="inlineStr">
        <is>
          <t>DRHP</t>
        </is>
      </c>
      <c r="F1720" s="15" t="inlineStr">
        <is>
          <t>Bharat Oman Refineries Limited</t>
        </is>
      </c>
      <c r="G1720" s="15" t="inlineStr">
        <is>
          <t>No launched IPO found</t>
        </is>
      </c>
      <c r="H1720" s="15" t="n"/>
      <c r="I1720" s="16" t="n"/>
      <c r="J1720" s="16" t="n"/>
      <c r="K1720" s="16" t="n"/>
      <c r="L1720" s="17" t="n"/>
      <c r="M1720" s="17" t="n"/>
      <c r="N1720" s="17" t="n"/>
      <c r="O1720" s="15" t="n"/>
      <c r="P1720" s="15" t="n"/>
      <c r="Q1720" s="18" t="inlineStr">
        <is>
          <t>https://www.sebi.gov.in/sebi_data/attachdocs/1291108795623.pdf</t>
        </is>
      </c>
      <c r="R1720" s="18" t="inlineStr">
        <is>
          <t>https://www.sebi.gov.in/filings/public-issues/apr-2008/bharat-oman-refineries-limited_6575.html</t>
        </is>
      </c>
      <c r="S1720" s="15" t="n"/>
      <c r="T1720" s="15" t="n"/>
      <c r="U1720" s="15" t="n"/>
      <c r="V1720" s="15" t="n"/>
      <c r="W1720" s="16" t="n"/>
      <c r="X1720" s="16" t="n"/>
      <c r="Y1720" s="16" t="n"/>
      <c r="Z1720" s="15" t="inlineStr">
        <is>
          <t>Withdrawn / approval lapsed</t>
        </is>
      </c>
      <c r="AA1720" s="15" t="inlineStr">
        <is>
          <t>Board suspended IPO plan 26 Feb 2009 on volatile markets; never listed (merged into BPCL)</t>
        </is>
      </c>
      <c r="AB1720" s="18" t="inlineStr">
        <is>
          <t>https://www.business-standard.com/amp/article/companies/slump-in-market-forces-bharat-oman-to-defer-ipo-109030400048_1.html</t>
        </is>
      </c>
    </row>
    <row r="1721" ht="15" customHeight="1" s="12">
      <c r="A1721" s="14" t="n">
        <v>1720</v>
      </c>
      <c r="B1721" s="16" t="n">
        <v>39532</v>
      </c>
      <c r="C1721" s="15" t="n">
        <v>2008</v>
      </c>
      <c r="D1721" s="15" t="inlineStr">
        <is>
          <t>20 Microns Limited</t>
        </is>
      </c>
      <c r="E1721" s="15" t="inlineStr">
        <is>
          <t>DRHP</t>
        </is>
      </c>
      <c r="F1721" s="15" t="inlineStr">
        <is>
          <t>20 Microns Limited</t>
        </is>
      </c>
      <c r="G1721" s="15" t="inlineStr">
        <is>
          <t>IPO launched</t>
        </is>
      </c>
      <c r="H1721" s="15" t="inlineStr">
        <is>
          <t>Mainboard</t>
        </is>
      </c>
      <c r="I1721" s="16" t="n">
        <v>39699</v>
      </c>
      <c r="J1721" s="16" t="n">
        <v>39702</v>
      </c>
      <c r="K1721" s="16" t="n"/>
      <c r="L1721" s="17" t="n">
        <v>23.93</v>
      </c>
      <c r="M1721" s="17" t="n">
        <v>23.93</v>
      </c>
      <c r="N1721" s="17" t="n">
        <v>0</v>
      </c>
      <c r="O1721" s="15" t="inlineStr">
        <is>
          <t>Final issue (ipoplatform)</t>
        </is>
      </c>
      <c r="P1721" s="15" t="n"/>
      <c r="Q1721" s="18" t="inlineStr">
        <is>
          <t>https://www.sebi.gov.in/sebi_data/attachdocs/1291088258619.pdf</t>
        </is>
      </c>
      <c r="R1721" s="18" t="inlineStr">
        <is>
          <t>https://www.sebi.gov.in/filings/public-issues/mar-2008/20-microns-limited_6442.html</t>
        </is>
      </c>
      <c r="S1721" s="15" t="n"/>
      <c r="T1721" s="15" t="inlineStr">
        <is>
          <t>SEBI filing link</t>
        </is>
      </c>
      <c r="U1721" s="15" t="inlineStr">
        <is>
          <t>20 Microns Limited</t>
        </is>
      </c>
      <c r="V1721" s="15" t="inlineStr">
        <is>
          <t>CHECK — source close/listing date inconsistent with open date</t>
        </is>
      </c>
      <c r="W1721" s="15" t="n"/>
      <c r="X1721" s="15" t="n"/>
      <c r="Y1721" s="15" t="n"/>
      <c r="Z1721" s="15" t="n"/>
      <c r="AA1721" s="15" t="n"/>
      <c r="AB1721" s="15" t="n"/>
    </row>
    <row r="1722" ht="15" customHeight="1" s="12">
      <c r="A1722" s="14" t="n">
        <v>1721</v>
      </c>
      <c r="B1722" s="16" t="n">
        <v>39531</v>
      </c>
      <c r="C1722" s="15" t="n">
        <v>2008</v>
      </c>
      <c r="D1722" s="15" t="inlineStr">
        <is>
          <t>Chiripal Industries Limited</t>
        </is>
      </c>
      <c r="E1722" s="15" t="inlineStr">
        <is>
          <t>DRHP</t>
        </is>
      </c>
      <c r="F1722" s="15" t="inlineStr">
        <is>
          <t>Chiripal Industries Limited</t>
        </is>
      </c>
      <c r="G1722" s="15" t="inlineStr">
        <is>
          <t>No launched IPO found</t>
        </is>
      </c>
      <c r="H1722" s="15" t="n"/>
      <c r="I1722" s="16" t="n"/>
      <c r="J1722" s="16" t="n"/>
      <c r="K1722" s="16" t="n"/>
      <c r="L1722" s="17" t="n"/>
      <c r="M1722" s="17" t="n"/>
      <c r="N1722" s="17" t="n"/>
      <c r="O1722" s="15" t="n"/>
      <c r="P1722" s="15" t="n"/>
      <c r="Q1722" s="18" t="inlineStr">
        <is>
          <t>https://www.sebi.gov.in/sebi_data/attachdocs/1291087845956.pdf</t>
        </is>
      </c>
      <c r="R1722" s="18" t="inlineStr">
        <is>
          <t>https://www.sebi.gov.in/filings/public-issues/mar-2008/chiripal-industries-limited_6441.html</t>
        </is>
      </c>
      <c r="S1722" s="15" t="n"/>
      <c r="T1722" s="15" t="n"/>
      <c r="U1722" s="15" t="n"/>
      <c r="V1722" s="15" t="n"/>
      <c r="W1722" s="16" t="n"/>
      <c r="X1722" s="16" t="n"/>
      <c r="Y1722" s="16" t="n"/>
      <c r="Z1722" s="15" t="inlineStr">
        <is>
          <t>No issue found</t>
        </is>
      </c>
      <c r="AA1722" s="15" t="inlineStr">
        <is>
          <t>Business Standard lists the company but shows no issue dates; web search limit reached</t>
        </is>
      </c>
      <c r="AB1722" s="18" t="inlineStr">
        <is>
          <t>https://www.business-standard.com/markets/ipo/chiripal-industries-ltd-ipo-29674</t>
        </is>
      </c>
    </row>
    <row r="1723" ht="15" customHeight="1" s="12">
      <c r="A1723" s="14" t="n">
        <v>1722</v>
      </c>
      <c r="B1723" s="16" t="n">
        <v>39526</v>
      </c>
      <c r="C1723" s="15" t="n">
        <v>2008</v>
      </c>
      <c r="D1723" s="15" t="inlineStr">
        <is>
          <t>Apollo Health Street Limited</t>
        </is>
      </c>
      <c r="E1723" s="15" t="inlineStr">
        <is>
          <t>DRHP</t>
        </is>
      </c>
      <c r="F1723" s="15" t="inlineStr">
        <is>
          <t>Apollo Health Street Limited</t>
        </is>
      </c>
      <c r="G1723" s="15" t="inlineStr">
        <is>
          <t>No launched IPO found</t>
        </is>
      </c>
      <c r="H1723" s="15" t="n"/>
      <c r="I1723" s="16" t="n"/>
      <c r="J1723" s="16" t="n"/>
      <c r="K1723" s="16" t="n"/>
      <c r="L1723" s="17" t="n"/>
      <c r="M1723" s="17" t="n"/>
      <c r="N1723" s="17" t="n"/>
      <c r="O1723" s="15" t="n"/>
      <c r="P1723" s="15" t="n"/>
      <c r="Q1723" s="18" t="inlineStr">
        <is>
          <t>https://www.sebi.gov.in/sebi_data/attachdocs/1291029100115.pdf</t>
        </is>
      </c>
      <c r="R1723" s="18" t="inlineStr">
        <is>
          <t>https://www.sebi.gov.in/filings/public-issues/mar-2008/apollo-health-street-limited_6438.html</t>
        </is>
      </c>
      <c r="S1723" s="15" t="n"/>
      <c r="T1723" s="15" t="n"/>
      <c r="U1723" s="15" t="n"/>
      <c r="V1723" s="15" t="n"/>
      <c r="W1723" s="16" t="n"/>
      <c r="X1723" s="16" t="n"/>
      <c r="Y1723" s="16" t="n"/>
      <c r="Z1723" s="15" t="inlineStr">
        <is>
          <t>No issue found</t>
        </is>
      </c>
      <c r="AA1723" s="15" t="inlineStr">
        <is>
          <t>65 lakh-share IPO (ICICI Sec/Edelweiss) never opened; company stayed unlisted</t>
        </is>
      </c>
      <c r="AB1723" s="18" t="inlineStr">
        <is>
          <t>https://www.business-standard.com/article/companies/apollo-health-street-plans-to-raise-momey-through-ipo-108081100048_1.html</t>
        </is>
      </c>
    </row>
    <row r="1724" ht="15" customHeight="1" s="12">
      <c r="A1724" s="14" t="n">
        <v>1723</v>
      </c>
      <c r="B1724" s="16" t="n">
        <v>39520</v>
      </c>
      <c r="C1724" s="15" t="n">
        <v>2008</v>
      </c>
      <c r="D1724" s="15" t="inlineStr">
        <is>
          <t>Vishal Information Technologies Limited</t>
        </is>
      </c>
      <c r="E1724" s="15" t="inlineStr">
        <is>
          <t>DRHP</t>
        </is>
      </c>
      <c r="F1724" s="15" t="inlineStr">
        <is>
          <t>Vishal Information Technologies Limited</t>
        </is>
      </c>
      <c r="G1724" s="15" t="inlineStr">
        <is>
          <t>No launched IPO found</t>
        </is>
      </c>
      <c r="H1724" s="15" t="n"/>
      <c r="I1724" s="16" t="n"/>
      <c r="J1724" s="16" t="n"/>
      <c r="K1724" s="16" t="n"/>
      <c r="L1724" s="17" t="n"/>
      <c r="M1724" s="17" t="n"/>
      <c r="N1724" s="17" t="n"/>
      <c r="O1724" s="15" t="n"/>
      <c r="P1724" s="15" t="n"/>
      <c r="Q1724" s="18" t="inlineStr">
        <is>
          <t>https://www.sebi.gov.in/sebi_data/attachdocs/1291027060110.pdf</t>
        </is>
      </c>
      <c r="R1724" s="18" t="inlineStr">
        <is>
          <t>https://www.sebi.gov.in/filings/public-issues/mar-2008/vishal-information-technologies-limited_6424.html</t>
        </is>
      </c>
      <c r="S1724" s="15" t="n"/>
      <c r="T1724" s="15" t="n"/>
      <c r="U1724" s="15" t="n"/>
      <c r="V1724" s="15" t="n"/>
      <c r="W1724" s="19" t="n">
        <v>39650</v>
      </c>
      <c r="X1724" s="19" t="n">
        <v>39653</v>
      </c>
      <c r="Y1724" s="19" t="n"/>
      <c r="Z1724" s="20" t="inlineStr">
        <is>
          <t>Issue opened</t>
        </is>
      </c>
      <c r="AA1724" s="15" t="inlineStr">
        <is>
          <t>Matched on chittorgarh.com</t>
        </is>
      </c>
      <c r="AB1724" s="18" t="inlineStr">
        <is>
          <t>https://www.chittorgarh.com/ipo/vishal_information_ipo/186/</t>
        </is>
      </c>
    </row>
    <row r="1725" ht="15" customHeight="1" s="12">
      <c r="A1725" s="14" t="n">
        <v>1724</v>
      </c>
      <c r="B1725" s="16" t="n">
        <v>39512</v>
      </c>
      <c r="C1725" s="15" t="n">
        <v>2008</v>
      </c>
      <c r="D1725" s="15" t="inlineStr">
        <is>
          <t>Fineotex Chemical Limited</t>
        </is>
      </c>
      <c r="E1725" s="15" t="inlineStr">
        <is>
          <t>DRHP</t>
        </is>
      </c>
      <c r="F1725" s="15" t="inlineStr">
        <is>
          <t>Fineotex Chemical Limited</t>
        </is>
      </c>
      <c r="G1725" s="15" t="inlineStr">
        <is>
          <t>No launched IPO found</t>
        </is>
      </c>
      <c r="H1725" s="15" t="n"/>
      <c r="I1725" s="16" t="n"/>
      <c r="J1725" s="16" t="n"/>
      <c r="K1725" s="16" t="n"/>
      <c r="L1725" s="17" t="n"/>
      <c r="M1725" s="17" t="n"/>
      <c r="N1725" s="17" t="n"/>
      <c r="O1725" s="15" t="n"/>
      <c r="P1725" s="15" t="n"/>
      <c r="Q1725" s="18" t="inlineStr">
        <is>
          <t>https://www.sebi.gov.in/sebi_data/attachdocs/1291026933616.pdf</t>
        </is>
      </c>
      <c r="R1725" s="18" t="inlineStr">
        <is>
          <t>https://www.sebi.gov.in/filings/public-issues/mar-2008/fineotex-chemical-limited_6422.html</t>
        </is>
      </c>
      <c r="S1725" s="15" t="n"/>
      <c r="T1725" s="15" t="n"/>
      <c r="U1725" s="15" t="n"/>
      <c r="V1725" s="15" t="inlineStr">
        <is>
          <t>Same-name IPO opened 23-Feb-2011 — outside 2 years of this filing, so not linked</t>
        </is>
      </c>
      <c r="W1725" s="19" t="n">
        <v>40597</v>
      </c>
      <c r="X1725" s="19" t="n">
        <v>40599</v>
      </c>
      <c r="Y1725" s="19" t="n"/>
      <c r="Z1725" s="20" t="inlineStr">
        <is>
          <t>Issue opened</t>
        </is>
      </c>
      <c r="AA1725" s="15" t="inlineStr">
        <is>
          <t>Matched on chittorgarh.com</t>
        </is>
      </c>
      <c r="AB1725" s="18" t="inlineStr">
        <is>
          <t>https://www.chittorgarh.com/ipo/fineotex_ipo/294/</t>
        </is>
      </c>
    </row>
    <row r="1726" ht="15" customHeight="1" s="12">
      <c r="A1726" s="14" t="n">
        <v>1725</v>
      </c>
      <c r="B1726" s="16" t="n">
        <v>39504</v>
      </c>
      <c r="C1726" s="15" t="n">
        <v>2008</v>
      </c>
      <c r="D1726" s="15" t="inlineStr">
        <is>
          <t>ARSS Infrastructure Projects Limited</t>
        </is>
      </c>
      <c r="E1726" s="15" t="inlineStr">
        <is>
          <t>DRHP</t>
        </is>
      </c>
      <c r="F1726" s="15" t="inlineStr">
        <is>
          <t>ARSS Infrastructure Projects Limited</t>
        </is>
      </c>
      <c r="G1726" s="15" t="inlineStr">
        <is>
          <t>IPO launched</t>
        </is>
      </c>
      <c r="H1726" s="15" t="inlineStr">
        <is>
          <t>Mainboard</t>
        </is>
      </c>
      <c r="I1726" s="16" t="n">
        <v>40217</v>
      </c>
      <c r="J1726" s="16" t="n">
        <v>40220</v>
      </c>
      <c r="K1726" s="16" t="n">
        <v>40240</v>
      </c>
      <c r="L1726" s="17" t="n">
        <v>103</v>
      </c>
      <c r="M1726" s="17" t="n">
        <v>103</v>
      </c>
      <c r="N1726" s="17" t="n">
        <v>0</v>
      </c>
      <c r="O1726" s="15" t="inlineStr">
        <is>
          <t>Final issue (ipoplatform)</t>
        </is>
      </c>
      <c r="P1726" s="15" t="n"/>
      <c r="Q1726" s="18" t="inlineStr">
        <is>
          <t>https://www.sebi.gov.in/sebi_data/attachdocs/1290848411542.pdf</t>
        </is>
      </c>
      <c r="R1726" s="18" t="inlineStr">
        <is>
          <t>https://www.sebi.gov.in/filings/public-issues/feb-2008/arss-infrastructure-projects-limited_6240.html</t>
        </is>
      </c>
      <c r="S1726" s="15" t="n"/>
      <c r="T1726" s="15" t="inlineStr">
        <is>
          <t>SEBI filing link</t>
        </is>
      </c>
      <c r="U1726" s="15" t="inlineStr">
        <is>
          <t>ARSS Infrastructure Projects Limited</t>
        </is>
      </c>
      <c r="V1726" s="15" t="n"/>
      <c r="W1726" s="15" t="n"/>
      <c r="X1726" s="15" t="n"/>
      <c r="Y1726" s="15" t="n"/>
      <c r="Z1726" s="15" t="n"/>
      <c r="AA1726" s="15" t="n"/>
      <c r="AB1726" s="15" t="n"/>
    </row>
    <row r="1727" ht="15" customHeight="1" s="12">
      <c r="A1727" s="14" t="n">
        <v>1726</v>
      </c>
      <c r="B1727" s="16" t="n">
        <v>39503</v>
      </c>
      <c r="C1727" s="15" t="n">
        <v>2008</v>
      </c>
      <c r="D1727" s="15" t="inlineStr">
        <is>
          <t>Future Ventures India Limited</t>
        </is>
      </c>
      <c r="E1727" s="15" t="inlineStr">
        <is>
          <t>DRHP</t>
        </is>
      </c>
      <c r="F1727" s="15" t="inlineStr">
        <is>
          <t>Future Ventures India Limited</t>
        </is>
      </c>
      <c r="G1727" s="15" t="inlineStr">
        <is>
          <t>No launched IPO found</t>
        </is>
      </c>
      <c r="H1727" s="15" t="n"/>
      <c r="I1727" s="16" t="n"/>
      <c r="J1727" s="16" t="n"/>
      <c r="K1727" s="16" t="n"/>
      <c r="L1727" s="17" t="n"/>
      <c r="M1727" s="17" t="n"/>
      <c r="N1727" s="17" t="n"/>
      <c r="O1727" s="15" t="n"/>
      <c r="P1727" s="15" t="n"/>
      <c r="Q1727" s="18" t="inlineStr">
        <is>
          <t>https://www.sebi.gov.in/sebi_data/attachdocs/1290848247121.pdf</t>
        </is>
      </c>
      <c r="R1727" s="18" t="inlineStr">
        <is>
          <t>https://www.sebi.gov.in/filings/public-issues/feb-2008/future-ventures-india-limited_6239.html</t>
        </is>
      </c>
      <c r="S1727" s="15" t="n"/>
      <c r="T1727" s="15" t="n"/>
      <c r="U1727" s="15" t="n"/>
      <c r="V1727" s="15" t="n"/>
      <c r="W1727" s="25" t="n">
        <v>40658</v>
      </c>
      <c r="X1727" s="25" t="n">
        <v>40661</v>
      </c>
      <c r="Y1727" s="25" t="n"/>
      <c r="Z1727" s="26" t="inlineStr">
        <is>
          <t>Later IPO — not from this draft</t>
        </is>
      </c>
      <c r="AA1727" s="15" t="inlineStr">
        <is>
          <t>Opened 3.2 yrs after this filing, under a later draft</t>
        </is>
      </c>
      <c r="AB1727" s="18" t="inlineStr">
        <is>
          <t>https://www.chittorgarh.com/ipo/future_ventures_ipo/304/</t>
        </is>
      </c>
    </row>
    <row r="1728" ht="15" customHeight="1" s="12">
      <c r="A1728" s="14" t="n">
        <v>1727</v>
      </c>
      <c r="B1728" s="16" t="n">
        <v>39500</v>
      </c>
      <c r="C1728" s="15" t="n">
        <v>2008</v>
      </c>
      <c r="D1728" s="15" t="inlineStr">
        <is>
          <t>Multi Commodity Exchange of India Limited</t>
        </is>
      </c>
      <c r="E1728" s="15" t="inlineStr">
        <is>
          <t>DRHP</t>
        </is>
      </c>
      <c r="F1728" s="15" t="inlineStr">
        <is>
          <t>Multi Commodity Exchange of India Limited</t>
        </is>
      </c>
      <c r="G1728" s="15" t="inlineStr">
        <is>
          <t>No launched IPO found</t>
        </is>
      </c>
      <c r="H1728" s="15" t="n"/>
      <c r="I1728" s="16" t="n"/>
      <c r="J1728" s="16" t="n"/>
      <c r="K1728" s="16" t="n"/>
      <c r="L1728" s="17" t="n"/>
      <c r="M1728" s="17" t="n"/>
      <c r="N1728" s="17" t="n"/>
      <c r="O1728" s="15" t="n"/>
      <c r="P1728" s="15" t="n"/>
      <c r="Q1728" s="18" t="inlineStr">
        <is>
          <t>https://www.sebi.gov.in/sebi_data/attachdocs/1290847965110.pdf</t>
        </is>
      </c>
      <c r="R1728" s="18" t="inlineStr">
        <is>
          <t>https://www.sebi.gov.in/filings/public-issues/feb-2008/multi-commodity-exchange-of-india-limited_6238.html</t>
        </is>
      </c>
      <c r="S1728" s="15" t="n"/>
      <c r="T1728" s="15" t="n"/>
      <c r="U1728" s="15" t="n"/>
      <c r="V1728" s="15" t="inlineStr">
        <is>
          <t>Same-name IPO opened 22-Feb-2012 — outside 2 years of this filing, so not linked</t>
        </is>
      </c>
      <c r="W1728" s="25" t="n">
        <v>40961</v>
      </c>
      <c r="X1728" s="25" t="n">
        <v>40963</v>
      </c>
      <c r="Y1728" s="25" t="n">
        <v>40977</v>
      </c>
      <c r="Z1728" s="26" t="inlineStr">
        <is>
          <t>Later IPO — not from this draft</t>
        </is>
      </c>
      <c r="AA1728" s="15" t="inlineStr">
        <is>
          <t>Opened 4.0 yrs after this filing, under a later draft</t>
        </is>
      </c>
      <c r="AB1728" s="18" t="inlineStr">
        <is>
          <t>https://www.business-standard.com/markets/ipo/multi-commodity-exchange-of-india-ipo-25746</t>
        </is>
      </c>
    </row>
    <row r="1729" ht="15" customHeight="1" s="12">
      <c r="A1729" s="14" t="n">
        <v>1728</v>
      </c>
      <c r="B1729" s="16" t="n">
        <v>39492</v>
      </c>
      <c r="C1729" s="15" t="n">
        <v>2008</v>
      </c>
      <c r="D1729" s="15" t="inlineStr">
        <is>
          <t>KSK Energy Ventures Limited</t>
        </is>
      </c>
      <c r="E1729" s="15" t="inlineStr">
        <is>
          <t>DRHP</t>
        </is>
      </c>
      <c r="F1729" s="15" t="inlineStr">
        <is>
          <t>KSK Energy Ventures Limited</t>
        </is>
      </c>
      <c r="G1729" s="15" t="inlineStr">
        <is>
          <t>IPO launched</t>
        </is>
      </c>
      <c r="H1729" s="15" t="inlineStr">
        <is>
          <t>Mainboard</t>
        </is>
      </c>
      <c r="I1729" s="16" t="n">
        <v>39622</v>
      </c>
      <c r="J1729" s="16" t="n">
        <v>39624</v>
      </c>
      <c r="K1729" s="16" t="n">
        <v>39643</v>
      </c>
      <c r="L1729" s="17" t="n">
        <v>830.66</v>
      </c>
      <c r="M1729" s="17" t="n">
        <v>830.66</v>
      </c>
      <c r="N1729" s="17" t="n">
        <v>0</v>
      </c>
      <c r="O1729" s="15" t="inlineStr">
        <is>
          <t>Final issue (ipoplatform)</t>
        </is>
      </c>
      <c r="P1729" s="15" t="n"/>
      <c r="Q1729" s="18" t="inlineStr">
        <is>
          <t>https://www.sebi.gov.in/sebi_data/attachdocs/1290847864974.pdf</t>
        </is>
      </c>
      <c r="R1729" s="18" t="inlineStr">
        <is>
          <t>https://www.sebi.gov.in/filings/public-issues/feb-2008/ksk-energy-ventures-limited_6237.html</t>
        </is>
      </c>
      <c r="S1729" s="15" t="n"/>
      <c r="T1729" s="15" t="inlineStr">
        <is>
          <t>SEBI filing link</t>
        </is>
      </c>
      <c r="U1729" s="15" t="inlineStr">
        <is>
          <t>KSK Energy Ventures Limited</t>
        </is>
      </c>
      <c r="V1729" s="15" t="n"/>
      <c r="W1729" s="15" t="n"/>
      <c r="X1729" s="15" t="n"/>
      <c r="Y1729" s="15" t="n"/>
      <c r="Z1729" s="15" t="n"/>
      <c r="AA1729" s="15" t="n"/>
      <c r="AB1729" s="15" t="n"/>
    </row>
    <row r="1730" ht="15" customHeight="1" s="12">
      <c r="A1730" s="14" t="n">
        <v>1729</v>
      </c>
      <c r="B1730" s="16" t="n">
        <v>39486</v>
      </c>
      <c r="C1730" s="15" t="n">
        <v>2008</v>
      </c>
      <c r="D1730" s="15" t="inlineStr">
        <is>
          <t>Emaar MGF Land Limited - Public Issue - Revised Issue Ad</t>
        </is>
      </c>
      <c r="E1730" s="15" t="inlineStr">
        <is>
          <t>DRHP</t>
        </is>
      </c>
      <c r="F1730" s="15" t="inlineStr">
        <is>
          <t>Emaar MGF Land Limited - Public Issue - Revised Issue Ad</t>
        </is>
      </c>
      <c r="G1730" s="15" t="inlineStr">
        <is>
          <t>No launched IPO found</t>
        </is>
      </c>
      <c r="H1730" s="15" t="n"/>
      <c r="I1730" s="16" t="n"/>
      <c r="J1730" s="16" t="n"/>
      <c r="K1730" s="16" t="n"/>
      <c r="L1730" s="17" t="n"/>
      <c r="M1730" s="17" t="n"/>
      <c r="N1730" s="17" t="n"/>
      <c r="O1730" s="15" t="n"/>
      <c r="P1730" s="15" t="n"/>
      <c r="Q1730" s="18" t="inlineStr">
        <is>
          <t>https://www.sebi.gov.in/sebi_data/attachdocs/1290847747772.pdf</t>
        </is>
      </c>
      <c r="R1730" s="18" t="inlineStr">
        <is>
          <t>https://www.sebi.gov.in/filings/public-issues/feb-2008/emaar-mgf-land-limited-public-issue-revised-issue-ad_6236.html</t>
        </is>
      </c>
      <c r="S1730" s="15" t="n"/>
      <c r="T1730" s="15" t="n"/>
      <c r="U1730" s="15" t="n"/>
      <c r="V1730" s="15" t="n"/>
      <c r="W1730" s="16" t="n"/>
      <c r="X1730" s="16" t="n"/>
      <c r="Y1730" s="16" t="n"/>
      <c r="Z1730" s="15" t="inlineStr">
        <is>
          <t>Withdrawn / approval lapsed</t>
        </is>
      </c>
      <c r="AA1730" s="15" t="inlineStr">
        <is>
          <t>Opened 2008-02-01, scheduled close 2008-02-11; withdrawn by lead managers, never listed.</t>
        </is>
      </c>
      <c r="AB1730" s="18" t="inlineStr">
        <is>
          <t>https://www.chittorgarh.com/ipo/mgf_ipo/152/</t>
        </is>
      </c>
    </row>
    <row r="1731" ht="15" customHeight="1" s="12">
      <c r="A1731" s="14" t="n">
        <v>1730</v>
      </c>
      <c r="B1731" s="16" t="n">
        <v>39485</v>
      </c>
      <c r="C1731" s="15" t="n">
        <v>2008</v>
      </c>
      <c r="D1731" s="15" t="inlineStr">
        <is>
          <t>Century Extrusions Limited</t>
        </is>
      </c>
      <c r="E1731" s="15" t="inlineStr">
        <is>
          <t>DRHP</t>
        </is>
      </c>
      <c r="F1731" s="15" t="inlineStr">
        <is>
          <t>Century Extrusions Limited</t>
        </is>
      </c>
      <c r="G1731" s="15" t="inlineStr">
        <is>
          <t>No launched IPO found</t>
        </is>
      </c>
      <c r="H1731" s="15" t="n"/>
      <c r="I1731" s="16" t="n"/>
      <c r="J1731" s="16" t="n"/>
      <c r="K1731" s="16" t="n"/>
      <c r="L1731" s="17" t="n"/>
      <c r="M1731" s="17" t="n"/>
      <c r="N1731" s="17" t="n"/>
      <c r="O1731" s="15" t="n"/>
      <c r="P1731" s="15" t="n"/>
      <c r="Q1731" s="18" t="inlineStr">
        <is>
          <t>https://www.sebi.gov.in/sebi_data/attachdocs/1290847602931.pdf</t>
        </is>
      </c>
      <c r="R1731" s="18" t="inlineStr">
        <is>
          <t>https://www.sebi.gov.in/filings/public-issues/feb-2008/century-extrusions-limited_6235.html</t>
        </is>
      </c>
      <c r="S1731" s="15" t="n"/>
      <c r="T1731" s="15" t="n"/>
      <c r="U1731" s="15" t="n"/>
      <c r="V1731" s="15" t="n"/>
      <c r="W1731" s="16" t="n"/>
      <c r="X1731" s="16" t="n"/>
      <c r="Y1731" s="16" t="n"/>
      <c r="Z1731" s="15" t="inlineStr">
        <is>
          <t>No issue found</t>
        </is>
      </c>
      <c r="AA1731" s="15" t="inlineStr">
        <is>
          <t>Already listed; both drafts were rights issues, not IPO/FPO (ex-rights 17-Aug-2005; record date 26-May-2008)</t>
        </is>
      </c>
      <c r="AB1731" s="18" t="inlineStr">
        <is>
          <t>https://www.goodreturns.in/company/century-extrusions/rights.html</t>
        </is>
      </c>
    </row>
    <row r="1732" ht="15" customHeight="1" s="12">
      <c r="A1732" s="14" t="n">
        <v>1731</v>
      </c>
      <c r="B1732" s="16" t="n">
        <v>39484</v>
      </c>
      <c r="C1732" s="15" t="n">
        <v>2008</v>
      </c>
      <c r="D1732" s="15" t="inlineStr">
        <is>
          <t>Microsec Financial Services Limited</t>
        </is>
      </c>
      <c r="E1732" s="15" t="inlineStr">
        <is>
          <t>DRHP</t>
        </is>
      </c>
      <c r="F1732" s="15" t="inlineStr">
        <is>
          <t>Microsec Financial Services Limited</t>
        </is>
      </c>
      <c r="G1732" s="15" t="inlineStr">
        <is>
          <t>No launched IPO found</t>
        </is>
      </c>
      <c r="H1732" s="15" t="n"/>
      <c r="I1732" s="16" t="n"/>
      <c r="J1732" s="16" t="n"/>
      <c r="K1732" s="16" t="n"/>
      <c r="L1732" s="17" t="n"/>
      <c r="M1732" s="17" t="n"/>
      <c r="N1732" s="17" t="n"/>
      <c r="O1732" s="15" t="n"/>
      <c r="P1732" s="15" t="n"/>
      <c r="Q1732" s="18" t="inlineStr">
        <is>
          <t>https://www.sebi.gov.in/sebi_data/attachdocs/1290847486518.pdf</t>
        </is>
      </c>
      <c r="R1732" s="18" t="inlineStr">
        <is>
          <t>https://www.sebi.gov.in/filings/public-issues/feb-2008/microsec-financial-services-limited_6234.html</t>
        </is>
      </c>
      <c r="S1732" s="15" t="n"/>
      <c r="T1732" s="15" t="n"/>
      <c r="U1732" s="15" t="n"/>
      <c r="V1732" s="15" t="inlineStr">
        <is>
          <t>Same-name IPO opened 17-Sep-2010 — outside 2 years of this filing, so not linked</t>
        </is>
      </c>
      <c r="W1732" s="19" t="n">
        <v>40438</v>
      </c>
      <c r="X1732" s="19" t="n">
        <v>40442</v>
      </c>
      <c r="Y1732" s="19" t="n">
        <v>40456</v>
      </c>
      <c r="Z1732" s="20" t="inlineStr">
        <is>
          <t>Issue opened</t>
        </is>
      </c>
      <c r="AA1732" s="15" t="inlineStr">
        <is>
          <t>Taken from same company, row 1591 of this sheet</t>
        </is>
      </c>
      <c r="AB1732" s="15" t="n"/>
    </row>
    <row r="1733" ht="15" customHeight="1" s="12">
      <c r="A1733" s="14" t="n">
        <v>1732</v>
      </c>
      <c r="B1733" s="16" t="n">
        <v>39483</v>
      </c>
      <c r="C1733" s="15" t="n">
        <v>2008</v>
      </c>
      <c r="D1733" s="15" t="inlineStr">
        <is>
          <t>Reliance Infratel Limited</t>
        </is>
      </c>
      <c r="E1733" s="15" t="inlineStr">
        <is>
          <t>DRHP</t>
        </is>
      </c>
      <c r="F1733" s="15" t="inlineStr">
        <is>
          <t>Reliance Infratel Limited</t>
        </is>
      </c>
      <c r="G1733" s="15" t="inlineStr">
        <is>
          <t>No launched IPO found</t>
        </is>
      </c>
      <c r="H1733" s="15" t="n"/>
      <c r="I1733" s="16" t="n"/>
      <c r="J1733" s="16" t="n"/>
      <c r="K1733" s="16" t="n"/>
      <c r="L1733" s="17" t="n"/>
      <c r="M1733" s="17" t="n"/>
      <c r="N1733" s="17" t="n"/>
      <c r="O1733" s="15" t="n"/>
      <c r="P1733" s="15" t="n"/>
      <c r="Q1733" s="18" t="inlineStr">
        <is>
          <t>https://www.sebi.gov.in/sebi_data/attachdocs/1290847398924.pdf</t>
        </is>
      </c>
      <c r="R1733" s="18" t="inlineStr">
        <is>
          <t>https://www.sebi.gov.in/filings/public-issues/feb-2008/reliance-infratel-limited_6233.html</t>
        </is>
      </c>
      <c r="S1733" s="15" t="n"/>
      <c r="T1733" s="15" t="n"/>
      <c r="U1733" s="15" t="n"/>
      <c r="V1733" s="15" t="n"/>
      <c r="W1733" s="16" t="n"/>
      <c r="X1733" s="16" t="n"/>
      <c r="Y1733" s="16" t="n"/>
      <c r="Z1733" s="15" t="inlineStr">
        <is>
          <t>No issue found</t>
        </is>
      </c>
      <c r="AA1733" s="15" t="inlineStr">
        <is>
          <t>Business Standard lists the company but shows no issue dates; web search limit reached</t>
        </is>
      </c>
      <c r="AB1733" s="18" t="inlineStr">
        <is>
          <t>https://www.business-standard.com/markets/ipo/reliance-infratel-ltd-merged-ipo-27791</t>
        </is>
      </c>
    </row>
    <row r="1734" ht="15" customHeight="1" s="12">
      <c r="A1734" s="14" t="n">
        <v>1733</v>
      </c>
      <c r="B1734" s="16" t="n">
        <v>39479</v>
      </c>
      <c r="C1734" s="15" t="n">
        <v>2008</v>
      </c>
      <c r="D1734" s="15" t="inlineStr">
        <is>
          <t>Lotus Eye Care Hospital Limited</t>
        </is>
      </c>
      <c r="E1734" s="15" t="inlineStr">
        <is>
          <t>DRHP</t>
        </is>
      </c>
      <c r="F1734" s="15" t="inlineStr">
        <is>
          <t>Lotus Eye Care Hospital Limited</t>
        </is>
      </c>
      <c r="G1734" s="15" t="inlineStr">
        <is>
          <t>IPO launched</t>
        </is>
      </c>
      <c r="H1734" s="15" t="inlineStr">
        <is>
          <t>Mainboard</t>
        </is>
      </c>
      <c r="I1734" s="16" t="n">
        <v>39611</v>
      </c>
      <c r="J1734" s="16" t="n">
        <v>39619</v>
      </c>
      <c r="K1734" s="16" t="n">
        <v>39640</v>
      </c>
      <c r="L1734" s="17" t="n">
        <v>38</v>
      </c>
      <c r="M1734" s="17" t="n">
        <v>38</v>
      </c>
      <c r="N1734" s="17" t="n">
        <v>0</v>
      </c>
      <c r="O1734" s="15" t="inlineStr">
        <is>
          <t>Final issue (ipoplatform)</t>
        </is>
      </c>
      <c r="P1734" s="15" t="n"/>
      <c r="Q1734" s="18" t="inlineStr">
        <is>
          <t>https://www.sebi.gov.in/sebi_data/attachdocs/1290847269918.pdf</t>
        </is>
      </c>
      <c r="R1734" s="18" t="inlineStr">
        <is>
          <t>https://www.sebi.gov.in/filings/public-issues/feb-2008/lotus-eye-care-hospital-limited_6232.html</t>
        </is>
      </c>
      <c r="S1734" s="15" t="n"/>
      <c r="T1734" s="15" t="inlineStr">
        <is>
          <t>SEBI filing link</t>
        </is>
      </c>
      <c r="U1734" s="15" t="inlineStr">
        <is>
          <t>Lotus Eye Care Hospital Limited</t>
        </is>
      </c>
      <c r="V1734" s="15" t="n"/>
      <c r="W1734" s="15" t="n"/>
      <c r="X1734" s="15" t="n"/>
      <c r="Y1734" s="15" t="n"/>
      <c r="Z1734" s="15" t="n"/>
      <c r="AA1734" s="15" t="n"/>
      <c r="AB1734" s="15" t="n"/>
    </row>
    <row r="1735" ht="15" customHeight="1" s="12">
      <c r="A1735" s="14" t="n">
        <v>1734</v>
      </c>
      <c r="B1735" s="16" t="n">
        <v>39475</v>
      </c>
      <c r="C1735" s="15" t="n">
        <v>2008</v>
      </c>
      <c r="D1735" s="15" t="inlineStr">
        <is>
          <t>Cox and Kings India Limited</t>
        </is>
      </c>
      <c r="E1735" s="15" t="inlineStr">
        <is>
          <t>DRHP</t>
        </is>
      </c>
      <c r="F1735" s="15" t="inlineStr">
        <is>
          <t>Cox and Kings India Limited</t>
        </is>
      </c>
      <c r="G1735" s="15" t="inlineStr">
        <is>
          <t>IPO launched</t>
        </is>
      </c>
      <c r="H1735" s="15" t="inlineStr">
        <is>
          <t>Mainboard</t>
        </is>
      </c>
      <c r="I1735" s="16" t="n">
        <v>40135</v>
      </c>
      <c r="J1735" s="16" t="n">
        <v>40137</v>
      </c>
      <c r="K1735" s="16" t="n">
        <v>40158</v>
      </c>
      <c r="L1735" s="17" t="n">
        <v>610.39</v>
      </c>
      <c r="M1735" s="17" t="n">
        <v>610.39</v>
      </c>
      <c r="N1735" s="17" t="n">
        <v>0</v>
      </c>
      <c r="O1735" s="15" t="inlineStr">
        <is>
          <t>Final issue (ipoplatform)</t>
        </is>
      </c>
      <c r="P1735" s="15" t="n"/>
      <c r="Q1735" s="18" t="inlineStr">
        <is>
          <t>https://www.sebi.gov.in/sebi_data/attachdocs/1290755188584.pdf</t>
        </is>
      </c>
      <c r="R1735" s="18" t="inlineStr">
        <is>
          <t>https://www.sebi.gov.in/filings/public-issues/jan-2008/cox-and-kings-india-limited_6080.html</t>
        </is>
      </c>
      <c r="S1735" s="15" t="n"/>
      <c r="T1735" s="15" t="inlineStr">
        <is>
          <t>SEBI filing link</t>
        </is>
      </c>
      <c r="U1735" s="15" t="inlineStr">
        <is>
          <t>Cox and Kings (India) Limited</t>
        </is>
      </c>
      <c r="V1735" s="15" t="n"/>
      <c r="W1735" s="15" t="n"/>
      <c r="X1735" s="15" t="n"/>
      <c r="Y1735" s="15" t="n"/>
      <c r="Z1735" s="15" t="n"/>
      <c r="AA1735" s="15" t="n"/>
      <c r="AB1735" s="15" t="n"/>
    </row>
    <row r="1736" ht="15" customHeight="1" s="12">
      <c r="A1736" s="14" t="n">
        <v>1735</v>
      </c>
      <c r="B1736" s="16" t="n">
        <v>39472</v>
      </c>
      <c r="C1736" s="15" t="n">
        <v>2008</v>
      </c>
      <c r="D1736" s="15" t="inlineStr">
        <is>
          <t>JSW Energy Limited</t>
        </is>
      </c>
      <c r="E1736" s="15" t="inlineStr">
        <is>
          <t>DRHP</t>
        </is>
      </c>
      <c r="F1736" s="15" t="inlineStr">
        <is>
          <t>JSW Energy Limited</t>
        </is>
      </c>
      <c r="G1736" s="15" t="inlineStr">
        <is>
          <t>IPO launched</t>
        </is>
      </c>
      <c r="H1736" s="15" t="inlineStr">
        <is>
          <t>Mainboard</t>
        </is>
      </c>
      <c r="I1736" s="16" t="n">
        <v>40154</v>
      </c>
      <c r="J1736" s="16" t="n">
        <v>40156</v>
      </c>
      <c r="K1736" s="16" t="n">
        <v>40182</v>
      </c>
      <c r="L1736" s="17" t="n">
        <v>2700</v>
      </c>
      <c r="M1736" s="17" t="n">
        <v>2700</v>
      </c>
      <c r="N1736" s="17" t="n">
        <v>0</v>
      </c>
      <c r="O1736" s="15" t="inlineStr">
        <is>
          <t>Final issue (ipoplatform)</t>
        </is>
      </c>
      <c r="P1736" s="15" t="n"/>
      <c r="Q1736" s="18" t="inlineStr">
        <is>
          <t>https://www.sebi.gov.in/sebi_data/attachdocs/1290755080044.pdf</t>
        </is>
      </c>
      <c r="R1736" s="18" t="inlineStr">
        <is>
          <t>https://www.sebi.gov.in/filings/public-issues/jan-2008/jsw-energy-limited_6079.html</t>
        </is>
      </c>
      <c r="S1736" s="15" t="n"/>
      <c r="T1736" s="15" t="inlineStr">
        <is>
          <t>SEBI filing link</t>
        </is>
      </c>
      <c r="U1736" s="15" t="inlineStr">
        <is>
          <t>JSW Energy Limited</t>
        </is>
      </c>
      <c r="V1736" s="15" t="n"/>
      <c r="W1736" s="15" t="n"/>
      <c r="X1736" s="15" t="n"/>
      <c r="Y1736" s="15" t="n"/>
      <c r="Z1736" s="15" t="n"/>
      <c r="AA1736" s="15" t="n"/>
      <c r="AB1736" s="15" t="n"/>
    </row>
    <row r="1737" ht="15" customHeight="1" s="12">
      <c r="A1737" s="14" t="n">
        <v>1736</v>
      </c>
      <c r="B1737" s="16" t="n">
        <v>39469</v>
      </c>
      <c r="C1737" s="15" t="n">
        <v>2008</v>
      </c>
      <c r="D1737" s="15" t="inlineStr">
        <is>
          <t>Ashoka Buildcon Limited</t>
        </is>
      </c>
      <c r="E1737" s="15" t="inlineStr">
        <is>
          <t>DRHP</t>
        </is>
      </c>
      <c r="F1737" s="15" t="inlineStr">
        <is>
          <t>Ashoka Buildcon Limited</t>
        </is>
      </c>
      <c r="G1737" s="15" t="inlineStr">
        <is>
          <t>IPO launched</t>
        </is>
      </c>
      <c r="H1737" s="15" t="inlineStr">
        <is>
          <t>Mainboard</t>
        </is>
      </c>
      <c r="I1737" s="16" t="n">
        <v>40445</v>
      </c>
      <c r="J1737" s="16" t="n">
        <v>40449</v>
      </c>
      <c r="K1737" s="16" t="n">
        <v>40465</v>
      </c>
      <c r="L1737" s="17" t="n">
        <v>225</v>
      </c>
      <c r="M1737" s="17" t="n">
        <v>225</v>
      </c>
      <c r="N1737" s="17" t="n">
        <v>0</v>
      </c>
      <c r="O1737" s="15" t="inlineStr">
        <is>
          <t>Final issue (ipoplatform)</t>
        </is>
      </c>
      <c r="P1737" s="15" t="n"/>
      <c r="Q1737" s="18" t="inlineStr">
        <is>
          <t>https://www.sebi.gov.in/sebi_data/attachdocs/1290753528919.pdf</t>
        </is>
      </c>
      <c r="R1737" s="18" t="inlineStr">
        <is>
          <t>https://www.sebi.gov.in/filings/public-issues/jan-2008/ashoka-buildcon-limited_6068.html</t>
        </is>
      </c>
      <c r="S1737" s="15" t="n"/>
      <c r="T1737" s="15" t="inlineStr">
        <is>
          <t>SEBI filing link</t>
        </is>
      </c>
      <c r="U1737" s="15" t="inlineStr">
        <is>
          <t>Ashoka Buildcon Limited</t>
        </is>
      </c>
      <c r="V1737" s="15" t="n"/>
      <c r="W1737" s="15" t="n"/>
      <c r="X1737" s="15" t="n"/>
      <c r="Y1737" s="15" t="n"/>
      <c r="Z1737" s="15" t="n"/>
      <c r="AA1737" s="15" t="n"/>
      <c r="AB1737" s="15" t="n"/>
    </row>
    <row r="1738" ht="15" customHeight="1" s="12">
      <c r="A1738" s="14" t="n">
        <v>1737</v>
      </c>
      <c r="B1738" s="16" t="n">
        <v>39469</v>
      </c>
      <c r="C1738" s="15" t="n">
        <v>2008</v>
      </c>
      <c r="D1738" s="15" t="inlineStr">
        <is>
          <t>Pipavav Shipyard Limited</t>
        </is>
      </c>
      <c r="E1738" s="15" t="inlineStr">
        <is>
          <t>DRHP</t>
        </is>
      </c>
      <c r="F1738" s="15" t="inlineStr">
        <is>
          <t>Pipavav Shipyard Limited</t>
        </is>
      </c>
      <c r="G1738" s="15" t="inlineStr">
        <is>
          <t>No launched IPO found</t>
        </is>
      </c>
      <c r="H1738" s="15" t="n"/>
      <c r="I1738" s="16" t="n"/>
      <c r="J1738" s="16" t="n"/>
      <c r="K1738" s="16" t="n"/>
      <c r="L1738" s="17" t="n"/>
      <c r="M1738" s="17" t="n"/>
      <c r="N1738" s="17" t="n"/>
      <c r="O1738" s="15" t="n"/>
      <c r="P1738" s="15" t="n"/>
      <c r="Q1738" s="18" t="inlineStr">
        <is>
          <t>https://www.sebi.gov.in/sebi_data/attachdocs/1290753262468.pdf</t>
        </is>
      </c>
      <c r="R1738" s="18" t="inlineStr">
        <is>
          <t>https://www.sebi.gov.in/filings/public-issues/jan-2008/pipavav-shipyard-limited_6066.html</t>
        </is>
      </c>
      <c r="S1738" s="15" t="n"/>
      <c r="T1738" s="15" t="n"/>
      <c r="U1738" s="15" t="n"/>
      <c r="V1738" s="15" t="n"/>
      <c r="W1738" s="19" t="n">
        <v>40072</v>
      </c>
      <c r="X1738" s="19" t="n">
        <v>40074</v>
      </c>
      <c r="Y1738" s="19" t="n"/>
      <c r="Z1738" s="20" t="inlineStr">
        <is>
          <t>Issue opened</t>
        </is>
      </c>
      <c r="AA1738" s="15" t="inlineStr">
        <is>
          <t>Matched on chittorgarh.com</t>
        </is>
      </c>
      <c r="AB1738" s="18" t="inlineStr">
        <is>
          <t>https://www.chittorgarh.com/ipo/pipavav_shipyard_ipo/203/</t>
        </is>
      </c>
    </row>
    <row r="1739" ht="15" customHeight="1" s="12">
      <c r="A1739" s="14" t="n">
        <v>1738</v>
      </c>
      <c r="B1739" s="16" t="n">
        <v>39469</v>
      </c>
      <c r="C1739" s="15" t="n">
        <v>2008</v>
      </c>
      <c r="D1739" s="15" t="inlineStr">
        <is>
          <t>Sea TV Network Limited</t>
        </is>
      </c>
      <c r="E1739" s="15" t="inlineStr">
        <is>
          <t>DRHP</t>
        </is>
      </c>
      <c r="F1739" s="15" t="inlineStr">
        <is>
          <t>Sea TV Network Limited</t>
        </is>
      </c>
      <c r="G1739" s="15" t="inlineStr">
        <is>
          <t>No launched IPO found</t>
        </is>
      </c>
      <c r="H1739" s="15" t="n"/>
      <c r="I1739" s="16" t="n"/>
      <c r="J1739" s="16" t="n"/>
      <c r="K1739" s="16" t="n"/>
      <c r="L1739" s="17" t="n"/>
      <c r="M1739" s="17" t="n"/>
      <c r="N1739" s="17" t="n"/>
      <c r="O1739" s="15" t="n"/>
      <c r="P1739" s="15" t="n"/>
      <c r="Q1739" s="18" t="inlineStr">
        <is>
          <t>https://www.sebi.gov.in/sebi_data/attachdocs/1290752135876.pdf</t>
        </is>
      </c>
      <c r="R1739" s="18" t="inlineStr">
        <is>
          <t>https://www.sebi.gov.in/filings/public-issues/jan-2008/sea-tv-network-limited_6054.html</t>
        </is>
      </c>
      <c r="S1739" s="15" t="n"/>
      <c r="T1739" s="15" t="n"/>
      <c r="U1739" s="15" t="n"/>
      <c r="V1739" s="15" t="inlineStr">
        <is>
          <t>Same-name IPO opened 27-Sep-2010 — outside 2 years of this filing, so not linked</t>
        </is>
      </c>
      <c r="W1739" s="19" t="n">
        <v>40448</v>
      </c>
      <c r="X1739" s="19" t="n">
        <v>40450</v>
      </c>
      <c r="Y1739" s="19" t="n"/>
      <c r="Z1739" s="20" t="inlineStr">
        <is>
          <t>Issue opened</t>
        </is>
      </c>
      <c r="AA1739" s="15" t="inlineStr">
        <is>
          <t>Matched on chittorgarh.com</t>
        </is>
      </c>
      <c r="AB1739" s="18" t="inlineStr">
        <is>
          <t>https://www.chittorgarh.com/ipo/sea_tv_network_ipo/272/</t>
        </is>
      </c>
    </row>
    <row r="1740" ht="15" customHeight="1" s="12">
      <c r="A1740" s="14" t="n">
        <v>1739</v>
      </c>
      <c r="B1740" s="16" t="n">
        <v>39469</v>
      </c>
      <c r="C1740" s="15" t="n">
        <v>2008</v>
      </c>
      <c r="D1740" s="15" t="inlineStr">
        <is>
          <t>Virgo Engineers Limited</t>
        </is>
      </c>
      <c r="E1740" s="15" t="inlineStr">
        <is>
          <t>DRHP</t>
        </is>
      </c>
      <c r="F1740" s="15" t="inlineStr">
        <is>
          <t>Virgo Engineers Limited</t>
        </is>
      </c>
      <c r="G1740" s="15" t="inlineStr">
        <is>
          <t>No launched IPO found</t>
        </is>
      </c>
      <c r="H1740" s="15" t="n"/>
      <c r="I1740" s="16" t="n"/>
      <c r="J1740" s="16" t="n"/>
      <c r="K1740" s="16" t="n"/>
      <c r="L1740" s="17" t="n"/>
      <c r="M1740" s="17" t="n"/>
      <c r="N1740" s="17" t="n"/>
      <c r="O1740" s="15" t="n"/>
      <c r="P1740" s="15" t="n"/>
      <c r="Q1740" s="18" t="inlineStr">
        <is>
          <t>https://www.sebi.gov.in/sebi_data/attachdocs/1290753674880.pdf</t>
        </is>
      </c>
      <c r="R1740" s="18" t="inlineStr">
        <is>
          <t>https://www.sebi.gov.in/filings/public-issues/jan-2008/virgo-engineers-limited_6069.html</t>
        </is>
      </c>
      <c r="S1740" s="15" t="n"/>
      <c r="T1740" s="15" t="n"/>
      <c r="U1740" s="15" t="n"/>
      <c r="V1740" s="15" t="n"/>
      <c r="W1740" s="16" t="n"/>
      <c r="X1740" s="16" t="n"/>
      <c r="Y1740" s="16" t="n"/>
      <c r="Z1740" s="15" t="inlineStr">
        <is>
          <t>No issue found</t>
        </is>
      </c>
      <c r="AA1740" s="15" t="inlineStr">
        <is>
          <t>Business Standard lists the company but shows no issue dates; web search limit reached</t>
        </is>
      </c>
      <c r="AB1740" s="18" t="inlineStr">
        <is>
          <t>https://www.business-standard.com/markets/ipo/virgo-engineers-ltd-ipo-23978</t>
        </is>
      </c>
    </row>
    <row r="1741" ht="15" customHeight="1" s="12">
      <c r="A1741" s="14" t="n">
        <v>1740</v>
      </c>
      <c r="B1741" s="16" t="n">
        <v>39465</v>
      </c>
      <c r="C1741" s="15" t="n">
        <v>2008</v>
      </c>
      <c r="D1741" s="15" t="inlineStr">
        <is>
          <t>Bang Overseas Limited</t>
        </is>
      </c>
      <c r="E1741" s="15" t="inlineStr">
        <is>
          <t>DRHP</t>
        </is>
      </c>
      <c r="F1741" s="15" t="inlineStr">
        <is>
          <t>Bang Overseas Limited</t>
        </is>
      </c>
      <c r="G1741" s="15" t="inlineStr">
        <is>
          <t>IPO launched</t>
        </is>
      </c>
      <c r="H1741" s="15" t="inlineStr">
        <is>
          <t>Mainboard</t>
        </is>
      </c>
      <c r="I1741" s="16" t="n">
        <v>39475</v>
      </c>
      <c r="J1741" s="16" t="n">
        <v>39478</v>
      </c>
      <c r="K1741" s="16" t="n">
        <v>39498</v>
      </c>
      <c r="L1741" s="17" t="n">
        <v>72.45</v>
      </c>
      <c r="M1741" s="17" t="n">
        <v>72.45</v>
      </c>
      <c r="N1741" s="17" t="n">
        <v>0</v>
      </c>
      <c r="O1741" s="15" t="inlineStr">
        <is>
          <t>Final issue (ipoplatform)</t>
        </is>
      </c>
      <c r="P1741" s="15" t="n"/>
      <c r="Q1741" s="18" t="inlineStr">
        <is>
          <t>https://www.sebi.gov.in/sebi_data/attachdocs/1290752001912.pdf</t>
        </is>
      </c>
      <c r="R1741" s="18" t="inlineStr">
        <is>
          <t>https://www.sebi.gov.in/filings/public-issues/jan-2008/bang-overseas-limited_6051.html</t>
        </is>
      </c>
      <c r="S1741" s="15" t="n"/>
      <c r="T1741" s="15" t="inlineStr">
        <is>
          <t>Company name + date window</t>
        </is>
      </c>
      <c r="U1741" s="15" t="inlineStr">
        <is>
          <t>Bang Overseas Limited</t>
        </is>
      </c>
      <c r="V1741" s="15" t="n"/>
      <c r="W1741" s="15" t="n"/>
      <c r="X1741" s="15" t="n"/>
      <c r="Y1741" s="15" t="n"/>
      <c r="Z1741" s="15" t="n"/>
      <c r="AA1741" s="15" t="n"/>
      <c r="AB1741" s="15" t="n"/>
    </row>
    <row r="1742" ht="15" customHeight="1" s="12">
      <c r="A1742" s="14" t="n">
        <v>1741</v>
      </c>
      <c r="B1742" s="16" t="n">
        <v>39464</v>
      </c>
      <c r="C1742" s="15" t="n">
        <v>2008</v>
      </c>
      <c r="D1742" s="15" t="inlineStr">
        <is>
          <t>PNC Infratech Limited</t>
        </is>
      </c>
      <c r="E1742" s="15" t="inlineStr">
        <is>
          <t>DRHP</t>
        </is>
      </c>
      <c r="F1742" s="15" t="inlineStr">
        <is>
          <t>PNC Infratech Limited</t>
        </is>
      </c>
      <c r="G1742" s="15" t="inlineStr">
        <is>
          <t>No launched IPO found</t>
        </is>
      </c>
      <c r="H1742" s="15" t="n"/>
      <c r="I1742" s="16" t="n"/>
      <c r="J1742" s="16" t="n"/>
      <c r="K1742" s="16" t="n"/>
      <c r="L1742" s="17" t="n"/>
      <c r="M1742" s="17" t="n"/>
      <c r="N1742" s="17" t="n"/>
      <c r="O1742" s="15" t="n"/>
      <c r="P1742" s="15" t="n"/>
      <c r="Q1742" s="18" t="inlineStr">
        <is>
          <t>https://www.sebi.gov.in/sebi_data/attachdocs/1290751867716.pdf</t>
        </is>
      </c>
      <c r="R1742" s="18" t="inlineStr">
        <is>
          <t>https://www.sebi.gov.in/filings/public-issues/jan-2008/pnc-infratech-limited_6049.html</t>
        </is>
      </c>
      <c r="S1742" s="15" t="n"/>
      <c r="T1742" s="15" t="n"/>
      <c r="U1742" s="15" t="n"/>
      <c r="V1742" s="15" t="inlineStr">
        <is>
          <t>Same-name IPO opened 08-May-2015 — outside 2 years of this filing, so not linked</t>
        </is>
      </c>
      <c r="W1742" s="25" t="n">
        <v>42132</v>
      </c>
      <c r="X1742" s="25" t="n">
        <v>42136</v>
      </c>
      <c r="Y1742" s="25" t="n">
        <v>42150</v>
      </c>
      <c r="Z1742" s="26" t="inlineStr">
        <is>
          <t>Later IPO — not from this draft</t>
        </is>
      </c>
      <c r="AA1742" s="15" t="inlineStr">
        <is>
          <t>Opened 7.3 yrs after this filing, under a later draft</t>
        </is>
      </c>
      <c r="AB1742" s="18" t="inlineStr">
        <is>
          <t>https://www.business-standard.com/markets/ipo/pnc-infratech-ltd-ipo-28695</t>
        </is>
      </c>
    </row>
    <row r="1743" ht="15" customHeight="1" s="12">
      <c r="A1743" s="14" t="n">
        <v>1742</v>
      </c>
      <c r="B1743" s="16" t="n">
        <v>39463</v>
      </c>
      <c r="C1743" s="15" t="n">
        <v>2008</v>
      </c>
      <c r="D1743" s="15" t="inlineStr">
        <is>
          <t>Nu Tek India Limited</t>
        </is>
      </c>
      <c r="E1743" s="15" t="inlineStr">
        <is>
          <t>DRHP</t>
        </is>
      </c>
      <c r="F1743" s="15" t="inlineStr">
        <is>
          <t>Nu Tek India Limited</t>
        </is>
      </c>
      <c r="G1743" s="15" t="inlineStr">
        <is>
          <t>No launched IPO found</t>
        </is>
      </c>
      <c r="H1743" s="15" t="n"/>
      <c r="I1743" s="16" t="n"/>
      <c r="J1743" s="16" t="n"/>
      <c r="K1743" s="16" t="n"/>
      <c r="L1743" s="17" t="n"/>
      <c r="M1743" s="17" t="n"/>
      <c r="N1743" s="17" t="n"/>
      <c r="O1743" s="15" t="n"/>
      <c r="P1743" s="15" t="n"/>
      <c r="Q1743" s="18" t="inlineStr">
        <is>
          <t>https://www.sebi.gov.in/sebi_data/attachdocs/1290751680739.pdf</t>
        </is>
      </c>
      <c r="R1743" s="18" t="inlineStr">
        <is>
          <t>https://www.sebi.gov.in/filings/public-issues/jan-2008/nu-tek-india-limited_6048.html</t>
        </is>
      </c>
      <c r="S1743" s="15" t="n"/>
      <c r="T1743" s="15" t="n"/>
      <c r="U1743" s="15" t="n"/>
      <c r="V1743" s="15" t="n"/>
      <c r="W1743" s="19" t="n">
        <v>39658</v>
      </c>
      <c r="X1743" s="19" t="n">
        <v>39661</v>
      </c>
      <c r="Y1743" s="19" t="n"/>
      <c r="Z1743" s="20" t="inlineStr">
        <is>
          <t>Issue opened</t>
        </is>
      </c>
      <c r="AA1743" s="15" t="inlineStr">
        <is>
          <t>Matched on chittorgarh.com</t>
        </is>
      </c>
      <c r="AB1743" s="18" t="inlineStr">
        <is>
          <t>https://www.chittorgarh.com/ipo/nu_tek_india_ipo/187/</t>
        </is>
      </c>
    </row>
    <row r="1744" ht="15" customHeight="1" s="12">
      <c r="A1744" s="14" t="n">
        <v>1743</v>
      </c>
      <c r="B1744" s="16" t="n">
        <v>39461</v>
      </c>
      <c r="C1744" s="15" t="n">
        <v>2008</v>
      </c>
      <c r="D1744" s="15" t="inlineStr">
        <is>
          <t>UTI Asset Management Company Limited</t>
        </is>
      </c>
      <c r="E1744" s="15" t="inlineStr">
        <is>
          <t>DRHP</t>
        </is>
      </c>
      <c r="F1744" s="15" t="inlineStr">
        <is>
          <t>UTI Asset Management Company Limited</t>
        </is>
      </c>
      <c r="G1744" s="15" t="inlineStr">
        <is>
          <t>No launched IPO found</t>
        </is>
      </c>
      <c r="H1744" s="15" t="n"/>
      <c r="I1744" s="16" t="n"/>
      <c r="J1744" s="16" t="n"/>
      <c r="K1744" s="16" t="n"/>
      <c r="L1744" s="17" t="n"/>
      <c r="M1744" s="17" t="n"/>
      <c r="N1744" s="17" t="n"/>
      <c r="O1744" s="15" t="n"/>
      <c r="P1744" s="15" t="n"/>
      <c r="Q1744" s="18" t="inlineStr">
        <is>
          <t>https://www.sebi.gov.in/sebi_data/attachdocs/1290750457729.pdf</t>
        </is>
      </c>
      <c r="R1744" s="18" t="inlineStr">
        <is>
          <t>https://www.sebi.gov.in/filings/public-issues/jan-2008/uti-asset-management-company-limited_6039.html</t>
        </is>
      </c>
      <c r="S1744" s="15" t="n"/>
      <c r="T1744" s="15" t="n"/>
      <c r="U1744" s="15" t="n"/>
      <c r="V1744" s="15" t="inlineStr">
        <is>
          <t>Same-name IPO opened 29-Sep-2020 — outside 2 years of this filing, so not linked</t>
        </is>
      </c>
      <c r="W1744" s="25" t="n">
        <v>44103</v>
      </c>
      <c r="X1744" s="25" t="n">
        <v>44105</v>
      </c>
      <c r="Y1744" s="25" t="n">
        <v>44116</v>
      </c>
      <c r="Z1744" s="26" t="inlineStr">
        <is>
          <t>Later IPO — not from this draft</t>
        </is>
      </c>
      <c r="AA1744" s="15" t="inlineStr">
        <is>
          <t>Opened 12.7 yrs after this filing, under a later draft</t>
        </is>
      </c>
      <c r="AB1744" s="18" t="inlineStr">
        <is>
          <t>https://www.business-standard.com/markets/ipo/uti-asset-management-company-ltd-ipo-23412</t>
        </is>
      </c>
    </row>
    <row r="1745" ht="15" customHeight="1" s="12">
      <c r="A1745" s="14" t="n">
        <v>1744</v>
      </c>
      <c r="B1745" s="16" t="n">
        <v>39458</v>
      </c>
      <c r="C1745" s="15" t="n">
        <v>2008</v>
      </c>
      <c r="D1745" s="15" t="inlineStr">
        <is>
          <t>Euro Multivision Limited</t>
        </is>
      </c>
      <c r="E1745" s="15" t="inlineStr">
        <is>
          <t>DRHP</t>
        </is>
      </c>
      <c r="F1745" s="15" t="inlineStr">
        <is>
          <t>Euro Multivision Limited</t>
        </is>
      </c>
      <c r="G1745" s="15" t="inlineStr">
        <is>
          <t>IPO launched</t>
        </is>
      </c>
      <c r="H1745" s="15" t="inlineStr">
        <is>
          <t>Mainboard</t>
        </is>
      </c>
      <c r="I1745" s="16" t="n">
        <v>40078</v>
      </c>
      <c r="J1745" s="16" t="n">
        <v>40080</v>
      </c>
      <c r="K1745" s="16" t="n">
        <v>40101</v>
      </c>
      <c r="L1745" s="17" t="n">
        <v>66</v>
      </c>
      <c r="M1745" s="17" t="n">
        <v>66</v>
      </c>
      <c r="N1745" s="17" t="n">
        <v>0</v>
      </c>
      <c r="O1745" s="15" t="inlineStr">
        <is>
          <t>Final issue (ipoplatform)</t>
        </is>
      </c>
      <c r="P1745" s="15" t="n"/>
      <c r="Q1745" s="18" t="inlineStr">
        <is>
          <t>https://www.sebi.gov.in/sebi_data/attachdocs/1290750181882.pdf</t>
        </is>
      </c>
      <c r="R1745" s="18" t="inlineStr">
        <is>
          <t>https://www.sebi.gov.in/filings/public-issues/jan-2008/euro-multivision-limited_6037.html</t>
        </is>
      </c>
      <c r="S1745" s="15" t="n"/>
      <c r="T1745" s="15" t="inlineStr">
        <is>
          <t>SEBI filing link</t>
        </is>
      </c>
      <c r="U1745" s="15" t="inlineStr">
        <is>
          <t>Euro Multivision Limited</t>
        </is>
      </c>
      <c r="V1745" s="15" t="n"/>
      <c r="W1745" s="15" t="n"/>
      <c r="X1745" s="15" t="n"/>
      <c r="Y1745" s="15" t="n"/>
      <c r="Z1745" s="15" t="n"/>
      <c r="AA1745" s="15" t="n"/>
      <c r="AB1745" s="15" t="n"/>
    </row>
    <row r="1746" ht="15" customHeight="1" s="12">
      <c r="A1746" s="14" t="n">
        <v>1745</v>
      </c>
      <c r="B1746" s="16" t="n">
        <v>39457</v>
      </c>
      <c r="C1746" s="15" t="n">
        <v>2008</v>
      </c>
      <c r="D1746" s="15" t="inlineStr">
        <is>
          <t>Jaiprakash Power Ventures Limited</t>
        </is>
      </c>
      <c r="E1746" s="15" t="inlineStr">
        <is>
          <t>DRHP</t>
        </is>
      </c>
      <c r="F1746" s="15" t="inlineStr">
        <is>
          <t>Jaiprakash Power Ventures Limited</t>
        </is>
      </c>
      <c r="G1746" s="15" t="inlineStr">
        <is>
          <t>No launched IPO found</t>
        </is>
      </c>
      <c r="H1746" s="15" t="n"/>
      <c r="I1746" s="16" t="n"/>
      <c r="J1746" s="16" t="n"/>
      <c r="K1746" s="16" t="n"/>
      <c r="L1746" s="17" t="n"/>
      <c r="M1746" s="17" t="n"/>
      <c r="N1746" s="17" t="n"/>
      <c r="O1746" s="15" t="n"/>
      <c r="P1746" s="15" t="n"/>
      <c r="Q1746" s="18" t="inlineStr">
        <is>
          <t>https://www.sebi.gov.in/sebi_data/attachdocs/1290749920595.pdf</t>
        </is>
      </c>
      <c r="R1746" s="18" t="inlineStr">
        <is>
          <t>https://www.sebi.gov.in/filings/public-issues/jan-2008/jaiprakash-power-ventures-limited_6033.html</t>
        </is>
      </c>
      <c r="S1746" s="15" t="n"/>
      <c r="T1746" s="15" t="n"/>
      <c r="U1746" s="15" t="n"/>
      <c r="V1746" s="15" t="n"/>
      <c r="W1746" s="16" t="n"/>
      <c r="X1746" s="16" t="n"/>
      <c r="Y1746" s="16" t="n"/>
      <c r="Z1746" s="15" t="inlineStr">
        <is>
          <t>No issue found</t>
        </is>
      </c>
      <c r="AA1746" s="15" t="inlineStr">
        <is>
          <t>Business Standard lists the company but shows no issue dates; web search limit reached</t>
        </is>
      </c>
      <c r="AB1746" s="18" t="inlineStr">
        <is>
          <t>https://www.business-standard.com/markets/ipo/jaiprakash-power-ventures-ltd-ipo-14266</t>
        </is>
      </c>
    </row>
    <row r="1747" ht="15" customHeight="1" s="12">
      <c r="A1747" s="14" t="n">
        <v>1746</v>
      </c>
      <c r="B1747" s="16" t="n">
        <v>39449</v>
      </c>
      <c r="C1747" s="15" t="n">
        <v>2008</v>
      </c>
      <c r="D1747" s="15" t="inlineStr">
        <is>
          <t>Chemcel Biotech Limited</t>
        </is>
      </c>
      <c r="E1747" s="15" t="inlineStr">
        <is>
          <t>DRHP</t>
        </is>
      </c>
      <c r="F1747" s="15" t="inlineStr">
        <is>
          <t>Chemcel Biotech Limited</t>
        </is>
      </c>
      <c r="G1747" s="15" t="inlineStr">
        <is>
          <t>No launched IPO found</t>
        </is>
      </c>
      <c r="H1747" s="15" t="n"/>
      <c r="I1747" s="16" t="n"/>
      <c r="J1747" s="16" t="n"/>
      <c r="K1747" s="16" t="n"/>
      <c r="L1747" s="17" t="n"/>
      <c r="M1747" s="17" t="n"/>
      <c r="N1747" s="17" t="n"/>
      <c r="O1747" s="15" t="n"/>
      <c r="P1747" s="15" t="n"/>
      <c r="Q1747" s="18" t="inlineStr">
        <is>
          <t>https://www.sebi.gov.in/sebi_data/attachdocs/1290749703261.pdf</t>
        </is>
      </c>
      <c r="R1747" s="18" t="inlineStr">
        <is>
          <t>https://www.sebi.gov.in/filings/public-issues/jan-2008/chemcel-biotech-limited_6029.html</t>
        </is>
      </c>
      <c r="S1747" s="15" t="n"/>
      <c r="T1747" s="15" t="n"/>
      <c r="U1747" s="15" t="n"/>
      <c r="V1747" s="15" t="n"/>
      <c r="W1747" s="19" t="n">
        <v>39700</v>
      </c>
      <c r="X1747" s="19" t="n">
        <v>39703</v>
      </c>
      <c r="Y1747" s="19" t="n"/>
      <c r="Z1747" s="20" t="inlineStr">
        <is>
          <t>Issue opened</t>
        </is>
      </c>
      <c r="AA1747" s="15" t="inlineStr">
        <is>
          <t>Matched on chittorgarh.com (close name match: Chemcel Bio-tech)</t>
        </is>
      </c>
      <c r="AB1747" s="18" t="inlineStr">
        <is>
          <t>https://www.chittorgarh.com/ipo/chemcel_biotech_ipo/191/</t>
        </is>
      </c>
    </row>
    <row r="1748" ht="15" customHeight="1" s="12">
      <c r="A1748" s="14" t="n">
        <v>1747</v>
      </c>
      <c r="B1748" s="16" t="n">
        <v>39443</v>
      </c>
      <c r="C1748" s="15" t="n">
        <v>2007</v>
      </c>
      <c r="D1748" s="15" t="inlineStr">
        <is>
          <t>Bafna Pharmaceuticals Limited</t>
        </is>
      </c>
      <c r="E1748" s="15" t="inlineStr">
        <is>
          <t>DRHP</t>
        </is>
      </c>
      <c r="F1748" s="15" t="inlineStr">
        <is>
          <t>Bafna Pharmaceuticals Limited</t>
        </is>
      </c>
      <c r="G1748" s="15" t="inlineStr">
        <is>
          <t>IPO launched</t>
        </is>
      </c>
      <c r="H1748" s="15" t="inlineStr">
        <is>
          <t>Mainboard</t>
        </is>
      </c>
      <c r="I1748" s="16" t="n">
        <v>39595</v>
      </c>
      <c r="J1748" s="16" t="n">
        <v>39598</v>
      </c>
      <c r="K1748" s="16" t="n">
        <v>39626</v>
      </c>
      <c r="L1748" s="17" t="n">
        <v>25.6</v>
      </c>
      <c r="M1748" s="17" t="n">
        <v>25.6</v>
      </c>
      <c r="N1748" s="17" t="n">
        <v>0</v>
      </c>
      <c r="O1748" s="15" t="inlineStr">
        <is>
          <t>Final issue (ipoplatform)</t>
        </is>
      </c>
      <c r="P1748" s="15" t="n"/>
      <c r="Q1748" s="18" t="inlineStr">
        <is>
          <t>https://www.sebi.gov.in/sebi_data/attachdocs/1291961203082.pdf</t>
        </is>
      </c>
      <c r="R1748" s="18" t="inlineStr">
        <is>
          <t>https://www.sebi.gov.in/filings/public-issues/dec-2007/bafna-pharmaceuticals-limited_9633.html</t>
        </is>
      </c>
      <c r="S1748" s="15" t="n"/>
      <c r="T1748" s="15" t="inlineStr">
        <is>
          <t>SEBI filing link</t>
        </is>
      </c>
      <c r="U1748" s="15" t="inlineStr">
        <is>
          <t>Bafna Pharmaceuticals Limited</t>
        </is>
      </c>
      <c r="V1748" s="15" t="n"/>
      <c r="W1748" s="15" t="n"/>
      <c r="X1748" s="15" t="n"/>
      <c r="Y1748" s="15" t="n"/>
      <c r="Z1748" s="15" t="n"/>
      <c r="AA1748" s="15" t="n"/>
      <c r="AB1748" s="15" t="n"/>
    </row>
    <row r="1749" ht="15" customHeight="1" s="12">
      <c r="A1749" s="14" t="n">
        <v>1748</v>
      </c>
      <c r="B1749" s="16" t="n">
        <v>39443</v>
      </c>
      <c r="C1749" s="15" t="n">
        <v>2007</v>
      </c>
      <c r="D1749" s="15" t="inlineStr">
        <is>
          <t>Birla Cotsyn (India) Limited</t>
        </is>
      </c>
      <c r="E1749" s="15" t="inlineStr">
        <is>
          <t>DRHP</t>
        </is>
      </c>
      <c r="F1749" s="15" t="inlineStr">
        <is>
          <t>Birla Cotsyn (India) Limited</t>
        </is>
      </c>
      <c r="G1749" s="15" t="inlineStr">
        <is>
          <t>IPO launched</t>
        </is>
      </c>
      <c r="H1749" s="15" t="inlineStr">
        <is>
          <t>Mainboard</t>
        </is>
      </c>
      <c r="I1749" s="16" t="n">
        <v>39629</v>
      </c>
      <c r="J1749" s="16" t="n">
        <v>39638</v>
      </c>
      <c r="K1749" s="16" t="n">
        <v>39659</v>
      </c>
      <c r="L1749" s="17" t="n">
        <v>144.18</v>
      </c>
      <c r="M1749" s="17" t="n">
        <v>144.18</v>
      </c>
      <c r="N1749" s="17" t="n">
        <v>0</v>
      </c>
      <c r="O1749" s="15" t="inlineStr">
        <is>
          <t>Final issue (ipoplatform)</t>
        </is>
      </c>
      <c r="P1749" s="15" t="n"/>
      <c r="Q1749" s="18" t="inlineStr">
        <is>
          <t>https://www.sebi.gov.in/sebi_data/attachdocs/1291960892189.pdf</t>
        </is>
      </c>
      <c r="R1749" s="18" t="inlineStr">
        <is>
          <t>https://www.sebi.gov.in/filings/public-issues/dec-2007/birla-cotsyn-india-limited_9621.html</t>
        </is>
      </c>
      <c r="S1749" s="15" t="n"/>
      <c r="T1749" s="15" t="inlineStr">
        <is>
          <t>SEBI filing link</t>
        </is>
      </c>
      <c r="U1749" s="15" t="inlineStr">
        <is>
          <t>Birla Cotsyn (India) Limited</t>
        </is>
      </c>
      <c r="V1749" s="15" t="n"/>
      <c r="W1749" s="15" t="n"/>
      <c r="X1749" s="15" t="n"/>
      <c r="Y1749" s="15" t="n"/>
      <c r="Z1749" s="15" t="n"/>
      <c r="AA1749" s="15" t="n"/>
      <c r="AB1749" s="15" t="n"/>
    </row>
    <row r="1750" ht="15" customHeight="1" s="12">
      <c r="A1750" s="14" t="n">
        <v>1749</v>
      </c>
      <c r="B1750" s="16" t="n">
        <v>39442</v>
      </c>
      <c r="C1750" s="15" t="n">
        <v>2007</v>
      </c>
      <c r="D1750" s="15" t="inlineStr">
        <is>
          <t>Infinity Infotechparks Ltd</t>
        </is>
      </c>
      <c r="E1750" s="15" t="inlineStr">
        <is>
          <t>DRHP</t>
        </is>
      </c>
      <c r="F1750" s="15" t="inlineStr">
        <is>
          <t>Infinity Infotechparks Ltd</t>
        </is>
      </c>
      <c r="G1750" s="15" t="inlineStr">
        <is>
          <t>No launched IPO found</t>
        </is>
      </c>
      <c r="H1750" s="15" t="n"/>
      <c r="I1750" s="16" t="n"/>
      <c r="J1750" s="16" t="n"/>
      <c r="K1750" s="16" t="n"/>
      <c r="L1750" s="17" t="n"/>
      <c r="M1750" s="17" t="n"/>
      <c r="N1750" s="17" t="n"/>
      <c r="O1750" s="15" t="n"/>
      <c r="P1750" s="15" t="n"/>
      <c r="Q1750" s="18" t="inlineStr">
        <is>
          <t>https://www.sebi.gov.in/sebi_data/attachdocs/1291960302483.pdf</t>
        </is>
      </c>
      <c r="R1750" s="18" t="inlineStr">
        <is>
          <t>https://www.sebi.gov.in/filings/public-issues/dec-2007/infinity-infotechparks-ltd_9604.html</t>
        </is>
      </c>
      <c r="S1750" s="15" t="n"/>
      <c r="T1750" s="15" t="n"/>
      <c r="U1750" s="15" t="n"/>
      <c r="V1750" s="15" t="n"/>
      <c r="W1750" s="16" t="n"/>
      <c r="X1750" s="16" t="n"/>
      <c r="Y1750" s="16" t="n"/>
      <c r="Z1750" s="15" t="inlineStr">
        <is>
          <t>No issue found</t>
        </is>
      </c>
      <c r="AA1750" s="15" t="inlineStr">
        <is>
          <t>Business Standard lists the company but shows no issue dates; web search limit reached</t>
        </is>
      </c>
      <c r="AB1750" s="18" t="inlineStr">
        <is>
          <t>https://www.business-standard.com/markets/ipo/infinity-infotech-parks-ltd-ipo-28607</t>
        </is>
      </c>
    </row>
    <row r="1751" ht="15" customHeight="1" s="12">
      <c r="A1751" s="14" t="n">
        <v>1750</v>
      </c>
      <c r="B1751" s="16" t="n">
        <v>39442</v>
      </c>
      <c r="C1751" s="15" t="n">
        <v>2007</v>
      </c>
      <c r="D1751" s="15" t="inlineStr">
        <is>
          <t>Manjushree Extrusions Ltd</t>
        </is>
      </c>
      <c r="E1751" s="15" t="inlineStr">
        <is>
          <t>DRHP</t>
        </is>
      </c>
      <c r="F1751" s="15" t="inlineStr">
        <is>
          <t>Manjushree Extrusions Ltd</t>
        </is>
      </c>
      <c r="G1751" s="15" t="inlineStr">
        <is>
          <t>No launched IPO found</t>
        </is>
      </c>
      <c r="H1751" s="15" t="n"/>
      <c r="I1751" s="16" t="n"/>
      <c r="J1751" s="16" t="n"/>
      <c r="K1751" s="16" t="n"/>
      <c r="L1751" s="17" t="n"/>
      <c r="M1751" s="17" t="n"/>
      <c r="N1751" s="17" t="n"/>
      <c r="O1751" s="15" t="n"/>
      <c r="P1751" s="15" t="n"/>
      <c r="Q1751" s="18" t="inlineStr">
        <is>
          <t>https://www.sebi.gov.in/sebi_data/attachdocs/1291960542676.pdf</t>
        </is>
      </c>
      <c r="R1751" s="18" t="inlineStr">
        <is>
          <t>https://www.sebi.gov.in/filings/public-issues/dec-2007/manjushree-extrusions-ltd_9610.html</t>
        </is>
      </c>
      <c r="S1751" s="15" t="n"/>
      <c r="T1751" s="15" t="n"/>
      <c r="U1751" s="15" t="n"/>
      <c r="V1751" s="15" t="n"/>
      <c r="W1751" s="19" t="n">
        <v>39478</v>
      </c>
      <c r="X1751" s="19" t="n">
        <v>39484</v>
      </c>
      <c r="Y1751" s="19" t="n">
        <v>39506</v>
      </c>
      <c r="Z1751" s="20" t="inlineStr">
        <is>
          <t>Issue opened</t>
        </is>
      </c>
      <c r="AA1751" s="15" t="inlineStr">
        <is>
          <t>FPO: Chittorgarh lists FPO.</t>
        </is>
      </c>
      <c r="AB1751" s="18" t="inlineStr">
        <is>
          <t>https://www.chittorgarh.com/ipo/x/150/</t>
        </is>
      </c>
    </row>
    <row r="1752" ht="15" customHeight="1" s="12">
      <c r="A1752" s="14" t="n">
        <v>1751</v>
      </c>
      <c r="B1752" s="16" t="n">
        <v>39435</v>
      </c>
      <c r="C1752" s="15" t="n">
        <v>2007</v>
      </c>
      <c r="D1752" s="15" t="inlineStr">
        <is>
          <t>DB Corp Limited</t>
        </is>
      </c>
      <c r="E1752" s="15" t="inlineStr">
        <is>
          <t>DRHP</t>
        </is>
      </c>
      <c r="F1752" s="15" t="inlineStr">
        <is>
          <t>DB Corp Limited</t>
        </is>
      </c>
      <c r="G1752" s="15" t="inlineStr">
        <is>
          <t>IPO launched</t>
        </is>
      </c>
      <c r="H1752" s="15" t="inlineStr">
        <is>
          <t>Mainboard</t>
        </is>
      </c>
      <c r="I1752" s="16" t="n">
        <v>40158</v>
      </c>
      <c r="J1752" s="16" t="n">
        <v>40162</v>
      </c>
      <c r="K1752" s="16" t="n">
        <v>40184</v>
      </c>
      <c r="L1752" s="17" t="n">
        <v>384.22</v>
      </c>
      <c r="M1752" s="17" t="n">
        <v>384.22</v>
      </c>
      <c r="N1752" s="17" t="n">
        <v>0</v>
      </c>
      <c r="O1752" s="15" t="inlineStr">
        <is>
          <t>Final issue (ipoplatform)</t>
        </is>
      </c>
      <c r="P1752" s="15" t="n"/>
      <c r="Q1752" s="18" t="inlineStr">
        <is>
          <t>https://www.sebi.gov.in/sebi_data/attachdocs/1291959790690.pdf</t>
        </is>
      </c>
      <c r="R1752" s="18" t="inlineStr">
        <is>
          <t>https://www.sebi.gov.in/filings/public-issues/dec-2007/db-corp-limited_9589.html</t>
        </is>
      </c>
      <c r="S1752" s="15" t="n"/>
      <c r="T1752" s="15" t="inlineStr">
        <is>
          <t>Company name + date window</t>
        </is>
      </c>
      <c r="U1752" s="15" t="inlineStr">
        <is>
          <t>DB Corp Limited</t>
        </is>
      </c>
      <c r="V1752" s="15" t="n"/>
      <c r="W1752" s="15" t="n"/>
      <c r="X1752" s="15" t="n"/>
      <c r="Y1752" s="15" t="n"/>
      <c r="Z1752" s="15" t="n"/>
      <c r="AA1752" s="15" t="n"/>
      <c r="AB1752" s="15" t="n"/>
    </row>
    <row r="1753" ht="15" customHeight="1" s="12">
      <c r="A1753" s="14" t="n">
        <v>1752</v>
      </c>
      <c r="B1753" s="16" t="n">
        <v>39435</v>
      </c>
      <c r="C1753" s="15" t="n">
        <v>2007</v>
      </c>
      <c r="D1753" s="15" t="inlineStr">
        <is>
          <t>Ramky Infrastructure Limited</t>
        </is>
      </c>
      <c r="E1753" s="15" t="inlineStr">
        <is>
          <t>DRHP</t>
        </is>
      </c>
      <c r="F1753" s="15" t="inlineStr">
        <is>
          <t>Ramky Infrastructure Limited</t>
        </is>
      </c>
      <c r="G1753" s="15" t="inlineStr">
        <is>
          <t>No launched IPO found</t>
        </is>
      </c>
      <c r="H1753" s="15" t="n"/>
      <c r="I1753" s="16" t="n"/>
      <c r="J1753" s="16" t="n"/>
      <c r="K1753" s="16" t="n"/>
      <c r="L1753" s="17" t="n"/>
      <c r="M1753" s="17" t="n"/>
      <c r="N1753" s="17" t="n"/>
      <c r="O1753" s="15" t="n"/>
      <c r="P1753" s="15" t="n"/>
      <c r="Q1753" s="18" t="inlineStr">
        <is>
          <t>https://www.sebi.gov.in/sebi_data/attachdocs/1291960022709.pdf</t>
        </is>
      </c>
      <c r="R1753" s="18" t="inlineStr">
        <is>
          <t>https://www.sebi.gov.in/filings/public-issues/dec-2007/ramky-infrastructure-limited_9594.html</t>
        </is>
      </c>
      <c r="S1753" s="15" t="n"/>
      <c r="T1753" s="15" t="n"/>
      <c r="U1753" s="15" t="n"/>
      <c r="V1753" s="15" t="inlineStr">
        <is>
          <t>Same-name IPO opened 21-Sep-2010 — outside 2 years of this filing, so not linked</t>
        </is>
      </c>
      <c r="W1753" s="19" t="n">
        <v>40442</v>
      </c>
      <c r="X1753" s="19" t="n">
        <v>40444</v>
      </c>
      <c r="Y1753" s="19" t="n"/>
      <c r="Z1753" s="20" t="inlineStr">
        <is>
          <t>Issue opened</t>
        </is>
      </c>
      <c r="AA1753" s="15" t="inlineStr">
        <is>
          <t>Matched on chittorgarh.com</t>
        </is>
      </c>
      <c r="AB1753" s="18" t="inlineStr">
        <is>
          <t>https://www.chittorgarh.com/ipo/ramky_infra_ipo/265/</t>
        </is>
      </c>
    </row>
    <row r="1754" ht="15" customHeight="1" s="12">
      <c r="A1754" s="14" t="n">
        <v>1753</v>
      </c>
      <c r="B1754" s="16" t="n">
        <v>39435</v>
      </c>
      <c r="C1754" s="15" t="n">
        <v>2007</v>
      </c>
      <c r="D1754" s="15" t="inlineStr">
        <is>
          <t>Shankara Pipes India Limited</t>
        </is>
      </c>
      <c r="E1754" s="15" t="inlineStr">
        <is>
          <t>DRHP</t>
        </is>
      </c>
      <c r="F1754" s="15" t="inlineStr">
        <is>
          <t>Shankara Pipes India Limited</t>
        </is>
      </c>
      <c r="G1754" s="15" t="inlineStr">
        <is>
          <t>No launched IPO found</t>
        </is>
      </c>
      <c r="H1754" s="15" t="n"/>
      <c r="I1754" s="16" t="n"/>
      <c r="J1754" s="16" t="n"/>
      <c r="K1754" s="16" t="n"/>
      <c r="L1754" s="17" t="n"/>
      <c r="M1754" s="17" t="n"/>
      <c r="N1754" s="17" t="n"/>
      <c r="O1754" s="15" t="n"/>
      <c r="P1754" s="15" t="n"/>
      <c r="Q1754" s="18" t="inlineStr">
        <is>
          <t>https://www.sebi.gov.in/sebi_data/attachdocs/1291960107471.pdf</t>
        </is>
      </c>
      <c r="R1754" s="18" t="inlineStr">
        <is>
          <t>https://www.sebi.gov.in/filings/public-issues/dec-2007/shankara-pipes-india-limited_9596.html</t>
        </is>
      </c>
      <c r="S1754" s="15" t="n"/>
      <c r="T1754" s="15" t="n"/>
      <c r="U1754" s="15" t="n"/>
      <c r="V1754" s="15" t="n"/>
      <c r="W1754" s="25" t="n">
        <v>42816</v>
      </c>
      <c r="X1754" s="25" t="n">
        <v>42818</v>
      </c>
      <c r="Y1754" s="25" t="n">
        <v>42830</v>
      </c>
      <c r="Z1754" s="26" t="inlineStr">
        <is>
          <t>Later IPO — not from this draft</t>
        </is>
      </c>
      <c r="AA1754" s="15" t="inlineStr">
        <is>
          <t>Opened 9.3 yrs after this filing, under a later draft; IPO as Shankara Building Products (Rs345cr) under 2016 DRHP; 2007 draft never used</t>
        </is>
      </c>
      <c r="AB1754" s="18" t="inlineStr">
        <is>
          <t>https://www.chittorgarh.com/ipo/shankara-buildpro-ipo/635/</t>
        </is>
      </c>
    </row>
    <row r="1755" ht="15" customHeight="1" s="12">
      <c r="A1755" s="14" t="n">
        <v>1754</v>
      </c>
      <c r="B1755" s="16" t="n">
        <v>39434</v>
      </c>
      <c r="C1755" s="15" t="n">
        <v>2007</v>
      </c>
      <c r="D1755" s="15" t="inlineStr">
        <is>
          <t>Mahindra Holidays and Resorts India Limited</t>
        </is>
      </c>
      <c r="E1755" s="15" t="inlineStr">
        <is>
          <t>DRHP</t>
        </is>
      </c>
      <c r="F1755" s="15" t="inlineStr">
        <is>
          <t>Mahindra Holidays and Resorts India Limited</t>
        </is>
      </c>
      <c r="G1755" s="15" t="inlineStr">
        <is>
          <t>IPO launched</t>
        </is>
      </c>
      <c r="H1755" s="15" t="inlineStr">
        <is>
          <t>Mainboard</t>
        </is>
      </c>
      <c r="I1755" s="16" t="n">
        <v>39987</v>
      </c>
      <c r="J1755" s="16" t="n">
        <v>39990</v>
      </c>
      <c r="K1755" s="16" t="n">
        <v>40010</v>
      </c>
      <c r="L1755" s="17" t="n">
        <v>277.96</v>
      </c>
      <c r="M1755" s="17" t="n">
        <v>277.96</v>
      </c>
      <c r="N1755" s="17" t="n">
        <v>0</v>
      </c>
      <c r="O1755" s="15" t="inlineStr">
        <is>
          <t>Final issue (ipoplatform)</t>
        </is>
      </c>
      <c r="P1755" s="15" t="n"/>
      <c r="Q1755" s="18" t="inlineStr">
        <is>
          <t>https://www.sebi.gov.in/sebi_data/attachdocs/1291959344466.pdf</t>
        </is>
      </c>
      <c r="R1755" s="18" t="inlineStr">
        <is>
          <t>https://www.sebi.gov.in/filings/public-issues/dec-2007/mahindra-holidays-and-resorts-india-limited_9583.html</t>
        </is>
      </c>
      <c r="S1755" s="15" t="n"/>
      <c r="T1755" s="15" t="inlineStr">
        <is>
          <t>Company name + date window</t>
        </is>
      </c>
      <c r="U1755" s="15" t="inlineStr">
        <is>
          <t>Mahindra Holidays and Resorts India Limited</t>
        </is>
      </c>
      <c r="V1755" s="15" t="n"/>
      <c r="W1755" s="15" t="n"/>
      <c r="X1755" s="15" t="n"/>
      <c r="Y1755" s="15" t="n"/>
      <c r="Z1755" s="15" t="n"/>
      <c r="AA1755" s="15" t="n"/>
      <c r="AB1755" s="15" t="n"/>
    </row>
    <row r="1756" ht="15" customHeight="1" s="12">
      <c r="A1756" s="14" t="n">
        <v>1755</v>
      </c>
      <c r="B1756" s="16" t="n">
        <v>39434</v>
      </c>
      <c r="C1756" s="15" t="n">
        <v>2007</v>
      </c>
      <c r="D1756" s="15" t="inlineStr">
        <is>
          <t>Mandhana Industries Limited</t>
        </is>
      </c>
      <c r="E1756" s="15" t="inlineStr">
        <is>
          <t>DRHP</t>
        </is>
      </c>
      <c r="F1756" s="15" t="inlineStr">
        <is>
          <t>Mandhana Industries Limited</t>
        </is>
      </c>
      <c r="G1756" s="15" t="inlineStr">
        <is>
          <t>No launched IPO found</t>
        </is>
      </c>
      <c r="H1756" s="15" t="n"/>
      <c r="I1756" s="16" t="n"/>
      <c r="J1756" s="16" t="n"/>
      <c r="K1756" s="16" t="n"/>
      <c r="L1756" s="17" t="n"/>
      <c r="M1756" s="17" t="n"/>
      <c r="N1756" s="17" t="n"/>
      <c r="O1756" s="15" t="n"/>
      <c r="P1756" s="15" t="n"/>
      <c r="Q1756" s="18" t="inlineStr">
        <is>
          <t>https://www.sebi.gov.in/sebi_data/attachdocs/1291959699938.pdf</t>
        </is>
      </c>
      <c r="R1756" s="18" t="inlineStr">
        <is>
          <t>https://www.sebi.gov.in/filings/public-issues/dec-2007/mandhana-industries-limited_9588.html</t>
        </is>
      </c>
      <c r="S1756" s="15" t="n"/>
      <c r="T1756" s="15" t="n"/>
      <c r="U1756" s="15" t="n"/>
      <c r="V1756" s="15" t="n"/>
      <c r="W1756" s="19" t="n">
        <v>40295</v>
      </c>
      <c r="X1756" s="19" t="n">
        <v>40297</v>
      </c>
      <c r="Y1756" s="19" t="n"/>
      <c r="Z1756" s="20" t="inlineStr">
        <is>
          <t>Issue opened</t>
        </is>
      </c>
      <c r="AA1756" s="15" t="inlineStr">
        <is>
          <t>Matched on chittorgarh.com</t>
        </is>
      </c>
      <c r="AB1756" s="18" t="inlineStr">
        <is>
          <t>https://www.chittorgarh.com/ipo/mandhana_industries_ipo/242/</t>
        </is>
      </c>
    </row>
    <row r="1757" ht="15" customHeight="1" s="12">
      <c r="A1757" s="14" t="n">
        <v>1756</v>
      </c>
      <c r="B1757" s="16" t="n">
        <v>39434</v>
      </c>
      <c r="C1757" s="15" t="n">
        <v>2007</v>
      </c>
      <c r="D1757" s="15" t="inlineStr">
        <is>
          <t>Resurgere Mines and Minerals India Limited</t>
        </is>
      </c>
      <c r="E1757" s="15" t="inlineStr">
        <is>
          <t>DRHP</t>
        </is>
      </c>
      <c r="F1757" s="15" t="inlineStr">
        <is>
          <t>Resurgere Mines and Minerals India Limited</t>
        </is>
      </c>
      <c r="G1757" s="15" t="inlineStr">
        <is>
          <t>No launched IPO found</t>
        </is>
      </c>
      <c r="H1757" s="15" t="n"/>
      <c r="I1757" s="16" t="n"/>
      <c r="J1757" s="16" t="n"/>
      <c r="K1757" s="16" t="n"/>
      <c r="L1757" s="17" t="n"/>
      <c r="M1757" s="17" t="n"/>
      <c r="N1757" s="17" t="n"/>
      <c r="O1757" s="15" t="n"/>
      <c r="P1757" s="15" t="n"/>
      <c r="Q1757" s="18" t="inlineStr">
        <is>
          <t>https://www.sebi.gov.in/sebi_data/attachdocs/1291958787693.pdf</t>
        </is>
      </c>
      <c r="R1757" s="18" t="inlineStr">
        <is>
          <t>https://www.sebi.gov.in/filings/public-issues/dec-2007/resurgere-mines-and-minerals-india-limited_9569.html</t>
        </is>
      </c>
      <c r="S1757" s="15" t="n"/>
      <c r="T1757" s="15" t="n"/>
      <c r="U1757" s="15" t="n"/>
      <c r="V1757" s="15" t="n"/>
      <c r="W1757" s="19" t="n">
        <v>39671</v>
      </c>
      <c r="X1757" s="19" t="n">
        <v>39673</v>
      </c>
      <c r="Y1757" s="19" t="n"/>
      <c r="Z1757" s="20" t="inlineStr">
        <is>
          <t>Issue opened</t>
        </is>
      </c>
      <c r="AA1757" s="15" t="inlineStr">
        <is>
          <t>Business Standard IPO page</t>
        </is>
      </c>
      <c r="AB1757" s="18" t="inlineStr">
        <is>
          <t>https://www.business-standard.com/markets/ipo/resurgere-mines-minerals-india-ltd-ipo-28573</t>
        </is>
      </c>
    </row>
    <row r="1758" ht="15" customHeight="1" s="12">
      <c r="A1758" s="14" t="n">
        <v>1757</v>
      </c>
      <c r="B1758" s="16" t="n">
        <v>39433</v>
      </c>
      <c r="C1758" s="15" t="n">
        <v>2007</v>
      </c>
      <c r="D1758" s="15" t="inlineStr">
        <is>
          <t>Oil India Limited</t>
        </is>
      </c>
      <c r="E1758" s="15" t="inlineStr">
        <is>
          <t>DRHP</t>
        </is>
      </c>
      <c r="F1758" s="15" t="inlineStr">
        <is>
          <t>Oil India Limited</t>
        </is>
      </c>
      <c r="G1758" s="15" t="inlineStr">
        <is>
          <t>IPO launched</t>
        </is>
      </c>
      <c r="H1758" s="15" t="inlineStr">
        <is>
          <t>Mainboard</t>
        </is>
      </c>
      <c r="I1758" s="16" t="n">
        <v>40063</v>
      </c>
      <c r="J1758" s="16" t="n">
        <v>40066</v>
      </c>
      <c r="K1758" s="16" t="n">
        <v>40086</v>
      </c>
      <c r="L1758" s="17" t="n">
        <v>2777.25</v>
      </c>
      <c r="M1758" s="17" t="n">
        <v>2777.25</v>
      </c>
      <c r="N1758" s="17" t="n">
        <v>0</v>
      </c>
      <c r="O1758" s="15" t="inlineStr">
        <is>
          <t>Final issue (ipoplatform)</t>
        </is>
      </c>
      <c r="P1758" s="15" t="n"/>
      <c r="Q1758" s="18" t="inlineStr">
        <is>
          <t>https://www.sebi.gov.in/sebi_data/attachdocs/1291958638629.pdf</t>
        </is>
      </c>
      <c r="R1758" s="18" t="inlineStr">
        <is>
          <t>https://www.sebi.gov.in/filings/public-issues/dec-2007/oil-india-limited_9566.html</t>
        </is>
      </c>
      <c r="S1758" s="15" t="n"/>
      <c r="T1758" s="15" t="inlineStr">
        <is>
          <t>Company name + date window</t>
        </is>
      </c>
      <c r="U1758" s="15" t="inlineStr">
        <is>
          <t>Oil India Limited</t>
        </is>
      </c>
      <c r="V1758" s="15" t="n"/>
      <c r="W1758" s="15" t="n"/>
      <c r="X1758" s="15" t="n"/>
      <c r="Y1758" s="15" t="n"/>
      <c r="Z1758" s="15" t="n"/>
      <c r="AA1758" s="15" t="n"/>
      <c r="AB1758" s="15" t="n"/>
    </row>
    <row r="1759" ht="15" customHeight="1" s="12">
      <c r="A1759" s="14" t="n">
        <v>1758</v>
      </c>
      <c r="B1759" s="16" t="n">
        <v>39422</v>
      </c>
      <c r="C1759" s="15" t="n">
        <v>2007</v>
      </c>
      <c r="D1759" s="15" t="inlineStr">
        <is>
          <t>Acme Tele Power Limited</t>
        </is>
      </c>
      <c r="E1759" s="15" t="inlineStr">
        <is>
          <t>DRHP</t>
        </is>
      </c>
      <c r="F1759" s="15" t="inlineStr">
        <is>
          <t>Acme Tele Power Limited</t>
        </is>
      </c>
      <c r="G1759" s="15" t="inlineStr">
        <is>
          <t>No launched IPO found</t>
        </is>
      </c>
      <c r="H1759" s="15" t="n"/>
      <c r="I1759" s="16" t="n"/>
      <c r="J1759" s="16" t="n"/>
      <c r="K1759" s="16" t="n"/>
      <c r="L1759" s="17" t="n"/>
      <c r="M1759" s="17" t="n"/>
      <c r="N1759" s="17" t="n"/>
      <c r="O1759" s="15" t="n"/>
      <c r="P1759" s="15" t="n"/>
      <c r="Q1759" s="18" t="inlineStr">
        <is>
          <t>https://www.sebi.gov.in/sebi_data/attachdocs/1291958366534.pdf</t>
        </is>
      </c>
      <c r="R1759" s="18" t="inlineStr">
        <is>
          <t>https://www.sebi.gov.in/filings/public-issues/dec-2007/acme-tele-power-limited_9559.html</t>
        </is>
      </c>
      <c r="S1759" s="15" t="n"/>
      <c r="T1759" s="15" t="n"/>
      <c r="U1759" s="15" t="n"/>
      <c r="V1759" s="15" t="n"/>
      <c r="W1759" s="16" t="n"/>
      <c r="X1759" s="16" t="n"/>
      <c r="Y1759" s="16" t="n"/>
      <c r="Z1759" s="15" t="inlineStr">
        <is>
          <t>No issue found</t>
        </is>
      </c>
      <c r="AA1759" s="15" t="inlineStr">
        <is>
          <t>IPO planned pre-Mar 2008 stalled by market turmoil; PE investors exited via put options Dec 2008</t>
        </is>
      </c>
      <c r="AB1759" s="18" t="inlineStr">
        <is>
          <t>https://www.business-standard.com/amp/article/technology/pe-firms-exit-acme-tele-108123001031_1.html</t>
        </is>
      </c>
    </row>
    <row r="1760" ht="15" customHeight="1" s="12">
      <c r="A1760" s="14" t="n">
        <v>1759</v>
      </c>
      <c r="B1760" s="16" t="n">
        <v>39421</v>
      </c>
      <c r="C1760" s="15" t="n">
        <v>2007</v>
      </c>
      <c r="D1760" s="15" t="inlineStr">
        <is>
          <t>Sejal Architectural Glass Limited</t>
        </is>
      </c>
      <c r="E1760" s="15" t="inlineStr">
        <is>
          <t>DRHP</t>
        </is>
      </c>
      <c r="F1760" s="15" t="inlineStr">
        <is>
          <t>Sejal Architectural Glass Limited</t>
        </is>
      </c>
      <c r="G1760" s="15" t="inlineStr">
        <is>
          <t>IPO launched</t>
        </is>
      </c>
      <c r="H1760" s="15" t="inlineStr">
        <is>
          <t>Mainboard</t>
        </is>
      </c>
      <c r="I1760" s="16" t="n">
        <v>39608</v>
      </c>
      <c r="J1760" s="16" t="n">
        <v>39611</v>
      </c>
      <c r="K1760" s="16" t="n">
        <v>39630</v>
      </c>
      <c r="L1760" s="17" t="n">
        <v>105.73</v>
      </c>
      <c r="M1760" s="17" t="n">
        <v>105.73</v>
      </c>
      <c r="N1760" s="17" t="n">
        <v>0</v>
      </c>
      <c r="O1760" s="15" t="inlineStr">
        <is>
          <t>Final issue (ipoplatform)</t>
        </is>
      </c>
      <c r="P1760" s="15" t="n"/>
      <c r="Q1760" s="18" t="inlineStr">
        <is>
          <t>https://www.sebi.gov.in/sebi_data/attachdocs/1291958145476.pdf</t>
        </is>
      </c>
      <c r="R1760" s="18" t="inlineStr">
        <is>
          <t>https://www.sebi.gov.in/filings/public-issues/dec-2007/sejal-architectural-glass-limited_9553.html</t>
        </is>
      </c>
      <c r="S1760" s="15" t="n"/>
      <c r="T1760" s="15" t="inlineStr">
        <is>
          <t>SEBI filing link</t>
        </is>
      </c>
      <c r="U1760" s="15" t="inlineStr">
        <is>
          <t>Sejal Architectural Glass Limited</t>
        </is>
      </c>
      <c r="V1760" s="15" t="n"/>
      <c r="W1760" s="15" t="n"/>
      <c r="X1760" s="15" t="n"/>
      <c r="Y1760" s="15" t="n"/>
      <c r="Z1760" s="15" t="n"/>
      <c r="AA1760" s="15" t="n"/>
      <c r="AB1760" s="15" t="n"/>
    </row>
    <row r="1761" ht="15" customHeight="1" s="12">
      <c r="A1761" s="14" t="n">
        <v>1760</v>
      </c>
      <c r="B1761" s="16" t="n">
        <v>39419</v>
      </c>
      <c r="C1761" s="15" t="n">
        <v>2007</v>
      </c>
      <c r="D1761" s="15" t="inlineStr">
        <is>
          <t>Xenitis Infotech Limited</t>
        </is>
      </c>
      <c r="E1761" s="15" t="inlineStr">
        <is>
          <t>DRHP</t>
        </is>
      </c>
      <c r="F1761" s="15" t="inlineStr">
        <is>
          <t>Xenitis Infotech Limited</t>
        </is>
      </c>
      <c r="G1761" s="15" t="inlineStr">
        <is>
          <t>No launched IPO found</t>
        </is>
      </c>
      <c r="H1761" s="15" t="n"/>
      <c r="I1761" s="16" t="n"/>
      <c r="J1761" s="16" t="n"/>
      <c r="K1761" s="16" t="n"/>
      <c r="L1761" s="17" t="n"/>
      <c r="M1761" s="17" t="n"/>
      <c r="N1761" s="17" t="n"/>
      <c r="O1761" s="15" t="n"/>
      <c r="P1761" s="15" t="n"/>
      <c r="Q1761" s="18" t="inlineStr">
        <is>
          <t>https://www.sebi.gov.in/sebi_data/attachdocs/1291957514388.pdf</t>
        </is>
      </c>
      <c r="R1761" s="18" t="inlineStr">
        <is>
          <t>https://www.sebi.gov.in/filings/public-issues/dec-2007/xenitis-infotech-limited_9541.html</t>
        </is>
      </c>
      <c r="S1761" s="15" t="n"/>
      <c r="T1761" s="15" t="n"/>
      <c r="U1761" s="15" t="n"/>
      <c r="V1761" s="15" t="n"/>
      <c r="W1761" s="16" t="n"/>
      <c r="X1761" s="16" t="n"/>
      <c r="Y1761" s="16" t="n"/>
      <c r="Z1761" s="15" t="inlineStr">
        <is>
          <t>No issue found</t>
        </is>
      </c>
      <c r="AA1761" s="15" t="inlineStr">
        <is>
          <t>Business Standard lists the company but shows no issue dates; web search limit reached</t>
        </is>
      </c>
      <c r="AB1761" s="18" t="inlineStr">
        <is>
          <t>https://www.business-standard.com/markets/ipo/xenitis-infotech-ltd-ipo-28476</t>
        </is>
      </c>
    </row>
    <row r="1762" ht="15" customHeight="1" s="12">
      <c r="A1762" s="14" t="n">
        <v>1761</v>
      </c>
      <c r="B1762" s="16" t="n">
        <v>39413</v>
      </c>
      <c r="C1762" s="15" t="n">
        <v>2007</v>
      </c>
      <c r="D1762" s="15" t="inlineStr">
        <is>
          <t>Kolte-Patil Developers Limited</t>
        </is>
      </c>
      <c r="E1762" s="15" t="inlineStr">
        <is>
          <t>Notice</t>
        </is>
      </c>
      <c r="F1762" s="15" t="inlineStr">
        <is>
          <t>Kolte-Patil Developers Limited -Public Notice dated November 25, 2007</t>
        </is>
      </c>
      <c r="G1762" s="15" t="inlineStr">
        <is>
          <t>No launched IPO found</t>
        </is>
      </c>
      <c r="H1762" s="15" t="n"/>
      <c r="I1762" s="16" t="n"/>
      <c r="J1762" s="16" t="n"/>
      <c r="K1762" s="16" t="n"/>
      <c r="L1762" s="17" t="n"/>
      <c r="M1762" s="17" t="n"/>
      <c r="N1762" s="17" t="n"/>
      <c r="O1762" s="15" t="n"/>
      <c r="P1762" s="15" t="n"/>
      <c r="Q1762" s="18" t="inlineStr">
        <is>
          <t>https://www.sebi.gov.in/sebi_data/attachdocs/1291952536236.pdf</t>
        </is>
      </c>
      <c r="R1762" s="18" t="inlineStr">
        <is>
          <t>https://www.sebi.gov.in/filings/public-issues/nov-2007/kolte-patil-developers-limited-public-notice-dated-november-25-2007_9508.html</t>
        </is>
      </c>
      <c r="S1762" s="15" t="n"/>
      <c r="T1762" s="15" t="n"/>
      <c r="U1762" s="15" t="n"/>
      <c r="V1762" s="15" t="inlineStr">
        <is>
          <t>Same-name IPO opened 19-Nov-2007 — outside 2 years of this filing, so not linked</t>
        </is>
      </c>
      <c r="W1762" s="16" t="n"/>
      <c r="X1762" s="16" t="n"/>
      <c r="Y1762" s="16" t="n"/>
      <c r="Z1762" s="15" t="inlineStr">
        <is>
          <t>No issue found</t>
        </is>
      </c>
      <c r="AA1762" s="15" t="inlineStr">
        <is>
          <t>IPO opened 2007-11-19, closed 11-22, listed 12-13, before first_filed 2007-11-27; not after.</t>
        </is>
      </c>
      <c r="AB1762" s="18" t="inlineStr">
        <is>
          <t>https://www.chittorgarh.com/ipo/kolte_patil_developers_ipo/137/</t>
        </is>
      </c>
    </row>
    <row r="1763" ht="15" customHeight="1" s="12">
      <c r="A1763" s="14" t="n">
        <v>1762</v>
      </c>
      <c r="B1763" s="16" t="n">
        <v>39409</v>
      </c>
      <c r="C1763" s="15" t="n">
        <v>2007</v>
      </c>
      <c r="D1763" s="15" t="inlineStr">
        <is>
          <t>V-Guard Industries Limited</t>
        </is>
      </c>
      <c r="E1763" s="15" t="inlineStr">
        <is>
          <t>DRHP</t>
        </is>
      </c>
      <c r="F1763" s="15" t="inlineStr">
        <is>
          <t>V-Guard Industries Limited</t>
        </is>
      </c>
      <c r="G1763" s="15" t="inlineStr">
        <is>
          <t>IPO launched</t>
        </is>
      </c>
      <c r="H1763" s="15" t="inlineStr">
        <is>
          <t>Mainboard</t>
        </is>
      </c>
      <c r="I1763" s="16" t="n">
        <v>39496</v>
      </c>
      <c r="J1763" s="16" t="n">
        <v>39499</v>
      </c>
      <c r="K1763" s="16" t="n">
        <v>39520</v>
      </c>
      <c r="L1763" s="17" t="n">
        <v>65.59999999999999</v>
      </c>
      <c r="M1763" s="17" t="n">
        <v>65.59999999999999</v>
      </c>
      <c r="N1763" s="17" t="n">
        <v>0</v>
      </c>
      <c r="O1763" s="15" t="inlineStr">
        <is>
          <t>Final issue (ipoplatform)</t>
        </is>
      </c>
      <c r="P1763" s="15" t="n"/>
      <c r="Q1763" s="18" t="inlineStr">
        <is>
          <t>https://www.sebi.gov.in/sebi_data/attachdocs/1291952345264.pdf</t>
        </is>
      </c>
      <c r="R1763" s="18" t="inlineStr">
        <is>
          <t>https://www.sebi.gov.in/filings/public-issues/nov-2007/v-guard-industries-limited_9507.html</t>
        </is>
      </c>
      <c r="S1763" s="15" t="n"/>
      <c r="T1763" s="15" t="inlineStr">
        <is>
          <t>SEBI filing link</t>
        </is>
      </c>
      <c r="U1763" s="15" t="inlineStr">
        <is>
          <t>V-Guard Industries Limited</t>
        </is>
      </c>
      <c r="V1763" s="15" t="n"/>
      <c r="W1763" s="15" t="n"/>
      <c r="X1763" s="15" t="n"/>
      <c r="Y1763" s="15" t="n"/>
      <c r="Z1763" s="15" t="n"/>
      <c r="AA1763" s="15" t="n"/>
      <c r="AB1763" s="15" t="n"/>
    </row>
    <row r="1764" ht="15" customHeight="1" s="12">
      <c r="A1764" s="14" t="n">
        <v>1763</v>
      </c>
      <c r="B1764" s="16" t="n">
        <v>39402</v>
      </c>
      <c r="C1764" s="15" t="n">
        <v>2007</v>
      </c>
      <c r="D1764" s="15" t="inlineStr">
        <is>
          <t>Somi Conveyor Beltings Limited</t>
        </is>
      </c>
      <c r="E1764" s="15" t="inlineStr">
        <is>
          <t>DRHP</t>
        </is>
      </c>
      <c r="F1764" s="15" t="inlineStr">
        <is>
          <t>Somi Conveyor Beltings Limited</t>
        </is>
      </c>
      <c r="G1764" s="15" t="inlineStr">
        <is>
          <t>IPO launched</t>
        </is>
      </c>
      <c r="H1764" s="15" t="inlineStr">
        <is>
          <t>Mainboard</t>
        </is>
      </c>
      <c r="I1764" s="16" t="n">
        <v>39623</v>
      </c>
      <c r="J1764" s="16" t="n">
        <v>39626</v>
      </c>
      <c r="K1764" s="16" t="n">
        <v>39653</v>
      </c>
      <c r="L1764" s="17" t="n">
        <v>21.8</v>
      </c>
      <c r="M1764" s="17" t="n">
        <v>21.8</v>
      </c>
      <c r="N1764" s="17" t="n">
        <v>0</v>
      </c>
      <c r="O1764" s="15" t="inlineStr">
        <is>
          <t>Final issue (ipoplatform)</t>
        </is>
      </c>
      <c r="P1764" s="15" t="n"/>
      <c r="Q1764" s="18" t="inlineStr">
        <is>
          <t>https://www.sebi.gov.in/sebi_data/attachdocs/1291952214293.pdf</t>
        </is>
      </c>
      <c r="R1764" s="18" t="inlineStr">
        <is>
          <t>https://www.sebi.gov.in/filings/public-issues/nov-2007/somi-conveyor-beltings-limited_9505.html</t>
        </is>
      </c>
      <c r="S1764" s="15" t="n"/>
      <c r="T1764" s="15" t="inlineStr">
        <is>
          <t>SEBI filing link</t>
        </is>
      </c>
      <c r="U1764" s="15" t="inlineStr">
        <is>
          <t>Somi Conveyor Beltings Limited</t>
        </is>
      </c>
      <c r="V1764" s="15" t="n"/>
      <c r="W1764" s="15" t="n"/>
      <c r="X1764" s="15" t="n"/>
      <c r="Y1764" s="15" t="n"/>
      <c r="Z1764" s="15" t="n"/>
      <c r="AA1764" s="15" t="n"/>
      <c r="AB1764" s="15" t="n"/>
    </row>
    <row r="1765" ht="15" customHeight="1" s="12">
      <c r="A1765" s="14" t="n">
        <v>1764</v>
      </c>
      <c r="B1765" s="16" t="n">
        <v>39401</v>
      </c>
      <c r="C1765" s="15" t="n">
        <v>2007</v>
      </c>
      <c r="D1765" s="15" t="inlineStr">
        <is>
          <t>Vascon Engineers Limited</t>
        </is>
      </c>
      <c r="E1765" s="15" t="inlineStr">
        <is>
          <t>DRHP</t>
        </is>
      </c>
      <c r="F1765" s="15" t="inlineStr">
        <is>
          <t>Vascon Engineers Limited</t>
        </is>
      </c>
      <c r="G1765" s="15" t="inlineStr">
        <is>
          <t>No launched IPO found</t>
        </is>
      </c>
      <c r="H1765" s="15" t="n"/>
      <c r="I1765" s="16" t="n"/>
      <c r="J1765" s="16" t="n"/>
      <c r="K1765" s="16" t="n"/>
      <c r="L1765" s="17" t="n"/>
      <c r="M1765" s="17" t="n"/>
      <c r="N1765" s="17" t="n"/>
      <c r="O1765" s="15" t="n"/>
      <c r="P1765" s="15" t="n"/>
      <c r="Q1765" s="18" t="inlineStr">
        <is>
          <t>https://www.sebi.gov.in/sebi_data/attachdocs/1291951804273.pdf</t>
        </is>
      </c>
      <c r="R1765" s="18" t="inlineStr">
        <is>
          <t>https://www.sebi.gov.in/filings/public-issues/nov-2007/vascon-engineers-limited_9503.html</t>
        </is>
      </c>
      <c r="S1765" s="15" t="n"/>
      <c r="T1765" s="15" t="n"/>
      <c r="U1765" s="15" t="n"/>
      <c r="V1765" s="15" t="inlineStr">
        <is>
          <t>Same-name IPO opened 27-Jan-2010 — outside 2 years of this filing, so not linked</t>
        </is>
      </c>
      <c r="W1765" s="19" t="n">
        <v>40205</v>
      </c>
      <c r="X1765" s="19" t="n">
        <v>40207</v>
      </c>
      <c r="Y1765" s="19" t="n"/>
      <c r="Z1765" s="20" t="inlineStr">
        <is>
          <t>Issue opened</t>
        </is>
      </c>
      <c r="AA1765" s="15" t="inlineStr">
        <is>
          <t>Matched on chittorgarh.com</t>
        </is>
      </c>
      <c r="AB1765" s="18" t="inlineStr">
        <is>
          <t>https://www.chittorgarh.com/ipo/vascon_engineers_ipo/221/</t>
        </is>
      </c>
    </row>
    <row r="1766" ht="15" customHeight="1" s="12">
      <c r="A1766" s="14" t="n">
        <v>1765</v>
      </c>
      <c r="B1766" s="16" t="n">
        <v>39399</v>
      </c>
      <c r="C1766" s="15" t="n">
        <v>2007</v>
      </c>
      <c r="D1766" s="15" t="inlineStr">
        <is>
          <t>Austral Coke and Projects Limited</t>
        </is>
      </c>
      <c r="E1766" s="15" t="inlineStr">
        <is>
          <t>DRHP</t>
        </is>
      </c>
      <c r="F1766" s="15" t="inlineStr">
        <is>
          <t>Austral Coke and Projects Limited</t>
        </is>
      </c>
      <c r="G1766" s="15" t="inlineStr">
        <is>
          <t>No launched IPO found</t>
        </is>
      </c>
      <c r="H1766" s="15" t="n"/>
      <c r="I1766" s="16" t="n"/>
      <c r="J1766" s="16" t="n"/>
      <c r="K1766" s="16" t="n"/>
      <c r="L1766" s="17" t="n"/>
      <c r="M1766" s="17" t="n"/>
      <c r="N1766" s="17" t="n"/>
      <c r="O1766" s="15" t="n"/>
      <c r="P1766" s="15" t="n"/>
      <c r="Q1766" s="18" t="inlineStr">
        <is>
          <t>https://www.sebi.gov.in/sebi_data/attachdocs/1291951460453.pdf</t>
        </is>
      </c>
      <c r="R1766" s="18" t="inlineStr">
        <is>
          <t>https://www.sebi.gov.in/filings/public-issues/nov-2007/austral-coke-and-projects-limited_9502.html</t>
        </is>
      </c>
      <c r="S1766" s="15" t="n"/>
      <c r="T1766" s="15" t="n"/>
      <c r="U1766" s="15" t="n"/>
      <c r="V1766" s="15" t="n"/>
      <c r="W1766" s="19" t="n">
        <v>39667</v>
      </c>
      <c r="X1766" s="19" t="n">
        <v>39673</v>
      </c>
      <c r="Y1766" s="19" t="n">
        <v>39695</v>
      </c>
      <c r="Z1766" s="20" t="inlineStr">
        <is>
          <t>Issue opened</t>
        </is>
      </c>
      <c r="AA1766" s="15" t="inlineStr">
        <is>
          <t>Dates per chittorgarh summary; Sept 2009 article suggests listing may not have occurred.</t>
        </is>
      </c>
      <c r="AB1766" s="18" t="inlineStr">
        <is>
          <t>https://www.chittorgarh.com/ipo/austral_ipo/188/</t>
        </is>
      </c>
    </row>
    <row r="1767" ht="15" customHeight="1" s="12">
      <c r="A1767" s="14" t="n">
        <v>1766</v>
      </c>
      <c r="B1767" s="16" t="n">
        <v>39398</v>
      </c>
      <c r="C1767" s="15" t="n">
        <v>2007</v>
      </c>
      <c r="D1767" s="15" t="inlineStr">
        <is>
          <t>Gokul Refoils and Solvent Limited</t>
        </is>
      </c>
      <c r="E1767" s="15" t="inlineStr">
        <is>
          <t>DRHP</t>
        </is>
      </c>
      <c r="F1767" s="15" t="inlineStr">
        <is>
          <t>Gokul Refoils and Solvent Limited</t>
        </is>
      </c>
      <c r="G1767" s="15" t="inlineStr">
        <is>
          <t>IPO launched</t>
        </is>
      </c>
      <c r="H1767" s="15" t="inlineStr">
        <is>
          <t>Mainboard</t>
        </is>
      </c>
      <c r="I1767" s="16" t="n">
        <v>39576</v>
      </c>
      <c r="J1767" s="16" t="n">
        <v>39581</v>
      </c>
      <c r="K1767" s="16" t="n">
        <v>39603</v>
      </c>
      <c r="L1767" s="17" t="n">
        <v>139.59</v>
      </c>
      <c r="M1767" s="17" t="n">
        <v>139.59</v>
      </c>
      <c r="N1767" s="17" t="n">
        <v>0</v>
      </c>
      <c r="O1767" s="15" t="inlineStr">
        <is>
          <t>Final issue (ipoplatform)</t>
        </is>
      </c>
      <c r="P1767" s="15" t="n"/>
      <c r="Q1767" s="18" t="inlineStr">
        <is>
          <t>https://www.sebi.gov.in/sebi_data/attachdocs/1291951320543.pdf</t>
        </is>
      </c>
      <c r="R1767" s="18" t="inlineStr">
        <is>
          <t>https://www.sebi.gov.in/filings/public-issues/nov-2007/gokul-refoils-and-solvent-limited_9501.html</t>
        </is>
      </c>
      <c r="S1767" s="15" t="n"/>
      <c r="T1767" s="15" t="inlineStr">
        <is>
          <t>SEBI filing link</t>
        </is>
      </c>
      <c r="U1767" s="15" t="inlineStr">
        <is>
          <t>Gokul Refoils and Solvent Limited</t>
        </is>
      </c>
      <c r="V1767" s="15" t="n"/>
      <c r="W1767" s="15" t="n"/>
      <c r="X1767" s="15" t="n"/>
      <c r="Y1767" s="15" t="n"/>
      <c r="Z1767" s="15" t="n"/>
      <c r="AA1767" s="15" t="n"/>
      <c r="AB1767" s="15" t="n"/>
    </row>
    <row r="1768" ht="15" customHeight="1" s="12">
      <c r="A1768" s="14" t="n">
        <v>1767</v>
      </c>
      <c r="B1768" s="16" t="n">
        <v>39393</v>
      </c>
      <c r="C1768" s="15" t="n">
        <v>2007</v>
      </c>
      <c r="D1768" s="15" t="inlineStr">
        <is>
          <t>Archidply Industries Limited</t>
        </is>
      </c>
      <c r="E1768" s="15" t="inlineStr">
        <is>
          <t>DRHP</t>
        </is>
      </c>
      <c r="F1768" s="15" t="inlineStr">
        <is>
          <t>Prospectus -Archidply Industries Limited</t>
        </is>
      </c>
      <c r="G1768" s="15" t="inlineStr">
        <is>
          <t>IPO launched</t>
        </is>
      </c>
      <c r="H1768" s="15" t="inlineStr">
        <is>
          <t>Mainboard</t>
        </is>
      </c>
      <c r="I1768" s="16" t="n">
        <v>39610</v>
      </c>
      <c r="J1768" s="16" t="n">
        <v>39616</v>
      </c>
      <c r="K1768" s="16" t="n">
        <v>39633</v>
      </c>
      <c r="L1768" s="17" t="n">
        <v>48.96</v>
      </c>
      <c r="M1768" s="17" t="n">
        <v>48.96</v>
      </c>
      <c r="N1768" s="17" t="n">
        <v>0</v>
      </c>
      <c r="O1768" s="15" t="inlineStr">
        <is>
          <t>Final issue (ipoplatform)</t>
        </is>
      </c>
      <c r="P1768" s="15" t="n"/>
      <c r="Q1768" s="18" t="inlineStr">
        <is>
          <t>https://www.sebi.gov.in/sebi_data/attachdocs/1291951179374.pdf</t>
        </is>
      </c>
      <c r="R1768" s="18" t="inlineStr">
        <is>
          <t>https://www.sebi.gov.in/filings/public-issues/nov-2007/prospectus-archidply-industries-limited_9500.html</t>
        </is>
      </c>
      <c r="S1768" s="15" t="n"/>
      <c r="T1768" s="15" t="inlineStr">
        <is>
          <t>SEBI filing link</t>
        </is>
      </c>
      <c r="U1768" s="15" t="inlineStr">
        <is>
          <t>Archidply Industries Limited</t>
        </is>
      </c>
      <c r="V1768" s="15" t="n"/>
      <c r="W1768" s="15" t="n"/>
      <c r="X1768" s="15" t="n"/>
      <c r="Y1768" s="15" t="n"/>
      <c r="Z1768" s="15" t="n"/>
      <c r="AA1768" s="15" t="n"/>
      <c r="AB1768" s="15" t="n"/>
    </row>
    <row r="1769" ht="15" customHeight="1" s="12">
      <c r="A1769" s="14" t="n">
        <v>1768</v>
      </c>
      <c r="B1769" s="16" t="n">
        <v>39388</v>
      </c>
      <c r="C1769" s="15" t="n">
        <v>2007</v>
      </c>
      <c r="D1769" s="15" t="inlineStr">
        <is>
          <t>Jhaveri Flexo India Limited</t>
        </is>
      </c>
      <c r="E1769" s="15" t="inlineStr">
        <is>
          <t>DRHP</t>
        </is>
      </c>
      <c r="F1769" s="15" t="inlineStr">
        <is>
          <t>Jhaveri Flexo India Limited</t>
        </is>
      </c>
      <c r="G1769" s="15" t="inlineStr">
        <is>
          <t>No launched IPO found</t>
        </is>
      </c>
      <c r="H1769" s="15" t="n"/>
      <c r="I1769" s="16" t="n"/>
      <c r="J1769" s="16" t="n"/>
      <c r="K1769" s="16" t="n"/>
      <c r="L1769" s="17" t="n"/>
      <c r="M1769" s="17" t="n"/>
      <c r="N1769" s="17" t="n"/>
      <c r="O1769" s="15" t="n"/>
      <c r="P1769" s="15" t="n"/>
      <c r="Q1769" s="18" t="inlineStr">
        <is>
          <t>https://www.sebi.gov.in/sebi_data/attachdocs/1291950818713.pdf</t>
        </is>
      </c>
      <c r="R1769" s="18" t="inlineStr">
        <is>
          <t>https://www.sebi.gov.in/filings/public-issues/nov-2007/jhaveri-flexo-india-limited_9499.html</t>
        </is>
      </c>
      <c r="S1769" s="15" t="n"/>
      <c r="T1769" s="15" t="n"/>
      <c r="U1769" s="15" t="n"/>
      <c r="V1769" s="15" t="n"/>
      <c r="W1769" s="16" t="n"/>
      <c r="X1769" s="16" t="n"/>
      <c r="Y1769" s="16" t="n"/>
      <c r="Z1769" s="15" t="inlineStr">
        <is>
          <t>No issue found</t>
        </is>
      </c>
      <c r="AA1769" s="15" t="inlineStr">
        <is>
          <t>No IPO dates found in search.</t>
        </is>
      </c>
      <c r="AB1769" s="15" t="n"/>
    </row>
    <row r="1770" ht="15" customHeight="1" s="12">
      <c r="A1770" s="14" t="n">
        <v>1769</v>
      </c>
      <c r="B1770" s="16" t="n">
        <v>39386</v>
      </c>
      <c r="C1770" s="15" t="n">
        <v>2007</v>
      </c>
      <c r="D1770" s="15" t="inlineStr">
        <is>
          <t>Surya Food &amp; Agro Limited</t>
        </is>
      </c>
      <c r="E1770" s="15" t="inlineStr">
        <is>
          <t>DRHP</t>
        </is>
      </c>
      <c r="F1770" s="15" t="inlineStr">
        <is>
          <t>Prospectus -Surya Food &amp; Agro Limited</t>
        </is>
      </c>
      <c r="G1770" s="15" t="inlineStr">
        <is>
          <t>No launched IPO found</t>
        </is>
      </c>
      <c r="H1770" s="15" t="n"/>
      <c r="I1770" s="16" t="n"/>
      <c r="J1770" s="16" t="n"/>
      <c r="K1770" s="16" t="n"/>
      <c r="L1770" s="17" t="n"/>
      <c r="M1770" s="17" t="n"/>
      <c r="N1770" s="17" t="n"/>
      <c r="O1770" s="15" t="n"/>
      <c r="P1770" s="15" t="n"/>
      <c r="Q1770" s="18" t="inlineStr">
        <is>
          <t>https://www.sebi.gov.in/sebi_data/attachdocs/1291887733434.pdf</t>
        </is>
      </c>
      <c r="R1770" s="18" t="inlineStr">
        <is>
          <t>https://www.sebi.gov.in/filings/public-issues/oct-2007/prospectus-surya-food-and-agro-limited_9383.html</t>
        </is>
      </c>
      <c r="S1770" s="15" t="n"/>
      <c r="T1770" s="15" t="n"/>
      <c r="U1770" s="15" t="n"/>
      <c r="V1770" s="15" t="n"/>
      <c r="W1770" s="16" t="n"/>
      <c r="X1770" s="16" t="n"/>
      <c r="Y1770" s="16" t="n"/>
      <c r="Z1770" s="15" t="inlineStr">
        <is>
          <t>No issue found</t>
        </is>
      </c>
      <c r="AA1770" s="15" t="inlineStr">
        <is>
          <t>Company appears still unlisted; no IPO found.</t>
        </is>
      </c>
      <c r="AB1770" s="15" t="n"/>
    </row>
    <row r="1771" ht="15" customHeight="1" s="12">
      <c r="A1771" s="14" t="n">
        <v>1770</v>
      </c>
      <c r="B1771" s="16" t="n">
        <v>39379</v>
      </c>
      <c r="C1771" s="15" t="n">
        <v>2007</v>
      </c>
      <c r="D1771" s="15" t="inlineStr">
        <is>
          <t>Neel Metal Products Limited</t>
        </is>
      </c>
      <c r="E1771" s="15" t="inlineStr">
        <is>
          <t>DRHP</t>
        </is>
      </c>
      <c r="F1771" s="15" t="inlineStr">
        <is>
          <t>Neel Metal Products Limited</t>
        </is>
      </c>
      <c r="G1771" s="15" t="inlineStr">
        <is>
          <t>No launched IPO found</t>
        </is>
      </c>
      <c r="H1771" s="15" t="n"/>
      <c r="I1771" s="16" t="n"/>
      <c r="J1771" s="16" t="n"/>
      <c r="K1771" s="16" t="n"/>
      <c r="L1771" s="17" t="n"/>
      <c r="M1771" s="17" t="n"/>
      <c r="N1771" s="17" t="n"/>
      <c r="O1771" s="15" t="n"/>
      <c r="P1771" s="15" t="n"/>
      <c r="Q1771" s="18" t="inlineStr">
        <is>
          <t>https://www.sebi.gov.in/sebi_data/attachdocs/1291887589459.pdf</t>
        </is>
      </c>
      <c r="R1771" s="18" t="inlineStr">
        <is>
          <t>https://www.sebi.gov.in/filings/public-issues/oct-2007/neel-metal-products-limited_9379.html</t>
        </is>
      </c>
      <c r="S1771" s="15" t="n"/>
      <c r="T1771" s="15" t="n"/>
      <c r="U1771" s="15" t="n"/>
      <c r="V1771" s="15" t="n"/>
      <c r="W1771" s="16" t="n"/>
      <c r="X1771" s="16" t="n"/>
      <c r="Y1771" s="16" t="n"/>
      <c r="Z1771" s="15" t="inlineStr">
        <is>
          <t>No issue found</t>
        </is>
      </c>
      <c r="AA1771" s="15" t="inlineStr">
        <is>
          <t>No IPO dates found in search.</t>
        </is>
      </c>
      <c r="AB1771" s="15" t="n"/>
    </row>
    <row r="1772" ht="15" customHeight="1" s="12">
      <c r="A1772" s="14" t="n">
        <v>1771</v>
      </c>
      <c r="B1772" s="16" t="n">
        <v>39379</v>
      </c>
      <c r="C1772" s="15" t="n">
        <v>2007</v>
      </c>
      <c r="D1772" s="15" t="inlineStr">
        <is>
          <t>First Winner Industries Limited</t>
        </is>
      </c>
      <c r="E1772" s="15" t="inlineStr">
        <is>
          <t>DRHP</t>
        </is>
      </c>
      <c r="F1772" s="15" t="inlineStr">
        <is>
          <t>Prospectus -First Winner Industries Limited</t>
        </is>
      </c>
      <c r="G1772" s="15" t="inlineStr">
        <is>
          <t>No launched IPO found</t>
        </is>
      </c>
      <c r="H1772" s="15" t="n"/>
      <c r="I1772" s="16" t="n"/>
      <c r="J1772" s="16" t="n"/>
      <c r="K1772" s="16" t="n"/>
      <c r="L1772" s="17" t="n"/>
      <c r="M1772" s="17" t="n"/>
      <c r="N1772" s="17" t="n"/>
      <c r="O1772" s="15" t="n"/>
      <c r="P1772" s="15" t="n"/>
      <c r="Q1772" s="18" t="inlineStr">
        <is>
          <t>https://www.sebi.gov.in/sebi_data/attachdocs/1291887491691.pdf</t>
        </is>
      </c>
      <c r="R1772" s="18" t="inlineStr">
        <is>
          <t>https://www.sebi.gov.in/filings/public-issues/oct-2007/prospectus-first-winner-industries-limited_9376.html</t>
        </is>
      </c>
      <c r="S1772" s="15" t="n"/>
      <c r="T1772" s="15" t="n"/>
      <c r="U1772" s="15" t="n"/>
      <c r="V1772" s="15" t="n"/>
      <c r="W1772" s="19" t="n">
        <v>39608</v>
      </c>
      <c r="X1772" s="19" t="n">
        <v>39616</v>
      </c>
      <c r="Y1772" s="19" t="n"/>
      <c r="Z1772" s="20" t="inlineStr">
        <is>
          <t>Issue opened</t>
        </is>
      </c>
      <c r="AA1772" s="15" t="inlineStr">
        <is>
          <t>Matched on chittorgarh.com</t>
        </is>
      </c>
      <c r="AB1772" s="18" t="inlineStr">
        <is>
          <t>https://www.chittorgarh.com/ipo/first_winner_ipo/180/</t>
        </is>
      </c>
    </row>
    <row r="1773" ht="15" customHeight="1" s="12">
      <c r="A1773" s="14" t="n">
        <v>1772</v>
      </c>
      <c r="B1773" s="16" t="n">
        <v>39372</v>
      </c>
      <c r="C1773" s="15" t="n">
        <v>2007</v>
      </c>
      <c r="D1773" s="15" t="inlineStr">
        <is>
          <t>Titagarh Wagons Limited</t>
        </is>
      </c>
      <c r="E1773" s="15" t="inlineStr">
        <is>
          <t>DRHP</t>
        </is>
      </c>
      <c r="F1773" s="15" t="inlineStr">
        <is>
          <t>Titagarh Wagons Limited</t>
        </is>
      </c>
      <c r="G1773" s="15" t="inlineStr">
        <is>
          <t>IPO launched</t>
        </is>
      </c>
      <c r="H1773" s="15" t="inlineStr">
        <is>
          <t>Mainboard</t>
        </is>
      </c>
      <c r="I1773" s="16" t="n">
        <v>39531</v>
      </c>
      <c r="J1773" s="16" t="n">
        <v>39534</v>
      </c>
      <c r="K1773" s="16" t="n">
        <v>39559</v>
      </c>
      <c r="L1773" s="17" t="n">
        <v>128.72</v>
      </c>
      <c r="M1773" s="17" t="n">
        <v>128.72</v>
      </c>
      <c r="N1773" s="17" t="n">
        <v>0</v>
      </c>
      <c r="O1773" s="15" t="inlineStr">
        <is>
          <t>Final issue (ipoplatform)</t>
        </is>
      </c>
      <c r="P1773" s="15" t="n"/>
      <c r="Q1773" s="18" t="inlineStr">
        <is>
          <t>https://www.sebi.gov.in/sebi_data/attachdocs/1291887416112.pdf</t>
        </is>
      </c>
      <c r="R1773" s="18" t="inlineStr">
        <is>
          <t>https://www.sebi.gov.in/filings/public-issues/oct-2007/titagarh-wagons-limited_9374.html</t>
        </is>
      </c>
      <c r="S1773" s="15" t="n"/>
      <c r="T1773" s="15" t="inlineStr">
        <is>
          <t>SEBI filing link</t>
        </is>
      </c>
      <c r="U1773" s="15" t="inlineStr">
        <is>
          <t>Titagarh Wagons Limited</t>
        </is>
      </c>
      <c r="V1773" s="15" t="n"/>
      <c r="W1773" s="15" t="n"/>
      <c r="X1773" s="15" t="n"/>
      <c r="Y1773" s="15" t="n"/>
      <c r="Z1773" s="15" t="n"/>
      <c r="AA1773" s="15" t="n"/>
      <c r="AB1773" s="15" t="n"/>
    </row>
    <row r="1774" ht="15" customHeight="1" s="12">
      <c r="A1774" s="14" t="n">
        <v>1773</v>
      </c>
      <c r="B1774" s="16" t="n">
        <v>39370</v>
      </c>
      <c r="C1774" s="15" t="n">
        <v>2007</v>
      </c>
      <c r="D1774" s="15" t="inlineStr">
        <is>
          <t>Persistent Systems Limited</t>
        </is>
      </c>
      <c r="E1774" s="15" t="inlineStr">
        <is>
          <t>DRHP</t>
        </is>
      </c>
      <c r="F1774" s="15" t="inlineStr">
        <is>
          <t>Persistent Systems Limited</t>
        </is>
      </c>
      <c r="G1774" s="15" t="inlineStr">
        <is>
          <t>No launched IPO found</t>
        </is>
      </c>
      <c r="H1774" s="15" t="n"/>
      <c r="I1774" s="16" t="n"/>
      <c r="J1774" s="16" t="n"/>
      <c r="K1774" s="16" t="n"/>
      <c r="L1774" s="17" t="n"/>
      <c r="M1774" s="17" t="n"/>
      <c r="N1774" s="17" t="n"/>
      <c r="O1774" s="15" t="n"/>
      <c r="P1774" s="15" t="n"/>
      <c r="Q1774" s="18" t="inlineStr">
        <is>
          <t>https://www.sebi.gov.in/sebi_data/attachdocs/1291887248282.pdf</t>
        </is>
      </c>
      <c r="R1774" s="18" t="inlineStr">
        <is>
          <t>https://www.sebi.gov.in/filings/public-issues/oct-2007/persistent-systems-limited_9371.html</t>
        </is>
      </c>
      <c r="S1774" s="15" t="n"/>
      <c r="T1774" s="15" t="n"/>
      <c r="U1774" s="15" t="n"/>
      <c r="V1774" s="15" t="inlineStr">
        <is>
          <t>Same-name IPO opened 17-Mar-2010 — outside 2 years of this filing, so not linked</t>
        </is>
      </c>
      <c r="W1774" s="19" t="n">
        <v>40254</v>
      </c>
      <c r="X1774" s="19" t="n">
        <v>40256</v>
      </c>
      <c r="Y1774" s="19" t="n"/>
      <c r="Z1774" s="20" t="inlineStr">
        <is>
          <t>Issue opened</t>
        </is>
      </c>
      <c r="AA1774" s="15" t="inlineStr">
        <is>
          <t>Matched on chittorgarh.com</t>
        </is>
      </c>
      <c r="AB1774" s="18" t="inlineStr">
        <is>
          <t>https://www.chittorgarh.com/ipo/persistent_systems_ipo/234/</t>
        </is>
      </c>
    </row>
    <row r="1775" ht="15" customHeight="1" s="12">
      <c r="A1775" s="14" t="n">
        <v>1774</v>
      </c>
      <c r="B1775" s="16" t="n">
        <v>39365</v>
      </c>
      <c r="C1775" s="15" t="n">
        <v>2007</v>
      </c>
      <c r="D1775" s="15" t="inlineStr">
        <is>
          <t>Draft LOF -Exide Industries Limited</t>
        </is>
      </c>
      <c r="E1775" s="15" t="inlineStr">
        <is>
          <t>DRHP</t>
        </is>
      </c>
      <c r="F1775" s="15" t="inlineStr">
        <is>
          <t>Draft LOF -Exide Industries Limited</t>
        </is>
      </c>
      <c r="G1775" s="15" t="inlineStr">
        <is>
          <t>No launched IPO found</t>
        </is>
      </c>
      <c r="H1775" s="15" t="n"/>
      <c r="I1775" s="16" t="n"/>
      <c r="J1775" s="16" t="n"/>
      <c r="K1775" s="16" t="n"/>
      <c r="L1775" s="17" t="n"/>
      <c r="M1775" s="17" t="n"/>
      <c r="N1775" s="17" t="n"/>
      <c r="O1775" s="15" t="n"/>
      <c r="P1775" s="15" t="n"/>
      <c r="Q1775" s="18" t="inlineStr">
        <is>
          <t>https://www.sebi.gov.in/sebi_data/attachdocs/1291887012746.pdf</t>
        </is>
      </c>
      <c r="R1775" s="18" t="inlineStr">
        <is>
          <t>https://www.sebi.gov.in/filings/public-issues/oct-2007/draft-lof-exide-industries-limited_9366.html</t>
        </is>
      </c>
      <c r="S1775" s="15" t="n"/>
      <c r="T1775" s="15" t="n"/>
      <c r="U1775" s="15" t="n"/>
      <c r="V1775" s="15" t="n"/>
      <c r="W1775" s="16" t="n"/>
      <c r="X1775" s="16" t="n"/>
      <c r="Y1775" s="16" t="n"/>
      <c r="Z1775" s="15" t="inlineStr">
        <is>
          <t>No issue found</t>
        </is>
      </c>
      <c r="AA1775" s="15" t="inlineStr">
        <is>
          <t>Rights issue, not IPO/FPO: opened 2007-12-28, closed 2008-01-28.</t>
        </is>
      </c>
      <c r="AB1775" s="18" t="inlineStr">
        <is>
          <t>https://www.sebi.gov.in/sebi_data/attachdocs/1291969780021.pdf</t>
        </is>
      </c>
    </row>
    <row r="1776" ht="15" customHeight="1" s="12">
      <c r="A1776" s="14" t="n">
        <v>1775</v>
      </c>
      <c r="B1776" s="16" t="n">
        <v>39359</v>
      </c>
      <c r="C1776" s="15" t="n">
        <v>2007</v>
      </c>
      <c r="D1776" s="15" t="inlineStr">
        <is>
          <t>Shriram EPC Limited</t>
        </is>
      </c>
      <c r="E1776" s="15" t="inlineStr">
        <is>
          <t>DRHP</t>
        </is>
      </c>
      <c r="F1776" s="15" t="inlineStr">
        <is>
          <t>Draft Prospectus -Shriram EPC Limited</t>
        </is>
      </c>
      <c r="G1776" s="15" t="inlineStr">
        <is>
          <t>IPO launched</t>
        </is>
      </c>
      <c r="H1776" s="15" t="inlineStr">
        <is>
          <t>Mainboard</t>
        </is>
      </c>
      <c r="I1776" s="16" t="n">
        <v>39476</v>
      </c>
      <c r="J1776" s="16" t="n">
        <v>39479</v>
      </c>
      <c r="K1776" s="16" t="n">
        <v>39498</v>
      </c>
      <c r="L1776" s="17" t="n">
        <v>150</v>
      </c>
      <c r="M1776" s="17" t="n">
        <v>150</v>
      </c>
      <c r="N1776" s="17" t="n">
        <v>0</v>
      </c>
      <c r="O1776" s="15" t="inlineStr">
        <is>
          <t>Final issue (ipoplatform)</t>
        </is>
      </c>
      <c r="P1776" s="15" t="n"/>
      <c r="Q1776" s="18" t="inlineStr">
        <is>
          <t>https://www.sebi.gov.in/sebi_data/attachdocs/1291886632781.pdf</t>
        </is>
      </c>
      <c r="R1776" s="18" t="inlineStr">
        <is>
          <t>https://www.sebi.gov.in/filings/public-issues/oct-2007/draft-prospectus-shriram-epc-limited_9360.html</t>
        </is>
      </c>
      <c r="S1776" s="15" t="n"/>
      <c r="T1776" s="15" t="inlineStr">
        <is>
          <t>SEBI filing link</t>
        </is>
      </c>
      <c r="U1776" s="15" t="inlineStr">
        <is>
          <t>Shriram EPC Limited</t>
        </is>
      </c>
      <c r="V1776" s="15" t="n"/>
      <c r="W1776" s="15" t="n"/>
      <c r="X1776" s="15" t="n"/>
      <c r="Y1776" s="15" t="n"/>
      <c r="Z1776" s="15" t="n"/>
      <c r="AA1776" s="15" t="n"/>
      <c r="AB1776" s="15" t="n"/>
    </row>
    <row r="1777" ht="15" customHeight="1" s="12">
      <c r="A1777" s="14" t="n">
        <v>1776</v>
      </c>
      <c r="B1777" s="16" t="n">
        <v>39359</v>
      </c>
      <c r="C1777" s="15" t="n">
        <v>2007</v>
      </c>
      <c r="D1777" s="15" t="inlineStr">
        <is>
          <t>Reliance Power Limited</t>
        </is>
      </c>
      <c r="E1777" s="15" t="inlineStr">
        <is>
          <t>DRHP</t>
        </is>
      </c>
      <c r="F1777" s="15" t="inlineStr">
        <is>
          <t>Reliance Power Limited</t>
        </is>
      </c>
      <c r="G1777" s="15" t="inlineStr">
        <is>
          <t>IPO launched</t>
        </is>
      </c>
      <c r="H1777" s="15" t="inlineStr">
        <is>
          <t>Mainboard</t>
        </is>
      </c>
      <c r="I1777" s="16" t="n">
        <v>39462</v>
      </c>
      <c r="J1777" s="16" t="n">
        <v>39465</v>
      </c>
      <c r="K1777" s="16" t="n">
        <v>39489</v>
      </c>
      <c r="L1777" s="17" t="n">
        <v>11563.2</v>
      </c>
      <c r="M1777" s="17" t="n">
        <v>11563.2</v>
      </c>
      <c r="N1777" s="17" t="n">
        <v>0</v>
      </c>
      <c r="O1777" s="15" t="inlineStr">
        <is>
          <t>Final issue (ipoplatform)</t>
        </is>
      </c>
      <c r="P1777" s="15" t="n"/>
      <c r="Q1777" s="18" t="inlineStr">
        <is>
          <t>https://www.sebi.gov.in/sebi_data/attachdocs/1291886736922.pdf</t>
        </is>
      </c>
      <c r="R1777" s="18" t="inlineStr">
        <is>
          <t>https://www.sebi.gov.in/filings/public-issues/oct-2007/reliance-power-limited_9362.html</t>
        </is>
      </c>
      <c r="S1777" s="15" t="n"/>
      <c r="T1777" s="15" t="inlineStr">
        <is>
          <t>SEBI filing link</t>
        </is>
      </c>
      <c r="U1777" s="15" t="inlineStr">
        <is>
          <t>Reliance Power Limited</t>
        </is>
      </c>
      <c r="V1777" s="15" t="n"/>
      <c r="W1777" s="15" t="n"/>
      <c r="X1777" s="15" t="n"/>
      <c r="Y1777" s="15" t="n"/>
      <c r="Z1777" s="15" t="n"/>
      <c r="AA1777" s="15" t="n"/>
      <c r="AB1777" s="15" t="n"/>
    </row>
    <row r="1778" ht="15" customHeight="1" s="12">
      <c r="A1778" s="14" t="n">
        <v>1777</v>
      </c>
      <c r="B1778" s="16" t="n">
        <v>39358</v>
      </c>
      <c r="C1778" s="15" t="n">
        <v>2007</v>
      </c>
      <c r="D1778" s="15" t="inlineStr">
        <is>
          <t>Gammon Infrastructure Projects Limited</t>
        </is>
      </c>
      <c r="E1778" s="15" t="inlineStr">
        <is>
          <t>DRHP</t>
        </is>
      </c>
      <c r="F1778" s="15" t="inlineStr">
        <is>
          <t>Draft Prospectus - Gammon Infrastructure Projects Limited</t>
        </is>
      </c>
      <c r="G1778" s="15" t="inlineStr">
        <is>
          <t>IPO launched</t>
        </is>
      </c>
      <c r="H1778" s="15" t="inlineStr">
        <is>
          <t>Mainboard</t>
        </is>
      </c>
      <c r="I1778" s="16" t="n">
        <v>39517</v>
      </c>
      <c r="J1778" s="16" t="n">
        <v>39520</v>
      </c>
      <c r="K1778" s="16" t="n">
        <v>39541</v>
      </c>
      <c r="L1778" s="17" t="n">
        <v>276.39</v>
      </c>
      <c r="M1778" s="17" t="n">
        <v>276.39</v>
      </c>
      <c r="N1778" s="17" t="n">
        <v>0</v>
      </c>
      <c r="O1778" s="15" t="inlineStr">
        <is>
          <t>Final issue (ipoplatform)</t>
        </is>
      </c>
      <c r="P1778" s="15" t="n"/>
      <c r="Q1778" s="18" t="inlineStr">
        <is>
          <t>https://www.sebi.gov.in/sebi_data/attachdocs/1291883443984.pdf</t>
        </is>
      </c>
      <c r="R1778" s="18" t="inlineStr">
        <is>
          <t>https://www.sebi.gov.in/filings/public-issues/oct-2007/draft-prospectus-gammon-infrastructure-projects-limited_9336.html</t>
        </is>
      </c>
      <c r="S1778" s="15" t="n"/>
      <c r="T1778" s="15" t="inlineStr">
        <is>
          <t>Company name + date window</t>
        </is>
      </c>
      <c r="U1778" s="15" t="inlineStr">
        <is>
          <t>Gammon Infrastructure Projects Limited</t>
        </is>
      </c>
      <c r="V1778" s="15" t="n"/>
      <c r="W1778" s="15" t="n"/>
      <c r="X1778" s="15" t="n"/>
      <c r="Y1778" s="15" t="n"/>
      <c r="Z1778" s="15" t="n"/>
      <c r="AA1778" s="15" t="n"/>
      <c r="AB1778" s="15" t="n"/>
    </row>
    <row r="1779" ht="15" customHeight="1" s="12">
      <c r="A1779" s="14" t="n">
        <v>1778</v>
      </c>
      <c r="B1779" s="16" t="n">
        <v>39358</v>
      </c>
      <c r="C1779" s="15" t="n">
        <v>2007</v>
      </c>
      <c r="D1779" s="15" t="inlineStr">
        <is>
          <t>IRB Infrastructure Developers Limited</t>
        </is>
      </c>
      <c r="E1779" s="15" t="inlineStr">
        <is>
          <t>DRHP</t>
        </is>
      </c>
      <c r="F1779" s="15" t="inlineStr">
        <is>
          <t>IRB Infrastructure Developers Limited</t>
        </is>
      </c>
      <c r="G1779" s="15" t="inlineStr">
        <is>
          <t>IPO launched</t>
        </is>
      </c>
      <c r="H1779" s="15" t="inlineStr">
        <is>
          <t>Mainboard</t>
        </is>
      </c>
      <c r="I1779" s="16" t="n">
        <v>39478</v>
      </c>
      <c r="J1779" s="16" t="n">
        <v>39483</v>
      </c>
      <c r="K1779" s="16" t="n">
        <v>39503</v>
      </c>
      <c r="L1779" s="17" t="n">
        <v>944.5700000000001</v>
      </c>
      <c r="M1779" s="17" t="n">
        <v>944.5700000000001</v>
      </c>
      <c r="N1779" s="17" t="n">
        <v>0</v>
      </c>
      <c r="O1779" s="15" t="inlineStr">
        <is>
          <t>Final issue (ipoplatform)</t>
        </is>
      </c>
      <c r="P1779" s="15" t="n"/>
      <c r="Q1779" s="18" t="inlineStr">
        <is>
          <t>https://www.sebi.gov.in/sebi_data/attachdocs/1291886498400.pdf</t>
        </is>
      </c>
      <c r="R1779" s="18" t="inlineStr">
        <is>
          <t>https://www.sebi.gov.in/filings/public-issues/oct-2007/irb-infrastructure-developers-limited_9358.html</t>
        </is>
      </c>
      <c r="S1779" s="15" t="n"/>
      <c r="T1779" s="15" t="inlineStr">
        <is>
          <t>SEBI filing link</t>
        </is>
      </c>
      <c r="U1779" s="15" t="inlineStr">
        <is>
          <t>IRB Infrastructure Developers Limited</t>
        </is>
      </c>
      <c r="V1779" s="15" t="n"/>
      <c r="W1779" s="15" t="n"/>
      <c r="X1779" s="15" t="n"/>
      <c r="Y1779" s="15" t="n"/>
      <c r="Z1779" s="15" t="n"/>
      <c r="AA1779" s="15" t="n"/>
      <c r="AB1779" s="15" t="n"/>
    </row>
    <row r="1780" ht="15" customHeight="1" s="12">
      <c r="A1780" s="14" t="n">
        <v>1779</v>
      </c>
      <c r="B1780" s="16" t="n">
        <v>39358</v>
      </c>
      <c r="C1780" s="15" t="n">
        <v>2007</v>
      </c>
      <c r="D1780" s="15" t="inlineStr">
        <is>
          <t>Prince Foundations Limited</t>
        </is>
      </c>
      <c r="E1780" s="15" t="inlineStr">
        <is>
          <t>DRHP</t>
        </is>
      </c>
      <c r="F1780" s="15" t="inlineStr">
        <is>
          <t>Prince Foundations Limited</t>
        </is>
      </c>
      <c r="G1780" s="15" t="inlineStr">
        <is>
          <t>No launched IPO found</t>
        </is>
      </c>
      <c r="H1780" s="15" t="n"/>
      <c r="I1780" s="16" t="n"/>
      <c r="J1780" s="16" t="n"/>
      <c r="K1780" s="16" t="n"/>
      <c r="L1780" s="17" t="n"/>
      <c r="M1780" s="17" t="n"/>
      <c r="N1780" s="17" t="n"/>
      <c r="O1780" s="15" t="n"/>
      <c r="P1780" s="15" t="n"/>
      <c r="Q1780" s="18" t="inlineStr">
        <is>
          <t>https://www.sebi.gov.in/sebi_data/attachdocs/1291884015026.pdf</t>
        </is>
      </c>
      <c r="R1780" s="18" t="inlineStr">
        <is>
          <t>https://www.sebi.gov.in/filings/public-issues/oct-2007/prince-foundations-limited_9347.html</t>
        </is>
      </c>
      <c r="S1780" s="15" t="n"/>
      <c r="T1780" s="15" t="n"/>
      <c r="U1780" s="15" t="n"/>
      <c r="V1780" s="15" t="n"/>
      <c r="W1780" s="16" t="n"/>
      <c r="X1780" s="16" t="n"/>
      <c r="Y1780" s="16" t="n"/>
      <c r="Z1780" s="15" t="inlineStr">
        <is>
          <t>No issue found</t>
        </is>
      </c>
      <c r="AA1780" s="15" t="inlineStr">
        <is>
          <t>No IPO found; Prince Pipes is a different company.</t>
        </is>
      </c>
      <c r="AB1780" s="15" t="n"/>
    </row>
    <row r="1781" ht="15" customHeight="1" s="12">
      <c r="A1781" s="14" t="n">
        <v>1780</v>
      </c>
      <c r="B1781" s="16" t="n">
        <v>39358</v>
      </c>
      <c r="C1781" s="15" t="n">
        <v>2007</v>
      </c>
      <c r="D1781" s="15" t="inlineStr">
        <is>
          <t>Austral Coke &amp; Projects Limited</t>
        </is>
      </c>
      <c r="E1781" s="15" t="inlineStr">
        <is>
          <t>DRHP</t>
        </is>
      </c>
      <c r="F1781" s="15" t="inlineStr">
        <is>
          <t>Prospectus - Austral Coke &amp; Projects Limited</t>
        </is>
      </c>
      <c r="G1781" s="15" t="inlineStr">
        <is>
          <t>No launched IPO found</t>
        </is>
      </c>
      <c r="H1781" s="15" t="n"/>
      <c r="I1781" s="16" t="n"/>
      <c r="J1781" s="16" t="n"/>
      <c r="K1781" s="16" t="n"/>
      <c r="L1781" s="17" t="n"/>
      <c r="M1781" s="17" t="n"/>
      <c r="N1781" s="17" t="n"/>
      <c r="O1781" s="15" t="n"/>
      <c r="P1781" s="15" t="n"/>
      <c r="Q1781" s="18" t="inlineStr">
        <is>
          <t>https://www.sebi.gov.in/sebi_data/attachdocs/1291883516165.pdf</t>
        </is>
      </c>
      <c r="R1781" s="18" t="inlineStr">
        <is>
          <t>https://www.sebi.gov.in/filings/public-issues/oct-2007/prospectus-austral-coke-and-projects-limited_9339.html</t>
        </is>
      </c>
      <c r="S1781" s="15" t="n"/>
      <c r="T1781" s="15" t="n"/>
      <c r="U1781" s="15" t="n"/>
      <c r="V1781" s="15" t="n"/>
      <c r="W1781" s="19" t="n">
        <v>39667</v>
      </c>
      <c r="X1781" s="19" t="n">
        <v>39673</v>
      </c>
      <c r="Y1781" s="19" t="n">
        <v>39695</v>
      </c>
      <c r="Z1781" s="20" t="inlineStr">
        <is>
          <t>Issue opened</t>
        </is>
      </c>
      <c r="AA1781" s="15" t="inlineStr">
        <is>
          <t>Dates per chittorgarh summary; Sept 2009 article suggests listing may not have occurred.</t>
        </is>
      </c>
      <c r="AB1781" s="18" t="inlineStr">
        <is>
          <t>https://www.chittorgarh.com/ipo/austral_ipo/188/</t>
        </is>
      </c>
    </row>
    <row r="1782" ht="15" customHeight="1" s="12">
      <c r="A1782" s="14" t="n">
        <v>1781</v>
      </c>
      <c r="B1782" s="16" t="n">
        <v>39358</v>
      </c>
      <c r="C1782" s="15" t="n">
        <v>2007</v>
      </c>
      <c r="D1782" s="15" t="inlineStr">
        <is>
          <t>Future Capital Holdings Limited</t>
        </is>
      </c>
      <c r="E1782" s="15" t="inlineStr">
        <is>
          <t>DRHP</t>
        </is>
      </c>
      <c r="F1782" s="15" t="inlineStr">
        <is>
          <t>Prospectus -Future Capital Holdings Limited</t>
        </is>
      </c>
      <c r="G1782" s="15" t="inlineStr">
        <is>
          <t>No launched IPO found</t>
        </is>
      </c>
      <c r="H1782" s="15" t="n"/>
      <c r="I1782" s="16" t="n"/>
      <c r="J1782" s="16" t="n"/>
      <c r="K1782" s="16" t="n"/>
      <c r="L1782" s="17" t="n"/>
      <c r="M1782" s="17" t="n"/>
      <c r="N1782" s="17" t="n"/>
      <c r="O1782" s="15" t="n"/>
      <c r="P1782" s="15" t="n"/>
      <c r="Q1782" s="18" t="inlineStr">
        <is>
          <t>https://www.sebi.gov.in/sebi_data/attachdocs/1291883595498.pdf</t>
        </is>
      </c>
      <c r="R1782" s="18" t="inlineStr">
        <is>
          <t>https://www.sebi.gov.in/filings/public-issues/oct-2007/prospectus-future-capital-holdings-limited_9341.html</t>
        </is>
      </c>
      <c r="S1782" s="15" t="n"/>
      <c r="T1782" s="15" t="n"/>
      <c r="U1782" s="15" t="n"/>
      <c r="V1782" s="15" t="n"/>
      <c r="W1782" s="19" t="n">
        <v>39458</v>
      </c>
      <c r="X1782" s="19" t="n">
        <v>39463</v>
      </c>
      <c r="Y1782" s="19" t="n"/>
      <c r="Z1782" s="20" t="inlineStr">
        <is>
          <t>Issue opened</t>
        </is>
      </c>
      <c r="AA1782" s="15" t="inlineStr">
        <is>
          <t>Matched on chittorgarh.com</t>
        </is>
      </c>
      <c r="AB1782" s="18" t="inlineStr">
        <is>
          <t>https://www.chittorgarh.com/ipo/future_capital_ipo/151/</t>
        </is>
      </c>
    </row>
    <row r="1783" ht="15" customHeight="1" s="12">
      <c r="A1783" s="14" t="n">
        <v>1782</v>
      </c>
      <c r="B1783" s="16" t="n">
        <v>39358</v>
      </c>
      <c r="C1783" s="15" t="n">
        <v>2007</v>
      </c>
      <c r="D1783" s="15" t="inlineStr">
        <is>
          <t>Ybrant Technologies Limited</t>
        </is>
      </c>
      <c r="E1783" s="15" t="inlineStr">
        <is>
          <t>DRHP</t>
        </is>
      </c>
      <c r="F1783" s="15" t="inlineStr">
        <is>
          <t>Ybrant Technologies Limited</t>
        </is>
      </c>
      <c r="G1783" s="15" t="inlineStr">
        <is>
          <t>No launched IPO found</t>
        </is>
      </c>
      <c r="H1783" s="15" t="n"/>
      <c r="I1783" s="16" t="n"/>
      <c r="J1783" s="16" t="n"/>
      <c r="K1783" s="16" t="n"/>
      <c r="L1783" s="17" t="n"/>
      <c r="M1783" s="17" t="n"/>
      <c r="N1783" s="17" t="n"/>
      <c r="O1783" s="15" t="n"/>
      <c r="P1783" s="15" t="n"/>
      <c r="Q1783" s="18" t="inlineStr">
        <is>
          <t>https://www.sebi.gov.in/sebi_data/attachdocs/1291883818437.pdf</t>
        </is>
      </c>
      <c r="R1783" s="18" t="inlineStr">
        <is>
          <t>https://www.sebi.gov.in/filings/public-issues/oct-2007/ybrant-technologies-limited_9344.html</t>
        </is>
      </c>
      <c r="S1783" s="15" t="n"/>
      <c r="T1783" s="15" t="n"/>
      <c r="U1783" s="15" t="n"/>
      <c r="V1783" s="15" t="n"/>
      <c r="W1783" s="16" t="n"/>
      <c r="X1783" s="16" t="n"/>
      <c r="Y1783" s="16" t="n"/>
      <c r="Z1783" s="15" t="inlineStr">
        <is>
          <t>No issue found</t>
        </is>
      </c>
      <c r="AA1783" s="15" t="inlineStr">
        <is>
          <t>IPO put on hold after 2007 DRHP; fresh DRHP planned 2010; no issue found.</t>
        </is>
      </c>
      <c r="AB1783" s="15" t="n"/>
    </row>
    <row r="1784" ht="15" customHeight="1" s="12">
      <c r="A1784" s="14" t="n">
        <v>1783</v>
      </c>
      <c r="B1784" s="16" t="n">
        <v>39356</v>
      </c>
      <c r="C1784" s="15" t="n">
        <v>2007</v>
      </c>
      <c r="D1784" s="15" t="inlineStr">
        <is>
          <t>Vijay Infrastructure Limited</t>
        </is>
      </c>
      <c r="E1784" s="15" t="inlineStr">
        <is>
          <t>DRHP</t>
        </is>
      </c>
      <c r="F1784" s="15" t="inlineStr">
        <is>
          <t>Prospectus - Vijay Infrastructure Limited</t>
        </is>
      </c>
      <c r="G1784" s="15" t="inlineStr">
        <is>
          <t>No launched IPO found</t>
        </is>
      </c>
      <c r="H1784" s="15" t="n"/>
      <c r="I1784" s="16" t="n"/>
      <c r="J1784" s="16" t="n"/>
      <c r="K1784" s="16" t="n"/>
      <c r="L1784" s="17" t="n"/>
      <c r="M1784" s="17" t="n"/>
      <c r="N1784" s="17" t="n"/>
      <c r="O1784" s="15" t="n"/>
      <c r="P1784" s="15" t="n"/>
      <c r="Q1784" s="18" t="inlineStr">
        <is>
          <t>https://www.sebi.gov.in/sebi_data/attachdocs/1291882922535.pdf</t>
        </is>
      </c>
      <c r="R1784" s="18" t="inlineStr">
        <is>
          <t>https://www.sebi.gov.in/filings/public-issues/oct-2007/prospectus-vijay-infrastructure-limited_9329.html</t>
        </is>
      </c>
      <c r="S1784" s="15" t="n"/>
      <c r="T1784" s="15" t="n"/>
      <c r="U1784" s="15" t="n"/>
      <c r="V1784" s="15" t="n"/>
      <c r="W1784" s="16" t="n"/>
      <c r="X1784" s="16" t="n"/>
      <c r="Y1784" s="16" t="n"/>
      <c r="Z1784" s="15" t="inlineStr">
        <is>
          <t>No issue found</t>
        </is>
      </c>
      <c r="AA1784" s="15" t="inlineStr">
        <is>
          <t>No matching IPO found in search.</t>
        </is>
      </c>
      <c r="AB1784" s="15" t="n"/>
    </row>
    <row r="1785" ht="15" customHeight="1" s="12">
      <c r="A1785" s="14" t="n">
        <v>1784</v>
      </c>
      <c r="B1785" s="16" t="n">
        <v>39356</v>
      </c>
      <c r="C1785" s="15" t="n">
        <v>2007</v>
      </c>
      <c r="D1785" s="15" t="inlineStr">
        <is>
          <t>Anu's Laboratories Limited</t>
        </is>
      </c>
      <c r="E1785" s="15" t="inlineStr">
        <is>
          <t>DRHP</t>
        </is>
      </c>
      <c r="F1785" s="15" t="inlineStr">
        <is>
          <t>Prospectus -Anu's Laboratories Limited</t>
        </is>
      </c>
      <c r="G1785" s="15" t="inlineStr">
        <is>
          <t>No launched IPO found</t>
        </is>
      </c>
      <c r="H1785" s="15" t="n"/>
      <c r="I1785" s="16" t="n"/>
      <c r="J1785" s="16" t="n"/>
      <c r="K1785" s="16" t="n"/>
      <c r="L1785" s="17" t="n"/>
      <c r="M1785" s="17" t="n"/>
      <c r="N1785" s="17" t="n"/>
      <c r="O1785" s="15" t="n"/>
      <c r="P1785" s="15" t="n"/>
      <c r="Q1785" s="18" t="inlineStr">
        <is>
          <t>https://www.sebi.gov.in/sebi_data/attachdocs/1291882830480.pdf</t>
        </is>
      </c>
      <c r="R1785" s="18" t="inlineStr">
        <is>
          <t>https://www.sebi.gov.in/filings/public-issues/oct-2007/prospectus-anu-s-laboratories-limited_9327.html</t>
        </is>
      </c>
      <c r="S1785" s="15" t="n"/>
      <c r="T1785" s="15" t="n"/>
      <c r="U1785" s="15" t="n"/>
      <c r="V1785" s="15" t="n"/>
      <c r="W1785" s="19" t="n">
        <v>39580</v>
      </c>
      <c r="X1785" s="19" t="n">
        <v>39583</v>
      </c>
      <c r="Y1785" s="19" t="n"/>
      <c r="Z1785" s="20" t="inlineStr">
        <is>
          <t>Issue opened</t>
        </is>
      </c>
      <c r="AA1785" s="15" t="inlineStr">
        <is>
          <t>Matched on chittorgarh.com</t>
        </is>
      </c>
      <c r="AB1785" s="18" t="inlineStr">
        <is>
          <t>https://www.chittorgarh.com/ipo/anu_laboratories_ipo/174/</t>
        </is>
      </c>
    </row>
    <row r="1786" ht="15" customHeight="1" s="12">
      <c r="A1786" s="14" t="n">
        <v>1785</v>
      </c>
      <c r="B1786" s="16" t="n">
        <v>39356</v>
      </c>
      <c r="C1786" s="15" t="n">
        <v>2007</v>
      </c>
      <c r="D1786" s="15" t="inlineStr">
        <is>
          <t>TCG Lifesciences Limited</t>
        </is>
      </c>
      <c r="E1786" s="15" t="inlineStr">
        <is>
          <t>DRHP</t>
        </is>
      </c>
      <c r="F1786" s="15" t="inlineStr">
        <is>
          <t>TCG Lifesciences Limited</t>
        </is>
      </c>
      <c r="G1786" s="15" t="inlineStr">
        <is>
          <t>No launched IPO found</t>
        </is>
      </c>
      <c r="H1786" s="15" t="n"/>
      <c r="I1786" s="16" t="n"/>
      <c r="J1786" s="16" t="n"/>
      <c r="K1786" s="16" t="n"/>
      <c r="L1786" s="17" t="n"/>
      <c r="M1786" s="17" t="n"/>
      <c r="N1786" s="17" t="n"/>
      <c r="O1786" s="15" t="n"/>
      <c r="P1786" s="15" t="n"/>
      <c r="Q1786" s="18" t="inlineStr">
        <is>
          <t>https://www.sebi.gov.in/sebi_data/attachdocs/1291883203470.pdf</t>
        </is>
      </c>
      <c r="R1786" s="18" t="inlineStr">
        <is>
          <t>https://www.sebi.gov.in/filings/public-issues/oct-2007/tcg-lifesciences-limited_9333.html</t>
        </is>
      </c>
      <c r="S1786" s="15" t="n"/>
      <c r="T1786" s="15" t="n"/>
      <c r="U1786" s="15" t="n"/>
      <c r="V1786" s="15" t="n"/>
      <c r="W1786" s="16" t="n"/>
      <c r="X1786" s="16" t="n"/>
      <c r="Y1786" s="16" t="n"/>
      <c r="Z1786" s="15" t="inlineStr">
        <is>
          <t>No issue found</t>
        </is>
      </c>
      <c r="AA1786" s="15" t="inlineStr">
        <is>
          <t>Only DRHP found; company remains private.</t>
        </is>
      </c>
      <c r="AB1786" s="15" t="n"/>
    </row>
    <row r="1787" ht="15" customHeight="1" s="12">
      <c r="A1787" s="14" t="n">
        <v>1786</v>
      </c>
      <c r="B1787" s="16" t="n">
        <v>39353</v>
      </c>
      <c r="C1787" s="15" t="n">
        <v>2007</v>
      </c>
      <c r="D1787" s="15" t="inlineStr">
        <is>
          <t>Transformers and Rectifiers (India) Limited</t>
        </is>
      </c>
      <c r="E1787" s="15" t="inlineStr">
        <is>
          <t>DRHP</t>
        </is>
      </c>
      <c r="F1787" s="15" t="inlineStr">
        <is>
          <t>Transformers and Rectifiers (India) Limited</t>
        </is>
      </c>
      <c r="G1787" s="15" t="inlineStr">
        <is>
          <t>IPO launched</t>
        </is>
      </c>
      <c r="H1787" s="15" t="inlineStr">
        <is>
          <t>Mainboard</t>
        </is>
      </c>
      <c r="I1787" s="16" t="n">
        <v>39423</v>
      </c>
      <c r="J1787" s="16" t="n">
        <v>39428</v>
      </c>
      <c r="K1787" s="16" t="n">
        <v>39444</v>
      </c>
      <c r="L1787" s="17" t="n">
        <v>139.27</v>
      </c>
      <c r="M1787" s="17" t="n">
        <v>139.27</v>
      </c>
      <c r="N1787" s="17" t="n">
        <v>0</v>
      </c>
      <c r="O1787" s="15" t="inlineStr">
        <is>
          <t>Final issue (ipoplatform)</t>
        </is>
      </c>
      <c r="P1787" s="15" t="n"/>
      <c r="Q1787" s="18" t="inlineStr">
        <is>
          <t>https://www.sebi.gov.in/sebi_data/attachdocs/1291872327056.pdf</t>
        </is>
      </c>
      <c r="R1787" s="18" t="inlineStr">
        <is>
          <t>https://www.sebi.gov.in/filings/public-issues/sep-2007/transformers-and-rectifiers-india-limited_9096.html</t>
        </is>
      </c>
      <c r="S1787" s="15" t="n"/>
      <c r="T1787" s="15" t="inlineStr">
        <is>
          <t>SEBI filing link</t>
        </is>
      </c>
      <c r="U1787" s="15" t="inlineStr">
        <is>
          <t>Transformers and Rectifiers India Limited</t>
        </is>
      </c>
      <c r="V1787" s="15" t="n"/>
      <c r="W1787" s="15" t="n"/>
      <c r="X1787" s="15" t="n"/>
      <c r="Y1787" s="15" t="n"/>
      <c r="Z1787" s="15" t="n"/>
      <c r="AA1787" s="15" t="n"/>
      <c r="AB1787" s="15" t="n"/>
    </row>
    <row r="1788" ht="15" customHeight="1" s="12">
      <c r="A1788" s="14" t="n">
        <v>1787</v>
      </c>
      <c r="B1788" s="16" t="n">
        <v>39352</v>
      </c>
      <c r="C1788" s="15" t="n">
        <v>2007</v>
      </c>
      <c r="D1788" s="15" t="inlineStr">
        <is>
          <t>Emaar MGF Land Limited</t>
        </is>
      </c>
      <c r="E1788" s="15" t="inlineStr">
        <is>
          <t>DRHP</t>
        </is>
      </c>
      <c r="F1788" s="15" t="inlineStr">
        <is>
          <t>Draft Prospectus -Emaar MGF Land Limited</t>
        </is>
      </c>
      <c r="G1788" s="15" t="inlineStr">
        <is>
          <t>No launched IPO found</t>
        </is>
      </c>
      <c r="H1788" s="15" t="n"/>
      <c r="I1788" s="16" t="n"/>
      <c r="J1788" s="16" t="n"/>
      <c r="K1788" s="16" t="n"/>
      <c r="L1788" s="17" t="n"/>
      <c r="M1788" s="17" t="n"/>
      <c r="N1788" s="17" t="n"/>
      <c r="O1788" s="15" t="n"/>
      <c r="P1788" s="15" t="n"/>
      <c r="Q1788" s="18" t="inlineStr">
        <is>
          <t>https://www.sebi.gov.in/sebi_data/attachdocs/1291871821695.pdf</t>
        </is>
      </c>
      <c r="R1788" s="18" t="inlineStr">
        <is>
          <t>https://www.sebi.gov.in/filings/public-issues/sep-2007/draft-prospectus-emaar-mgf-land-limited_9090.html</t>
        </is>
      </c>
      <c r="S1788" s="15" t="n"/>
      <c r="T1788" s="15" t="n"/>
      <c r="U1788" s="15" t="n"/>
      <c r="V1788" s="15" t="n"/>
      <c r="W1788" s="16" t="n"/>
      <c r="X1788" s="16" t="n"/>
      <c r="Y1788" s="16" t="n"/>
      <c r="Z1788" s="15" t="inlineStr">
        <is>
          <t>Withdrawn / approval lapsed</t>
        </is>
      </c>
      <c r="AA1788" s="15" t="inlineStr">
        <is>
          <t>Opened 2008-02-01, scheduled close 2008-02-11; withdrawn by lead managers, never listed.</t>
        </is>
      </c>
      <c r="AB1788" s="18" t="inlineStr">
        <is>
          <t>https://www.chittorgarh.com/ipo/mgf_ipo/152/</t>
        </is>
      </c>
    </row>
    <row r="1789" ht="15" customHeight="1" s="12">
      <c r="A1789" s="14" t="n">
        <v>1788</v>
      </c>
      <c r="B1789" s="16" t="n">
        <v>39352</v>
      </c>
      <c r="C1789" s="15" t="n">
        <v>2007</v>
      </c>
      <c r="D1789" s="15" t="inlineStr">
        <is>
          <t>KNR Constructions Limited</t>
        </is>
      </c>
      <c r="E1789" s="15" t="inlineStr">
        <is>
          <t>DRHP</t>
        </is>
      </c>
      <c r="F1789" s="15" t="inlineStr">
        <is>
          <t>Draft Prospectus - KNR Constructions Limited</t>
        </is>
      </c>
      <c r="G1789" s="15" t="inlineStr">
        <is>
          <t>IPO launched</t>
        </is>
      </c>
      <c r="H1789" s="15" t="inlineStr">
        <is>
          <t>Mainboard</t>
        </is>
      </c>
      <c r="I1789" s="16" t="n">
        <v>39471</v>
      </c>
      <c r="J1789" s="16" t="n">
        <v>39476</v>
      </c>
      <c r="K1789" s="16" t="n">
        <v>39496</v>
      </c>
      <c r="L1789" s="17" t="n">
        <v>133.87</v>
      </c>
      <c r="M1789" s="17" t="n">
        <v>133.87</v>
      </c>
      <c r="N1789" s="17" t="n">
        <v>0</v>
      </c>
      <c r="O1789" s="15" t="inlineStr">
        <is>
          <t>Final issue (ipoplatform)</t>
        </is>
      </c>
      <c r="P1789" s="15" t="n"/>
      <c r="Q1789" s="18" t="inlineStr">
        <is>
          <t>https://www.sebi.gov.in/sebi_data/attachdocs/1291872182562.pdf</t>
        </is>
      </c>
      <c r="R1789" s="18" t="inlineStr">
        <is>
          <t>https://www.sebi.gov.in/filings/public-issues/sep-2007/draft-prospectus-knr-constructions-limited_9092.html</t>
        </is>
      </c>
      <c r="S1789" s="15" t="n"/>
      <c r="T1789" s="15" t="inlineStr">
        <is>
          <t>Company name + date window</t>
        </is>
      </c>
      <c r="U1789" s="15" t="inlineStr">
        <is>
          <t>KNR Constructions Limited</t>
        </is>
      </c>
      <c r="V1789" s="15" t="n"/>
      <c r="W1789" s="15" t="n"/>
      <c r="X1789" s="15" t="n"/>
      <c r="Y1789" s="15" t="n"/>
      <c r="Z1789" s="15" t="n"/>
      <c r="AA1789" s="15" t="n"/>
      <c r="AB1789" s="15" t="n"/>
    </row>
    <row r="1790" ht="15" customHeight="1" s="12">
      <c r="A1790" s="14" t="n">
        <v>1789</v>
      </c>
      <c r="B1790" s="16" t="n">
        <v>39352</v>
      </c>
      <c r="C1790" s="15" t="n">
        <v>2007</v>
      </c>
      <c r="D1790" s="15" t="inlineStr">
        <is>
          <t>NKG Infrastructure Limited</t>
        </is>
      </c>
      <c r="E1790" s="15" t="inlineStr">
        <is>
          <t>DRHP</t>
        </is>
      </c>
      <c r="F1790" s="15" t="inlineStr">
        <is>
          <t>IPO - NKG Infrastructure Limited</t>
        </is>
      </c>
      <c r="G1790" s="15" t="inlineStr">
        <is>
          <t>No launched IPO found</t>
        </is>
      </c>
      <c r="H1790" s="15" t="n"/>
      <c r="I1790" s="16" t="n"/>
      <c r="J1790" s="16" t="n"/>
      <c r="K1790" s="16" t="n"/>
      <c r="L1790" s="17" t="n"/>
      <c r="M1790" s="17" t="n"/>
      <c r="N1790" s="17" t="n"/>
      <c r="O1790" s="15" t="n"/>
      <c r="P1790" s="15" t="n"/>
      <c r="Q1790" s="18" t="inlineStr">
        <is>
          <t>https://www.sebi.gov.in/sebi_data/attachdocs/1291870037067.pdf</t>
        </is>
      </c>
      <c r="R1790" s="18" t="inlineStr">
        <is>
          <t>https://www.sebi.gov.in/filings/public-issues/sep-2007/ipo-nkg-infrastructure-limited_9072.html</t>
        </is>
      </c>
      <c r="S1790" s="15" t="n"/>
      <c r="T1790" s="15" t="n"/>
      <c r="U1790" s="15" t="n"/>
      <c r="V1790" s="15" t="n"/>
      <c r="W1790" s="16" t="n"/>
      <c r="X1790" s="16" t="n"/>
      <c r="Y1790" s="16" t="n"/>
      <c r="Z1790" s="15" t="inlineStr">
        <is>
          <t>No issue found</t>
        </is>
      </c>
      <c r="AA1790" s="15" t="inlineStr">
        <is>
          <t>Only DRHP filing found; no issue dates.</t>
        </is>
      </c>
      <c r="AB1790" s="15" t="n"/>
    </row>
    <row r="1791" ht="15" customHeight="1" s="12">
      <c r="A1791" s="14" t="n">
        <v>1790</v>
      </c>
      <c r="B1791" s="16" t="n">
        <v>39351</v>
      </c>
      <c r="C1791" s="15" t="n">
        <v>2007</v>
      </c>
      <c r="D1791" s="15" t="inlineStr">
        <is>
          <t>Elysium Pharmaceuticals Limited</t>
        </is>
      </c>
      <c r="E1791" s="15" t="inlineStr">
        <is>
          <t>DRHP</t>
        </is>
      </c>
      <c r="F1791" s="15" t="inlineStr">
        <is>
          <t>IPO - Elysium Pharmaceuticals Limited</t>
        </is>
      </c>
      <c r="G1791" s="15" t="inlineStr">
        <is>
          <t>No launched IPO found</t>
        </is>
      </c>
      <c r="H1791" s="15" t="n"/>
      <c r="I1791" s="16" t="n"/>
      <c r="J1791" s="16" t="n"/>
      <c r="K1791" s="16" t="n"/>
      <c r="L1791" s="17" t="n"/>
      <c r="M1791" s="17" t="n"/>
      <c r="N1791" s="17" t="n"/>
      <c r="O1791" s="15" t="n"/>
      <c r="P1791" s="15" t="n"/>
      <c r="Q1791" s="18" t="inlineStr">
        <is>
          <t>https://www.sebi.gov.in/sebi_data/attachdocs/1291869748492.pdf</t>
        </is>
      </c>
      <c r="R1791" s="18" t="inlineStr">
        <is>
          <t>https://www.sebi.gov.in/filings/public-issues/sep-2007/ipo-elysium-pharmaceuticals-limited_9068.html</t>
        </is>
      </c>
      <c r="S1791" s="15" t="n"/>
      <c r="T1791" s="15" t="n"/>
      <c r="U1791" s="15" t="n"/>
      <c r="V1791" s="15" t="n"/>
      <c r="W1791" s="16" t="n"/>
      <c r="X1791" s="16" t="n"/>
      <c r="Y1791" s="16" t="n"/>
      <c r="Z1791" s="15" t="inlineStr">
        <is>
          <t>No issue found</t>
        </is>
      </c>
      <c r="AA1791" s="15" t="inlineStr">
        <is>
          <t>Only DRHP/draft prospectus found; no issue dates.</t>
        </is>
      </c>
      <c r="AB1791" s="15" t="n"/>
    </row>
    <row r="1792" ht="15" customHeight="1" s="12">
      <c r="A1792" s="14" t="n">
        <v>1791</v>
      </c>
      <c r="B1792" s="16" t="n">
        <v>39350</v>
      </c>
      <c r="C1792" s="15" t="n">
        <v>2007</v>
      </c>
      <c r="D1792" s="15" t="inlineStr">
        <is>
          <t>Neel Metal Products Limited</t>
        </is>
      </c>
      <c r="E1792" s="15" t="inlineStr">
        <is>
          <t>DRHP</t>
        </is>
      </c>
      <c r="F1792" s="15" t="inlineStr">
        <is>
          <t>IPO -Neel Metal Products Limited</t>
        </is>
      </c>
      <c r="G1792" s="15" t="inlineStr">
        <is>
          <t>No launched IPO found</t>
        </is>
      </c>
      <c r="H1792" s="15" t="n"/>
      <c r="I1792" s="16" t="n"/>
      <c r="J1792" s="16" t="n"/>
      <c r="K1792" s="16" t="n"/>
      <c r="L1792" s="17" t="n"/>
      <c r="M1792" s="17" t="n"/>
      <c r="N1792" s="17" t="n"/>
      <c r="O1792" s="15" t="n"/>
      <c r="P1792" s="15" t="n"/>
      <c r="Q1792" s="18" t="inlineStr">
        <is>
          <t>https://www.sebi.gov.in/sebi_data/attachdocs/1291869557649.pdf</t>
        </is>
      </c>
      <c r="R1792" s="18" t="inlineStr">
        <is>
          <t>https://www.sebi.gov.in/filings/public-issues/sep-2007/ipo-neel-metal-products-limited_9066.html</t>
        </is>
      </c>
      <c r="S1792" s="15" t="n"/>
      <c r="T1792" s="15" t="n"/>
      <c r="U1792" s="15" t="n"/>
      <c r="V1792" s="15" t="n"/>
      <c r="W1792" s="16" t="n"/>
      <c r="X1792" s="16" t="n"/>
      <c r="Y1792" s="16" t="n"/>
      <c r="Z1792" s="15" t="inlineStr">
        <is>
          <t>No issue found</t>
        </is>
      </c>
      <c r="AA1792" s="15" t="inlineStr">
        <is>
          <t>No IPO dates found in search.</t>
        </is>
      </c>
      <c r="AB1792" s="15" t="n"/>
    </row>
    <row r="1793" ht="15" customHeight="1" s="12">
      <c r="A1793" s="14" t="n">
        <v>1792</v>
      </c>
      <c r="B1793" s="16" t="n">
        <v>39349</v>
      </c>
      <c r="C1793" s="15" t="n">
        <v>2007</v>
      </c>
      <c r="D1793" s="15" t="inlineStr">
        <is>
          <t>Avon Weighing Systems Limited</t>
        </is>
      </c>
      <c r="E1793" s="15" t="inlineStr">
        <is>
          <t>DRHP</t>
        </is>
      </c>
      <c r="F1793" s="15" t="inlineStr">
        <is>
          <t>Prospectus - Avon Weighing Systems Limited</t>
        </is>
      </c>
      <c r="G1793" s="15" t="inlineStr">
        <is>
          <t>No launched IPO found</t>
        </is>
      </c>
      <c r="H1793" s="15" t="n"/>
      <c r="I1793" s="16" t="n"/>
      <c r="J1793" s="16" t="n"/>
      <c r="K1793" s="16" t="n"/>
      <c r="L1793" s="17" t="n"/>
      <c r="M1793" s="17" t="n"/>
      <c r="N1793" s="17" t="n"/>
      <c r="O1793" s="15" t="n"/>
      <c r="P1793" s="15" t="n"/>
      <c r="Q1793" s="18" t="inlineStr">
        <is>
          <t>https://www.sebi.gov.in/sebi_data/attachdocs/1291869454360.pdf</t>
        </is>
      </c>
      <c r="R1793" s="18" t="inlineStr">
        <is>
          <t>https://www.sebi.gov.in/filings/public-issues/sep-2007/prospectus-avon-weighing-systems-limited_9064.html</t>
        </is>
      </c>
      <c r="S1793" s="15" t="n"/>
      <c r="T1793" s="15" t="n"/>
      <c r="U1793" s="15" t="n"/>
      <c r="V1793" s="15" t="n"/>
      <c r="W1793" s="19" t="n">
        <v>39608</v>
      </c>
      <c r="X1793" s="19" t="n">
        <v>39611</v>
      </c>
      <c r="Y1793" s="19" t="n"/>
      <c r="Z1793" s="20" t="inlineStr">
        <is>
          <t>Issue opened</t>
        </is>
      </c>
      <c r="AA1793" s="15" t="inlineStr">
        <is>
          <t>Matched on chittorgarh.com</t>
        </is>
      </c>
      <c r="AB1793" s="18" t="inlineStr">
        <is>
          <t>https://www.chittorgarh.com/ipo/avon_weighing_ipo/178/</t>
        </is>
      </c>
    </row>
    <row r="1794" ht="15" customHeight="1" s="12">
      <c r="A1794" s="14" t="n">
        <v>1793</v>
      </c>
      <c r="B1794" s="16" t="n">
        <v>39349</v>
      </c>
      <c r="C1794" s="15" t="n">
        <v>2007</v>
      </c>
      <c r="D1794" s="15" t="inlineStr">
        <is>
          <t>Rithwik Projects Limited</t>
        </is>
      </c>
      <c r="E1794" s="15" t="inlineStr">
        <is>
          <t>DRHP</t>
        </is>
      </c>
      <c r="F1794" s="15" t="inlineStr">
        <is>
          <t>Rithwik Projects Limited</t>
        </is>
      </c>
      <c r="G1794" s="15" t="inlineStr">
        <is>
          <t>No launched IPO found</t>
        </is>
      </c>
      <c r="H1794" s="15" t="n"/>
      <c r="I1794" s="16" t="n"/>
      <c r="J1794" s="16" t="n"/>
      <c r="K1794" s="16" t="n"/>
      <c r="L1794" s="17" t="n"/>
      <c r="M1794" s="17" t="n"/>
      <c r="N1794" s="17" t="n"/>
      <c r="O1794" s="15" t="n"/>
      <c r="P1794" s="15" t="n"/>
      <c r="Q1794" s="18" t="inlineStr">
        <is>
          <t>https://www.sebi.gov.in/sebi_data/attachdocs/1291869371258.pdf</t>
        </is>
      </c>
      <c r="R1794" s="18" t="inlineStr">
        <is>
          <t>https://www.sebi.gov.in/filings/public-issues/sep-2007/rithwik-projects-limited_9063.html</t>
        </is>
      </c>
      <c r="S1794" s="15" t="n"/>
      <c r="T1794" s="15" t="n"/>
      <c r="U1794" s="15" t="n"/>
      <c r="V1794" s="15" t="n"/>
      <c r="W1794" s="16" t="n"/>
      <c r="X1794" s="16" t="n"/>
      <c r="Y1794" s="16" t="n"/>
      <c r="Z1794" s="15" t="inlineStr">
        <is>
          <t>No issue found</t>
        </is>
      </c>
      <c r="AA1794" s="15" t="inlineStr">
        <is>
          <t>No IPO found; company appears unlisted.</t>
        </is>
      </c>
      <c r="AB1794" s="15" t="n"/>
    </row>
    <row r="1795" ht="15" customHeight="1" s="12">
      <c r="A1795" s="14" t="n">
        <v>1794</v>
      </c>
      <c r="B1795" s="16" t="n">
        <v>39345</v>
      </c>
      <c r="C1795" s="15" t="n">
        <v>2007</v>
      </c>
      <c r="D1795" s="15" t="inlineStr">
        <is>
          <t>Ramsarup Lohh Udyog Limited</t>
        </is>
      </c>
      <c r="E1795" s="15" t="inlineStr">
        <is>
          <t>DRHP</t>
        </is>
      </c>
      <c r="F1795" s="15" t="inlineStr">
        <is>
          <t>IPO - Ramsarup Lohh Udyog Limited</t>
        </is>
      </c>
      <c r="G1795" s="15" t="inlineStr">
        <is>
          <t>No launched IPO found</t>
        </is>
      </c>
      <c r="H1795" s="15" t="n"/>
      <c r="I1795" s="16" t="n"/>
      <c r="J1795" s="16" t="n"/>
      <c r="K1795" s="16" t="n"/>
      <c r="L1795" s="17" t="n"/>
      <c r="M1795" s="17" t="n"/>
      <c r="N1795" s="17" t="n"/>
      <c r="O1795" s="15" t="n"/>
      <c r="P1795" s="15" t="n"/>
      <c r="Q1795" s="18" t="inlineStr">
        <is>
          <t>https://www.sebi.gov.in/sebi_data/attachdocs/1291869291853.pdf</t>
        </is>
      </c>
      <c r="R1795" s="18" t="inlineStr">
        <is>
          <t>https://www.sebi.gov.in/filings/public-issues/sep-2007/ipo-ramsarup-lohh-udyog-limited_9062.html</t>
        </is>
      </c>
      <c r="S1795" s="15" t="n"/>
      <c r="T1795" s="15" t="n"/>
      <c r="U1795" s="15" t="n"/>
      <c r="V1795" s="15" t="n"/>
      <c r="W1795" s="16" t="n"/>
      <c r="X1795" s="16" t="n"/>
      <c r="Y1795" s="16" t="n"/>
      <c r="Z1795" s="15" t="inlineStr">
        <is>
          <t>No issue found</t>
        </is>
      </c>
      <c r="AA1795" s="15" t="inlineStr">
        <is>
          <t>Business Standard lists the company but shows no issue dates; web search limit reached</t>
        </is>
      </c>
      <c r="AB1795" s="18" t="inlineStr">
        <is>
          <t>https://www.business-standard.com/markets/ipo/ramsarup-lohh-udyog-ltd-merged-ipo-28156</t>
        </is>
      </c>
    </row>
    <row r="1796" ht="15" customHeight="1" s="12">
      <c r="A1796" s="14" t="n">
        <v>1795</v>
      </c>
      <c r="B1796" s="16" t="n">
        <v>39343</v>
      </c>
      <c r="C1796" s="15" t="n">
        <v>2007</v>
      </c>
      <c r="D1796" s="15" t="inlineStr">
        <is>
          <t>Onmobile Global Limited</t>
        </is>
      </c>
      <c r="E1796" s="15" t="inlineStr">
        <is>
          <t>DRHP</t>
        </is>
      </c>
      <c r="F1796" s="15" t="inlineStr">
        <is>
          <t>IPO -Onmobile Global Limited</t>
        </is>
      </c>
      <c r="G1796" s="15" t="inlineStr">
        <is>
          <t>IPO launched</t>
        </is>
      </c>
      <c r="H1796" s="15" t="inlineStr">
        <is>
          <t>Mainboard</t>
        </is>
      </c>
      <c r="I1796" s="16" t="n">
        <v>39471</v>
      </c>
      <c r="J1796" s="16" t="n">
        <v>39476</v>
      </c>
      <c r="K1796" s="16" t="n">
        <v>39497</v>
      </c>
      <c r="L1796" s="17" t="n">
        <v>479.62</v>
      </c>
      <c r="M1796" s="17" t="n">
        <v>479.62</v>
      </c>
      <c r="N1796" s="17" t="n">
        <v>0</v>
      </c>
      <c r="O1796" s="15" t="inlineStr">
        <is>
          <t>Final issue (ipoplatform)</t>
        </is>
      </c>
      <c r="P1796" s="15" t="n"/>
      <c r="Q1796" s="18" t="inlineStr">
        <is>
          <t>https://www.sebi.gov.in/sebi_data/attachdocs/1291869073742.pdf</t>
        </is>
      </c>
      <c r="R1796" s="18" t="inlineStr">
        <is>
          <t>https://www.sebi.gov.in/filings/public-issues/sep-2007/ipo-onmobile-global-limited_9059.html</t>
        </is>
      </c>
      <c r="S1796" s="15" t="n"/>
      <c r="T1796" s="15" t="inlineStr">
        <is>
          <t>SEBI filing link</t>
        </is>
      </c>
      <c r="U1796" s="15" t="inlineStr">
        <is>
          <t>OnMobile Global Limited</t>
        </is>
      </c>
      <c r="V1796" s="15" t="n"/>
      <c r="W1796" s="15" t="n"/>
      <c r="X1796" s="15" t="n"/>
      <c r="Y1796" s="15" t="n"/>
      <c r="Z1796" s="15" t="n"/>
      <c r="AA1796" s="15" t="n"/>
      <c r="AB1796" s="15" t="n"/>
    </row>
    <row r="1797" ht="15" customHeight="1" s="12">
      <c r="A1797" s="14" t="n">
        <v>1796</v>
      </c>
      <c r="B1797" s="16" t="n">
        <v>39343</v>
      </c>
      <c r="C1797" s="15" t="n">
        <v>2007</v>
      </c>
      <c r="D1797" s="15" t="inlineStr">
        <is>
          <t>J Kumar Infraprojects Limited</t>
        </is>
      </c>
      <c r="E1797" s="15" t="inlineStr">
        <is>
          <t>DRHP</t>
        </is>
      </c>
      <c r="F1797" s="15" t="inlineStr">
        <is>
          <t>J Kumar Infraprojects Limited</t>
        </is>
      </c>
      <c r="G1797" s="15" t="inlineStr">
        <is>
          <t>IPO launched</t>
        </is>
      </c>
      <c r="H1797" s="15" t="inlineStr">
        <is>
          <t>Mainboard</t>
        </is>
      </c>
      <c r="I1797" s="16" t="n">
        <v>39465</v>
      </c>
      <c r="J1797" s="16" t="n">
        <v>39470</v>
      </c>
      <c r="K1797" s="16" t="n">
        <v>39490</v>
      </c>
      <c r="L1797" s="17" t="n">
        <v>71.5</v>
      </c>
      <c r="M1797" s="17" t="n">
        <v>71.5</v>
      </c>
      <c r="N1797" s="17" t="n">
        <v>0</v>
      </c>
      <c r="O1797" s="15" t="inlineStr">
        <is>
          <t>Final issue (ipoplatform)</t>
        </is>
      </c>
      <c r="P1797" s="15" t="n"/>
      <c r="Q1797" s="18" t="inlineStr">
        <is>
          <t>https://www.sebi.gov.in/sebi_data/attachdocs/1291869165826.pdf</t>
        </is>
      </c>
      <c r="R1797" s="18" t="inlineStr">
        <is>
          <t>https://www.sebi.gov.in/filings/public-issues/sep-2007/j-kumar-infraprojects-limited_9061.html</t>
        </is>
      </c>
      <c r="S1797" s="15" t="n"/>
      <c r="T1797" s="15" t="inlineStr">
        <is>
          <t>SEBI filing link</t>
        </is>
      </c>
      <c r="U1797" s="15" t="inlineStr">
        <is>
          <t>J Kumar Infraprojects Limited</t>
        </is>
      </c>
      <c r="V1797" s="15" t="n"/>
      <c r="W1797" s="15" t="n"/>
      <c r="X1797" s="15" t="n"/>
      <c r="Y1797" s="15" t="n"/>
      <c r="Z1797" s="15" t="n"/>
      <c r="AA1797" s="15" t="n"/>
      <c r="AB1797" s="15" t="n"/>
    </row>
    <row r="1798" ht="15" customHeight="1" s="12">
      <c r="A1798" s="14" t="n">
        <v>1797</v>
      </c>
      <c r="B1798" s="16" t="n">
        <v>39342</v>
      </c>
      <c r="C1798" s="15" t="n">
        <v>2007</v>
      </c>
      <c r="D1798" s="15" t="inlineStr">
        <is>
          <t>Brigade Enterprises Limited</t>
        </is>
      </c>
      <c r="E1798" s="15" t="inlineStr">
        <is>
          <t>DRHP</t>
        </is>
      </c>
      <c r="F1798" s="15" t="inlineStr">
        <is>
          <t>IPO -Brigade Enterprises Limited</t>
        </is>
      </c>
      <c r="G1798" s="15" t="inlineStr">
        <is>
          <t>IPO launched</t>
        </is>
      </c>
      <c r="H1798" s="15" t="inlineStr">
        <is>
          <t>Mainboard</t>
        </is>
      </c>
      <c r="I1798" s="16" t="n">
        <v>39426</v>
      </c>
      <c r="J1798" s="16" t="n">
        <v>39429</v>
      </c>
      <c r="K1798" s="16" t="n">
        <v>39447</v>
      </c>
      <c r="L1798" s="17" t="n">
        <v>648.36</v>
      </c>
      <c r="M1798" s="17" t="n">
        <v>648.36</v>
      </c>
      <c r="N1798" s="17" t="n">
        <v>0</v>
      </c>
      <c r="O1798" s="15" t="inlineStr">
        <is>
          <t>Final issue (ipoplatform)</t>
        </is>
      </c>
      <c r="P1798" s="15" t="n"/>
      <c r="Q1798" s="18" t="inlineStr">
        <is>
          <t>https://www.sebi.gov.in/sebi_data/attachdocs/1291868995441.pdf</t>
        </is>
      </c>
      <c r="R1798" s="18" t="inlineStr">
        <is>
          <t>https://www.sebi.gov.in/filings/public-issues/sep-2007/ipo-brigade-enterprises-limited_9058.html</t>
        </is>
      </c>
      <c r="S1798" s="15" t="n"/>
      <c r="T1798" s="15" t="inlineStr">
        <is>
          <t>SEBI filing link</t>
        </is>
      </c>
      <c r="U1798" s="15" t="inlineStr">
        <is>
          <t>Brigade Enterprises Limited</t>
        </is>
      </c>
      <c r="V1798" s="15" t="n"/>
      <c r="W1798" s="15" t="n"/>
      <c r="X1798" s="15" t="n"/>
      <c r="Y1798" s="15" t="n"/>
      <c r="Z1798" s="15" t="n"/>
      <c r="AA1798" s="15" t="n"/>
      <c r="AB1798" s="15" t="n"/>
    </row>
    <row r="1799" ht="15" customHeight="1" s="12">
      <c r="A1799" s="14" t="n">
        <v>1798</v>
      </c>
      <c r="B1799" s="16" t="n">
        <v>39339</v>
      </c>
      <c r="C1799" s="15" t="n">
        <v>2007</v>
      </c>
      <c r="D1799" s="15" t="inlineStr">
        <is>
          <t>eClerx Services Limited</t>
        </is>
      </c>
      <c r="E1799" s="15" t="inlineStr">
        <is>
          <t>DRHP</t>
        </is>
      </c>
      <c r="F1799" s="15" t="inlineStr">
        <is>
          <t>IPO - eClerx Services Limited</t>
        </is>
      </c>
      <c r="G1799" s="15" t="inlineStr">
        <is>
          <t>IPO launched</t>
        </is>
      </c>
      <c r="H1799" s="15" t="inlineStr">
        <is>
          <t>Mainboard</t>
        </is>
      </c>
      <c r="I1799" s="16" t="n">
        <v>39420</v>
      </c>
      <c r="J1799" s="16" t="n">
        <v>39423</v>
      </c>
      <c r="K1799" s="16" t="n">
        <v>39447</v>
      </c>
      <c r="L1799" s="17" t="n">
        <v>101</v>
      </c>
      <c r="M1799" s="17" t="n">
        <v>101</v>
      </c>
      <c r="N1799" s="17" t="n">
        <v>0</v>
      </c>
      <c r="O1799" s="15" t="inlineStr">
        <is>
          <t>Final issue (ipoplatform)</t>
        </is>
      </c>
      <c r="P1799" s="15" t="n"/>
      <c r="Q1799" s="18" t="inlineStr">
        <is>
          <t>https://www.sebi.gov.in/sebi_data/attachdocs/1291868817748.pdf</t>
        </is>
      </c>
      <c r="R1799" s="18" t="inlineStr">
        <is>
          <t>https://www.sebi.gov.in/filings/public-issues/sep-2007/ipo-eclerx-services-limited_9057.html</t>
        </is>
      </c>
      <c r="S1799" s="15" t="n"/>
      <c r="T1799" s="15" t="inlineStr">
        <is>
          <t>SEBI filing link</t>
        </is>
      </c>
      <c r="U1799" s="15" t="inlineStr">
        <is>
          <t>eClerx Services Limited</t>
        </is>
      </c>
      <c r="V1799" s="15" t="n"/>
      <c r="W1799" s="15" t="n"/>
      <c r="X1799" s="15" t="n"/>
      <c r="Y1799" s="15" t="n"/>
      <c r="Z1799" s="15" t="n"/>
      <c r="AA1799" s="15" t="n"/>
      <c r="AB1799" s="15" t="n"/>
    </row>
    <row r="1800" ht="15" customHeight="1" s="12">
      <c r="A1800" s="14" t="n">
        <v>1799</v>
      </c>
      <c r="B1800" s="16" t="n">
        <v>39337</v>
      </c>
      <c r="C1800" s="15" t="n">
        <v>2007</v>
      </c>
      <c r="D1800" s="15" t="inlineStr">
        <is>
          <t>Cords Cable Industries Limited</t>
        </is>
      </c>
      <c r="E1800" s="15" t="inlineStr">
        <is>
          <t>DRHP</t>
        </is>
      </c>
      <c r="F1800" s="15" t="inlineStr">
        <is>
          <t>IPO -Cords Cable Industries Limited</t>
        </is>
      </c>
      <c r="G1800" s="15" t="inlineStr">
        <is>
          <t>IPO launched</t>
        </is>
      </c>
      <c r="H1800" s="15" t="inlineStr">
        <is>
          <t>Mainboard</t>
        </is>
      </c>
      <c r="I1800" s="16" t="n">
        <v>39468</v>
      </c>
      <c r="J1800" s="16" t="n">
        <v>39471</v>
      </c>
      <c r="K1800" s="16" t="n">
        <v>39491</v>
      </c>
      <c r="L1800" s="17" t="n">
        <v>41.65</v>
      </c>
      <c r="M1800" s="17" t="n">
        <v>41.65</v>
      </c>
      <c r="N1800" s="17" t="n">
        <v>0</v>
      </c>
      <c r="O1800" s="15" t="inlineStr">
        <is>
          <t>Final issue (ipoplatform)</t>
        </is>
      </c>
      <c r="P1800" s="15" t="n"/>
      <c r="Q1800" s="18" t="inlineStr">
        <is>
          <t>https://www.sebi.gov.in/sebi_data/attachdocs/1291867938276.pdf</t>
        </is>
      </c>
      <c r="R1800" s="18" t="inlineStr">
        <is>
          <t>https://www.sebi.gov.in/filings/public-issues/sep-2007/ipo-cords-cable-industries-limited_9051.html</t>
        </is>
      </c>
      <c r="S1800" s="15" t="n"/>
      <c r="T1800" s="15" t="inlineStr">
        <is>
          <t>SEBI filing link</t>
        </is>
      </c>
      <c r="U1800" s="15" t="inlineStr">
        <is>
          <t>Cords Cable Industries Limited</t>
        </is>
      </c>
      <c r="V1800" s="15" t="n"/>
      <c r="W1800" s="15" t="n"/>
      <c r="X1800" s="15" t="n"/>
      <c r="Y1800" s="15" t="n"/>
      <c r="Z1800" s="15" t="n"/>
      <c r="AA1800" s="15" t="n"/>
      <c r="AB1800" s="15" t="n"/>
    </row>
    <row r="1801" ht="15" customHeight="1" s="12">
      <c r="A1801" s="14" t="n">
        <v>1800</v>
      </c>
      <c r="B1801" s="16" t="n">
        <v>39337</v>
      </c>
      <c r="C1801" s="15" t="n">
        <v>2007</v>
      </c>
      <c r="D1801" s="15" t="inlineStr">
        <is>
          <t>Khadim India Limited</t>
        </is>
      </c>
      <c r="E1801" s="15" t="inlineStr">
        <is>
          <t>DRHP</t>
        </is>
      </c>
      <c r="F1801" s="15" t="inlineStr">
        <is>
          <t>IPO -Khadim India Limited</t>
        </is>
      </c>
      <c r="G1801" s="15" t="inlineStr">
        <is>
          <t>No launched IPO found</t>
        </is>
      </c>
      <c r="H1801" s="15" t="n"/>
      <c r="I1801" s="16" t="n"/>
      <c r="J1801" s="16" t="n"/>
      <c r="K1801" s="16" t="n"/>
      <c r="L1801" s="17" t="n"/>
      <c r="M1801" s="17" t="n"/>
      <c r="N1801" s="17" t="n"/>
      <c r="O1801" s="15" t="n"/>
      <c r="P1801" s="15" t="n"/>
      <c r="Q1801" s="18" t="inlineStr">
        <is>
          <t>https://www.sebi.gov.in/sebi_data/attachdocs/1291868046751.pdf</t>
        </is>
      </c>
      <c r="R1801" s="18" t="inlineStr">
        <is>
          <t>https://www.sebi.gov.in/filings/public-issues/sep-2007/ipo-khadim-india-limited_9052.html</t>
        </is>
      </c>
      <c r="S1801" s="15" t="n"/>
      <c r="T1801" s="15" t="n"/>
      <c r="U1801" s="15" t="n"/>
      <c r="V1801" s="15" t="inlineStr">
        <is>
          <t>Same-name IPO opened 02-Nov-2017 — outside 2 years of this filing, so not linked</t>
        </is>
      </c>
      <c r="W1801" s="25" t="n">
        <v>43041</v>
      </c>
      <c r="X1801" s="25" t="n">
        <v>43045</v>
      </c>
      <c r="Y1801" s="25" t="n">
        <v>43053</v>
      </c>
      <c r="Z1801" s="26" t="inlineStr">
        <is>
          <t>Later IPO — not from this draft</t>
        </is>
      </c>
      <c r="AA1801" s="15" t="inlineStr">
        <is>
          <t>IPO opened over 3 years after 2007 filing (about 10 years later).</t>
        </is>
      </c>
      <c r="AB1801" s="18" t="inlineStr">
        <is>
          <t>https://www.chittorgarh.com/ipo/khadim-india-ipo/755/</t>
        </is>
      </c>
    </row>
    <row r="1802" ht="15" customHeight="1" s="12">
      <c r="A1802" s="14" t="n">
        <v>1801</v>
      </c>
      <c r="B1802" s="16" t="n">
        <v>39331</v>
      </c>
      <c r="C1802" s="15" t="n">
        <v>2007</v>
      </c>
      <c r="D1802" s="15" t="inlineStr">
        <is>
          <t>Alkali Metals Limited</t>
        </is>
      </c>
      <c r="E1802" s="15" t="inlineStr">
        <is>
          <t>DRHP</t>
        </is>
      </c>
      <c r="F1802" s="15" t="inlineStr">
        <is>
          <t>Alkali Metals Limited</t>
        </is>
      </c>
      <c r="G1802" s="15" t="inlineStr">
        <is>
          <t>IPO launched</t>
        </is>
      </c>
      <c r="H1802" s="15" t="inlineStr">
        <is>
          <t>Mainboard</t>
        </is>
      </c>
      <c r="I1802" s="16" t="n">
        <v>39728</v>
      </c>
      <c r="J1802" s="16" t="n">
        <v>39736</v>
      </c>
      <c r="K1802" s="16" t="n">
        <v>39758</v>
      </c>
      <c r="L1802" s="17" t="n">
        <v>26.27</v>
      </c>
      <c r="M1802" s="17" t="n">
        <v>26.27</v>
      </c>
      <c r="N1802" s="17" t="n">
        <v>0</v>
      </c>
      <c r="O1802" s="15" t="inlineStr">
        <is>
          <t>Final issue (ipoplatform)</t>
        </is>
      </c>
      <c r="P1802" s="15" t="n"/>
      <c r="Q1802" s="18" t="inlineStr">
        <is>
          <t>https://www.sebi.gov.in/sebi_data/attachdocs/1291867245171.pdf</t>
        </is>
      </c>
      <c r="R1802" s="18" t="inlineStr">
        <is>
          <t>https://www.sebi.gov.in/filings/public-issues/sep-2007/alkali-metals-limited_9037.html</t>
        </is>
      </c>
      <c r="S1802" s="15" t="n"/>
      <c r="T1802" s="15" t="inlineStr">
        <is>
          <t>Company name + date window</t>
        </is>
      </c>
      <c r="U1802" s="15" t="inlineStr">
        <is>
          <t>Alkali Metals Limited</t>
        </is>
      </c>
      <c r="V1802" s="15" t="n"/>
      <c r="W1802" s="15" t="n"/>
      <c r="X1802" s="15" t="n"/>
      <c r="Y1802" s="15" t="n"/>
      <c r="Z1802" s="15" t="n"/>
      <c r="AA1802" s="15" t="n"/>
      <c r="AB1802" s="15" t="n"/>
    </row>
    <row r="1803" ht="15" customHeight="1" s="12">
      <c r="A1803" s="14" t="n">
        <v>1802</v>
      </c>
      <c r="B1803" s="16" t="n">
        <v>39329</v>
      </c>
      <c r="C1803" s="15" t="n">
        <v>2007</v>
      </c>
      <c r="D1803" s="15" t="inlineStr">
        <is>
          <t>Kiri Dyes and Chemicals Limited</t>
        </is>
      </c>
      <c r="E1803" s="15" t="inlineStr">
        <is>
          <t>DRHP</t>
        </is>
      </c>
      <c r="F1803" s="15" t="inlineStr">
        <is>
          <t>Kiri Dyes and Chemicals Limited</t>
        </is>
      </c>
      <c r="G1803" s="15" t="inlineStr">
        <is>
          <t>IPO launched</t>
        </is>
      </c>
      <c r="H1803" s="15" t="inlineStr">
        <is>
          <t>Mainboard</t>
        </is>
      </c>
      <c r="I1803" s="16" t="n">
        <v>39532</v>
      </c>
      <c r="J1803" s="16" t="n">
        <v>39540</v>
      </c>
      <c r="K1803" s="16" t="n">
        <v>39560</v>
      </c>
      <c r="L1803" s="17" t="n">
        <v>56.25</v>
      </c>
      <c r="M1803" s="17" t="n">
        <v>56.25</v>
      </c>
      <c r="N1803" s="17" t="n">
        <v>0</v>
      </c>
      <c r="O1803" s="15" t="inlineStr">
        <is>
          <t>Final issue (ipoplatform)</t>
        </is>
      </c>
      <c r="P1803" s="15" t="n"/>
      <c r="Q1803" s="18" t="inlineStr">
        <is>
          <t>https://www.sebi.gov.in/sebi_data/attachdocs/1291866828911.pdf</t>
        </is>
      </c>
      <c r="R1803" s="18" t="inlineStr">
        <is>
          <t>https://www.sebi.gov.in/filings/public-issues/sep-2007/kiri-dyes-and-chemicals-limited_9032.html</t>
        </is>
      </c>
      <c r="S1803" s="15" t="n"/>
      <c r="T1803" s="15" t="inlineStr">
        <is>
          <t>SEBI filing link</t>
        </is>
      </c>
      <c r="U1803" s="15" t="inlineStr">
        <is>
          <t>Kiri Dyes and Chemicals Limited</t>
        </is>
      </c>
      <c r="V1803" s="15" t="n"/>
      <c r="W1803" s="15" t="n"/>
      <c r="X1803" s="15" t="n"/>
      <c r="Y1803" s="15" t="n"/>
      <c r="Z1803" s="15" t="n"/>
      <c r="AA1803" s="15" t="n"/>
      <c r="AB1803" s="15" t="n"/>
    </row>
    <row r="1804" ht="15" customHeight="1" s="12">
      <c r="A1804" s="14" t="n">
        <v>1803</v>
      </c>
      <c r="B1804" s="16" t="n">
        <v>39329</v>
      </c>
      <c r="C1804" s="15" t="n">
        <v>2007</v>
      </c>
      <c r="D1804" s="15" t="inlineStr">
        <is>
          <t>Tulsi Extrusions Limited</t>
        </is>
      </c>
      <c r="E1804" s="15" t="inlineStr">
        <is>
          <t>DRHP</t>
        </is>
      </c>
      <c r="F1804" s="15" t="inlineStr">
        <is>
          <t>Tulsi Extrusions Limited</t>
        </is>
      </c>
      <c r="G1804" s="15" t="inlineStr">
        <is>
          <t>No launched IPO found</t>
        </is>
      </c>
      <c r="H1804" s="15" t="n"/>
      <c r="I1804" s="16" t="n"/>
      <c r="J1804" s="16" t="n"/>
      <c r="K1804" s="16" t="n"/>
      <c r="L1804" s="17" t="n"/>
      <c r="M1804" s="17" t="n"/>
      <c r="N1804" s="17" t="n"/>
      <c r="O1804" s="15" t="n"/>
      <c r="P1804" s="15" t="n"/>
      <c r="Q1804" s="18" t="inlineStr">
        <is>
          <t>https://www.sebi.gov.in/sebi_data/attachdocs/1291867052833.pdf</t>
        </is>
      </c>
      <c r="R1804" s="18" t="inlineStr">
        <is>
          <t>https://www.sebi.gov.in/filings/public-issues/sep-2007/tulsi-extrusions-limited_9036.html</t>
        </is>
      </c>
      <c r="S1804" s="15" t="n"/>
      <c r="T1804" s="15" t="n"/>
      <c r="U1804" s="15" t="n"/>
      <c r="V1804" s="15" t="n"/>
      <c r="W1804" s="19" t="n">
        <v>39479</v>
      </c>
      <c r="X1804" s="19" t="n">
        <v>39483</v>
      </c>
      <c r="Y1804" s="19" t="n"/>
      <c r="Z1804" s="20" t="inlineStr">
        <is>
          <t>Issue opened</t>
        </is>
      </c>
      <c r="AA1804" s="15" t="inlineStr">
        <is>
          <t>Matched on chittorgarh.com</t>
        </is>
      </c>
      <c r="AB1804" s="18" t="inlineStr">
        <is>
          <t>https://www.chittorgarh.com/ipo/tulsi_ipo/163/</t>
        </is>
      </c>
    </row>
    <row r="1805" ht="15" customHeight="1" s="12">
      <c r="A1805" s="14" t="n">
        <v>1804</v>
      </c>
      <c r="B1805" s="16" t="n">
        <v>39322</v>
      </c>
      <c r="C1805" s="15" t="n">
        <v>2007</v>
      </c>
      <c r="D1805" s="15" t="inlineStr">
        <is>
          <t>Tecpro Systems Limited</t>
        </is>
      </c>
      <c r="E1805" s="15" t="inlineStr">
        <is>
          <t>DRHP</t>
        </is>
      </c>
      <c r="F1805" s="15" t="inlineStr">
        <is>
          <t>Tecpro Systems Limited</t>
        </is>
      </c>
      <c r="G1805" s="15" t="inlineStr">
        <is>
          <t>No launched IPO found</t>
        </is>
      </c>
      <c r="H1805" s="15" t="n"/>
      <c r="I1805" s="16" t="n"/>
      <c r="J1805" s="16" t="n"/>
      <c r="K1805" s="16" t="n"/>
      <c r="L1805" s="17" t="n"/>
      <c r="M1805" s="17" t="n"/>
      <c r="N1805" s="17" t="n"/>
      <c r="O1805" s="15" t="n"/>
      <c r="P1805" s="15" t="n"/>
      <c r="Q1805" s="18" t="inlineStr">
        <is>
          <t>https://www.sebi.gov.in/sebi_data/attachdocs/1291721331119.pdf</t>
        </is>
      </c>
      <c r="R1805" s="18" t="inlineStr">
        <is>
          <t>https://www.sebi.gov.in/filings/public-issues/aug-2007/tecpro-systems-limited_8553.html</t>
        </is>
      </c>
      <c r="S1805" s="15" t="n"/>
      <c r="T1805" s="15" t="n"/>
      <c r="U1805" s="15" t="n"/>
      <c r="V1805" s="15" t="n"/>
      <c r="W1805" s="25" t="n">
        <v>40444</v>
      </c>
      <c r="X1805" s="25" t="n">
        <v>40449</v>
      </c>
      <c r="Y1805" s="25" t="n">
        <v>40463</v>
      </c>
      <c r="Z1805" s="26" t="inlineStr">
        <is>
          <t>Later IPO — not from this draft</t>
        </is>
      </c>
      <c r="AA1805" s="15" t="inlineStr">
        <is>
          <t>Opened just over 3 years after last_filed (2007-08).</t>
        </is>
      </c>
      <c r="AB1805" s="18" t="inlineStr">
        <is>
          <t>https://www.chittorgarh.com/ipo/x/269/</t>
        </is>
      </c>
    </row>
    <row r="1806" ht="15" customHeight="1" s="12">
      <c r="A1806" s="14" t="n">
        <v>1805</v>
      </c>
      <c r="B1806" s="16" t="n">
        <v>39318</v>
      </c>
      <c r="C1806" s="15" t="n">
        <v>2007</v>
      </c>
      <c r="D1806" s="15" t="inlineStr">
        <is>
          <t>Rural Electrification Corporation Limited</t>
        </is>
      </c>
      <c r="E1806" s="15" t="inlineStr">
        <is>
          <t>DRHP</t>
        </is>
      </c>
      <c r="F1806" s="15" t="inlineStr">
        <is>
          <t>Rural Electrification Corporation Limited</t>
        </is>
      </c>
      <c r="G1806" s="15" t="inlineStr">
        <is>
          <t>IPO launched</t>
        </is>
      </c>
      <c r="H1806" s="15" t="inlineStr">
        <is>
          <t>Mainboard</t>
        </is>
      </c>
      <c r="I1806" s="16" t="n">
        <v>39497</v>
      </c>
      <c r="J1806" s="16" t="n">
        <v>39500</v>
      </c>
      <c r="K1806" s="16" t="n">
        <v>39519</v>
      </c>
      <c r="L1806" s="17" t="n">
        <v>1639.26</v>
      </c>
      <c r="M1806" s="17" t="n">
        <v>1639.26</v>
      </c>
      <c r="N1806" s="17" t="n">
        <v>0</v>
      </c>
      <c r="O1806" s="15" t="inlineStr">
        <is>
          <t>Final issue (ipoplatform)</t>
        </is>
      </c>
      <c r="P1806" s="15" t="n"/>
      <c r="Q1806" s="18" t="inlineStr">
        <is>
          <t>https://www.sebi.gov.in/sebi_data/attachdocs/1291721019109.pdf</t>
        </is>
      </c>
      <c r="R1806" s="18" t="inlineStr">
        <is>
          <t>https://www.sebi.gov.in/filings/public-issues/aug-2007/rural-electrification-corporation-limited_8549.html</t>
        </is>
      </c>
      <c r="S1806" s="15" t="n"/>
      <c r="T1806" s="15" t="inlineStr">
        <is>
          <t>SEBI filing link</t>
        </is>
      </c>
      <c r="U1806" s="15" t="inlineStr">
        <is>
          <t>Rural Electrification Corporation Limited</t>
        </is>
      </c>
      <c r="V1806" s="15" t="n"/>
      <c r="W1806" s="15" t="n"/>
      <c r="X1806" s="15" t="n"/>
      <c r="Y1806" s="15" t="n"/>
      <c r="Z1806" s="15" t="n"/>
      <c r="AA1806" s="15" t="n"/>
      <c r="AB1806" s="15" t="n"/>
    </row>
    <row r="1807" ht="15" customHeight="1" s="12">
      <c r="A1807" s="14" t="n">
        <v>1806</v>
      </c>
      <c r="B1807" s="16" t="n">
        <v>39317</v>
      </c>
      <c r="C1807" s="15" t="n">
        <v>2007</v>
      </c>
      <c r="D1807" s="15" t="inlineStr">
        <is>
          <t>Sita Shree Food Products Limited</t>
        </is>
      </c>
      <c r="E1807" s="15" t="inlineStr">
        <is>
          <t>DRHP</t>
        </is>
      </c>
      <c r="F1807" s="15" t="inlineStr">
        <is>
          <t>Sita Shree Food Products Limited</t>
        </is>
      </c>
      <c r="G1807" s="15" t="inlineStr">
        <is>
          <t>IPO launched</t>
        </is>
      </c>
      <c r="H1807" s="15" t="inlineStr">
        <is>
          <t>Mainboard</t>
        </is>
      </c>
      <c r="I1807" s="16" t="n">
        <v>39518</v>
      </c>
      <c r="J1807" s="16" t="n">
        <v>39521</v>
      </c>
      <c r="K1807" s="16" t="n">
        <v>39545</v>
      </c>
      <c r="L1807" s="17" t="n">
        <v>31.5</v>
      </c>
      <c r="M1807" s="17" t="n">
        <v>31.5</v>
      </c>
      <c r="N1807" s="17" t="n">
        <v>0</v>
      </c>
      <c r="O1807" s="15" t="inlineStr">
        <is>
          <t>Final issue (ipoplatform)</t>
        </is>
      </c>
      <c r="P1807" s="15" t="n"/>
      <c r="Q1807" s="18" t="inlineStr">
        <is>
          <t>https://www.sebi.gov.in/sebi_data/attachdocs/1291720841269.pdf</t>
        </is>
      </c>
      <c r="R1807" s="18" t="inlineStr">
        <is>
          <t>https://www.sebi.gov.in/filings/public-issues/aug-2007/sita-shree-food-products-limited_8547.html</t>
        </is>
      </c>
      <c r="S1807" s="15" t="n"/>
      <c r="T1807" s="15" t="inlineStr">
        <is>
          <t>SEBI filing link</t>
        </is>
      </c>
      <c r="U1807" s="15" t="inlineStr">
        <is>
          <t>Sita Shree Food Products Limited</t>
        </is>
      </c>
      <c r="V1807" s="15" t="n"/>
      <c r="W1807" s="15" t="n"/>
      <c r="X1807" s="15" t="n"/>
      <c r="Y1807" s="15" t="n"/>
      <c r="Z1807" s="15" t="n"/>
      <c r="AA1807" s="15" t="n"/>
      <c r="AB1807" s="15" t="n"/>
    </row>
    <row r="1808" ht="15" customHeight="1" s="12">
      <c r="A1808" s="14" t="n">
        <v>1807</v>
      </c>
      <c r="B1808" s="16" t="n">
        <v>39317</v>
      </c>
      <c r="C1808" s="15" t="n">
        <v>2007</v>
      </c>
      <c r="D1808" s="15" t="inlineStr">
        <is>
          <t>Wockhardt Hospitals Limited</t>
        </is>
      </c>
      <c r="E1808" s="15" t="inlineStr">
        <is>
          <t>DRHP</t>
        </is>
      </c>
      <c r="F1808" s="15" t="inlineStr">
        <is>
          <t>Wockhardt Hospitals Limited</t>
        </is>
      </c>
      <c r="G1808" s="15" t="inlineStr">
        <is>
          <t>No launched IPO found</t>
        </is>
      </c>
      <c r="H1808" s="15" t="n"/>
      <c r="I1808" s="16" t="n"/>
      <c r="J1808" s="16" t="n"/>
      <c r="K1808" s="16" t="n"/>
      <c r="L1808" s="17" t="n"/>
      <c r="M1808" s="17" t="n"/>
      <c r="N1808" s="17" t="n"/>
      <c r="O1808" s="15" t="n"/>
      <c r="P1808" s="15" t="n"/>
      <c r="Q1808" s="18" t="inlineStr">
        <is>
          <t>https://www.sebi.gov.in/sebi_data/attachdocs/1291720498432.pdf</t>
        </is>
      </c>
      <c r="R1808" s="18" t="inlineStr">
        <is>
          <t>https://www.sebi.gov.in/filings/public-issues/aug-2007/wockhardt-hospitals-limited_8544.html</t>
        </is>
      </c>
      <c r="S1808" s="15" t="n"/>
      <c r="T1808" s="15" t="n"/>
      <c r="U1808" s="15" t="n"/>
      <c r="V1808" s="15" t="n"/>
      <c r="W1808" s="19" t="n">
        <v>39478</v>
      </c>
      <c r="X1808" s="19" t="n">
        <v>39485</v>
      </c>
      <c r="Y1808" s="19" t="n"/>
      <c r="Z1808" s="20" t="inlineStr">
        <is>
          <t>Issue opened</t>
        </is>
      </c>
      <c r="AA1808" s="15" t="inlineStr">
        <is>
          <t>Matched on chittorgarh.com</t>
        </is>
      </c>
      <c r="AB1808" s="18" t="inlineStr">
        <is>
          <t>https://www.chittorgarh.com/ipo/wockhardt_hospitals_ipo/160/</t>
        </is>
      </c>
    </row>
    <row r="1809" ht="15" customHeight="1" s="12">
      <c r="A1809" s="14" t="n">
        <v>1808</v>
      </c>
      <c r="B1809" s="16" t="n">
        <v>39315</v>
      </c>
      <c r="C1809" s="15" t="n">
        <v>2007</v>
      </c>
      <c r="D1809" s="15" t="inlineStr">
        <is>
          <t>Edelweiss Capital Limited</t>
        </is>
      </c>
      <c r="E1809" s="15" t="inlineStr">
        <is>
          <t>DRHP</t>
        </is>
      </c>
      <c r="F1809" s="15" t="inlineStr">
        <is>
          <t>Edelweiss Capital Limited</t>
        </is>
      </c>
      <c r="G1809" s="15" t="inlineStr">
        <is>
          <t>IPO launched</t>
        </is>
      </c>
      <c r="H1809" s="15" t="inlineStr">
        <is>
          <t>Mainboard</t>
        </is>
      </c>
      <c r="I1809" s="16" t="n">
        <v>39401</v>
      </c>
      <c r="J1809" s="16" t="n">
        <v>39406</v>
      </c>
      <c r="K1809" s="16" t="n">
        <v>39428</v>
      </c>
      <c r="L1809" s="17" t="n">
        <v>691.86</v>
      </c>
      <c r="M1809" s="17" t="n">
        <v>691.86</v>
      </c>
      <c r="N1809" s="17" t="n">
        <v>0</v>
      </c>
      <c r="O1809" s="15" t="inlineStr">
        <is>
          <t>Final issue (ipoplatform)</t>
        </is>
      </c>
      <c r="P1809" s="15" t="n"/>
      <c r="Q1809" s="18" t="inlineStr">
        <is>
          <t>https://www.sebi.gov.in/sebi_data/attachdocs/1291720350022.pdf</t>
        </is>
      </c>
      <c r="R1809" s="18" t="inlineStr">
        <is>
          <t>https://www.sebi.gov.in/filings/public-issues/aug-2007/edelweiss-capital-limited_8542.html</t>
        </is>
      </c>
      <c r="S1809" s="15" t="n"/>
      <c r="T1809" s="15" t="inlineStr">
        <is>
          <t>SEBI filing link</t>
        </is>
      </c>
      <c r="U1809" s="15" t="inlineStr">
        <is>
          <t>Edelweiss Capital Limited</t>
        </is>
      </c>
      <c r="V1809" s="15" t="n"/>
      <c r="W1809" s="15" t="n"/>
      <c r="X1809" s="15" t="n"/>
      <c r="Y1809" s="15" t="n"/>
      <c r="Z1809" s="15" t="n"/>
      <c r="AA1809" s="15" t="n"/>
      <c r="AB1809" s="15" t="n"/>
    </row>
    <row r="1810" ht="15" customHeight="1" s="12">
      <c r="A1810" s="14" t="n">
        <v>1809</v>
      </c>
      <c r="B1810" s="16" t="n">
        <v>39315</v>
      </c>
      <c r="C1810" s="15" t="n">
        <v>2007</v>
      </c>
      <c r="D1810" s="15" t="inlineStr">
        <is>
          <t>Somi Conveyor Beltings Limited</t>
        </is>
      </c>
      <c r="E1810" s="15" t="inlineStr">
        <is>
          <t>DRHP</t>
        </is>
      </c>
      <c r="F1810" s="15" t="inlineStr">
        <is>
          <t>Somi Conveyor Beltings Limited</t>
        </is>
      </c>
      <c r="G1810" s="15" t="inlineStr">
        <is>
          <t>IPO launched</t>
        </is>
      </c>
      <c r="H1810" s="15" t="inlineStr">
        <is>
          <t>Mainboard</t>
        </is>
      </c>
      <c r="I1810" s="16" t="n">
        <v>39623</v>
      </c>
      <c r="J1810" s="16" t="n">
        <v>39626</v>
      </c>
      <c r="K1810" s="16" t="n">
        <v>39653</v>
      </c>
      <c r="L1810" s="17" t="n">
        <v>21.8</v>
      </c>
      <c r="M1810" s="17" t="n">
        <v>21.8</v>
      </c>
      <c r="N1810" s="17" t="n">
        <v>0</v>
      </c>
      <c r="O1810" s="15" t="inlineStr">
        <is>
          <t>Final issue (ipoplatform)</t>
        </is>
      </c>
      <c r="P1810" s="15" t="n"/>
      <c r="Q1810" s="18" t="inlineStr">
        <is>
          <t>https://www.sebi.gov.in/sebi_data/attachdocs/1291720144361.pdf</t>
        </is>
      </c>
      <c r="R1810" s="18" t="inlineStr">
        <is>
          <t>https://www.sebi.gov.in/filings/public-issues/aug-2007/somi-conveyor-beltings-limited_8540.html</t>
        </is>
      </c>
      <c r="S1810" s="15" t="n"/>
      <c r="T1810" s="15" t="inlineStr">
        <is>
          <t>Company name + date window</t>
        </is>
      </c>
      <c r="U1810" s="15" t="inlineStr">
        <is>
          <t>Somi Conveyor Beltings Limited</t>
        </is>
      </c>
      <c r="V1810" s="15" t="n"/>
      <c r="W1810" s="15" t="n"/>
      <c r="X1810" s="15" t="n"/>
      <c r="Y1810" s="15" t="n"/>
      <c r="Z1810" s="15" t="n"/>
      <c r="AA1810" s="15" t="n"/>
      <c r="AB1810" s="15" t="n"/>
    </row>
    <row r="1811" ht="15" customHeight="1" s="12">
      <c r="A1811" s="14" t="n">
        <v>1810</v>
      </c>
      <c r="B1811" s="16" t="n">
        <v>39311</v>
      </c>
      <c r="C1811" s="15" t="n">
        <v>2007</v>
      </c>
      <c r="D1811" s="15" t="inlineStr">
        <is>
          <t>Mundra Port and Special Economic Zone Limited</t>
        </is>
      </c>
      <c r="E1811" s="15" t="inlineStr">
        <is>
          <t>DRHP</t>
        </is>
      </c>
      <c r="F1811" s="15" t="inlineStr">
        <is>
          <t>Mundra Port and Special Economic Zone Limited</t>
        </is>
      </c>
      <c r="G1811" s="15" t="inlineStr">
        <is>
          <t>IPO launched</t>
        </is>
      </c>
      <c r="H1811" s="15" t="inlineStr">
        <is>
          <t>Mainboard</t>
        </is>
      </c>
      <c r="I1811" s="16" t="n">
        <v>39387</v>
      </c>
      <c r="J1811" s="16" t="n">
        <v>39393</v>
      </c>
      <c r="K1811" s="16" t="n">
        <v>39413</v>
      </c>
      <c r="L1811" s="17" t="n">
        <v>1771</v>
      </c>
      <c r="M1811" s="17" t="n">
        <v>1771</v>
      </c>
      <c r="N1811" s="17" t="n">
        <v>0</v>
      </c>
      <c r="O1811" s="15" t="inlineStr">
        <is>
          <t>Final issue (ipoplatform)</t>
        </is>
      </c>
      <c r="P1811" s="15" t="n"/>
      <c r="Q1811" s="18" t="inlineStr">
        <is>
          <t>https://www.sebi.gov.in/sebi_data/attachdocs/1291720060822.pdf</t>
        </is>
      </c>
      <c r="R1811" s="18" t="inlineStr">
        <is>
          <t>https://www.sebi.gov.in/filings/public-issues/aug-2007/mundra-port-and-special-economic-zone-limited_8538.html</t>
        </is>
      </c>
      <c r="S1811" s="15" t="n"/>
      <c r="T1811" s="15" t="inlineStr">
        <is>
          <t>Company name + date window</t>
        </is>
      </c>
      <c r="U1811" s="15" t="inlineStr">
        <is>
          <t>Mundra Port and Special Economic Zone Limited</t>
        </is>
      </c>
      <c r="V1811" s="15" t="n"/>
      <c r="W1811" s="15" t="n"/>
      <c r="X1811" s="15" t="n"/>
      <c r="Y1811" s="15" t="n"/>
      <c r="Z1811" s="15" t="n"/>
      <c r="AA1811" s="15" t="n"/>
      <c r="AB1811" s="15" t="n"/>
    </row>
    <row r="1812" ht="15" customHeight="1" s="12">
      <c r="A1812" s="14" t="n">
        <v>1811</v>
      </c>
      <c r="B1812" s="16" t="n">
        <v>39308</v>
      </c>
      <c r="C1812" s="15" t="n">
        <v>2007</v>
      </c>
      <c r="D1812" s="15" t="inlineStr">
        <is>
          <t>Manjushree Extrusions Limited</t>
        </is>
      </c>
      <c r="E1812" s="15" t="inlineStr">
        <is>
          <t>DRHP</t>
        </is>
      </c>
      <c r="F1812" s="15" t="inlineStr">
        <is>
          <t>Manjushree Extrusions Limited</t>
        </is>
      </c>
      <c r="G1812" s="15" t="inlineStr">
        <is>
          <t>No launched IPO found</t>
        </is>
      </c>
      <c r="H1812" s="15" t="n"/>
      <c r="I1812" s="16" t="n"/>
      <c r="J1812" s="16" t="n"/>
      <c r="K1812" s="16" t="n"/>
      <c r="L1812" s="17" t="n"/>
      <c r="M1812" s="17" t="n"/>
      <c r="N1812" s="17" t="n"/>
      <c r="O1812" s="15" t="n"/>
      <c r="P1812" s="15" t="n"/>
      <c r="Q1812" s="18" t="inlineStr">
        <is>
          <t>https://www.sebi.gov.in/sebi_data/attachdocs/1291719928262.pdf</t>
        </is>
      </c>
      <c r="R1812" s="18" t="inlineStr">
        <is>
          <t>https://www.sebi.gov.in/filings/public-issues/aug-2007/manjushree-extrusions-limited_8536.html</t>
        </is>
      </c>
      <c r="S1812" s="15" t="n"/>
      <c r="T1812" s="15" t="n"/>
      <c r="U1812" s="15" t="n"/>
      <c r="V1812" s="15" t="n"/>
      <c r="W1812" s="19" t="n">
        <v>39478</v>
      </c>
      <c r="X1812" s="19" t="n">
        <v>39484</v>
      </c>
      <c r="Y1812" s="19" t="n">
        <v>39506</v>
      </c>
      <c r="Z1812" s="20" t="inlineStr">
        <is>
          <t>Issue opened</t>
        </is>
      </c>
      <c r="AA1812" s="15" t="inlineStr">
        <is>
          <t>FPO: Chittorgarh lists FPO.</t>
        </is>
      </c>
      <c r="AB1812" s="18" t="inlineStr">
        <is>
          <t>https://www.chittorgarh.com/ipo/x/150/</t>
        </is>
      </c>
    </row>
    <row r="1813" ht="15" customHeight="1" s="12">
      <c r="A1813" s="14" t="n">
        <v>1812</v>
      </c>
      <c r="B1813" s="16" t="n">
        <v>39304</v>
      </c>
      <c r="C1813" s="15" t="n">
        <v>2007</v>
      </c>
      <c r="D1813" s="15" t="inlineStr">
        <is>
          <t>Porwal Auto Components Limited</t>
        </is>
      </c>
      <c r="E1813" s="15" t="inlineStr">
        <is>
          <t>DRHP</t>
        </is>
      </c>
      <c r="F1813" s="15" t="inlineStr">
        <is>
          <t>Porwal Auto Components Limited</t>
        </is>
      </c>
      <c r="G1813" s="15" t="inlineStr">
        <is>
          <t>IPO launched</t>
        </is>
      </c>
      <c r="H1813" s="15" t="inlineStr">
        <is>
          <t>Mainboard</t>
        </is>
      </c>
      <c r="I1813" s="16" t="n">
        <v>39433</v>
      </c>
      <c r="J1813" s="16" t="n">
        <v>39436</v>
      </c>
      <c r="K1813" s="16" t="n">
        <v>39461</v>
      </c>
      <c r="L1813" s="17" t="n">
        <v>37.5</v>
      </c>
      <c r="M1813" s="17" t="n">
        <v>37.5</v>
      </c>
      <c r="N1813" s="17" t="n">
        <v>0</v>
      </c>
      <c r="O1813" s="15" t="inlineStr">
        <is>
          <t>Final issue (ipoplatform)</t>
        </is>
      </c>
      <c r="P1813" s="15" t="n"/>
      <c r="Q1813" s="18" t="inlineStr">
        <is>
          <t>https://www.sebi.gov.in/sebi_data/attachdocs/1291719840219.pdf</t>
        </is>
      </c>
      <c r="R1813" s="18" t="inlineStr">
        <is>
          <t>https://www.sebi.gov.in/filings/public-issues/aug-2007/porwal-auto-components-limited_8534.html</t>
        </is>
      </c>
      <c r="S1813" s="15" t="n"/>
      <c r="T1813" s="15" t="inlineStr">
        <is>
          <t>SEBI filing link</t>
        </is>
      </c>
      <c r="U1813" s="15" t="inlineStr">
        <is>
          <t>Porwal Auto Components Limited</t>
        </is>
      </c>
      <c r="V1813" s="15" t="n"/>
      <c r="W1813" s="15" t="n"/>
      <c r="X1813" s="15" t="n"/>
      <c r="Y1813" s="15" t="n"/>
      <c r="Z1813" s="15" t="n"/>
      <c r="AA1813" s="15" t="n"/>
      <c r="AB1813" s="15" t="n"/>
    </row>
    <row r="1814" ht="15" customHeight="1" s="12">
      <c r="A1814" s="14" t="n">
        <v>1813</v>
      </c>
      <c r="B1814" s="16" t="n">
        <v>39300</v>
      </c>
      <c r="C1814" s="15" t="n">
        <v>2007</v>
      </c>
      <c r="D1814" s="15" t="inlineStr">
        <is>
          <t>BGR Energy Systems Limited</t>
        </is>
      </c>
      <c r="E1814" s="15" t="inlineStr">
        <is>
          <t>DRHP</t>
        </is>
      </c>
      <c r="F1814" s="15" t="inlineStr">
        <is>
          <t>BGR Energy Systems Limited</t>
        </is>
      </c>
      <c r="G1814" s="15" t="inlineStr">
        <is>
          <t>IPO launched</t>
        </is>
      </c>
      <c r="H1814" s="15" t="inlineStr">
        <is>
          <t>Mainboard</t>
        </is>
      </c>
      <c r="I1814" s="16" t="n">
        <v>39421</v>
      </c>
      <c r="J1814" s="16" t="n">
        <v>39428</v>
      </c>
      <c r="K1814" s="16" t="n">
        <v>39450</v>
      </c>
      <c r="L1814" s="17" t="n">
        <v>438.53</v>
      </c>
      <c r="M1814" s="17" t="n">
        <v>438.53</v>
      </c>
      <c r="N1814" s="17" t="n">
        <v>0</v>
      </c>
      <c r="O1814" s="15" t="inlineStr">
        <is>
          <t>Final issue (ipoplatform)</t>
        </is>
      </c>
      <c r="P1814" s="15" t="n"/>
      <c r="Q1814" s="18" t="inlineStr">
        <is>
          <t>https://www.sebi.gov.in/sebi_data/attachdocs/1291719688120.pdf</t>
        </is>
      </c>
      <c r="R1814" s="18" t="inlineStr">
        <is>
          <t>https://www.sebi.gov.in/filings/public-issues/aug-2007/bgr-energy-systems-limited_8531.html</t>
        </is>
      </c>
      <c r="S1814" s="15" t="n"/>
      <c r="T1814" s="15" t="inlineStr">
        <is>
          <t>SEBI filing link</t>
        </is>
      </c>
      <c r="U1814" s="15" t="inlineStr">
        <is>
          <t>BGR Energy Systems Limited</t>
        </is>
      </c>
      <c r="V1814" s="15" t="n"/>
      <c r="W1814" s="15" t="n"/>
      <c r="X1814" s="15" t="n"/>
      <c r="Y1814" s="15" t="n"/>
      <c r="Z1814" s="15" t="n"/>
      <c r="AA1814" s="15" t="n"/>
      <c r="AB1814" s="15" t="n"/>
    </row>
    <row r="1815" ht="15" customHeight="1" s="12">
      <c r="A1815" s="14" t="n">
        <v>1814</v>
      </c>
      <c r="B1815" s="16" t="n">
        <v>39300</v>
      </c>
      <c r="C1815" s="15" t="n">
        <v>2007</v>
      </c>
      <c r="D1815" s="15" t="inlineStr">
        <is>
          <t>Niraj Cement Structurals Limited</t>
        </is>
      </c>
      <c r="E1815" s="15" t="inlineStr">
        <is>
          <t>DRHP</t>
        </is>
      </c>
      <c r="F1815" s="15" t="inlineStr">
        <is>
          <t>Niraj Cement Structurals Limited</t>
        </is>
      </c>
      <c r="G1815" s="15" t="inlineStr">
        <is>
          <t>IPO launched</t>
        </is>
      </c>
      <c r="H1815" s="15" t="inlineStr">
        <is>
          <t>Mainboard</t>
        </is>
      </c>
      <c r="I1815" s="16" t="n">
        <v>39594</v>
      </c>
      <c r="J1815" s="16" t="n">
        <v>39598</v>
      </c>
      <c r="K1815" s="16" t="n">
        <v>39618</v>
      </c>
      <c r="L1815" s="17" t="n">
        <v>61.75</v>
      </c>
      <c r="M1815" s="17" t="n">
        <v>61.75</v>
      </c>
      <c r="N1815" s="17" t="n">
        <v>0</v>
      </c>
      <c r="O1815" s="15" t="inlineStr">
        <is>
          <t>Final issue (ipoplatform)</t>
        </is>
      </c>
      <c r="P1815" s="15" t="n"/>
      <c r="Q1815" s="18" t="inlineStr">
        <is>
          <t>https://www.sebi.gov.in/sebi_data/attachdocs/1291719372937.pdf</t>
        </is>
      </c>
      <c r="R1815" s="18" t="inlineStr">
        <is>
          <t>https://www.sebi.gov.in/filings/public-issues/aug-2007/niraj-cement-structurals-limited_8528.html</t>
        </is>
      </c>
      <c r="S1815" s="15" t="n"/>
      <c r="T1815" s="15" t="inlineStr">
        <is>
          <t>Company name + date window</t>
        </is>
      </c>
      <c r="U1815" s="15" t="inlineStr">
        <is>
          <t>Niraj Cement Structurals Limited</t>
        </is>
      </c>
      <c r="V1815" s="15" t="n"/>
      <c r="W1815" s="15" t="n"/>
      <c r="X1815" s="15" t="n"/>
      <c r="Y1815" s="15" t="n"/>
      <c r="Z1815" s="15" t="n"/>
      <c r="AA1815" s="15" t="n"/>
      <c r="AB1815" s="15" t="n"/>
    </row>
    <row r="1816" ht="15" customHeight="1" s="12">
      <c r="A1816" s="14" t="n">
        <v>1815</v>
      </c>
      <c r="B1816" s="16" t="n">
        <v>39290</v>
      </c>
      <c r="C1816" s="15" t="n">
        <v>2007</v>
      </c>
      <c r="D1816" s="15" t="inlineStr">
        <is>
          <t>Omnitech Infosolutions Limited</t>
        </is>
      </c>
      <c r="E1816" s="15" t="inlineStr">
        <is>
          <t>Corrigendum</t>
        </is>
      </c>
      <c r="F1816" s="15" t="inlineStr">
        <is>
          <t>Omnitech Infosolutions Limited - corrigendum</t>
        </is>
      </c>
      <c r="G1816" s="15" t="inlineStr">
        <is>
          <t>No launched IPO found</t>
        </is>
      </c>
      <c r="H1816" s="15" t="n"/>
      <c r="I1816" s="16" t="n"/>
      <c r="J1816" s="16" t="n"/>
      <c r="K1816" s="16" t="n"/>
      <c r="L1816" s="17" t="n"/>
      <c r="M1816" s="17" t="n"/>
      <c r="N1816" s="17" t="n"/>
      <c r="O1816" s="15" t="n"/>
      <c r="P1816" s="15" t="n"/>
      <c r="Q1816" s="18" t="inlineStr">
        <is>
          <t>https://www.sebi.gov.in/sebi_data/attachdocs/1293521332705.pdf</t>
        </is>
      </c>
      <c r="R1816" s="18" t="inlineStr">
        <is>
          <t>https://www.sebi.gov.in/filings/public-issues/jul-2007/omnitech-infosolutions-limited-corrigendum_13605.html</t>
        </is>
      </c>
      <c r="S1816" s="15" t="n"/>
      <c r="T1816" s="15" t="n"/>
      <c r="U1816" s="15" t="n"/>
      <c r="V1816" s="15" t="n"/>
      <c r="W1816" s="16" t="n"/>
      <c r="X1816" s="16" t="n"/>
      <c r="Y1816" s="16" t="n"/>
      <c r="Z1816" s="15" t="inlineStr">
        <is>
          <t>No issue found</t>
        </is>
      </c>
      <c r="AA1816" s="15" t="inlineStr">
        <is>
          <t>IPO opened 2007-07-19, before first_filed 2007-07-27.</t>
        </is>
      </c>
      <c r="AB1816" s="18" t="inlineStr">
        <is>
          <t>https://www.chittorgarh.com/ipo/x/103/</t>
        </is>
      </c>
    </row>
    <row r="1817" ht="15" customHeight="1" s="12">
      <c r="A1817" s="14" t="n">
        <v>1816</v>
      </c>
      <c r="B1817" s="16" t="n">
        <v>39286</v>
      </c>
      <c r="C1817" s="15" t="n">
        <v>2007</v>
      </c>
      <c r="D1817" s="15" t="inlineStr">
        <is>
          <t>Bang Overseas Limited</t>
        </is>
      </c>
      <c r="E1817" s="15" t="inlineStr">
        <is>
          <t>DRHP</t>
        </is>
      </c>
      <c r="F1817" s="15" t="inlineStr">
        <is>
          <t>Bang Overseas Limited</t>
        </is>
      </c>
      <c r="G1817" s="15" t="inlineStr">
        <is>
          <t>IPO launched</t>
        </is>
      </c>
      <c r="H1817" s="15" t="inlineStr">
        <is>
          <t>Mainboard</t>
        </is>
      </c>
      <c r="I1817" s="16" t="n">
        <v>39475</v>
      </c>
      <c r="J1817" s="16" t="n">
        <v>39478</v>
      </c>
      <c r="K1817" s="16" t="n">
        <v>39498</v>
      </c>
      <c r="L1817" s="17" t="n">
        <v>72.45</v>
      </c>
      <c r="M1817" s="17" t="n">
        <v>72.45</v>
      </c>
      <c r="N1817" s="17" t="n">
        <v>0</v>
      </c>
      <c r="O1817" s="15" t="inlineStr">
        <is>
          <t>Final issue (ipoplatform)</t>
        </is>
      </c>
      <c r="P1817" s="15" t="n"/>
      <c r="Q1817" s="18" t="inlineStr">
        <is>
          <t>https://www.sebi.gov.in/sebi_data/attachdocs/1294646364467.pdf</t>
        </is>
      </c>
      <c r="R1817" s="18" t="inlineStr">
        <is>
          <t>https://www.sebi.gov.in/filings/public-issues/jul-2007/bang-overseas-limited_14211.html</t>
        </is>
      </c>
      <c r="S1817" s="15" t="n"/>
      <c r="T1817" s="15" t="inlineStr">
        <is>
          <t>SEBI filing link</t>
        </is>
      </c>
      <c r="U1817" s="15" t="inlineStr">
        <is>
          <t>Bang Overseas Limited</t>
        </is>
      </c>
      <c r="V1817" s="15" t="n"/>
      <c r="W1817" s="15" t="n"/>
      <c r="X1817" s="15" t="n"/>
      <c r="Y1817" s="15" t="n"/>
      <c r="Z1817" s="15" t="n"/>
      <c r="AA1817" s="15" t="n"/>
      <c r="AB1817" s="15" t="n"/>
    </row>
    <row r="1818" ht="15" customHeight="1" s="12">
      <c r="A1818" s="14" t="n">
        <v>1817</v>
      </c>
      <c r="B1818" s="16" t="n">
        <v>39283</v>
      </c>
      <c r="C1818" s="15" t="n">
        <v>2007</v>
      </c>
      <c r="D1818" s="15" t="inlineStr">
        <is>
          <t>Globus Spirits Limited</t>
        </is>
      </c>
      <c r="E1818" s="15" t="inlineStr">
        <is>
          <t>DRHP</t>
        </is>
      </c>
      <c r="F1818" s="15" t="inlineStr">
        <is>
          <t>Globus Spirits Limited</t>
        </is>
      </c>
      <c r="G1818" s="15" t="inlineStr">
        <is>
          <t>No launched IPO found</t>
        </is>
      </c>
      <c r="H1818" s="15" t="n"/>
      <c r="I1818" s="16" t="n"/>
      <c r="J1818" s="16" t="n"/>
      <c r="K1818" s="16" t="n"/>
      <c r="L1818" s="17" t="n"/>
      <c r="M1818" s="17" t="n"/>
      <c r="N1818" s="17" t="n"/>
      <c r="O1818" s="15" t="n"/>
      <c r="P1818" s="15" t="n"/>
      <c r="Q1818" s="18" t="inlineStr">
        <is>
          <t>https://www.sebi.gov.in/sebi_data/attachdocs/1294647591211.pdf</t>
        </is>
      </c>
      <c r="R1818" s="18" t="inlineStr">
        <is>
          <t>https://www.sebi.gov.in/filings/public-issues/jul-2007/globus-spirits-limited_14212.html</t>
        </is>
      </c>
      <c r="S1818" s="15" t="n"/>
      <c r="T1818" s="15" t="n"/>
      <c r="U1818" s="15" t="n"/>
      <c r="V1818" s="15" t="inlineStr">
        <is>
          <t>Same-name IPO opened 31-Aug-2009 — outside 2 years of this filing, so not linked</t>
        </is>
      </c>
      <c r="W1818" s="19" t="n">
        <v>40056</v>
      </c>
      <c r="X1818" s="19" t="n">
        <v>40058</v>
      </c>
      <c r="Y1818" s="19" t="n"/>
      <c r="Z1818" s="20" t="inlineStr">
        <is>
          <t>Issue opened</t>
        </is>
      </c>
      <c r="AA1818" s="15" t="inlineStr">
        <is>
          <t>Matched on chittorgarh.com</t>
        </is>
      </c>
      <c r="AB1818" s="18" t="inlineStr">
        <is>
          <t>https://www.chittorgarh.com/ipo/globus_spirits_ipo/161/</t>
        </is>
      </c>
    </row>
    <row r="1819" ht="15" customHeight="1" s="12">
      <c r="A1819" s="14" t="n">
        <v>1818</v>
      </c>
      <c r="B1819" s="16" t="n">
        <v>39281</v>
      </c>
      <c r="C1819" s="15" t="n">
        <v>2007</v>
      </c>
      <c r="D1819" s="15" t="inlineStr">
        <is>
          <t>Aishwarya Telecom Limited</t>
        </is>
      </c>
      <c r="E1819" s="15" t="inlineStr">
        <is>
          <t>DRHP</t>
        </is>
      </c>
      <c r="F1819" s="15" t="inlineStr">
        <is>
          <t>Aishwarya Telecom Limited</t>
        </is>
      </c>
      <c r="G1819" s="15" t="inlineStr">
        <is>
          <t>IPO launched</t>
        </is>
      </c>
      <c r="H1819" s="15" t="inlineStr">
        <is>
          <t>Mainboard</t>
        </is>
      </c>
      <c r="I1819" s="16" t="n">
        <v>39553</v>
      </c>
      <c r="J1819" s="16" t="n">
        <v>39555</v>
      </c>
      <c r="K1819" s="16" t="n">
        <v>39575</v>
      </c>
      <c r="L1819" s="17" t="n">
        <v>14</v>
      </c>
      <c r="M1819" s="17" t="n">
        <v>14</v>
      </c>
      <c r="N1819" s="17" t="n">
        <v>0</v>
      </c>
      <c r="O1819" s="15" t="inlineStr">
        <is>
          <t>Final issue (ipoplatform)</t>
        </is>
      </c>
      <c r="P1819" s="15" t="n"/>
      <c r="Q1819" s="18" t="inlineStr">
        <is>
          <t>https://www.sebi.gov.in/sebi_data/attachdocs/1294647959859.pdf</t>
        </is>
      </c>
      <c r="R1819" s="18" t="inlineStr">
        <is>
          <t>https://www.sebi.gov.in/filings/public-issues/jul-2007/aishwarya-telecom-limited_14213.html</t>
        </is>
      </c>
      <c r="S1819" s="15" t="n"/>
      <c r="T1819" s="15" t="inlineStr">
        <is>
          <t>SEBI filing link</t>
        </is>
      </c>
      <c r="U1819" s="15" t="inlineStr">
        <is>
          <t>Aishwarya Telecom Limited</t>
        </is>
      </c>
      <c r="V1819" s="15" t="n"/>
      <c r="W1819" s="15" t="n"/>
      <c r="X1819" s="15" t="n"/>
      <c r="Y1819" s="15" t="n"/>
      <c r="Z1819" s="15" t="n"/>
      <c r="AA1819" s="15" t="n"/>
      <c r="AB1819" s="15" t="n"/>
    </row>
    <row r="1820" ht="15" customHeight="1" s="12">
      <c r="A1820" s="14" t="n">
        <v>1819</v>
      </c>
      <c r="B1820" s="16" t="n">
        <v>39281</v>
      </c>
      <c r="C1820" s="15" t="n">
        <v>2007</v>
      </c>
      <c r="D1820" s="15" t="inlineStr">
        <is>
          <t>Omnitech Infosolutions Limited</t>
        </is>
      </c>
      <c r="E1820" s="15" t="inlineStr">
        <is>
          <t>Corrigendum</t>
        </is>
      </c>
      <c r="F1820" s="15" t="inlineStr">
        <is>
          <t>Omnitech Infosolutions Limited - Corrigendum</t>
        </is>
      </c>
      <c r="G1820" s="15" t="inlineStr">
        <is>
          <t>No launched IPO found</t>
        </is>
      </c>
      <c r="H1820" s="15" t="n"/>
      <c r="I1820" s="16" t="n"/>
      <c r="J1820" s="16" t="n"/>
      <c r="K1820" s="16" t="n"/>
      <c r="L1820" s="17" t="n"/>
      <c r="M1820" s="17" t="n"/>
      <c r="N1820" s="17" t="n"/>
      <c r="O1820" s="15" t="n"/>
      <c r="P1820" s="15" t="n"/>
      <c r="Q1820" s="18" t="inlineStr">
        <is>
          <t>https://www.sebi.gov.in/sebi_data/attachdocs/1294648189430.pdf</t>
        </is>
      </c>
      <c r="R1820" s="18" t="inlineStr">
        <is>
          <t>https://www.sebi.gov.in/filings/public-issues/jul-2007/omnitech-infosolutions-limited-corrigendum_14214.html</t>
        </is>
      </c>
      <c r="S1820" s="15" t="n"/>
      <c r="T1820" s="15" t="n"/>
      <c r="U1820" s="15" t="n"/>
      <c r="V1820" s="15" t="n"/>
      <c r="W1820" s="19" t="n">
        <v>39282</v>
      </c>
      <c r="X1820" s="19" t="n">
        <v>39288</v>
      </c>
      <c r="Y1820" s="19" t="n"/>
      <c r="Z1820" s="20" t="inlineStr">
        <is>
          <t>Issue opened</t>
        </is>
      </c>
      <c r="AA1820" s="15" t="inlineStr">
        <is>
          <t>Matched on chittorgarh.com</t>
        </is>
      </c>
      <c r="AB1820" s="18" t="inlineStr">
        <is>
          <t>https://www.chittorgarh.com/ipo/omnitech_ipo/103/</t>
        </is>
      </c>
    </row>
    <row r="1821" ht="15" customHeight="1" s="12">
      <c r="A1821" s="14" t="n">
        <v>1820</v>
      </c>
      <c r="B1821" s="16" t="n">
        <v>39280</v>
      </c>
      <c r="C1821" s="15" t="n">
        <v>2007</v>
      </c>
      <c r="D1821" s="15" t="inlineStr">
        <is>
          <t>RNS Infrastructure Limited</t>
        </is>
      </c>
      <c r="E1821" s="15" t="inlineStr">
        <is>
          <t>DRHP</t>
        </is>
      </c>
      <c r="F1821" s="15" t="inlineStr">
        <is>
          <t>RNS Infrastructure Limited</t>
        </is>
      </c>
      <c r="G1821" s="15" t="inlineStr">
        <is>
          <t>No launched IPO found</t>
        </is>
      </c>
      <c r="H1821" s="15" t="n"/>
      <c r="I1821" s="16" t="n"/>
      <c r="J1821" s="16" t="n"/>
      <c r="K1821" s="16" t="n"/>
      <c r="L1821" s="17" t="n"/>
      <c r="M1821" s="17" t="n"/>
      <c r="N1821" s="17" t="n"/>
      <c r="O1821" s="15" t="n"/>
      <c r="P1821" s="15" t="n"/>
      <c r="Q1821" s="18" t="inlineStr">
        <is>
          <t>https://www.sebi.gov.in/sebi_data/attachdocs/1294648791027.pdf</t>
        </is>
      </c>
      <c r="R1821" s="18" t="inlineStr">
        <is>
          <t>https://www.sebi.gov.in/filings/public-issues/jul-2007/rns-infrastructure-limited_14216.html</t>
        </is>
      </c>
      <c r="S1821" s="15" t="n"/>
      <c r="T1821" s="15" t="n"/>
      <c r="U1821" s="15" t="n"/>
      <c r="V1821" s="15" t="n"/>
      <c r="W1821" s="16" t="n"/>
      <c r="X1821" s="16" t="n"/>
      <c r="Y1821" s="16" t="n"/>
      <c r="Z1821" s="15" t="inlineStr">
        <is>
          <t>No issue found</t>
        </is>
      </c>
      <c r="AA1821" s="15" t="inlineStr">
        <is>
          <t>2.17cr-share IPO never opened; company remains unlisted</t>
        </is>
      </c>
      <c r="AB1821" s="18" t="inlineStr">
        <is>
          <t>https://www.tofler.in/rns-infrastructure-limited/company/U74210KA2003PLC032362</t>
        </is>
      </c>
    </row>
    <row r="1822" ht="15" customHeight="1" s="12">
      <c r="A1822" s="14" t="n">
        <v>1821</v>
      </c>
      <c r="B1822" s="16" t="n">
        <v>39276</v>
      </c>
      <c r="C1822" s="15" t="n">
        <v>2007</v>
      </c>
      <c r="D1822" s="15" t="inlineStr">
        <is>
          <t>Precision Pipes and Profiles company Limited</t>
        </is>
      </c>
      <c r="E1822" s="15" t="inlineStr">
        <is>
          <t>DRHP</t>
        </is>
      </c>
      <c r="F1822" s="15" t="inlineStr">
        <is>
          <t>Precision Pipes and Profiles company Limited</t>
        </is>
      </c>
      <c r="G1822" s="15" t="inlineStr">
        <is>
          <t>IPO launched</t>
        </is>
      </c>
      <c r="H1822" s="15" t="inlineStr">
        <is>
          <t>Mainboard</t>
        </is>
      </c>
      <c r="I1822" s="16" t="n">
        <v>39433</v>
      </c>
      <c r="J1822" s="16" t="n">
        <v>39436</v>
      </c>
      <c r="K1822" s="16" t="n">
        <v>39458</v>
      </c>
      <c r="L1822" s="17" t="n">
        <v>75</v>
      </c>
      <c r="M1822" s="17" t="n">
        <v>75</v>
      </c>
      <c r="N1822" s="17" t="n">
        <v>0</v>
      </c>
      <c r="O1822" s="15" t="inlineStr">
        <is>
          <t>Final issue (ipoplatform)</t>
        </is>
      </c>
      <c r="P1822" s="15" t="n"/>
      <c r="Q1822" s="18" t="inlineStr">
        <is>
          <t>https://www.sebi.gov.in/sebi_data/attachdocs/1294649683749.pdf</t>
        </is>
      </c>
      <c r="R1822" s="18" t="inlineStr">
        <is>
          <t>https://www.sebi.gov.in/filings/public-issues/jul-2007/precision-pipes-and-profiles-company-limited_14218.html</t>
        </is>
      </c>
      <c r="S1822" s="15" t="n"/>
      <c r="T1822" s="15" t="inlineStr">
        <is>
          <t>SEBI filing link</t>
        </is>
      </c>
      <c r="U1822" s="15" t="inlineStr">
        <is>
          <t>PPAP Automotive Limited (Precision Pipes and Profiles Company Limited)</t>
        </is>
      </c>
      <c r="V1822" s="15" t="n"/>
      <c r="W1822" s="15" t="n"/>
      <c r="X1822" s="15" t="n"/>
      <c r="Y1822" s="15" t="n"/>
      <c r="Z1822" s="15" t="n"/>
      <c r="AA1822" s="15" t="n"/>
      <c r="AB1822" s="15" t="n"/>
    </row>
    <row r="1823" ht="15" customHeight="1" s="12">
      <c r="A1823" s="14" t="n">
        <v>1822</v>
      </c>
      <c r="B1823" s="16" t="n">
        <v>39275</v>
      </c>
      <c r="C1823" s="15" t="n">
        <v>2007</v>
      </c>
      <c r="D1823" s="15" t="inlineStr">
        <is>
          <t>Midvalley Entertainment Limited</t>
        </is>
      </c>
      <c r="E1823" s="15" t="inlineStr">
        <is>
          <t>DRHP</t>
        </is>
      </c>
      <c r="F1823" s="15" t="inlineStr">
        <is>
          <t>Midvalley Entertainment Limited</t>
        </is>
      </c>
      <c r="G1823" s="15" t="inlineStr">
        <is>
          <t>No launched IPO found</t>
        </is>
      </c>
      <c r="H1823" s="15" t="n"/>
      <c r="I1823" s="16" t="n"/>
      <c r="J1823" s="16" t="n"/>
      <c r="K1823" s="16" t="n"/>
      <c r="L1823" s="17" t="n"/>
      <c r="M1823" s="17" t="n"/>
      <c r="N1823" s="17" t="n"/>
      <c r="O1823" s="15" t="n"/>
      <c r="P1823" s="15" t="n"/>
      <c r="Q1823" s="18" t="inlineStr">
        <is>
          <t>https://www.sebi.gov.in/sebi_data/attachdocs/1294650118212.pdf</t>
        </is>
      </c>
      <c r="R1823" s="18" t="inlineStr">
        <is>
          <t>https://www.sebi.gov.in/filings/public-issues/jul-2007/midvalley-entertainment-limited_14219.html</t>
        </is>
      </c>
      <c r="S1823" s="15" t="n"/>
      <c r="T1823" s="15" t="n"/>
      <c r="U1823" s="15" t="n"/>
      <c r="V1823" s="15" t="n"/>
      <c r="W1823" s="25" t="n">
        <v>40553</v>
      </c>
      <c r="X1823" s="25" t="n">
        <v>40555</v>
      </c>
      <c r="Y1823" s="25" t="n">
        <v>40570</v>
      </c>
      <c r="Z1823" s="26" t="inlineStr">
        <is>
          <t>Later IPO — not from this draft</t>
        </is>
      </c>
      <c r="AA1823" s="15" t="inlineStr">
        <is>
          <t>Opened over 3 years after last_filed (2007).</t>
        </is>
      </c>
      <c r="AB1823" s="18" t="inlineStr">
        <is>
          <t>https://www.chittorgarh.com/ipo/x/291/</t>
        </is>
      </c>
    </row>
    <row r="1824" ht="15" customHeight="1" s="12">
      <c r="A1824" s="14" t="n">
        <v>1823</v>
      </c>
      <c r="B1824" s="16" t="n">
        <v>39273</v>
      </c>
      <c r="C1824" s="15" t="n">
        <v>2007</v>
      </c>
      <c r="D1824" s="15" t="inlineStr">
        <is>
          <t>Renaissance Jewellery Limited</t>
        </is>
      </c>
      <c r="E1824" s="15" t="inlineStr">
        <is>
          <t>DRHP</t>
        </is>
      </c>
      <c r="F1824" s="15" t="inlineStr">
        <is>
          <t>Renaissance Jewellery Limited</t>
        </is>
      </c>
      <c r="G1824" s="15" t="inlineStr">
        <is>
          <t>IPO launched</t>
        </is>
      </c>
      <c r="H1824" s="15" t="inlineStr">
        <is>
          <t>Mainboard</t>
        </is>
      </c>
      <c r="I1824" s="16" t="n">
        <v>39405</v>
      </c>
      <c r="J1824" s="16" t="n">
        <v>39407</v>
      </c>
      <c r="K1824" s="16" t="n">
        <v>39428</v>
      </c>
      <c r="L1824" s="17" t="n">
        <v>79.86</v>
      </c>
      <c r="M1824" s="17" t="n">
        <v>79.86</v>
      </c>
      <c r="N1824" s="17" t="n">
        <v>0</v>
      </c>
      <c r="O1824" s="15" t="inlineStr">
        <is>
          <t>Final issue (ipoplatform)</t>
        </is>
      </c>
      <c r="P1824" s="15" t="n"/>
      <c r="Q1824" s="18" t="inlineStr">
        <is>
          <t>https://www.sebi.gov.in/sebi_data/attachdocs/1294650467382.pdf</t>
        </is>
      </c>
      <c r="R1824" s="18" t="inlineStr">
        <is>
          <t>https://www.sebi.gov.in/filings/public-issues/jul-2007/renaissance-jewellery-limited_14220.html</t>
        </is>
      </c>
      <c r="S1824" s="15" t="n"/>
      <c r="T1824" s="15" t="inlineStr">
        <is>
          <t>Company name + date window</t>
        </is>
      </c>
      <c r="U1824" s="15" t="inlineStr">
        <is>
          <t>Renaissance Jewellery Limited</t>
        </is>
      </c>
      <c r="V1824" s="15" t="n"/>
      <c r="W1824" s="15" t="n"/>
      <c r="X1824" s="15" t="n"/>
      <c r="Y1824" s="15" t="n"/>
      <c r="Z1824" s="15" t="n"/>
      <c r="AA1824" s="15" t="n"/>
      <c r="AB1824" s="15" t="n"/>
    </row>
    <row r="1825" ht="15" customHeight="1" s="12">
      <c r="A1825" s="14" t="n">
        <v>1824</v>
      </c>
      <c r="B1825" s="16" t="n">
        <v>39273</v>
      </c>
      <c r="C1825" s="15" t="n">
        <v>2007</v>
      </c>
      <c r="D1825" s="15" t="inlineStr">
        <is>
          <t>Everon Systems India Limited</t>
        </is>
      </c>
      <c r="E1825" s="15" t="inlineStr">
        <is>
          <t>Addendum</t>
        </is>
      </c>
      <c r="F1825" s="15" t="inlineStr">
        <is>
          <t>Everon Systems India Limited - Addendum</t>
        </is>
      </c>
      <c r="G1825" s="15" t="inlineStr">
        <is>
          <t>No launched IPO found</t>
        </is>
      </c>
      <c r="H1825" s="15" t="n"/>
      <c r="I1825" s="16" t="n"/>
      <c r="J1825" s="16" t="n"/>
      <c r="K1825" s="16" t="n"/>
      <c r="L1825" s="17" t="n"/>
      <c r="M1825" s="17" t="n"/>
      <c r="N1825" s="17" t="n"/>
      <c r="O1825" s="15" t="n"/>
      <c r="P1825" s="15" t="n"/>
      <c r="Q1825" s="18" t="inlineStr">
        <is>
          <t>https://www.sebi.gov.in/sebi_data/attachdocs/1291796125918.pdf</t>
        </is>
      </c>
      <c r="R1825" s="18" t="inlineStr">
        <is>
          <t>https://www.sebi.gov.in/filings/public-issues/jul-2007/everon-systems-india-limited-addendum_8797.html</t>
        </is>
      </c>
      <c r="S1825" s="15" t="n"/>
      <c r="T1825" s="15" t="n"/>
      <c r="U1825" s="15" t="n"/>
      <c r="V1825" s="15" t="n"/>
      <c r="W1825" s="16" t="n"/>
      <c r="X1825" s="16" t="n"/>
      <c r="Y1825" s="16" t="n"/>
      <c r="Z1825" s="15" t="inlineStr">
        <is>
          <t>No issue found</t>
        </is>
      </c>
      <c r="AA1825" s="15" t="inlineStr">
        <is>
          <t>IPO opened 2007-07-05, before first_filed 2007-07-10.</t>
        </is>
      </c>
      <c r="AB1825" s="18" t="inlineStr">
        <is>
          <t>https://www.chittorgarh.com/ipo/x/98/</t>
        </is>
      </c>
    </row>
    <row r="1826" ht="15" customHeight="1" s="12">
      <c r="A1826" s="14" t="n">
        <v>1825</v>
      </c>
      <c r="B1826" s="16" t="n">
        <v>39273</v>
      </c>
      <c r="C1826" s="15" t="n">
        <v>2007</v>
      </c>
      <c r="D1826" s="15" t="inlineStr">
        <is>
          <t>Everon Systems India Ltd</t>
        </is>
      </c>
      <c r="E1826" s="15" t="inlineStr">
        <is>
          <t>Notice</t>
        </is>
      </c>
      <c r="F1826" s="15" t="inlineStr">
        <is>
          <t>Everon Systems India Ltd - Notice to Investors</t>
        </is>
      </c>
      <c r="G1826" s="15" t="inlineStr">
        <is>
          <t>No launched IPO found</t>
        </is>
      </c>
      <c r="H1826" s="15" t="n"/>
      <c r="I1826" s="16" t="n"/>
      <c r="J1826" s="16" t="n"/>
      <c r="K1826" s="16" t="n"/>
      <c r="L1826" s="17" t="n"/>
      <c r="M1826" s="17" t="n"/>
      <c r="N1826" s="17" t="n"/>
      <c r="O1826" s="15" t="n"/>
      <c r="P1826" s="15" t="n"/>
      <c r="Q1826" s="18" t="inlineStr">
        <is>
          <t>https://www.sebi.gov.in/sebi_data/attachdocs/1291796238625.pdf</t>
        </is>
      </c>
      <c r="R1826" s="18" t="inlineStr">
        <is>
          <t>https://www.sebi.gov.in/filings/public-issues/jul-2007/everon-systems-india-ltd-notice-to-investors_8798.html</t>
        </is>
      </c>
      <c r="S1826" s="15" t="n"/>
      <c r="T1826" s="15" t="n"/>
      <c r="U1826" s="15" t="n"/>
      <c r="V1826" s="15" t="n"/>
      <c r="W1826" s="16" t="n"/>
      <c r="X1826" s="16" t="n"/>
      <c r="Y1826" s="16" t="n"/>
      <c r="Z1826" s="15" t="inlineStr">
        <is>
          <t>No issue found</t>
        </is>
      </c>
      <c r="AA1826" s="15" t="inlineStr">
        <is>
          <t>IPO opened 2007-07-05, before first_filed 2007-07-10.</t>
        </is>
      </c>
      <c r="AB1826" s="18" t="inlineStr">
        <is>
          <t>https://www.chittorgarh.com/ipo/x/98/</t>
        </is>
      </c>
    </row>
    <row r="1827" ht="15" customHeight="1" s="12">
      <c r="A1827" s="14" t="n">
        <v>1826</v>
      </c>
      <c r="B1827" s="16" t="n">
        <v>39272</v>
      </c>
      <c r="C1827" s="15" t="n">
        <v>2007</v>
      </c>
      <c r="D1827" s="15" t="inlineStr">
        <is>
          <t>Ramsarup Lohh Udyog Limited</t>
        </is>
      </c>
      <c r="E1827" s="15" t="inlineStr">
        <is>
          <t>DRHP</t>
        </is>
      </c>
      <c r="F1827" s="15" t="inlineStr">
        <is>
          <t>Ramsarup Lohh Udyog Limited</t>
        </is>
      </c>
      <c r="G1827" s="15" t="inlineStr">
        <is>
          <t>No launched IPO found</t>
        </is>
      </c>
      <c r="H1827" s="15" t="n"/>
      <c r="I1827" s="16" t="n"/>
      <c r="J1827" s="16" t="n"/>
      <c r="K1827" s="16" t="n"/>
      <c r="L1827" s="17" t="n"/>
      <c r="M1827" s="17" t="n"/>
      <c r="N1827" s="17" t="n"/>
      <c r="O1827" s="15" t="n"/>
      <c r="P1827" s="15" t="n"/>
      <c r="Q1827" s="18" t="inlineStr">
        <is>
          <t>https://www.sebi.gov.in/sebi_data/attachdocs/1291795999928.pdf</t>
        </is>
      </c>
      <c r="R1827" s="18" t="inlineStr">
        <is>
          <t>https://www.sebi.gov.in/filings/public-issues/jul-2007/ramsarup-lohh-udyog-limited_8796.html</t>
        </is>
      </c>
      <c r="S1827" s="15" t="n"/>
      <c r="T1827" s="15" t="n"/>
      <c r="U1827" s="15" t="n"/>
      <c r="V1827" s="15" t="n"/>
      <c r="W1827" s="16" t="n"/>
      <c r="X1827" s="16" t="n"/>
      <c r="Y1827" s="16" t="n"/>
      <c r="Z1827" s="15" t="inlineStr">
        <is>
          <t>No issue found</t>
        </is>
      </c>
      <c r="AA1827" s="15" t="inlineStr">
        <is>
          <t>Business Standard lists the company but shows no issue dates; web search limit reached</t>
        </is>
      </c>
      <c r="AB1827" s="18" t="inlineStr">
        <is>
          <t>https://www.business-standard.com/markets/ipo/ramsarup-lohh-udyog-ltd-merged-ipo-28156</t>
        </is>
      </c>
    </row>
    <row r="1828" ht="15" customHeight="1" s="12">
      <c r="A1828" s="14" t="n">
        <v>1827</v>
      </c>
      <c r="B1828" s="16" t="n">
        <v>39266</v>
      </c>
      <c r="C1828" s="15" t="n">
        <v>2007</v>
      </c>
      <c r="D1828" s="15" t="inlineStr">
        <is>
          <t>Religare Enterprises Limited</t>
        </is>
      </c>
      <c r="E1828" s="15" t="inlineStr">
        <is>
          <t>DRHP</t>
        </is>
      </c>
      <c r="F1828" s="15" t="inlineStr">
        <is>
          <t>Religare Enterprises Limited</t>
        </is>
      </c>
      <c r="G1828" s="15" t="inlineStr">
        <is>
          <t>IPO launched</t>
        </is>
      </c>
      <c r="H1828" s="15" t="inlineStr">
        <is>
          <t>Mainboard</t>
        </is>
      </c>
      <c r="I1828" s="16" t="n">
        <v>39384</v>
      </c>
      <c r="J1828" s="16" t="n">
        <v>39387</v>
      </c>
      <c r="K1828" s="16" t="n">
        <v>39407</v>
      </c>
      <c r="L1828" s="17" t="n">
        <v>140.16</v>
      </c>
      <c r="M1828" s="17" t="n">
        <v>140.16</v>
      </c>
      <c r="N1828" s="17" t="n">
        <v>0</v>
      </c>
      <c r="O1828" s="15" t="inlineStr">
        <is>
          <t>Final issue (ipoplatform)</t>
        </is>
      </c>
      <c r="P1828" s="15" t="n"/>
      <c r="Q1828" s="18" t="inlineStr">
        <is>
          <t>https://www.sebi.gov.in/sebi_data/attachdocs/1291795558847.pdf</t>
        </is>
      </c>
      <c r="R1828" s="18" t="inlineStr">
        <is>
          <t>https://www.sebi.gov.in/filings/public-issues/jul-2007/religare-enterprises-limited_8794.html</t>
        </is>
      </c>
      <c r="S1828" s="15" t="n"/>
      <c r="T1828" s="15" t="inlineStr">
        <is>
          <t>SEBI filing link</t>
        </is>
      </c>
      <c r="U1828" s="15" t="inlineStr">
        <is>
          <t>Religare Enterprises Limited</t>
        </is>
      </c>
      <c r="V1828" s="15" t="n"/>
      <c r="W1828" s="15" t="n"/>
      <c r="X1828" s="15" t="n"/>
      <c r="Y1828" s="15" t="n"/>
      <c r="Z1828" s="15" t="n"/>
      <c r="AA1828" s="15" t="n"/>
      <c r="AB1828" s="15" t="n"/>
    </row>
    <row r="1829" ht="15" customHeight="1" s="12">
      <c r="A1829" s="14" t="n">
        <v>1828</v>
      </c>
      <c r="B1829" s="16" t="n">
        <v>39266</v>
      </c>
      <c r="C1829" s="15" t="n">
        <v>2007</v>
      </c>
      <c r="D1829" s="15" t="inlineStr">
        <is>
          <t>Varun Industries Limited</t>
        </is>
      </c>
      <c r="E1829" s="15" t="inlineStr">
        <is>
          <t>DRHP</t>
        </is>
      </c>
      <c r="F1829" s="15" t="inlineStr">
        <is>
          <t>Varun Industries Limited</t>
        </is>
      </c>
      <c r="G1829" s="15" t="inlineStr">
        <is>
          <t>No launched IPO found</t>
        </is>
      </c>
      <c r="H1829" s="15" t="n"/>
      <c r="I1829" s="16" t="n"/>
      <c r="J1829" s="16" t="n"/>
      <c r="K1829" s="16" t="n"/>
      <c r="L1829" s="17" t="n"/>
      <c r="M1829" s="17" t="n"/>
      <c r="N1829" s="17" t="n"/>
      <c r="O1829" s="15" t="n"/>
      <c r="P1829" s="15" t="n"/>
      <c r="Q1829" s="18" t="inlineStr">
        <is>
          <t>https://www.sebi.gov.in/sebi_data/attachdocs/1291795213506.pdf</t>
        </is>
      </c>
      <c r="R1829" s="18" t="inlineStr">
        <is>
          <t>https://www.sebi.gov.in/filings/public-issues/jul-2007/varun-industries-limited_8792.html</t>
        </is>
      </c>
      <c r="S1829" s="15" t="n"/>
      <c r="T1829" s="15" t="n"/>
      <c r="U1829" s="15" t="n"/>
      <c r="V1829" s="15" t="n"/>
      <c r="W1829" s="19" t="n">
        <v>39380</v>
      </c>
      <c r="X1829" s="19" t="n">
        <v>39386</v>
      </c>
      <c r="Y1829" s="19" t="n"/>
      <c r="Z1829" s="20" t="inlineStr">
        <is>
          <t>Issue opened</t>
        </is>
      </c>
      <c r="AA1829" s="15" t="inlineStr">
        <is>
          <t>Matched on chittorgarh.com</t>
        </is>
      </c>
      <c r="AB1829" s="18" t="inlineStr">
        <is>
          <t>https://www.chittorgarh.com/ipo/varun_industries_ipo/133/</t>
        </is>
      </c>
    </row>
    <row r="1830" ht="15" customHeight="1" s="12">
      <c r="A1830" s="14" t="n">
        <v>1829</v>
      </c>
      <c r="B1830" s="16" t="n">
        <v>39262</v>
      </c>
      <c r="C1830" s="15" t="n">
        <v>2007</v>
      </c>
      <c r="D1830" s="15" t="inlineStr">
        <is>
          <t>Jyothy Laboratories Limited</t>
        </is>
      </c>
      <c r="E1830" s="15" t="inlineStr">
        <is>
          <t>DRHP</t>
        </is>
      </c>
      <c r="F1830" s="15" t="inlineStr">
        <is>
          <t>Jyothy Laboratories Limited</t>
        </is>
      </c>
      <c r="G1830" s="15" t="inlineStr">
        <is>
          <t>IPO launched</t>
        </is>
      </c>
      <c r="H1830" s="15" t="inlineStr">
        <is>
          <t>Mainboard</t>
        </is>
      </c>
      <c r="I1830" s="16" t="n">
        <v>39408</v>
      </c>
      <c r="J1830" s="16" t="n">
        <v>39413</v>
      </c>
      <c r="K1830" s="16" t="n">
        <v>39435</v>
      </c>
      <c r="L1830" s="17" t="n">
        <v>305.69</v>
      </c>
      <c r="M1830" s="17" t="n">
        <v>305.69</v>
      </c>
      <c r="N1830" s="17" t="n">
        <v>0</v>
      </c>
      <c r="O1830" s="15" t="inlineStr">
        <is>
          <t>Final issue (ipoplatform)</t>
        </is>
      </c>
      <c r="P1830" s="15" t="n"/>
      <c r="Q1830" s="18" t="inlineStr">
        <is>
          <t>https://www.sebi.gov.in/sebi_data/attachdocs/1293525045169.pdf</t>
        </is>
      </c>
      <c r="R1830" s="18" t="inlineStr">
        <is>
          <t>https://www.sebi.gov.in/filings/public-issues/jun-2007/jyothy-laboratories-limited_13610.html</t>
        </is>
      </c>
      <c r="S1830" s="15" t="n"/>
      <c r="T1830" s="15" t="inlineStr">
        <is>
          <t>SEBI filing link</t>
        </is>
      </c>
      <c r="U1830" s="15" t="inlineStr">
        <is>
          <t>Jyothi Laboratories Limited</t>
        </is>
      </c>
      <c r="V1830" s="15" t="n"/>
      <c r="W1830" s="15" t="n"/>
      <c r="X1830" s="15" t="n"/>
      <c r="Y1830" s="15" t="n"/>
      <c r="Z1830" s="15" t="n"/>
      <c r="AA1830" s="15" t="n"/>
      <c r="AB1830" s="15" t="n"/>
    </row>
    <row r="1831" ht="15" customHeight="1" s="12">
      <c r="A1831" s="14" t="n">
        <v>1830</v>
      </c>
      <c r="B1831" s="16" t="n">
        <v>39262</v>
      </c>
      <c r="C1831" s="15" t="n">
        <v>2007</v>
      </c>
      <c r="D1831" s="15" t="inlineStr">
        <is>
          <t>Kamayani Patientscare India Limited</t>
        </is>
      </c>
      <c r="E1831" s="15" t="inlineStr">
        <is>
          <t>DRHP</t>
        </is>
      </c>
      <c r="F1831" s="15" t="inlineStr">
        <is>
          <t>Kamayani Patientscare India Limited</t>
        </is>
      </c>
      <c r="G1831" s="15" t="inlineStr">
        <is>
          <t>No launched IPO found</t>
        </is>
      </c>
      <c r="H1831" s="15" t="n"/>
      <c r="I1831" s="16" t="n"/>
      <c r="J1831" s="16" t="n"/>
      <c r="K1831" s="16" t="n"/>
      <c r="L1831" s="17" t="n"/>
      <c r="M1831" s="17" t="n"/>
      <c r="N1831" s="17" t="n"/>
      <c r="O1831" s="15" t="n"/>
      <c r="P1831" s="15" t="n"/>
      <c r="Q1831" s="18" t="inlineStr">
        <is>
          <t>https://www.sebi.gov.in/sebi_data/attachdocs/1291868375915.pdf</t>
        </is>
      </c>
      <c r="R1831" s="18" t="inlineStr">
        <is>
          <t>https://www.sebi.gov.in/filings/public-issues/jun-2007/kamayani-patientscare-india-limited_9055.html</t>
        </is>
      </c>
      <c r="S1831" s="15" t="n"/>
      <c r="T1831" s="15" t="n"/>
      <c r="U1831" s="15" t="n"/>
      <c r="V1831" s="15" t="n"/>
      <c r="W1831" s="16" t="n"/>
      <c r="X1831" s="16" t="n"/>
      <c r="Y1831" s="16" t="n"/>
      <c r="Z1831" s="15" t="inlineStr">
        <is>
          <t>No issue found</t>
        </is>
      </c>
      <c r="AA1831" s="15" t="inlineStr">
        <is>
          <t>Agra hospital; draft prospectus (Rs19.57cr at Rs19) but IPO cancelled per PitchBook; unlisted</t>
        </is>
      </c>
      <c r="AB1831" s="18" t="inlineStr">
        <is>
          <t>https://pitchbook.com/profiles/company/152699-32</t>
        </is>
      </c>
    </row>
    <row r="1832" ht="15" customHeight="1" s="12">
      <c r="A1832" s="14" t="n">
        <v>1831</v>
      </c>
      <c r="B1832" s="16" t="n">
        <v>39260</v>
      </c>
      <c r="C1832" s="15" t="n">
        <v>2007</v>
      </c>
      <c r="D1832" s="15" t="inlineStr">
        <is>
          <t>Spice Communications Limited</t>
        </is>
      </c>
      <c r="E1832" s="15" t="inlineStr">
        <is>
          <t>Notice</t>
        </is>
      </c>
      <c r="F1832" s="15" t="inlineStr">
        <is>
          <t>Spice Communications Limited - Public Notice</t>
        </is>
      </c>
      <c r="G1832" s="15" t="inlineStr">
        <is>
          <t>No launched IPO found</t>
        </is>
      </c>
      <c r="H1832" s="15" t="n"/>
      <c r="I1832" s="16" t="n"/>
      <c r="J1832" s="16" t="n"/>
      <c r="K1832" s="16" t="n"/>
      <c r="L1832" s="17" t="n"/>
      <c r="M1832" s="17" t="n"/>
      <c r="N1832" s="17" t="n"/>
      <c r="O1832" s="15" t="n"/>
      <c r="P1832" s="15" t="n"/>
      <c r="Q1832" s="18" t="inlineStr">
        <is>
          <t>https://www.sebi.gov.in/sebi_data/attachdocs/1291868082798.pdf</t>
        </is>
      </c>
      <c r="R1832" s="18" t="inlineStr">
        <is>
          <t>https://www.sebi.gov.in/filings/public-issues/jun-2007/spice-communications-limited-public-notice_9053.html</t>
        </is>
      </c>
      <c r="S1832" s="15" t="n"/>
      <c r="T1832" s="15" t="n"/>
      <c r="U1832" s="15" t="n"/>
      <c r="V1832" s="15" t="n"/>
      <c r="W1832" s="16" t="n"/>
      <c r="X1832" s="16" t="n"/>
      <c r="Y1832" s="16" t="n"/>
      <c r="Z1832" s="15" t="inlineStr">
        <is>
          <t>No issue found</t>
        </is>
      </c>
      <c r="AA1832" s="15" t="inlineStr">
        <is>
          <t>IPO opened 2007-06-25, before first_filed 2007-06-27.</t>
        </is>
      </c>
      <c r="AB1832" s="18" t="inlineStr">
        <is>
          <t>https://www.chittorgarh.com/ipo/x/96/</t>
        </is>
      </c>
    </row>
    <row r="1833" ht="15" customHeight="1" s="12">
      <c r="A1833" s="14" t="n">
        <v>1832</v>
      </c>
      <c r="B1833" s="16" t="n">
        <v>39237</v>
      </c>
      <c r="C1833" s="15" t="n">
        <v>2007</v>
      </c>
      <c r="D1833" s="15" t="inlineStr">
        <is>
          <t>Consolidated Construction Consortium Limited</t>
        </is>
      </c>
      <c r="E1833" s="15" t="inlineStr">
        <is>
          <t>DRHP</t>
        </is>
      </c>
      <c r="F1833" s="15" t="inlineStr">
        <is>
          <t>Consolidated Construction Consortium Limited</t>
        </is>
      </c>
      <c r="G1833" s="15" t="inlineStr">
        <is>
          <t>IPO launched</t>
        </is>
      </c>
      <c r="H1833" s="15" t="inlineStr">
        <is>
          <t>Mainboard</t>
        </is>
      </c>
      <c r="I1833" s="16" t="n">
        <v>39343</v>
      </c>
      <c r="J1833" s="16" t="n">
        <v>39346</v>
      </c>
      <c r="K1833" s="16" t="n">
        <v>39370</v>
      </c>
      <c r="L1833" s="17" t="n">
        <v>188.7</v>
      </c>
      <c r="M1833" s="17" t="n">
        <v>188.7</v>
      </c>
      <c r="N1833" s="17" t="n">
        <v>0</v>
      </c>
      <c r="O1833" s="15" t="inlineStr">
        <is>
          <t>Final issue (ipoplatform)</t>
        </is>
      </c>
      <c r="P1833" s="15" t="n"/>
      <c r="Q1833" s="18" t="inlineStr">
        <is>
          <t>https://www.sebi.gov.in/sebi_data/attachdocs/1291867886736.pdf</t>
        </is>
      </c>
      <c r="R1833" s="18" t="inlineStr">
        <is>
          <t>https://www.sebi.gov.in/filings/public-issues/jun-2007/consolidated-construction-consortium-limited_9049.html</t>
        </is>
      </c>
      <c r="S1833" s="15" t="n"/>
      <c r="T1833" s="15" t="inlineStr">
        <is>
          <t>SEBI filing link</t>
        </is>
      </c>
      <c r="U1833" s="15" t="inlineStr">
        <is>
          <t>Consolidated Construction Consortium Limited</t>
        </is>
      </c>
      <c r="V1833" s="15" t="n"/>
      <c r="W1833" s="15" t="n"/>
      <c r="X1833" s="15" t="n"/>
      <c r="Y1833" s="15" t="n"/>
      <c r="Z1833" s="15" t="n"/>
      <c r="AA1833" s="15" t="n"/>
      <c r="AB1833" s="15" t="n"/>
    </row>
    <row r="1834" ht="15" customHeight="1" s="12">
      <c r="A1834" s="14" t="n">
        <v>1833</v>
      </c>
      <c r="B1834" s="16" t="n">
        <v>39224</v>
      </c>
      <c r="C1834" s="15" t="n">
        <v>2007</v>
      </c>
      <c r="D1834" s="15" t="inlineStr">
        <is>
          <t>Central Bank of India</t>
        </is>
      </c>
      <c r="E1834" s="15" t="inlineStr">
        <is>
          <t>DRHP</t>
        </is>
      </c>
      <c r="F1834" s="15" t="inlineStr">
        <is>
          <t>Central Bank of India</t>
        </is>
      </c>
      <c r="G1834" s="15" t="inlineStr">
        <is>
          <t>IPO launched</t>
        </is>
      </c>
      <c r="H1834" s="15" t="inlineStr">
        <is>
          <t>Mainboard</t>
        </is>
      </c>
      <c r="I1834" s="16" t="n">
        <v>39287</v>
      </c>
      <c r="J1834" s="16" t="n">
        <v>39290</v>
      </c>
      <c r="K1834" s="16" t="n">
        <v>39315</v>
      </c>
      <c r="L1834" s="17" t="n">
        <v>816</v>
      </c>
      <c r="M1834" s="17" t="n">
        <v>816</v>
      </c>
      <c r="N1834" s="17" t="n">
        <v>0</v>
      </c>
      <c r="O1834" s="15" t="inlineStr">
        <is>
          <t>Final issue (ipoplatform)</t>
        </is>
      </c>
      <c r="P1834" s="15" t="n"/>
      <c r="Q1834" s="18" t="inlineStr">
        <is>
          <t>https://www.sebi.gov.in/sebi_data/attachdocs/1291882729083.pdf</t>
        </is>
      </c>
      <c r="R1834" s="18" t="inlineStr">
        <is>
          <t>https://www.sebi.gov.in/filings/public-issues/may-2007/central-bank-of-india_9326.html</t>
        </is>
      </c>
      <c r="S1834" s="15" t="n"/>
      <c r="T1834" s="15" t="inlineStr">
        <is>
          <t>SEBI filing link</t>
        </is>
      </c>
      <c r="U1834" s="15" t="inlineStr">
        <is>
          <t>Central Bank of India</t>
        </is>
      </c>
      <c r="V1834" s="15" t="n"/>
      <c r="W1834" s="15" t="n"/>
      <c r="X1834" s="15" t="n"/>
      <c r="Y1834" s="15" t="n"/>
      <c r="Z1834" s="15" t="n"/>
      <c r="AA1834" s="15" t="n"/>
      <c r="AB1834" s="15" t="n"/>
    </row>
    <row r="1835" ht="15" customHeight="1" s="12">
      <c r="A1835" s="14" t="n">
        <v>1834</v>
      </c>
      <c r="B1835" s="16" t="n">
        <v>39224</v>
      </c>
      <c r="C1835" s="15" t="n">
        <v>2007</v>
      </c>
      <c r="D1835" s="15" t="inlineStr">
        <is>
          <t>Kiri Dyes and Chemcials Limited</t>
        </is>
      </c>
      <c r="E1835" s="15" t="inlineStr">
        <is>
          <t>DRHP</t>
        </is>
      </c>
      <c r="F1835" s="15" t="inlineStr">
        <is>
          <t>Kiri Dyes and Chemcials Limited</t>
        </is>
      </c>
      <c r="G1835" s="15" t="inlineStr">
        <is>
          <t>IPO launched</t>
        </is>
      </c>
      <c r="H1835" s="15" t="inlineStr">
        <is>
          <t>Mainboard</t>
        </is>
      </c>
      <c r="I1835" s="16" t="n">
        <v>39532</v>
      </c>
      <c r="J1835" s="16" t="n">
        <v>39540</v>
      </c>
      <c r="K1835" s="16" t="n">
        <v>39560</v>
      </c>
      <c r="L1835" s="17" t="n">
        <v>56.25</v>
      </c>
      <c r="M1835" s="17" t="n">
        <v>56.25</v>
      </c>
      <c r="N1835" s="17" t="n">
        <v>0</v>
      </c>
      <c r="O1835" s="15" t="inlineStr">
        <is>
          <t>Final issue (ipoplatform)</t>
        </is>
      </c>
      <c r="P1835" s="15" t="n"/>
      <c r="Q1835" s="18" t="inlineStr">
        <is>
          <t>https://www.sebi.gov.in/sebi_data/attachdocs/1291882513832.pdf</t>
        </is>
      </c>
      <c r="R1835" s="18" t="inlineStr">
        <is>
          <t>https://www.sebi.gov.in/filings/public-issues/may-2007/kiri-dyes-and-chemcials-limited_9324.html</t>
        </is>
      </c>
      <c r="S1835" s="15" t="n"/>
      <c r="T1835" s="15" t="inlineStr">
        <is>
          <t>Company name (close spelling) + date window</t>
        </is>
      </c>
      <c r="U1835" s="15" t="inlineStr">
        <is>
          <t>Kiri Dyes and Chemicals Limited</t>
        </is>
      </c>
      <c r="V1835" s="15" t="n"/>
      <c r="W1835" s="15" t="n"/>
      <c r="X1835" s="15" t="n"/>
      <c r="Y1835" s="15" t="n"/>
      <c r="Z1835" s="15" t="n"/>
      <c r="AA1835" s="15" t="n"/>
      <c r="AB1835" s="15" t="n"/>
    </row>
    <row r="1836" ht="15" customHeight="1" s="12">
      <c r="A1836" s="14" t="n">
        <v>1835</v>
      </c>
      <c r="B1836" s="16" t="n">
        <v>39218</v>
      </c>
      <c r="C1836" s="15" t="n">
        <v>2007</v>
      </c>
      <c r="D1836" s="15" t="inlineStr">
        <is>
          <t>ICICI Bank Limited</t>
        </is>
      </c>
      <c r="E1836" s="15" t="inlineStr">
        <is>
          <t>DRHP</t>
        </is>
      </c>
      <c r="F1836" s="15" t="inlineStr">
        <is>
          <t>ICICI Bank Limited</t>
        </is>
      </c>
      <c r="G1836" s="15" t="inlineStr">
        <is>
          <t>No launched IPO found</t>
        </is>
      </c>
      <c r="H1836" s="15" t="n"/>
      <c r="I1836" s="16" t="n"/>
      <c r="J1836" s="16" t="n"/>
      <c r="K1836" s="16" t="n"/>
      <c r="L1836" s="17" t="n"/>
      <c r="M1836" s="17" t="n"/>
      <c r="N1836" s="17" t="n"/>
      <c r="O1836" s="15" t="n"/>
      <c r="P1836" s="15" t="n"/>
      <c r="Q1836" s="18" t="inlineStr">
        <is>
          <t>https://www.sebi.gov.in/sebi_data/attachdocs/1291881856923.pdf</t>
        </is>
      </c>
      <c r="R1836" s="18" t="inlineStr">
        <is>
          <t>https://www.sebi.gov.in/filings/public-issues/may-2007/icici-bank-limited_9318.html</t>
        </is>
      </c>
      <c r="S1836" s="15" t="n"/>
      <c r="T1836" s="15" t="n"/>
      <c r="U1836" s="15" t="n"/>
      <c r="V1836" s="15" t="n"/>
      <c r="W1836" s="19" t="n">
        <v>39252</v>
      </c>
      <c r="X1836" s="19" t="n">
        <v>39255</v>
      </c>
      <c r="Y1836" s="19" t="n">
        <v>39269</v>
      </c>
      <c r="Z1836" s="20" t="inlineStr">
        <is>
          <t>Issue opened</t>
        </is>
      </c>
      <c r="AA1836" s="15" t="inlineStr">
        <is>
          <t>Business Standard IPO page</t>
        </is>
      </c>
      <c r="AB1836" s="18" t="inlineStr">
        <is>
          <t>https://www.business-standard.com/markets/ipo/icici-bank-ltd-ipo-5418</t>
        </is>
      </c>
    </row>
    <row r="1837" ht="15" customHeight="1" s="12">
      <c r="A1837" s="14" t="n">
        <v>1836</v>
      </c>
      <c r="B1837" s="16" t="n">
        <v>39212</v>
      </c>
      <c r="C1837" s="15" t="n">
        <v>2007</v>
      </c>
      <c r="D1837" s="15" t="inlineStr">
        <is>
          <t>Brahamputra Consortium Limited</t>
        </is>
      </c>
      <c r="E1837" s="15" t="inlineStr">
        <is>
          <t>DRHP</t>
        </is>
      </c>
      <c r="F1837" s="15" t="inlineStr">
        <is>
          <t>Brahamputra Consortium Limited</t>
        </is>
      </c>
      <c r="G1837" s="15" t="inlineStr">
        <is>
          <t>No launched IPO found</t>
        </is>
      </c>
      <c r="H1837" s="15" t="n"/>
      <c r="I1837" s="16" t="n"/>
      <c r="J1837" s="16" t="n"/>
      <c r="K1837" s="16" t="n"/>
      <c r="L1837" s="17" t="n"/>
      <c r="M1837" s="17" t="n"/>
      <c r="N1837" s="17" t="n"/>
      <c r="O1837" s="15" t="n"/>
      <c r="P1837" s="15" t="n"/>
      <c r="Q1837" s="18" t="inlineStr">
        <is>
          <t>https://www.sebi.gov.in/sebi_data/attachdocs/1291881395305.pdf</t>
        </is>
      </c>
      <c r="R1837" s="18" t="inlineStr">
        <is>
          <t>https://www.sebi.gov.in/filings/public-issues/may-2007/brahamputra-consortium-limited_9313.html</t>
        </is>
      </c>
      <c r="S1837" s="15" t="n"/>
      <c r="T1837" s="15" t="n"/>
      <c r="U1837" s="15" t="n"/>
      <c r="V1837" s="15" t="n"/>
      <c r="W1837" s="16" t="n"/>
      <c r="X1837" s="16" t="n"/>
      <c r="Y1837" s="16" t="n"/>
      <c r="Z1837" s="15" t="inlineStr">
        <is>
          <t>No issue found</t>
        </is>
      </c>
      <c r="AA1837" s="15" t="inlineStr">
        <is>
          <t>Renamed Brahmaputra Infrastructure; listed BSE Jun 2013 via merger with listed co, not a public issue</t>
        </is>
      </c>
      <c r="AB1837" s="18" t="inlineStr">
        <is>
          <t>https://www.goodreturns.in/company/brahmaputra-infrastructure/history.html</t>
        </is>
      </c>
    </row>
    <row r="1838" ht="15" customHeight="1" s="12">
      <c r="A1838" s="14" t="n">
        <v>1837</v>
      </c>
      <c r="B1838" s="16" t="n">
        <v>39206</v>
      </c>
      <c r="C1838" s="15" t="n">
        <v>2007</v>
      </c>
      <c r="D1838" s="15" t="inlineStr">
        <is>
          <t>Maytas Infra Limited</t>
        </is>
      </c>
      <c r="E1838" s="15" t="inlineStr">
        <is>
          <t>DRHP</t>
        </is>
      </c>
      <c r="F1838" s="15" t="inlineStr">
        <is>
          <t>Maytas Infra Limited</t>
        </is>
      </c>
      <c r="G1838" s="15" t="inlineStr">
        <is>
          <t>IPO launched</t>
        </is>
      </c>
      <c r="H1838" s="15" t="inlineStr">
        <is>
          <t>Mainboard</t>
        </is>
      </c>
      <c r="I1838" s="16" t="n">
        <v>39352</v>
      </c>
      <c r="J1838" s="16" t="n">
        <v>39359</v>
      </c>
      <c r="K1838" s="16" t="n">
        <v>39380</v>
      </c>
      <c r="L1838" s="17" t="n">
        <v>327.45</v>
      </c>
      <c r="M1838" s="17" t="n">
        <v>327.45</v>
      </c>
      <c r="N1838" s="17" t="n">
        <v>0</v>
      </c>
      <c r="O1838" s="15" t="inlineStr">
        <is>
          <t>Final issue (ipoplatform)</t>
        </is>
      </c>
      <c r="P1838" s="15" t="n"/>
      <c r="Q1838" s="18" t="inlineStr">
        <is>
          <t>https://www.sebi.gov.in/sebi_data/attachdocs/1291881109493.pdf</t>
        </is>
      </c>
      <c r="R1838" s="18" t="inlineStr">
        <is>
          <t>https://www.sebi.gov.in/filings/public-issues/may-2007/maytas-infra-limited_9310.html</t>
        </is>
      </c>
      <c r="S1838" s="15" t="n"/>
      <c r="T1838" s="15" t="inlineStr">
        <is>
          <t>SEBI filing link</t>
        </is>
      </c>
      <c r="U1838" s="15" t="inlineStr">
        <is>
          <t>Maytas Infra Limited</t>
        </is>
      </c>
      <c r="V1838" s="15" t="inlineStr">
        <is>
          <t>Open date corrected from source value 2007-10-27 (contradicts source close/listing date)</t>
        </is>
      </c>
      <c r="W1838" s="15" t="n"/>
      <c r="X1838" s="15" t="n"/>
      <c r="Y1838" s="15" t="n"/>
      <c r="Z1838" s="15" t="n"/>
      <c r="AA1838" s="15" t="n"/>
      <c r="AB1838" s="15" t="n"/>
    </row>
    <row r="1839" ht="15" customHeight="1" s="12">
      <c r="A1839" s="14" t="n">
        <v>1838</v>
      </c>
      <c r="B1839" s="16" t="n">
        <v>39206</v>
      </c>
      <c r="C1839" s="15" t="n">
        <v>2007</v>
      </c>
      <c r="D1839" s="15" t="inlineStr">
        <is>
          <t>SVEC Constructions Limited</t>
        </is>
      </c>
      <c r="E1839" s="15" t="inlineStr">
        <is>
          <t>DRHP</t>
        </is>
      </c>
      <c r="F1839" s="15" t="inlineStr">
        <is>
          <t>SVEC Constructions Limited</t>
        </is>
      </c>
      <c r="G1839" s="15" t="inlineStr">
        <is>
          <t>No launched IPO found</t>
        </is>
      </c>
      <c r="H1839" s="15" t="n"/>
      <c r="I1839" s="16" t="n"/>
      <c r="J1839" s="16" t="n"/>
      <c r="K1839" s="16" t="n"/>
      <c r="L1839" s="17" t="n"/>
      <c r="M1839" s="17" t="n"/>
      <c r="N1839" s="17" t="n"/>
      <c r="O1839" s="15" t="n"/>
      <c r="P1839" s="15" t="n"/>
      <c r="Q1839" s="18" t="inlineStr">
        <is>
          <t>https://www.sebi.gov.in/sebi_data/attachdocs/1291881005317.pdf</t>
        </is>
      </c>
      <c r="R1839" s="18" t="inlineStr">
        <is>
          <t>https://www.sebi.gov.in/filings/public-issues/may-2007/svec-constructions-limited_9307.html</t>
        </is>
      </c>
      <c r="S1839" s="15" t="n"/>
      <c r="T1839" s="15" t="n"/>
      <c r="U1839" s="15" t="n"/>
      <c r="V1839" s="15" t="n"/>
      <c r="W1839" s="19" t="n">
        <v>39482</v>
      </c>
      <c r="X1839" s="19" t="n">
        <v>39491</v>
      </c>
      <c r="Y1839" s="19" t="n"/>
      <c r="Z1839" s="20" t="inlineStr">
        <is>
          <t>Issue opened</t>
        </is>
      </c>
      <c r="AA1839" s="15" t="inlineStr">
        <is>
          <t>Matched on chittorgarh.com</t>
        </is>
      </c>
      <c r="AB1839" s="18" t="inlineStr">
        <is>
          <t>https://www.chittorgarh.com/ipo/svec_constructions_ipo/164/</t>
        </is>
      </c>
    </row>
    <row r="1840" ht="15" customHeight="1" s="12">
      <c r="A1840" s="14" t="n">
        <v>1839</v>
      </c>
      <c r="B1840" s="16" t="n">
        <v>39206</v>
      </c>
      <c r="C1840" s="15" t="n">
        <v>2007</v>
      </c>
      <c r="D1840" s="15" t="inlineStr">
        <is>
          <t>SVPCL Limited</t>
        </is>
      </c>
      <c r="E1840" s="15" t="inlineStr">
        <is>
          <t>DRHP</t>
        </is>
      </c>
      <c r="F1840" s="15" t="inlineStr">
        <is>
          <t>SVPCL Limited</t>
        </is>
      </c>
      <c r="G1840" s="15" t="inlineStr">
        <is>
          <t>No launched IPO found</t>
        </is>
      </c>
      <c r="H1840" s="15" t="n"/>
      <c r="I1840" s="16" t="n"/>
      <c r="J1840" s="16" t="n"/>
      <c r="K1840" s="16" t="n"/>
      <c r="L1840" s="17" t="n"/>
      <c r="M1840" s="17" t="n"/>
      <c r="N1840" s="17" t="n"/>
      <c r="O1840" s="15" t="n"/>
      <c r="P1840" s="15" t="n"/>
      <c r="Q1840" s="18" t="inlineStr">
        <is>
          <t>https://www.sebi.gov.in/sebi_data/attachdocs/1291880905375.pdf</t>
        </is>
      </c>
      <c r="R1840" s="18" t="inlineStr">
        <is>
          <t>https://www.sebi.gov.in/filings/public-issues/may-2007/svpcl-limited_9304.html</t>
        </is>
      </c>
      <c r="S1840" s="15" t="n"/>
      <c r="T1840" s="15" t="n"/>
      <c r="U1840" s="15" t="n"/>
      <c r="V1840" s="15" t="n"/>
      <c r="W1840" s="19" t="n">
        <v>39377</v>
      </c>
      <c r="X1840" s="19" t="n">
        <v>39381</v>
      </c>
      <c r="Y1840" s="19" t="n"/>
      <c r="Z1840" s="20" t="inlineStr">
        <is>
          <t>Issue opened</t>
        </is>
      </c>
      <c r="AA1840" s="15" t="inlineStr">
        <is>
          <t>Matched on chittorgarh.com</t>
        </is>
      </c>
      <c r="AB1840" s="18" t="inlineStr">
        <is>
          <t>https://www.chittorgarh.com/ipo/svpcl_ipo/130/</t>
        </is>
      </c>
    </row>
    <row r="1841" ht="15" customHeight="1" s="12">
      <c r="A1841" s="14" t="n">
        <v>1840</v>
      </c>
      <c r="B1841" s="16" t="n">
        <v>39192</v>
      </c>
      <c r="C1841" s="15" t="n">
        <v>2007</v>
      </c>
      <c r="D1841" s="15" t="inlineStr">
        <is>
          <t>Fortis Healthcare Limited</t>
        </is>
      </c>
      <c r="E1841" s="15" t="inlineStr">
        <is>
          <t>Corrigendum</t>
        </is>
      </c>
      <c r="F1841" s="15" t="inlineStr">
        <is>
          <t>Fortis Healthcare Limited - Corrigendum Notice 19.04.2007</t>
        </is>
      </c>
      <c r="G1841" s="15" t="inlineStr">
        <is>
          <t>No launched IPO found</t>
        </is>
      </c>
      <c r="H1841" s="15" t="n"/>
      <c r="I1841" s="16" t="n"/>
      <c r="J1841" s="16" t="n"/>
      <c r="K1841" s="16" t="n"/>
      <c r="L1841" s="17" t="n"/>
      <c r="M1841" s="17" t="n"/>
      <c r="N1841" s="17" t="n"/>
      <c r="O1841" s="15" t="n"/>
      <c r="P1841" s="15" t="n"/>
      <c r="Q1841" s="18" t="inlineStr">
        <is>
          <t>https://www.sebi.gov.in/sebi_data/attachdocs/1291883153398.pdf</t>
        </is>
      </c>
      <c r="R1841" s="18" t="inlineStr">
        <is>
          <t>https://www.sebi.gov.in/filings/public-issues/apr-2007/fortis-healthcare-limited-corrigendum-notice-19-04-2007_9332.html</t>
        </is>
      </c>
      <c r="S1841" s="15" t="n"/>
      <c r="T1841" s="15" t="n"/>
      <c r="U1841" s="15" t="n"/>
      <c r="V1841" s="15" t="inlineStr">
        <is>
          <t>Same-name IPO opened 16-Apr-2007 — outside 2 years of this filing, so not linked</t>
        </is>
      </c>
      <c r="W1841" s="16" t="n"/>
      <c r="X1841" s="16" t="n"/>
      <c r="Y1841" s="16" t="n"/>
      <c r="Z1841" s="15" t="inlineStr">
        <is>
          <t>No issue found</t>
        </is>
      </c>
      <c r="AA1841" s="15" t="inlineStr">
        <is>
          <t>IPO opened 2007-04-16, before first_filed 2007-04-19; no later public issue found.</t>
        </is>
      </c>
      <c r="AB1841" s="18" t="inlineStr">
        <is>
          <t>https://www.chittorgarh.com/ipo/x/76/</t>
        </is>
      </c>
    </row>
    <row r="1842" ht="15" customHeight="1" s="12">
      <c r="A1842" s="14" t="n">
        <v>1841</v>
      </c>
      <c r="B1842" s="16" t="n">
        <v>39191</v>
      </c>
      <c r="C1842" s="15" t="n">
        <v>2007</v>
      </c>
      <c r="D1842" s="15" t="inlineStr">
        <is>
          <t>Burnpur Cement Limited</t>
        </is>
      </c>
      <c r="E1842" s="15" t="inlineStr">
        <is>
          <t>DRHP</t>
        </is>
      </c>
      <c r="F1842" s="15" t="inlineStr">
        <is>
          <t>Burnpur Cement Limited</t>
        </is>
      </c>
      <c r="G1842" s="15" t="inlineStr">
        <is>
          <t>IPO launched</t>
        </is>
      </c>
      <c r="H1842" s="15" t="inlineStr">
        <is>
          <t>Mainboard</t>
        </is>
      </c>
      <c r="I1842" s="16" t="n">
        <v>39414</v>
      </c>
      <c r="J1842" s="16" t="n">
        <v>39419</v>
      </c>
      <c r="K1842" s="16" t="n">
        <v>39450</v>
      </c>
      <c r="L1842" s="17" t="n">
        <v>26.28</v>
      </c>
      <c r="M1842" s="17" t="n">
        <v>26.28</v>
      </c>
      <c r="N1842" s="17" t="n">
        <v>0</v>
      </c>
      <c r="O1842" s="15" t="inlineStr">
        <is>
          <t>Final issue (ipoplatform)</t>
        </is>
      </c>
      <c r="P1842" s="15" t="n"/>
      <c r="Q1842" s="18" t="inlineStr">
        <is>
          <t>https://www.sebi.gov.in/sebi_data/attachdocs/1291882977820.pdf</t>
        </is>
      </c>
      <c r="R1842" s="18" t="inlineStr">
        <is>
          <t>https://www.sebi.gov.in/filings/public-issues/apr-2007/burnpur-cement-limited_9330.html</t>
        </is>
      </c>
      <c r="S1842" s="15" t="n"/>
      <c r="T1842" s="15" t="inlineStr">
        <is>
          <t>SEBI filing link</t>
        </is>
      </c>
      <c r="U1842" s="15" t="inlineStr">
        <is>
          <t>Burnpur Cement Limited</t>
        </is>
      </c>
      <c r="V1842" s="15" t="n"/>
      <c r="W1842" s="15" t="n"/>
      <c r="X1842" s="15" t="n"/>
      <c r="Y1842" s="15" t="n"/>
      <c r="Z1842" s="15" t="n"/>
      <c r="AA1842" s="15" t="n"/>
      <c r="AB1842" s="15" t="n"/>
    </row>
    <row r="1843" ht="15" customHeight="1" s="12">
      <c r="A1843" s="14" t="n">
        <v>1842</v>
      </c>
      <c r="B1843" s="16" t="n">
        <v>39191</v>
      </c>
      <c r="C1843" s="15" t="n">
        <v>2007</v>
      </c>
      <c r="D1843" s="15" t="inlineStr">
        <is>
          <t>Fortis Healthcare Limited</t>
        </is>
      </c>
      <c r="E1843" s="15" t="inlineStr">
        <is>
          <t>Corrigendum</t>
        </is>
      </c>
      <c r="F1843" s="15" t="inlineStr">
        <is>
          <t>Fortis Healthcare Limited - Corrigendum Notice dated 17.04.2007</t>
        </is>
      </c>
      <c r="G1843" s="15" t="inlineStr">
        <is>
          <t>No launched IPO found</t>
        </is>
      </c>
      <c r="H1843" s="15" t="n"/>
      <c r="I1843" s="16" t="n"/>
      <c r="J1843" s="16" t="n"/>
      <c r="K1843" s="16" t="n"/>
      <c r="L1843" s="17" t="n"/>
      <c r="M1843" s="17" t="n"/>
      <c r="N1843" s="17" t="n"/>
      <c r="O1843" s="15" t="n"/>
      <c r="P1843" s="15" t="n"/>
      <c r="Q1843" s="18" t="inlineStr">
        <is>
          <t>https://www.sebi.gov.in/sebi_data/attachdocs/1291882491312.pdf</t>
        </is>
      </c>
      <c r="R1843" s="18" t="inlineStr">
        <is>
          <t>https://www.sebi.gov.in/filings/public-issues/apr-2007/fortis-healthcare-limited-corrigendum-notice-dated-17-04-2007_9323.html</t>
        </is>
      </c>
      <c r="S1843" s="15" t="n"/>
      <c r="T1843" s="15" t="n"/>
      <c r="U1843" s="15" t="n"/>
      <c r="V1843" s="15" t="inlineStr">
        <is>
          <t>Same-name IPO opened 16-Apr-2007 — outside 2 years of this filing, so not linked</t>
        </is>
      </c>
      <c r="W1843" s="16" t="n"/>
      <c r="X1843" s="16" t="n"/>
      <c r="Y1843" s="16" t="n"/>
      <c r="Z1843" s="15" t="inlineStr">
        <is>
          <t>No issue found</t>
        </is>
      </c>
      <c r="AA1843" s="15" t="inlineStr">
        <is>
          <t>IPO opened 2007-04-16, before first_filed 2007-04-19; no later public issue found.</t>
        </is>
      </c>
      <c r="AB1843" s="18" t="inlineStr">
        <is>
          <t>https://www.chittorgarh.com/ipo/x/76/</t>
        </is>
      </c>
    </row>
    <row r="1844" ht="15" customHeight="1" s="12">
      <c r="A1844" s="14" t="n">
        <v>1843</v>
      </c>
      <c r="B1844" s="16" t="n">
        <v>39191</v>
      </c>
      <c r="C1844" s="15" t="n">
        <v>2007</v>
      </c>
      <c r="D1844" s="15" t="inlineStr">
        <is>
          <t>Uma Precision Limited</t>
        </is>
      </c>
      <c r="E1844" s="15" t="inlineStr">
        <is>
          <t>DRHP</t>
        </is>
      </c>
      <c r="F1844" s="15" t="inlineStr">
        <is>
          <t>Uma Precision Limited</t>
        </is>
      </c>
      <c r="G1844" s="15" t="inlineStr">
        <is>
          <t>No launched IPO found</t>
        </is>
      </c>
      <c r="H1844" s="15" t="n"/>
      <c r="I1844" s="16" t="n"/>
      <c r="J1844" s="16" t="n"/>
      <c r="K1844" s="16" t="n"/>
      <c r="L1844" s="17" t="n"/>
      <c r="M1844" s="17" t="n"/>
      <c r="N1844" s="17" t="n"/>
      <c r="O1844" s="15" t="n"/>
      <c r="P1844" s="15" t="n"/>
      <c r="Q1844" s="18" t="inlineStr">
        <is>
          <t>https://www.sebi.gov.in/sebi_data/attachdocs/1291882878955.pdf</t>
        </is>
      </c>
      <c r="R1844" s="18" t="inlineStr">
        <is>
          <t>https://www.sebi.gov.in/filings/public-issues/apr-2007/uma-precision-limited_9328.html</t>
        </is>
      </c>
      <c r="S1844" s="15" t="n"/>
      <c r="T1844" s="15" t="n"/>
      <c r="U1844" s="15" t="n"/>
      <c r="V1844" s="15" t="n"/>
      <c r="W1844" s="16" t="n"/>
      <c r="X1844" s="16" t="n"/>
      <c r="Y1844" s="16" t="n"/>
      <c r="Z1844" s="15" t="inlineStr">
        <is>
          <t>No issue found</t>
        </is>
      </c>
      <c r="AA1844" s="15" t="inlineStr">
        <is>
          <t>Business Standard lists the company but shows no issue dates; web search limit reached</t>
        </is>
      </c>
      <c r="AB1844" s="18" t="inlineStr">
        <is>
          <t>https://www.business-standard.com/markets/ipo/uma-precision-ltd-ipo-28043</t>
        </is>
      </c>
    </row>
    <row r="1845" ht="15" customHeight="1" s="12">
      <c r="A1845" s="14" t="n">
        <v>1844</v>
      </c>
      <c r="B1845" s="16" t="n">
        <v>39190</v>
      </c>
      <c r="C1845" s="15" t="n">
        <v>2007</v>
      </c>
      <c r="D1845" s="15" t="inlineStr">
        <is>
          <t>Koutons Retail India Limited</t>
        </is>
      </c>
      <c r="E1845" s="15" t="inlineStr">
        <is>
          <t>DRHP</t>
        </is>
      </c>
      <c r="F1845" s="15" t="inlineStr">
        <is>
          <t>Koutons Retail India Limited</t>
        </is>
      </c>
      <c r="G1845" s="15" t="inlineStr">
        <is>
          <t>No launched IPO found</t>
        </is>
      </c>
      <c r="H1845" s="15" t="n"/>
      <c r="I1845" s="16" t="n"/>
      <c r="J1845" s="16" t="n"/>
      <c r="K1845" s="16" t="n"/>
      <c r="L1845" s="17" t="n"/>
      <c r="M1845" s="17" t="n"/>
      <c r="N1845" s="17" t="n"/>
      <c r="O1845" s="15" t="n"/>
      <c r="P1845" s="15" t="n"/>
      <c r="Q1845" s="18" t="inlineStr">
        <is>
          <t>https://www.sebi.gov.in/sebi_data/attachdocs/1291882049009.pdf</t>
        </is>
      </c>
      <c r="R1845" s="18" t="inlineStr">
        <is>
          <t>https://www.sebi.gov.in/filings/public-issues/apr-2007/koutons-retail-india-limited_9320.html</t>
        </is>
      </c>
      <c r="S1845" s="15" t="n"/>
      <c r="T1845" s="15" t="n"/>
      <c r="U1845" s="15" t="n"/>
      <c r="V1845" s="15" t="n"/>
      <c r="W1845" s="19" t="n">
        <v>39343</v>
      </c>
      <c r="X1845" s="19" t="n">
        <v>39346</v>
      </c>
      <c r="Y1845" s="19" t="n"/>
      <c r="Z1845" s="20" t="inlineStr">
        <is>
          <t>Issue opened</t>
        </is>
      </c>
      <c r="AA1845" s="15" t="inlineStr">
        <is>
          <t>Matched on chittorgarh.com</t>
        </is>
      </c>
      <c r="AB1845" s="18" t="inlineStr">
        <is>
          <t>https://www.chittorgarh.com/ipo/koutons_ipo/122/</t>
        </is>
      </c>
    </row>
    <row r="1846" ht="15" customHeight="1" s="12">
      <c r="A1846" s="14" t="n">
        <v>1845</v>
      </c>
      <c r="B1846" s="16" t="n">
        <v>39190</v>
      </c>
      <c r="C1846" s="15" t="n">
        <v>2007</v>
      </c>
      <c r="D1846" s="15" t="inlineStr">
        <is>
          <t>Power Grid Corporation of India Limited</t>
        </is>
      </c>
      <c r="E1846" s="15" t="inlineStr">
        <is>
          <t>DRHP</t>
        </is>
      </c>
      <c r="F1846" s="15" t="inlineStr">
        <is>
          <t>Power Grid Corporation of India Limited</t>
        </is>
      </c>
      <c r="G1846" s="15" t="inlineStr">
        <is>
          <t>IPO launched</t>
        </is>
      </c>
      <c r="H1846" s="15" t="inlineStr">
        <is>
          <t>Mainboard</t>
        </is>
      </c>
      <c r="I1846" s="16" t="n">
        <v>39335</v>
      </c>
      <c r="J1846" s="16" t="n">
        <v>39338</v>
      </c>
      <c r="K1846" s="16" t="n">
        <v>39360</v>
      </c>
      <c r="L1846" s="17" t="n">
        <v>2984.45</v>
      </c>
      <c r="M1846" s="17" t="n">
        <v>2984.45</v>
      </c>
      <c r="N1846" s="17" t="n">
        <v>0</v>
      </c>
      <c r="O1846" s="15" t="inlineStr">
        <is>
          <t>Final issue (ipoplatform)</t>
        </is>
      </c>
      <c r="P1846" s="15" t="n"/>
      <c r="Q1846" s="18" t="inlineStr">
        <is>
          <t>https://www.sebi.gov.in/sebi_data/attachdocs/1291882197681.pdf</t>
        </is>
      </c>
      <c r="R1846" s="18" t="inlineStr">
        <is>
          <t>https://www.sebi.gov.in/filings/public-issues/apr-2007/power-grid-corporation-of-india-limited_9321.html</t>
        </is>
      </c>
      <c r="S1846" s="15" t="n"/>
      <c r="T1846" s="15" t="inlineStr">
        <is>
          <t>SEBI filing link</t>
        </is>
      </c>
      <c r="U1846" s="15" t="inlineStr">
        <is>
          <t>Power Grid Corporation of India Limited</t>
        </is>
      </c>
      <c r="V1846" s="15" t="n"/>
      <c r="W1846" s="15" t="n"/>
      <c r="X1846" s="15" t="n"/>
      <c r="Y1846" s="15" t="n"/>
      <c r="Z1846" s="15" t="n"/>
      <c r="AA1846" s="15" t="n"/>
      <c r="AB1846" s="15" t="n"/>
    </row>
    <row r="1847" ht="15" customHeight="1" s="12">
      <c r="A1847" s="14" t="n">
        <v>1846</v>
      </c>
      <c r="B1847" s="16" t="n">
        <v>39188</v>
      </c>
      <c r="C1847" s="15" t="n">
        <v>2007</v>
      </c>
      <c r="D1847" s="15" t="inlineStr">
        <is>
          <t>Saamya Biotech (India) Limited</t>
        </is>
      </c>
      <c r="E1847" s="15" t="inlineStr">
        <is>
          <t>DRHP</t>
        </is>
      </c>
      <c r="F1847" s="15" t="inlineStr">
        <is>
          <t>Saamya Biotech (India) Limited</t>
        </is>
      </c>
      <c r="G1847" s="15" t="inlineStr">
        <is>
          <t>No launched IPO found</t>
        </is>
      </c>
      <c r="H1847" s="15" t="n"/>
      <c r="I1847" s="16" t="n"/>
      <c r="J1847" s="16" t="n"/>
      <c r="K1847" s="16" t="n"/>
      <c r="L1847" s="17" t="n"/>
      <c r="M1847" s="17" t="n"/>
      <c r="N1847" s="17" t="n"/>
      <c r="O1847" s="15" t="n"/>
      <c r="P1847" s="15" t="n"/>
      <c r="Q1847" s="18" t="inlineStr">
        <is>
          <t>https://www.sebi.gov.in/sebi_data/attachdocs/1291881740000.pdf</t>
        </is>
      </c>
      <c r="R1847" s="18" t="inlineStr">
        <is>
          <t>https://www.sebi.gov.in/filings/public-issues/apr-2007/saamya-biotech-india-limited_9316.html</t>
        </is>
      </c>
      <c r="S1847" s="15" t="n"/>
      <c r="T1847" s="15" t="n"/>
      <c r="U1847" s="15" t="n"/>
      <c r="V1847" s="15" t="n"/>
      <c r="W1847" s="19" t="n">
        <v>39350</v>
      </c>
      <c r="X1847" s="19" t="n">
        <v>39353</v>
      </c>
      <c r="Y1847" s="19" t="n"/>
      <c r="Z1847" s="20" t="inlineStr">
        <is>
          <t>Issue opened</t>
        </is>
      </c>
      <c r="AA1847" s="15" t="inlineStr">
        <is>
          <t>Matched on chittorgarh.com</t>
        </is>
      </c>
      <c r="AB1847" s="18" t="inlineStr">
        <is>
          <t>https://www.chittorgarh.com/ipo/saamya_biotech_ipo/126/</t>
        </is>
      </c>
    </row>
    <row r="1848" ht="15" customHeight="1" s="12">
      <c r="A1848" s="14" t="n">
        <v>1847</v>
      </c>
      <c r="B1848" s="16" t="n">
        <v>39184</v>
      </c>
      <c r="C1848" s="15" t="n">
        <v>2007</v>
      </c>
      <c r="D1848" s="15" t="inlineStr">
        <is>
          <t>Bharat Earth Movers Limited</t>
        </is>
      </c>
      <c r="E1848" s="15" t="inlineStr">
        <is>
          <t>DRHP</t>
        </is>
      </c>
      <c r="F1848" s="15" t="inlineStr">
        <is>
          <t>Bharat Earth Movers Limited</t>
        </is>
      </c>
      <c r="G1848" s="15" t="inlineStr">
        <is>
          <t>No launched IPO found</t>
        </is>
      </c>
      <c r="H1848" s="15" t="n"/>
      <c r="I1848" s="16" t="n"/>
      <c r="J1848" s="16" t="n"/>
      <c r="K1848" s="16" t="n"/>
      <c r="L1848" s="17" t="n"/>
      <c r="M1848" s="17" t="n"/>
      <c r="N1848" s="17" t="n"/>
      <c r="O1848" s="15" t="n"/>
      <c r="P1848" s="15" t="n"/>
      <c r="Q1848" s="18" t="inlineStr">
        <is>
          <t>https://www.sebi.gov.in/sebi_data/attachdocs/1291881646018.pdf</t>
        </is>
      </c>
      <c r="R1848" s="18" t="inlineStr">
        <is>
          <t>https://www.sebi.gov.in/filings/public-issues/apr-2007/bharat-earth-movers-limited_9315.html</t>
        </is>
      </c>
      <c r="S1848" s="15" t="n"/>
      <c r="T1848" s="15" t="n"/>
      <c r="U1848" s="15" t="n"/>
      <c r="V1848" s="15" t="n"/>
      <c r="W1848" s="19" t="n">
        <v>39260</v>
      </c>
      <c r="X1848" s="19" t="n">
        <v>39266</v>
      </c>
      <c r="Y1848" s="19" t="n">
        <v>39280</v>
      </c>
      <c r="Z1848" s="20" t="inlineStr">
        <is>
          <t>Issue opened</t>
        </is>
      </c>
      <c r="AA1848" s="15" t="inlineStr">
        <is>
          <t>FPO: BEML FPO per Chittorgarh.</t>
        </is>
      </c>
      <c r="AB1848" s="18" t="inlineStr">
        <is>
          <t>https://www.chittorgarh.com/ipo/x/94/</t>
        </is>
      </c>
    </row>
    <row r="1849" ht="15" customHeight="1" s="12">
      <c r="A1849" s="14" t="n">
        <v>1848</v>
      </c>
      <c r="B1849" s="16" t="n">
        <v>39183</v>
      </c>
      <c r="C1849" s="15" t="n">
        <v>2007</v>
      </c>
      <c r="D1849" s="15" t="inlineStr">
        <is>
          <t>Veena Industries Limited</t>
        </is>
      </c>
      <c r="E1849" s="15" t="inlineStr">
        <is>
          <t>DRHP</t>
        </is>
      </c>
      <c r="F1849" s="15" t="inlineStr">
        <is>
          <t>Veena Industries Limited</t>
        </is>
      </c>
      <c r="G1849" s="15" t="inlineStr">
        <is>
          <t>No launched IPO found</t>
        </is>
      </c>
      <c r="H1849" s="15" t="n"/>
      <c r="I1849" s="16" t="n"/>
      <c r="J1849" s="16" t="n"/>
      <c r="K1849" s="16" t="n"/>
      <c r="L1849" s="17" t="n"/>
      <c r="M1849" s="17" t="n"/>
      <c r="N1849" s="17" t="n"/>
      <c r="O1849" s="15" t="n"/>
      <c r="P1849" s="15" t="n"/>
      <c r="Q1849" s="18" t="inlineStr">
        <is>
          <t>https://www.sebi.gov.in/sebi_data/attachdocs/1291881554389.pdf</t>
        </is>
      </c>
      <c r="R1849" s="18" t="inlineStr">
        <is>
          <t>https://www.sebi.gov.in/filings/public-issues/apr-2007/veena-industries-limited_9314.html</t>
        </is>
      </c>
      <c r="S1849" s="15" t="n"/>
      <c r="T1849" s="15" t="n"/>
      <c r="U1849" s="15" t="n"/>
      <c r="V1849" s="15" t="n"/>
      <c r="W1849" s="16" t="n"/>
      <c r="X1849" s="16" t="n"/>
      <c r="Y1849" s="16" t="n"/>
      <c r="Z1849" s="15" t="inlineStr">
        <is>
          <t>No issue found</t>
        </is>
      </c>
      <c r="AA1849" s="15" t="inlineStr">
        <is>
          <t>Business Standard lists the company but shows no issue dates; web search limit reached</t>
        </is>
      </c>
      <c r="AB1849" s="18" t="inlineStr">
        <is>
          <t>https://www.business-standard.com/markets/ipo/veena-industries-ltd-ipo-28026</t>
        </is>
      </c>
    </row>
    <row r="1850" ht="15" customHeight="1" s="12">
      <c r="A1850" s="14" t="n">
        <v>1849</v>
      </c>
      <c r="B1850" s="16" t="n">
        <v>39181</v>
      </c>
      <c r="C1850" s="15" t="n">
        <v>2007</v>
      </c>
      <c r="D1850" s="15" t="inlineStr">
        <is>
          <t>Aries Agro Limited</t>
        </is>
      </c>
      <c r="E1850" s="15" t="inlineStr">
        <is>
          <t>DRHP</t>
        </is>
      </c>
      <c r="F1850" s="15" t="inlineStr">
        <is>
          <t>Aries Agro Limited</t>
        </is>
      </c>
      <c r="G1850" s="15" t="inlineStr">
        <is>
          <t>IPO launched</t>
        </is>
      </c>
      <c r="H1850" s="15" t="inlineStr">
        <is>
          <t>Mainboard</t>
        </is>
      </c>
      <c r="I1850" s="16" t="n">
        <v>39430</v>
      </c>
      <c r="J1850" s="16" t="n">
        <v>39435</v>
      </c>
      <c r="K1850" s="16" t="n">
        <v>39458</v>
      </c>
      <c r="L1850" s="17" t="n">
        <v>58.5</v>
      </c>
      <c r="M1850" s="17" t="n">
        <v>58.5</v>
      </c>
      <c r="N1850" s="17" t="n">
        <v>0</v>
      </c>
      <c r="O1850" s="15" t="inlineStr">
        <is>
          <t>Final issue (ipoplatform)</t>
        </is>
      </c>
      <c r="P1850" s="15" t="n"/>
      <c r="Q1850" s="18" t="inlineStr">
        <is>
          <t>https://www.sebi.gov.in/sebi_data/attachdocs/1291880817401.pdf</t>
        </is>
      </c>
      <c r="R1850" s="18" t="inlineStr">
        <is>
          <t>https://www.sebi.gov.in/filings/public-issues/apr-2007/aries-agro-limited_9301.html</t>
        </is>
      </c>
      <c r="S1850" s="15" t="n"/>
      <c r="T1850" s="15" t="inlineStr">
        <is>
          <t>SEBI filing link</t>
        </is>
      </c>
      <c r="U1850" s="15" t="inlineStr">
        <is>
          <t>Aries Agro Limited</t>
        </is>
      </c>
      <c r="V1850" s="15" t="n"/>
      <c r="W1850" s="15" t="n"/>
      <c r="X1850" s="15" t="n"/>
      <c r="Y1850" s="15" t="n"/>
      <c r="Z1850" s="15" t="n"/>
      <c r="AA1850" s="15" t="n"/>
      <c r="AB1850" s="15" t="n"/>
    </row>
    <row r="1851" ht="15" customHeight="1" s="12">
      <c r="A1851" s="14" t="n">
        <v>1850</v>
      </c>
      <c r="B1851" s="16" t="n">
        <v>39181</v>
      </c>
      <c r="C1851" s="15" t="n">
        <v>2007</v>
      </c>
      <c r="D1851" s="15" t="inlineStr">
        <is>
          <t>National Hydroelectric Power Corporation Limited</t>
        </is>
      </c>
      <c r="E1851" s="15" t="inlineStr">
        <is>
          <t>DRHP</t>
        </is>
      </c>
      <c r="F1851" s="15" t="inlineStr">
        <is>
          <t>National Hydroelectric Power Corporation Limited</t>
        </is>
      </c>
      <c r="G1851" s="15" t="inlineStr">
        <is>
          <t>No launched IPO found</t>
        </is>
      </c>
      <c r="H1851" s="15" t="n"/>
      <c r="I1851" s="16" t="n"/>
      <c r="J1851" s="16" t="n"/>
      <c r="K1851" s="16" t="n"/>
      <c r="L1851" s="17" t="n"/>
      <c r="M1851" s="17" t="n"/>
      <c r="N1851" s="17" t="n"/>
      <c r="O1851" s="15" t="n"/>
      <c r="P1851" s="15" t="n"/>
      <c r="Q1851" s="18" t="inlineStr">
        <is>
          <t>https://www.sebi.gov.in/sebi_data/attachdocs/1291881285618.pdf</t>
        </is>
      </c>
      <c r="R1851" s="18" t="inlineStr">
        <is>
          <t>https://www.sebi.gov.in/filings/public-issues/apr-2007/national-hydroelectric-power-corporation-limited_9312.html</t>
        </is>
      </c>
      <c r="S1851" s="15" t="n"/>
      <c r="T1851" s="15" t="n"/>
      <c r="U1851" s="15" t="n"/>
      <c r="V1851" s="15" t="n"/>
      <c r="W1851" s="19" t="n">
        <v>40032</v>
      </c>
      <c r="X1851" s="19" t="n">
        <v>40037</v>
      </c>
      <c r="Y1851" s="19" t="n">
        <v>40057</v>
      </c>
      <c r="Z1851" s="20" t="inlineStr">
        <is>
          <t>Issue opened</t>
        </is>
      </c>
      <c r="AA1851" s="15" t="inlineStr">
        <is>
          <t>NHPC IPO per Chittorgarh; about 2.3 years after filing.</t>
        </is>
      </c>
      <c r="AB1851" s="18" t="inlineStr">
        <is>
          <t>https://www.chittorgarh.com/ipo/x/200/</t>
        </is>
      </c>
    </row>
    <row r="1852" ht="15" customHeight="1" s="12">
      <c r="A1852" s="14" t="n">
        <v>1851</v>
      </c>
      <c r="B1852" s="16" t="n">
        <v>39177</v>
      </c>
      <c r="C1852" s="15" t="n">
        <v>2007</v>
      </c>
      <c r="D1852" s="15" t="inlineStr">
        <is>
          <t>Niraj Cement Structurals Limited</t>
        </is>
      </c>
      <c r="E1852" s="15" t="inlineStr">
        <is>
          <t>DRHP</t>
        </is>
      </c>
      <c r="F1852" s="15" t="inlineStr">
        <is>
          <t>Niraj Cement Structurals Limited</t>
        </is>
      </c>
      <c r="G1852" s="15" t="inlineStr">
        <is>
          <t>IPO launched</t>
        </is>
      </c>
      <c r="H1852" s="15" t="inlineStr">
        <is>
          <t>Mainboard</t>
        </is>
      </c>
      <c r="I1852" s="16" t="n">
        <v>39594</v>
      </c>
      <c r="J1852" s="16" t="n">
        <v>39598</v>
      </c>
      <c r="K1852" s="16" t="n">
        <v>39618</v>
      </c>
      <c r="L1852" s="17" t="n">
        <v>61.75</v>
      </c>
      <c r="M1852" s="17" t="n">
        <v>61.75</v>
      </c>
      <c r="N1852" s="17" t="n">
        <v>0</v>
      </c>
      <c r="O1852" s="15" t="inlineStr">
        <is>
          <t>Final issue (ipoplatform)</t>
        </is>
      </c>
      <c r="P1852" s="15" t="n"/>
      <c r="Q1852" s="18" t="inlineStr">
        <is>
          <t>https://www.sebi.gov.in/sebi_data/attachdocs/1291880691361.pdf</t>
        </is>
      </c>
      <c r="R1852" s="18" t="inlineStr">
        <is>
          <t>https://www.sebi.gov.in/filings/public-issues/apr-2007/niraj-cement-structurals-limited_9297.html</t>
        </is>
      </c>
      <c r="S1852" s="15" t="n"/>
      <c r="T1852" s="15" t="inlineStr">
        <is>
          <t>SEBI filing link</t>
        </is>
      </c>
      <c r="U1852" s="15" t="inlineStr">
        <is>
          <t>Niraj Cement Structurals Limited</t>
        </is>
      </c>
      <c r="V1852" s="15" t="n"/>
      <c r="W1852" s="15" t="n"/>
      <c r="X1852" s="15" t="n"/>
      <c r="Y1852" s="15" t="n"/>
      <c r="Z1852" s="15" t="n"/>
      <c r="AA1852" s="15" t="n"/>
      <c r="AB1852" s="15" t="n"/>
    </row>
    <row r="1853" ht="15" customHeight="1" s="12">
      <c r="A1853" s="14" t="n">
        <v>1852</v>
      </c>
      <c r="B1853" s="16" t="n">
        <v>39176</v>
      </c>
      <c r="C1853" s="15" t="n">
        <v>2007</v>
      </c>
      <c r="D1853" s="15" t="inlineStr">
        <is>
          <t>Motilal Oswal Financial Services Limited</t>
        </is>
      </c>
      <c r="E1853" s="15" t="inlineStr">
        <is>
          <t>DRHP</t>
        </is>
      </c>
      <c r="F1853" s="15" t="inlineStr">
        <is>
          <t>Motilal Oswal Financial Services Limited</t>
        </is>
      </c>
      <c r="G1853" s="15" t="inlineStr">
        <is>
          <t>IPO launched</t>
        </is>
      </c>
      <c r="H1853" s="15" t="inlineStr">
        <is>
          <t>Mainboard</t>
        </is>
      </c>
      <c r="I1853" s="16" t="n">
        <v>39314</v>
      </c>
      <c r="J1853" s="16" t="n">
        <v>39317</v>
      </c>
      <c r="K1853" s="16" t="n">
        <v>39336</v>
      </c>
      <c r="L1853" s="17" t="n">
        <v>246.07</v>
      </c>
      <c r="M1853" s="17" t="n">
        <v>246.07</v>
      </c>
      <c r="N1853" s="17" t="n">
        <v>0</v>
      </c>
      <c r="O1853" s="15" t="inlineStr">
        <is>
          <t>Final issue (ipoplatform)</t>
        </is>
      </c>
      <c r="P1853" s="15" t="n"/>
      <c r="Q1853" s="18" t="inlineStr">
        <is>
          <t>https://www.sebi.gov.in/sebi_data/attachdocs/1291880596632.pdf</t>
        </is>
      </c>
      <c r="R1853" s="18" t="inlineStr">
        <is>
          <t>https://www.sebi.gov.in/filings/public-issues/apr-2007/motilal-oswal-financial-services-limited_9292.html</t>
        </is>
      </c>
      <c r="S1853" s="15" t="n"/>
      <c r="T1853" s="15" t="inlineStr">
        <is>
          <t>SEBI filing link</t>
        </is>
      </c>
      <c r="U1853" s="15" t="inlineStr">
        <is>
          <t>Motilal Oswal Financial Services Limited</t>
        </is>
      </c>
      <c r="V1853" s="15" t="n"/>
      <c r="W1853" s="15" t="n"/>
      <c r="X1853" s="15" t="n"/>
      <c r="Y1853" s="15" t="n"/>
      <c r="Z1853" s="15" t="n"/>
      <c r="AA1853" s="15" t="n"/>
      <c r="AB1853" s="15" t="n"/>
    </row>
    <row r="1854" ht="15" customHeight="1" s="12">
      <c r="A1854" s="14" t="n">
        <v>1853</v>
      </c>
      <c r="B1854" s="16" t="n">
        <v>39174</v>
      </c>
      <c r="C1854" s="15" t="n">
        <v>2007</v>
      </c>
      <c r="D1854" s="15" t="inlineStr">
        <is>
          <t>M.S.Khurana Engineering Limited</t>
        </is>
      </c>
      <c r="E1854" s="15" t="inlineStr">
        <is>
          <t>DRHP</t>
        </is>
      </c>
      <c r="F1854" s="15" t="inlineStr">
        <is>
          <t>M.S.Khurana Engineering Limited-DRHP</t>
        </is>
      </c>
      <c r="G1854" s="15" t="inlineStr">
        <is>
          <t>No launched IPO found</t>
        </is>
      </c>
      <c r="H1854" s="15" t="n"/>
      <c r="I1854" s="16" t="n"/>
      <c r="J1854" s="16" t="n"/>
      <c r="K1854" s="16" t="n"/>
      <c r="L1854" s="17" t="n"/>
      <c r="M1854" s="17" t="n"/>
      <c r="N1854" s="17" t="n"/>
      <c r="O1854" s="15" t="n"/>
      <c r="P1854" s="15" t="n"/>
      <c r="Q1854" s="18" t="inlineStr">
        <is>
          <t>https://www.sebi.gov.in/sebi_data/attachdocs/1291880473356.pdf</t>
        </is>
      </c>
      <c r="R1854" s="18" t="inlineStr">
        <is>
          <t>https://www.sebi.gov.in/filings/public-issues/apr-2007/m-s-khurana-engineering-limited-drhp_9288.html</t>
        </is>
      </c>
      <c r="S1854" s="15" t="n"/>
      <c r="T1854" s="15" t="n"/>
      <c r="U1854" s="15" t="n"/>
      <c r="V1854" s="15" t="n"/>
      <c r="W1854" s="16" t="n"/>
      <c r="X1854" s="16" t="n"/>
      <c r="Y1854" s="16" t="n"/>
      <c r="Z1854" s="15" t="inlineStr">
        <is>
          <t>Withdrawn / approval lapsed</t>
        </is>
      </c>
      <c r="AA1854" s="15" t="inlineStr">
        <is>
          <t>IPO DRHP withdrawn vide letter dated 2008-01-23; company still unlisted</t>
        </is>
      </c>
      <c r="AB1854" s="18" t="inlineStr">
        <is>
          <t>https://www.sebi.gov.in/sebi_data/commondocs/ProcessingStatus20062007_h.html</t>
        </is>
      </c>
    </row>
    <row r="1855" ht="15" customHeight="1" s="12">
      <c r="A1855" s="14" t="n">
        <v>1854</v>
      </c>
      <c r="B1855" s="16" t="n">
        <v>39171</v>
      </c>
      <c r="C1855" s="15" t="n">
        <v>2007</v>
      </c>
      <c r="D1855" s="15" t="inlineStr">
        <is>
          <t>Kaveri Seed Company Limited</t>
        </is>
      </c>
      <c r="E1855" s="15" t="inlineStr">
        <is>
          <t>DRHP</t>
        </is>
      </c>
      <c r="F1855" s="15" t="inlineStr">
        <is>
          <t>Kaveri Seed Company Limited</t>
        </is>
      </c>
      <c r="G1855" s="15" t="inlineStr">
        <is>
          <t>IPO launched</t>
        </is>
      </c>
      <c r="H1855" s="15" t="inlineStr">
        <is>
          <t>Mainboard</t>
        </is>
      </c>
      <c r="I1855" s="16" t="n">
        <v>39331</v>
      </c>
      <c r="J1855" s="16" t="n">
        <v>39336</v>
      </c>
      <c r="K1855" s="16" t="n">
        <v>39359</v>
      </c>
      <c r="L1855" s="17" t="n">
        <v>68</v>
      </c>
      <c r="M1855" s="17" t="n">
        <v>68</v>
      </c>
      <c r="N1855" s="17" t="n">
        <v>0</v>
      </c>
      <c r="O1855" s="15" t="inlineStr">
        <is>
          <t>Final issue (ipoplatform)</t>
        </is>
      </c>
      <c r="P1855" s="15" t="n"/>
      <c r="Q1855" s="18" t="inlineStr">
        <is>
          <t>https://www.sebi.gov.in/sebi_data/attachdocs/1294658125705.pdf</t>
        </is>
      </c>
      <c r="R1855" s="18" t="inlineStr">
        <is>
          <t>https://www.sebi.gov.in/filings/public-issues/mar-2007/kaveri-seed-company-limited_14225.html</t>
        </is>
      </c>
      <c r="S1855" s="15" t="n"/>
      <c r="T1855" s="15" t="inlineStr">
        <is>
          <t>SEBI filing link</t>
        </is>
      </c>
      <c r="U1855" s="15" t="inlineStr">
        <is>
          <t>Kaveri Seed Company Limited</t>
        </is>
      </c>
      <c r="V1855" s="15" t="n"/>
      <c r="W1855" s="15" t="n"/>
      <c r="X1855" s="15" t="n"/>
      <c r="Y1855" s="15" t="n"/>
      <c r="Z1855" s="15" t="n"/>
      <c r="AA1855" s="15" t="n"/>
      <c r="AB1855" s="15" t="n"/>
    </row>
    <row r="1856" ht="15" customHeight="1" s="12">
      <c r="A1856" s="14" t="n">
        <v>1855</v>
      </c>
      <c r="B1856" s="16" t="n">
        <v>39171</v>
      </c>
      <c r="C1856" s="15" t="n">
        <v>2007</v>
      </c>
      <c r="D1856" s="15" t="inlineStr">
        <is>
          <t>order against M/s Shantanu S. Dhamankar</t>
        </is>
      </c>
      <c r="E1856" s="15" t="inlineStr">
        <is>
          <t>DRHP</t>
        </is>
      </c>
      <c r="F1856" s="15" t="inlineStr">
        <is>
          <t>order against M/s Shantanu S. Dhamankar</t>
        </is>
      </c>
      <c r="G1856" s="15" t="inlineStr">
        <is>
          <t>Not an offer document</t>
        </is>
      </c>
      <c r="H1856" s="15" t="n"/>
      <c r="I1856" s="16" t="n"/>
      <c r="J1856" s="16" t="n"/>
      <c r="K1856" s="16" t="n"/>
      <c r="L1856" s="17" t="n"/>
      <c r="M1856" s="17" t="n"/>
      <c r="N1856" s="17" t="n"/>
      <c r="O1856" s="15" t="n"/>
      <c r="P1856" s="15" t="n"/>
      <c r="Q1856" s="18" t="inlineStr">
        <is>
          <t>https://www.sebi.gov.in/sebi_data/attachdocs/1291873715619.pdf</t>
        </is>
      </c>
      <c r="R1856" s="18" t="inlineStr">
        <is>
          <t>https://www.sebi.gov.in/filings/public-issues/mar-2007/order-against-m-s-shantanu-s-dhamankar_9135.html</t>
        </is>
      </c>
      <c r="S1856" s="15" t="n"/>
      <c r="T1856" s="15" t="n"/>
      <c r="U1856" s="15" t="n"/>
      <c r="V1856" s="15" t="n"/>
      <c r="W1856" s="16" t="n"/>
      <c r="X1856" s="16" t="n"/>
      <c r="Y1856" s="16" t="n"/>
      <c r="Z1856" s="15" t="inlineStr">
        <is>
          <t>Not an offer document</t>
        </is>
      </c>
      <c r="AA1856" s="15" t="inlineStr">
        <is>
          <t>SEBI entry is not an issuer draft</t>
        </is>
      </c>
      <c r="AB1856" s="15" t="n"/>
    </row>
    <row r="1857" ht="15" customHeight="1" s="12">
      <c r="A1857" s="14" t="n">
        <v>1856</v>
      </c>
      <c r="B1857" s="16" t="n">
        <v>39169</v>
      </c>
      <c r="C1857" s="15" t="n">
        <v>2007</v>
      </c>
      <c r="D1857" s="15" t="inlineStr">
        <is>
          <t>Dhanus Technologies Limited</t>
        </is>
      </c>
      <c r="E1857" s="15" t="inlineStr">
        <is>
          <t>DRHP</t>
        </is>
      </c>
      <c r="F1857" s="15" t="inlineStr">
        <is>
          <t>Dhanus Technologies Limited</t>
        </is>
      </c>
      <c r="G1857" s="15" t="inlineStr">
        <is>
          <t>No launched IPO found</t>
        </is>
      </c>
      <c r="H1857" s="15" t="n"/>
      <c r="I1857" s="16" t="n"/>
      <c r="J1857" s="16" t="n"/>
      <c r="K1857" s="16" t="n"/>
      <c r="L1857" s="17" t="n"/>
      <c r="M1857" s="17" t="n"/>
      <c r="N1857" s="17" t="n"/>
      <c r="O1857" s="15" t="n"/>
      <c r="P1857" s="15" t="n"/>
      <c r="Q1857" s="18" t="inlineStr">
        <is>
          <t>https://www.sebi.gov.in/sebi_data/attachdocs/1291873587175.pdf</t>
        </is>
      </c>
      <c r="R1857" s="18" t="inlineStr">
        <is>
          <t>https://www.sebi.gov.in/filings/public-issues/mar-2007/dhanus-technologies-limited_9128.html</t>
        </is>
      </c>
      <c r="S1857" s="15" t="n"/>
      <c r="T1857" s="15" t="n"/>
      <c r="U1857" s="15" t="n"/>
      <c r="V1857" s="15" t="n"/>
      <c r="W1857" s="19" t="n">
        <v>39335</v>
      </c>
      <c r="X1857" s="19" t="n">
        <v>39337</v>
      </c>
      <c r="Y1857" s="19" t="n"/>
      <c r="Z1857" s="20" t="inlineStr">
        <is>
          <t>Issue opened</t>
        </is>
      </c>
      <c r="AA1857" s="15" t="inlineStr">
        <is>
          <t>Matched on chittorgarh.com</t>
        </is>
      </c>
      <c r="AB1857" s="18" t="inlineStr">
        <is>
          <t>https://www.chittorgarh.com/ipo/dhanus_technologies_ipo/121/</t>
        </is>
      </c>
    </row>
    <row r="1858" ht="15" customHeight="1" s="12">
      <c r="A1858" s="14" t="n">
        <v>1857</v>
      </c>
      <c r="B1858" s="16" t="n">
        <v>39164</v>
      </c>
      <c r="C1858" s="15" t="n">
        <v>2007</v>
      </c>
      <c r="D1858" s="15" t="inlineStr">
        <is>
          <t>Man Infra Construction Limited</t>
        </is>
      </c>
      <c r="E1858" s="15" t="inlineStr">
        <is>
          <t>DRHP</t>
        </is>
      </c>
      <c r="F1858" s="15" t="inlineStr">
        <is>
          <t>Man Infra Construction Limited</t>
        </is>
      </c>
      <c r="G1858" s="15" t="inlineStr">
        <is>
          <t>No launched IPO found</t>
        </is>
      </c>
      <c r="H1858" s="15" t="n"/>
      <c r="I1858" s="16" t="n"/>
      <c r="J1858" s="16" t="n"/>
      <c r="K1858" s="16" t="n"/>
      <c r="L1858" s="17" t="n"/>
      <c r="M1858" s="17" t="n"/>
      <c r="N1858" s="17" t="n"/>
      <c r="O1858" s="15" t="n"/>
      <c r="P1858" s="15" t="n"/>
      <c r="Q1858" s="18" t="inlineStr">
        <is>
          <t>https://www.sebi.gov.in/sebi_data/attachdocs/1291873248756.pdf</t>
        </is>
      </c>
      <c r="R1858" s="18" t="inlineStr">
        <is>
          <t>https://www.sebi.gov.in/filings/public-issues/mar-2007/man-infra-construction-limited_9122.html</t>
        </is>
      </c>
      <c r="S1858" s="15" t="n"/>
      <c r="T1858" s="15" t="n"/>
      <c r="U1858" s="15" t="n"/>
      <c r="V1858" s="15" t="inlineStr">
        <is>
          <t>Same-name IPO opened 18-Feb-2010 — outside 2 years of this filing, so not linked</t>
        </is>
      </c>
      <c r="W1858" s="19" t="n">
        <v>40227</v>
      </c>
      <c r="X1858" s="19" t="n">
        <v>40231</v>
      </c>
      <c r="Y1858" s="19" t="n"/>
      <c r="Z1858" s="20" t="inlineStr">
        <is>
          <t>Issue opened</t>
        </is>
      </c>
      <c r="AA1858" s="15" t="inlineStr">
        <is>
          <t>Matched on chittorgarh.com (close name match: Man Infraconstruction)</t>
        </is>
      </c>
      <c r="AB1858" s="18" t="inlineStr">
        <is>
          <t>https://www.chittorgarh.com/ipo/man_infraconstruction_ipo/228/</t>
        </is>
      </c>
    </row>
    <row r="1859" ht="15" customHeight="1" s="12">
      <c r="A1859" s="14" t="n">
        <v>1858</v>
      </c>
      <c r="B1859" s="16" t="n">
        <v>39163</v>
      </c>
      <c r="C1859" s="15" t="n">
        <v>2007</v>
      </c>
      <c r="D1859" s="15" t="inlineStr">
        <is>
          <t>Dagger Forst Tools Limited - Public cum Rights</t>
        </is>
      </c>
      <c r="E1859" s="15" t="inlineStr">
        <is>
          <t>DRHP</t>
        </is>
      </c>
      <c r="F1859" s="15" t="inlineStr">
        <is>
          <t>Dagger Forst Tools Limited - Public cum Rights</t>
        </is>
      </c>
      <c r="G1859" s="15" t="inlineStr">
        <is>
          <t>No launched IPO found</t>
        </is>
      </c>
      <c r="H1859" s="15" t="n"/>
      <c r="I1859" s="16" t="n"/>
      <c r="J1859" s="16" t="n"/>
      <c r="K1859" s="16" t="n"/>
      <c r="L1859" s="17" t="n"/>
      <c r="M1859" s="17" t="n"/>
      <c r="N1859" s="17" t="n"/>
      <c r="O1859" s="15" t="n"/>
      <c r="P1859" s="15" t="n"/>
      <c r="Q1859" s="18" t="inlineStr">
        <is>
          <t>https://www.sebi.gov.in/sebi_data/attachdocs/1291872643363.pdf</t>
        </is>
      </c>
      <c r="R1859" s="18" t="inlineStr">
        <is>
          <t>https://www.sebi.gov.in/filings/public-issues/mar-2007/dagger-forst-tools-limited-public-cum-rights_9104.html</t>
        </is>
      </c>
      <c r="S1859" s="15" t="n"/>
      <c r="T1859" s="15" t="n"/>
      <c r="U1859" s="15" t="n"/>
      <c r="V1859" s="15" t="n"/>
      <c r="W1859" s="19" t="n">
        <v>39321</v>
      </c>
      <c r="X1859" s="19" t="n">
        <v>39328</v>
      </c>
      <c r="Y1859" s="19" t="n">
        <v>39350</v>
      </c>
      <c r="Z1859" s="20" t="inlineStr">
        <is>
          <t>Issue opened</t>
        </is>
      </c>
      <c r="AA1859" s="15" t="inlineStr">
        <is>
          <t>FPO: Public cum rights FPO per Chittorgarh.</t>
        </is>
      </c>
      <c r="AB1859" s="18" t="inlineStr">
        <is>
          <t>https://www.chittorgarh.com/ipo/x/113/</t>
        </is>
      </c>
    </row>
    <row r="1860" ht="15" customHeight="1" s="12">
      <c r="A1860" s="14" t="n">
        <v>1859</v>
      </c>
      <c r="B1860" s="16" t="n">
        <v>39163</v>
      </c>
      <c r="C1860" s="15" t="n">
        <v>2007</v>
      </c>
      <c r="D1860" s="15" t="inlineStr">
        <is>
          <t>GSS America Infotech Limited</t>
        </is>
      </c>
      <c r="E1860" s="15" t="inlineStr">
        <is>
          <t>DRHP</t>
        </is>
      </c>
      <c r="F1860" s="15" t="inlineStr">
        <is>
          <t>GSS America Infotech Limited</t>
        </is>
      </c>
      <c r="G1860" s="15" t="inlineStr">
        <is>
          <t>IPO launched</t>
        </is>
      </c>
      <c r="H1860" s="15" t="inlineStr">
        <is>
          <t>Mainboard</t>
        </is>
      </c>
      <c r="I1860" s="16" t="n">
        <v>39489</v>
      </c>
      <c r="J1860" s="16" t="n">
        <v>39493</v>
      </c>
      <c r="K1860" s="16" t="n">
        <v>39514</v>
      </c>
      <c r="L1860" s="17" t="n">
        <v>139.9</v>
      </c>
      <c r="M1860" s="17" t="n">
        <v>139.9</v>
      </c>
      <c r="N1860" s="17" t="n">
        <v>0</v>
      </c>
      <c r="O1860" s="15" t="inlineStr">
        <is>
          <t>Final issue (ipoplatform)</t>
        </is>
      </c>
      <c r="P1860" s="15" t="n"/>
      <c r="Q1860" s="18" t="inlineStr">
        <is>
          <t>https://www.sebi.gov.in/sebi_data/attachdocs/1291872958987.pdf</t>
        </is>
      </c>
      <c r="R1860" s="18" t="inlineStr">
        <is>
          <t>https://www.sebi.gov.in/filings/public-issues/mar-2007/gss-america-infotech-limited_9114.html</t>
        </is>
      </c>
      <c r="S1860" s="15" t="n"/>
      <c r="T1860" s="15" t="inlineStr">
        <is>
          <t>SEBI filing link</t>
        </is>
      </c>
      <c r="U1860" s="15" t="inlineStr">
        <is>
          <t>GSS America Infotech Limited</t>
        </is>
      </c>
      <c r="V1860" s="15" t="n"/>
      <c r="W1860" s="15" t="n"/>
      <c r="X1860" s="15" t="n"/>
      <c r="Y1860" s="15" t="n"/>
      <c r="Z1860" s="15" t="n"/>
      <c r="AA1860" s="15" t="n"/>
      <c r="AB1860" s="15" t="n"/>
    </row>
    <row r="1861" ht="15" customHeight="1" s="12">
      <c r="A1861" s="14" t="n">
        <v>1860</v>
      </c>
      <c r="B1861" s="16" t="n">
        <v>39154</v>
      </c>
      <c r="C1861" s="15" t="n">
        <v>2007</v>
      </c>
      <c r="D1861" s="15" t="inlineStr">
        <is>
          <t>Rathi Bars Limited</t>
        </is>
      </c>
      <c r="E1861" s="15" t="inlineStr">
        <is>
          <t>DRHP</t>
        </is>
      </c>
      <c r="F1861" s="15" t="inlineStr">
        <is>
          <t>Rathi Bars Limited</t>
        </is>
      </c>
      <c r="G1861" s="15" t="inlineStr">
        <is>
          <t>IPO launched</t>
        </is>
      </c>
      <c r="H1861" s="15" t="inlineStr">
        <is>
          <t>Mainboard</t>
        </is>
      </c>
      <c r="I1861" s="16" t="n">
        <v>39373</v>
      </c>
      <c r="J1861" s="16" t="n">
        <v>39378</v>
      </c>
      <c r="K1861" s="16" t="n">
        <v>39409</v>
      </c>
      <c r="L1861" s="17" t="n">
        <v>25</v>
      </c>
      <c r="M1861" s="17" t="n">
        <v>25</v>
      </c>
      <c r="N1861" s="17" t="n">
        <v>0</v>
      </c>
      <c r="O1861" s="15" t="inlineStr">
        <is>
          <t>Final issue (ipoplatform)</t>
        </is>
      </c>
      <c r="P1861" s="15" t="n"/>
      <c r="Q1861" s="18" t="inlineStr">
        <is>
          <t>https://www.sebi.gov.in/sebi_data/attachdocs/1291872241798.pdf</t>
        </is>
      </c>
      <c r="R1861" s="18" t="inlineStr">
        <is>
          <t>https://www.sebi.gov.in/filings/public-issues/mar-2007/rathi-bars-limited_9094.html</t>
        </is>
      </c>
      <c r="S1861" s="15" t="n"/>
      <c r="T1861" s="15" t="inlineStr">
        <is>
          <t>SEBI filing link</t>
        </is>
      </c>
      <c r="U1861" s="15" t="inlineStr">
        <is>
          <t>Rathi Bars Limited</t>
        </is>
      </c>
      <c r="V1861" s="15" t="n"/>
      <c r="W1861" s="15" t="n"/>
      <c r="X1861" s="15" t="n"/>
      <c r="Y1861" s="15" t="n"/>
      <c r="Z1861" s="15" t="n"/>
      <c r="AA1861" s="15" t="n"/>
      <c r="AB1861" s="15" t="n"/>
    </row>
    <row r="1862" ht="15" customHeight="1" s="12">
      <c r="A1862" s="14" t="n">
        <v>1861</v>
      </c>
      <c r="B1862" s="16" t="n">
        <v>39149</v>
      </c>
      <c r="C1862" s="15" t="n">
        <v>2007</v>
      </c>
      <c r="D1862" s="15" t="inlineStr">
        <is>
          <t>Zylog Systems Limited</t>
        </is>
      </c>
      <c r="E1862" s="15" t="inlineStr">
        <is>
          <t>DRHP</t>
        </is>
      </c>
      <c r="F1862" s="15" t="inlineStr">
        <is>
          <t>Zylog Systems Limited</t>
        </is>
      </c>
      <c r="G1862" s="15" t="inlineStr">
        <is>
          <t>No launched IPO found</t>
        </is>
      </c>
      <c r="H1862" s="15" t="n"/>
      <c r="I1862" s="16" t="n"/>
      <c r="J1862" s="16" t="n"/>
      <c r="K1862" s="16" t="n"/>
      <c r="L1862" s="17" t="n"/>
      <c r="M1862" s="17" t="n"/>
      <c r="N1862" s="17" t="n"/>
      <c r="O1862" s="15" t="n"/>
      <c r="P1862" s="15" t="n"/>
      <c r="Q1862" s="18" t="inlineStr">
        <is>
          <t>https://www.sebi.gov.in/sebi_data/attachdocs/1291870536465.pdf</t>
        </is>
      </c>
      <c r="R1862" s="18" t="inlineStr">
        <is>
          <t>https://www.sebi.gov.in/filings/public-issues/mar-2007/zylog-systems-limited_9078.html</t>
        </is>
      </c>
      <c r="S1862" s="15" t="n"/>
      <c r="T1862" s="15" t="n"/>
      <c r="U1862" s="15" t="n"/>
      <c r="V1862" s="15" t="n"/>
      <c r="W1862" s="19" t="n">
        <v>39283</v>
      </c>
      <c r="X1862" s="19" t="n">
        <v>39288</v>
      </c>
      <c r="Y1862" s="19" t="n"/>
      <c r="Z1862" s="20" t="inlineStr">
        <is>
          <t>Issue opened</t>
        </is>
      </c>
      <c r="AA1862" s="15" t="inlineStr">
        <is>
          <t>Matched on chittorgarh.com</t>
        </is>
      </c>
      <c r="AB1862" s="18" t="inlineStr">
        <is>
          <t>https://www.chittorgarh.com/ipo/zylog_ipo/106/</t>
        </is>
      </c>
    </row>
    <row r="1863" ht="15" customHeight="1" s="12">
      <c r="A1863" s="14" t="n">
        <v>1862</v>
      </c>
      <c r="B1863" s="16" t="n">
        <v>39141</v>
      </c>
      <c r="C1863" s="15" t="n">
        <v>2007</v>
      </c>
      <c r="D1863" s="15" t="inlineStr">
        <is>
          <t>Khaitan Weaving Mills Limited</t>
        </is>
      </c>
      <c r="E1863" s="15" t="inlineStr">
        <is>
          <t>DRHP</t>
        </is>
      </c>
      <c r="F1863" s="15" t="inlineStr">
        <is>
          <t>Khaitan Weaving Mills Limited</t>
        </is>
      </c>
      <c r="G1863" s="15" t="inlineStr">
        <is>
          <t>No launched IPO found</t>
        </is>
      </c>
      <c r="H1863" s="15" t="n"/>
      <c r="I1863" s="16" t="n"/>
      <c r="J1863" s="16" t="n"/>
      <c r="K1863" s="16" t="n"/>
      <c r="L1863" s="17" t="n"/>
      <c r="M1863" s="17" t="n"/>
      <c r="N1863" s="17" t="n"/>
      <c r="O1863" s="15" t="n"/>
      <c r="P1863" s="15" t="n"/>
      <c r="Q1863" s="18" t="inlineStr">
        <is>
          <t>https://www.sebi.gov.in/sebi_data/attachdocs/1291782896400.pdf</t>
        </is>
      </c>
      <c r="R1863" s="18" t="inlineStr">
        <is>
          <t>https://www.sebi.gov.in/filings/public-issues/feb-2007/khaitan-weaving-mills-limited_8605.html</t>
        </is>
      </c>
      <c r="S1863" s="15" t="n"/>
      <c r="T1863" s="15" t="n"/>
      <c r="U1863" s="15" t="n"/>
      <c r="V1863" s="15" t="n"/>
      <c r="W1863" s="16" t="n"/>
      <c r="X1863" s="16" t="n"/>
      <c r="Y1863" s="16" t="n"/>
      <c r="Z1863" s="15" t="inlineStr">
        <is>
          <t>No issue found</t>
        </is>
      </c>
      <c r="AA1863" s="15" t="inlineStr">
        <is>
          <t>Rights issue 6:1 at par, not IPO/FPO; opened 28-Dec-2007, closed 28-Jan-2008</t>
        </is>
      </c>
      <c r="AB1863" s="18" t="inlineStr">
        <is>
          <t>https://www.sebi.gov.in/sebi_data/attachdocs/1291969850706.pdf</t>
        </is>
      </c>
    </row>
    <row r="1864" ht="15" customHeight="1" s="12">
      <c r="A1864" s="14" t="n">
        <v>1863</v>
      </c>
      <c r="B1864" s="16" t="n">
        <v>39140</v>
      </c>
      <c r="C1864" s="15" t="n">
        <v>2007</v>
      </c>
      <c r="D1864" s="15" t="inlineStr">
        <is>
          <t>Magnum Ventures Limited</t>
        </is>
      </c>
      <c r="E1864" s="15" t="inlineStr">
        <is>
          <t>DRHP</t>
        </is>
      </c>
      <c r="F1864" s="15" t="inlineStr">
        <is>
          <t>Magnum Ventures Limited</t>
        </is>
      </c>
      <c r="G1864" s="15" t="inlineStr">
        <is>
          <t>IPO launched</t>
        </is>
      </c>
      <c r="H1864" s="15" t="inlineStr">
        <is>
          <t>Mainboard</t>
        </is>
      </c>
      <c r="I1864" s="16" t="n">
        <v>39321</v>
      </c>
      <c r="J1864" s="16" t="n">
        <v>39324</v>
      </c>
      <c r="K1864" s="16" t="n">
        <v>39345</v>
      </c>
      <c r="L1864" s="17" t="n">
        <v>52.92</v>
      </c>
      <c r="M1864" s="17" t="n">
        <v>52.92</v>
      </c>
      <c r="N1864" s="17" t="n">
        <v>0</v>
      </c>
      <c r="O1864" s="15" t="inlineStr">
        <is>
          <t>Final issue (ipoplatform)</t>
        </is>
      </c>
      <c r="P1864" s="15" t="n"/>
      <c r="Q1864" s="18" t="inlineStr">
        <is>
          <t>https://www.sebi.gov.in/sebi_data/attachdocs/1291782711938.pdf</t>
        </is>
      </c>
      <c r="R1864" s="18" t="inlineStr">
        <is>
          <t>https://www.sebi.gov.in/filings/public-issues/feb-2007/magnum-ventures-limited_8604.html</t>
        </is>
      </c>
      <c r="S1864" s="15" t="n"/>
      <c r="T1864" s="15" t="inlineStr">
        <is>
          <t>SEBI filing link</t>
        </is>
      </c>
      <c r="U1864" s="15" t="inlineStr">
        <is>
          <t>Magnum Ventures Limited</t>
        </is>
      </c>
      <c r="V1864" s="15" t="n"/>
      <c r="W1864" s="15" t="n"/>
      <c r="X1864" s="15" t="n"/>
      <c r="Y1864" s="15" t="n"/>
      <c r="Z1864" s="15" t="n"/>
      <c r="AA1864" s="15" t="n"/>
      <c r="AB1864" s="15" t="n"/>
    </row>
    <row r="1865" ht="15" customHeight="1" s="12">
      <c r="A1865" s="14" t="n">
        <v>1864</v>
      </c>
      <c r="B1865" s="16" t="n">
        <v>39136</v>
      </c>
      <c r="C1865" s="15" t="n">
        <v>2007</v>
      </c>
      <c r="D1865" s="15" t="inlineStr">
        <is>
          <t>Indowind Energy Limited</t>
        </is>
      </c>
      <c r="E1865" s="15" t="inlineStr">
        <is>
          <t>DRHP</t>
        </is>
      </c>
      <c r="F1865" s="15" t="inlineStr">
        <is>
          <t>Indowind Energy Limited</t>
        </is>
      </c>
      <c r="G1865" s="15" t="inlineStr">
        <is>
          <t>IPO launched</t>
        </is>
      </c>
      <c r="H1865" s="15" t="inlineStr">
        <is>
          <t>Mainboard</t>
        </is>
      </c>
      <c r="I1865" s="16" t="n">
        <v>39315</v>
      </c>
      <c r="J1865" s="16" t="n">
        <v>39318</v>
      </c>
      <c r="K1865" s="16" t="n">
        <v>39339</v>
      </c>
      <c r="L1865" s="17" t="n">
        <v>81.25</v>
      </c>
      <c r="M1865" s="17" t="n">
        <v>81.25</v>
      </c>
      <c r="N1865" s="17" t="n">
        <v>0</v>
      </c>
      <c r="O1865" s="15" t="inlineStr">
        <is>
          <t>Final issue (ipoplatform)</t>
        </is>
      </c>
      <c r="P1865" s="15" t="n"/>
      <c r="Q1865" s="18" t="inlineStr">
        <is>
          <t>https://www.sebi.gov.in/sebi_data/attachdocs/1291782087130.pdf</t>
        </is>
      </c>
      <c r="R1865" s="18" t="inlineStr">
        <is>
          <t>https://www.sebi.gov.in/filings/public-issues/feb-2007/indowind-energy-limited_8602.html</t>
        </is>
      </c>
      <c r="S1865" s="15" t="n"/>
      <c r="T1865" s="15" t="inlineStr">
        <is>
          <t>SEBI filing link</t>
        </is>
      </c>
      <c r="U1865" s="15" t="inlineStr">
        <is>
          <t>Indowind Energy Limited</t>
        </is>
      </c>
      <c r="V1865" s="15" t="n"/>
      <c r="W1865" s="15" t="n"/>
      <c r="X1865" s="15" t="n"/>
      <c r="Y1865" s="15" t="n"/>
      <c r="Z1865" s="15" t="n"/>
      <c r="AA1865" s="15" t="n"/>
      <c r="AB1865" s="15" t="n"/>
    </row>
    <row r="1866" ht="15" customHeight="1" s="12">
      <c r="A1866" s="14" t="n">
        <v>1865</v>
      </c>
      <c r="B1866" s="16" t="n">
        <v>39136</v>
      </c>
      <c r="C1866" s="15" t="n">
        <v>2007</v>
      </c>
      <c r="D1866" s="15" t="inlineStr">
        <is>
          <t>Spice Communications Limited</t>
        </is>
      </c>
      <c r="E1866" s="15" t="inlineStr">
        <is>
          <t>DRHP</t>
        </is>
      </c>
      <c r="F1866" s="15" t="inlineStr">
        <is>
          <t>Spice Communications Limited</t>
        </is>
      </c>
      <c r="G1866" s="15" t="inlineStr">
        <is>
          <t>No launched IPO found</t>
        </is>
      </c>
      <c r="H1866" s="15" t="n"/>
      <c r="I1866" s="16" t="n"/>
      <c r="J1866" s="16" t="n"/>
      <c r="K1866" s="16" t="n"/>
      <c r="L1866" s="17" t="n"/>
      <c r="M1866" s="17" t="n"/>
      <c r="N1866" s="17" t="n"/>
      <c r="O1866" s="15" t="n"/>
      <c r="P1866" s="15" t="n"/>
      <c r="Q1866" s="18" t="inlineStr">
        <is>
          <t>https://www.sebi.gov.in/sebi_data/attachdocs/1291780399460.pdf</t>
        </is>
      </c>
      <c r="R1866" s="18" t="inlineStr">
        <is>
          <t>https://www.sebi.gov.in/filings/public-issues/feb-2007/spice-communications-limited_8599.html</t>
        </is>
      </c>
      <c r="S1866" s="15" t="n"/>
      <c r="T1866" s="15" t="n"/>
      <c r="U1866" s="15" t="n"/>
      <c r="V1866" s="15" t="n"/>
      <c r="W1866" s="19" t="n">
        <v>39258</v>
      </c>
      <c r="X1866" s="19" t="n">
        <v>39260</v>
      </c>
      <c r="Y1866" s="19" t="n"/>
      <c r="Z1866" s="20" t="inlineStr">
        <is>
          <t>Issue opened</t>
        </is>
      </c>
      <c r="AA1866" s="15" t="inlineStr">
        <is>
          <t>Matched on chittorgarh.com</t>
        </is>
      </c>
      <c r="AB1866" s="18" t="inlineStr">
        <is>
          <t>https://www.chittorgarh.com/ipo/spice_telecom_ipo/96/</t>
        </is>
      </c>
    </row>
    <row r="1867" ht="15" customHeight="1" s="12">
      <c r="A1867" s="14" t="n">
        <v>1866</v>
      </c>
      <c r="B1867" s="16" t="n">
        <v>39132</v>
      </c>
      <c r="C1867" s="15" t="n">
        <v>2007</v>
      </c>
      <c r="D1867" s="15" t="inlineStr">
        <is>
          <t>IT People (India) Limited</t>
        </is>
      </c>
      <c r="E1867" s="15" t="inlineStr">
        <is>
          <t>DRHP</t>
        </is>
      </c>
      <c r="F1867" s="15" t="inlineStr">
        <is>
          <t>IT People (India) Limited</t>
        </is>
      </c>
      <c r="G1867" s="15" t="inlineStr">
        <is>
          <t>No launched IPO found</t>
        </is>
      </c>
      <c r="H1867" s="15" t="n"/>
      <c r="I1867" s="16" t="n"/>
      <c r="J1867" s="16" t="n"/>
      <c r="K1867" s="16" t="n"/>
      <c r="L1867" s="17" t="n"/>
      <c r="M1867" s="17" t="n"/>
      <c r="N1867" s="17" t="n"/>
      <c r="O1867" s="15" t="n"/>
      <c r="P1867" s="15" t="n"/>
      <c r="Q1867" s="18" t="inlineStr">
        <is>
          <t>https://www.sebi.gov.in/sebi_data/attachdocs/1291777822076.pdf</t>
        </is>
      </c>
      <c r="R1867" s="18" t="inlineStr">
        <is>
          <t>https://www.sebi.gov.in/filings/public-issues/feb-2007/it-people-india-limited_8595.html</t>
        </is>
      </c>
      <c r="S1867" s="15" t="n"/>
      <c r="T1867" s="15" t="n"/>
      <c r="U1867" s="15" t="n"/>
      <c r="V1867" s="15" t="n"/>
      <c r="W1867" s="19" t="n">
        <v>39321</v>
      </c>
      <c r="X1867" s="19" t="n">
        <v>39325</v>
      </c>
      <c r="Y1867" s="19" t="n"/>
      <c r="Z1867" s="20" t="inlineStr">
        <is>
          <t>Issue opened</t>
        </is>
      </c>
      <c r="AA1867" s="15" t="inlineStr">
        <is>
          <t>FPO: Chittorgarh lists FPO; listing date not shown.</t>
        </is>
      </c>
      <c r="AB1867" s="18" t="inlineStr">
        <is>
          <t>https://www.chittorgarh.com/ipo/x/117/</t>
        </is>
      </c>
    </row>
    <row r="1868" ht="15" customHeight="1" s="12">
      <c r="A1868" s="14" t="n">
        <v>1867</v>
      </c>
      <c r="B1868" s="16" t="n">
        <v>39127</v>
      </c>
      <c r="C1868" s="15" t="n">
        <v>2007</v>
      </c>
      <c r="D1868" s="15" t="inlineStr">
        <is>
          <t>Housing Development and Infrastructure Limited</t>
        </is>
      </c>
      <c r="E1868" s="15" t="inlineStr">
        <is>
          <t>DRHP</t>
        </is>
      </c>
      <c r="F1868" s="15" t="inlineStr">
        <is>
          <t>Housing Development and Infrastructure Limited</t>
        </is>
      </c>
      <c r="G1868" s="15" t="inlineStr">
        <is>
          <t>No launched IPO found</t>
        </is>
      </c>
      <c r="H1868" s="15" t="n"/>
      <c r="I1868" s="16" t="n"/>
      <c r="J1868" s="16" t="n"/>
      <c r="K1868" s="16" t="n"/>
      <c r="L1868" s="17" t="n"/>
      <c r="M1868" s="17" t="n"/>
      <c r="N1868" s="17" t="n"/>
      <c r="O1868" s="15" t="n"/>
      <c r="P1868" s="15" t="n"/>
      <c r="Q1868" s="18" t="inlineStr">
        <is>
          <t>https://www.sebi.gov.in/sebi_data/attachdocs/1291725191285.pdf</t>
        </is>
      </c>
      <c r="R1868" s="18" t="inlineStr">
        <is>
          <t>https://www.sebi.gov.in/filings/public-issues/feb-2007/housing-development-and-infrastructure-limited_8592.html</t>
        </is>
      </c>
      <c r="S1868" s="15" t="n"/>
      <c r="T1868" s="15" t="n"/>
      <c r="U1868" s="15" t="n"/>
      <c r="V1868" s="15" t="n"/>
      <c r="W1868" s="19" t="n">
        <v>39261</v>
      </c>
      <c r="X1868" s="19" t="n">
        <v>39266</v>
      </c>
      <c r="Y1868" s="19" t="n">
        <v>39287</v>
      </c>
      <c r="Z1868" s="20" t="inlineStr">
        <is>
          <t>Issue opened</t>
        </is>
      </c>
      <c r="AA1868" s="15" t="inlineStr">
        <is>
          <t>Business Standard IPO page</t>
        </is>
      </c>
      <c r="AB1868" s="18" t="inlineStr">
        <is>
          <t>https://www.business-standard.com/markets/ipo/housing-development-infrastructure-ltd-ipo-27828</t>
        </is>
      </c>
    </row>
    <row r="1869" ht="15" customHeight="1" s="12">
      <c r="A1869" s="14" t="n">
        <v>1868</v>
      </c>
      <c r="B1869" s="16" t="n">
        <v>39120</v>
      </c>
      <c r="C1869" s="15" t="n">
        <v>2007</v>
      </c>
      <c r="D1869" s="15" t="inlineStr">
        <is>
          <t>Titagarh Wagons Limited</t>
        </is>
      </c>
      <c r="E1869" s="15" t="inlineStr">
        <is>
          <t>DRHP</t>
        </is>
      </c>
      <c r="F1869" s="15" t="inlineStr">
        <is>
          <t>Titagarh Wagons Limited</t>
        </is>
      </c>
      <c r="G1869" s="15" t="inlineStr">
        <is>
          <t>IPO launched</t>
        </is>
      </c>
      <c r="H1869" s="15" t="inlineStr">
        <is>
          <t>Mainboard</t>
        </is>
      </c>
      <c r="I1869" s="16" t="n">
        <v>39531</v>
      </c>
      <c r="J1869" s="16" t="n">
        <v>39534</v>
      </c>
      <c r="K1869" s="16" t="n">
        <v>39559</v>
      </c>
      <c r="L1869" s="17" t="n">
        <v>128.72</v>
      </c>
      <c r="M1869" s="17" t="n">
        <v>128.72</v>
      </c>
      <c r="N1869" s="17" t="n">
        <v>0</v>
      </c>
      <c r="O1869" s="15" t="inlineStr">
        <is>
          <t>Final issue (ipoplatform)</t>
        </is>
      </c>
      <c r="P1869" s="15" t="n"/>
      <c r="Q1869" s="18" t="inlineStr">
        <is>
          <t>https://www.sebi.gov.in/sebi_data/attachdocs/1294660457620.pdf</t>
        </is>
      </c>
      <c r="R1869" s="18" t="inlineStr">
        <is>
          <t>https://www.sebi.gov.in/filings/public-issues/feb-2007/titagarh-wagons-limited_14226.html</t>
        </is>
      </c>
      <c r="S1869" s="15" t="n"/>
      <c r="T1869" s="15" t="inlineStr">
        <is>
          <t>Company name + date window</t>
        </is>
      </c>
      <c r="U1869" s="15" t="inlineStr">
        <is>
          <t>Titagarh Wagons Limited</t>
        </is>
      </c>
      <c r="V1869" s="15" t="n"/>
      <c r="W1869" s="15" t="n"/>
      <c r="X1869" s="15" t="n"/>
      <c r="Y1869" s="15" t="n"/>
      <c r="Z1869" s="15" t="n"/>
      <c r="AA1869" s="15" t="n"/>
      <c r="AB1869" s="15" t="n"/>
    </row>
    <row r="1870" ht="15" customHeight="1" s="12">
      <c r="A1870" s="14" t="n">
        <v>1869</v>
      </c>
      <c r="B1870" s="16" t="n">
        <v>39120</v>
      </c>
      <c r="C1870" s="15" t="n">
        <v>2007</v>
      </c>
      <c r="D1870" s="15" t="inlineStr">
        <is>
          <t>Kolte Patil Developers Ltd</t>
        </is>
      </c>
      <c r="E1870" s="15" t="inlineStr">
        <is>
          <t>DRHP</t>
        </is>
      </c>
      <c r="F1870" s="15" t="inlineStr">
        <is>
          <t>Kolte Patil Developers Ltd</t>
        </is>
      </c>
      <c r="G1870" s="15" t="inlineStr">
        <is>
          <t>IPO launched</t>
        </is>
      </c>
      <c r="H1870" s="15" t="inlineStr">
        <is>
          <t>Mainboard</t>
        </is>
      </c>
      <c r="I1870" s="16" t="n">
        <v>39405</v>
      </c>
      <c r="J1870" s="16" t="n">
        <v>39408</v>
      </c>
      <c r="K1870" s="16" t="n">
        <v>39429</v>
      </c>
      <c r="L1870" s="17" t="n">
        <v>275.51</v>
      </c>
      <c r="M1870" s="17" t="n">
        <v>275.51</v>
      </c>
      <c r="N1870" s="17" t="n">
        <v>0</v>
      </c>
      <c r="O1870" s="15" t="inlineStr">
        <is>
          <t>Final issue (ipoplatform)</t>
        </is>
      </c>
      <c r="P1870" s="15" t="n"/>
      <c r="Q1870" s="18" t="inlineStr">
        <is>
          <t>https://www.sebi.gov.in/sebi_data/attachdocs/1291725069875.pdf</t>
        </is>
      </c>
      <c r="R1870" s="18" t="inlineStr">
        <is>
          <t>https://www.sebi.gov.in/filings/public-issues/feb-2007/kolte-patil-developers-ltd_8591.html</t>
        </is>
      </c>
      <c r="S1870" s="15" t="n"/>
      <c r="T1870" s="15" t="inlineStr">
        <is>
          <t>SEBI filing link</t>
        </is>
      </c>
      <c r="U1870" s="15" t="inlineStr">
        <is>
          <t>Kolte-Patil Developers Limited</t>
        </is>
      </c>
      <c r="V1870" s="15" t="n"/>
      <c r="W1870" s="15" t="n"/>
      <c r="X1870" s="15" t="n"/>
      <c r="Y1870" s="15" t="n"/>
      <c r="Z1870" s="15" t="n"/>
      <c r="AA1870" s="15" t="n"/>
      <c r="AB1870" s="15" t="n"/>
    </row>
    <row r="1871" ht="15" customHeight="1" s="12">
      <c r="A1871" s="14" t="n">
        <v>1870</v>
      </c>
      <c r="B1871" s="16" t="n">
        <v>39120</v>
      </c>
      <c r="C1871" s="15" t="n">
        <v>2007</v>
      </c>
      <c r="D1871" s="15" t="inlineStr">
        <is>
          <t>Supreme Infrastructure India Limited</t>
        </is>
      </c>
      <c r="E1871" s="15" t="inlineStr">
        <is>
          <t>DRHP</t>
        </is>
      </c>
      <c r="F1871" s="15" t="inlineStr">
        <is>
          <t>Supreme Infrastructure India Limited</t>
        </is>
      </c>
      <c r="G1871" s="15" t="inlineStr">
        <is>
          <t>IPO launched</t>
        </is>
      </c>
      <c r="H1871" s="15" t="inlineStr">
        <is>
          <t>Mainboard</t>
        </is>
      </c>
      <c r="I1871" s="16" t="n">
        <v>39346</v>
      </c>
      <c r="J1871" s="16" t="n">
        <v>39351</v>
      </c>
      <c r="K1871" s="16" t="n">
        <v>39373</v>
      </c>
      <c r="L1871" s="17" t="n">
        <v>37.53</v>
      </c>
      <c r="M1871" s="17" t="n">
        <v>37.53</v>
      </c>
      <c r="N1871" s="17" t="n">
        <v>0</v>
      </c>
      <c r="O1871" s="15" t="inlineStr">
        <is>
          <t>Final issue (ipoplatform)</t>
        </is>
      </c>
      <c r="P1871" s="15" t="n"/>
      <c r="Q1871" s="18" t="inlineStr">
        <is>
          <t>https://www.sebi.gov.in/sebi_data/attachdocs/1291724964782.pdf</t>
        </is>
      </c>
      <c r="R1871" s="18" t="inlineStr">
        <is>
          <t>https://www.sebi.gov.in/filings/public-issues/feb-2007/supreme-infrastructure-india-limited_8590.html</t>
        </is>
      </c>
      <c r="S1871" s="15" t="n"/>
      <c r="T1871" s="15" t="inlineStr">
        <is>
          <t>SEBI filing link</t>
        </is>
      </c>
      <c r="U1871" s="15" t="inlineStr">
        <is>
          <t>Supreme Infrastructure India Limited</t>
        </is>
      </c>
      <c r="V1871" s="15" t="n"/>
      <c r="W1871" s="15" t="n"/>
      <c r="X1871" s="15" t="n"/>
      <c r="Y1871" s="15" t="n"/>
      <c r="Z1871" s="15" t="n"/>
      <c r="AA1871" s="15" t="n"/>
      <c r="AB1871" s="15" t="n"/>
    </row>
    <row r="1872" ht="15" customHeight="1" s="12">
      <c r="A1872" s="14" t="n">
        <v>1871</v>
      </c>
      <c r="B1872" s="16" t="n">
        <v>39118</v>
      </c>
      <c r="C1872" s="15" t="n">
        <v>2007</v>
      </c>
      <c r="D1872" s="15" t="inlineStr">
        <is>
          <t>Asian Granito India Limited</t>
        </is>
      </c>
      <c r="E1872" s="15" t="inlineStr">
        <is>
          <t>DRHP</t>
        </is>
      </c>
      <c r="F1872" s="15" t="inlineStr">
        <is>
          <t>Asian Granito India Limited</t>
        </is>
      </c>
      <c r="G1872" s="15" t="inlineStr">
        <is>
          <t>IPO launched</t>
        </is>
      </c>
      <c r="H1872" s="15" t="inlineStr">
        <is>
          <t>Mainboard</t>
        </is>
      </c>
      <c r="I1872" s="16" t="n">
        <v>39289</v>
      </c>
      <c r="J1872" s="16" t="n">
        <v>39294</v>
      </c>
      <c r="K1872" s="16" t="n">
        <v>39317</v>
      </c>
      <c r="L1872" s="17" t="n">
        <v>67.90000000000001</v>
      </c>
      <c r="M1872" s="17" t="n">
        <v>67.90000000000001</v>
      </c>
      <c r="N1872" s="17" t="n">
        <v>0</v>
      </c>
      <c r="O1872" s="15" t="inlineStr">
        <is>
          <t>Final issue (ipoplatform)</t>
        </is>
      </c>
      <c r="P1872" s="15" t="n"/>
      <c r="Q1872" s="18" t="inlineStr">
        <is>
          <t>https://www.sebi.gov.in/sebi_data/attachdocs/1291724756955.pdf</t>
        </is>
      </c>
      <c r="R1872" s="18" t="inlineStr">
        <is>
          <t>https://www.sebi.gov.in/filings/public-issues/feb-2007/asian-granito-india-limited_8589.html</t>
        </is>
      </c>
      <c r="S1872" s="15" t="n"/>
      <c r="T1872" s="15" t="inlineStr">
        <is>
          <t>SEBI filing link</t>
        </is>
      </c>
      <c r="U1872" s="15" t="inlineStr">
        <is>
          <t>Asian Granito India Limited</t>
        </is>
      </c>
      <c r="V1872" s="15" t="n"/>
      <c r="W1872" s="15" t="n"/>
      <c r="X1872" s="15" t="n"/>
      <c r="Y1872" s="15" t="n"/>
      <c r="Z1872" s="15" t="n"/>
      <c r="AA1872" s="15" t="n"/>
      <c r="AB1872" s="15" t="n"/>
    </row>
    <row r="1873" ht="15" customHeight="1" s="12">
      <c r="A1873" s="14" t="n">
        <v>1872</v>
      </c>
      <c r="B1873" s="16" t="n">
        <v>39113</v>
      </c>
      <c r="C1873" s="15" t="n">
        <v>2007</v>
      </c>
      <c r="D1873" s="15" t="inlineStr">
        <is>
          <t>Manaksia Limited</t>
        </is>
      </c>
      <c r="E1873" s="15" t="inlineStr">
        <is>
          <t>DRHP</t>
        </is>
      </c>
      <c r="F1873" s="15" t="inlineStr">
        <is>
          <t>Manaksia Limited</t>
        </is>
      </c>
      <c r="G1873" s="15" t="inlineStr">
        <is>
          <t>No launched IPO found</t>
        </is>
      </c>
      <c r="H1873" s="15" t="n"/>
      <c r="I1873" s="16" t="n"/>
      <c r="J1873" s="16" t="n"/>
      <c r="K1873" s="16" t="n"/>
      <c r="L1873" s="17" t="n"/>
      <c r="M1873" s="17" t="n"/>
      <c r="N1873" s="17" t="n"/>
      <c r="O1873" s="15" t="n"/>
      <c r="P1873" s="15" t="n"/>
      <c r="Q1873" s="18" t="inlineStr">
        <is>
          <t>https://www.sebi.gov.in/sebi_data/attachdocs/1291713036740.pdf</t>
        </is>
      </c>
      <c r="R1873" s="18" t="inlineStr">
        <is>
          <t>https://www.sebi.gov.in/filings/public-issues/jan-2007/manaksia-limited_8446.html</t>
        </is>
      </c>
      <c r="S1873" s="15" t="n"/>
      <c r="T1873" s="15" t="n"/>
      <c r="U1873" s="15" t="n"/>
      <c r="V1873" s="15" t="n"/>
      <c r="W1873" s="19" t="n">
        <v>39433</v>
      </c>
      <c r="X1873" s="19" t="n">
        <v>39435</v>
      </c>
      <c r="Y1873" s="19" t="n">
        <v>39455</v>
      </c>
      <c r="Z1873" s="20" t="inlineStr">
        <is>
          <t>Issue opened</t>
        </is>
      </c>
      <c r="AA1873" s="15" t="inlineStr">
        <is>
          <t>Business Standard IPO page</t>
        </is>
      </c>
      <c r="AB1873" s="18" t="inlineStr">
        <is>
          <t>https://www.business-standard.com/markets/ipo/manaksia-ltd-ipo-13819</t>
        </is>
      </c>
    </row>
    <row r="1874" ht="15" customHeight="1" s="12">
      <c r="A1874" s="14" t="n">
        <v>1873</v>
      </c>
      <c r="B1874" s="16" t="n">
        <v>39113</v>
      </c>
      <c r="C1874" s="15" t="n">
        <v>2007</v>
      </c>
      <c r="D1874" s="15" t="inlineStr">
        <is>
          <t>Refex Refrigerants Limited</t>
        </is>
      </c>
      <c r="E1874" s="15" t="inlineStr">
        <is>
          <t>DRHP</t>
        </is>
      </c>
      <c r="F1874" s="15" t="inlineStr">
        <is>
          <t>Refex Refrigerants Limited</t>
        </is>
      </c>
      <c r="G1874" s="15" t="inlineStr">
        <is>
          <t>No launched IPO found</t>
        </is>
      </c>
      <c r="H1874" s="15" t="n"/>
      <c r="I1874" s="16" t="n"/>
      <c r="J1874" s="16" t="n"/>
      <c r="K1874" s="16" t="n"/>
      <c r="L1874" s="17" t="n"/>
      <c r="M1874" s="17" t="n"/>
      <c r="N1874" s="17" t="n"/>
      <c r="O1874" s="15" t="n"/>
      <c r="P1874" s="15" t="n"/>
      <c r="Q1874" s="18" t="inlineStr">
        <is>
          <t>https://www.sebi.gov.in/sebi_data/attachdocs/1291712889580.pdf</t>
        </is>
      </c>
      <c r="R1874" s="18" t="inlineStr">
        <is>
          <t>https://www.sebi.gov.in/filings/public-issues/jan-2007/refex-refrigerants-limited_8442.html</t>
        </is>
      </c>
      <c r="S1874" s="15" t="n"/>
      <c r="T1874" s="15" t="n"/>
      <c r="U1874" s="15" t="n"/>
      <c r="V1874" s="15" t="n"/>
      <c r="W1874" s="19" t="n">
        <v>39286</v>
      </c>
      <c r="X1874" s="19" t="n">
        <v>39289</v>
      </c>
      <c r="Y1874" s="19" t="n"/>
      <c r="Z1874" s="20" t="inlineStr">
        <is>
          <t>Issue opened</t>
        </is>
      </c>
      <c r="AA1874" s="15" t="inlineStr">
        <is>
          <t>Matched on chittorgarh.com</t>
        </is>
      </c>
      <c r="AB1874" s="18" t="inlineStr">
        <is>
          <t>https://www.chittorgarh.com/ipo/refex_ipo/105/</t>
        </is>
      </c>
    </row>
    <row r="1875" ht="15" customHeight="1" s="12">
      <c r="A1875" s="14" t="n">
        <v>1874</v>
      </c>
      <c r="B1875" s="16" t="n">
        <v>39111</v>
      </c>
      <c r="C1875" s="15" t="n">
        <v>2007</v>
      </c>
      <c r="D1875" s="15" t="inlineStr">
        <is>
          <t>IVR Prime Urban Developers Limited</t>
        </is>
      </c>
      <c r="E1875" s="15" t="inlineStr">
        <is>
          <t>DRHP</t>
        </is>
      </c>
      <c r="F1875" s="15" t="inlineStr">
        <is>
          <t>IVR Prime Urban Developers Limited</t>
        </is>
      </c>
      <c r="G1875" s="15" t="inlineStr">
        <is>
          <t>No launched IPO found</t>
        </is>
      </c>
      <c r="H1875" s="15" t="n"/>
      <c r="I1875" s="16" t="n"/>
      <c r="J1875" s="16" t="n"/>
      <c r="K1875" s="16" t="n"/>
      <c r="L1875" s="17" t="n"/>
      <c r="M1875" s="17" t="n"/>
      <c r="N1875" s="17" t="n"/>
      <c r="O1875" s="15" t="n"/>
      <c r="P1875" s="15" t="n"/>
      <c r="Q1875" s="18" t="inlineStr">
        <is>
          <t>https://www.sebi.gov.in/sebi_data/attachdocs/1291712644556.pdf</t>
        </is>
      </c>
      <c r="R1875" s="18" t="inlineStr">
        <is>
          <t>https://www.sebi.gov.in/filings/public-issues/jan-2007/ivr-prime-urban-developers-limited_8438.html</t>
        </is>
      </c>
      <c r="S1875" s="15" t="n"/>
      <c r="T1875" s="15" t="n"/>
      <c r="U1875" s="15" t="n"/>
      <c r="V1875" s="15" t="n"/>
      <c r="W1875" s="19" t="n">
        <v>39286</v>
      </c>
      <c r="X1875" s="19" t="n">
        <v>39289</v>
      </c>
      <c r="Y1875" s="19" t="n"/>
      <c r="Z1875" s="20" t="inlineStr">
        <is>
          <t>Issue opened</t>
        </is>
      </c>
      <c r="AA1875" s="15" t="inlineStr">
        <is>
          <t>Matched on chittorgarh.com</t>
        </is>
      </c>
      <c r="AB1875" s="18" t="inlineStr">
        <is>
          <t>https://www.chittorgarh.com/ipo/ivr_prime_ipo/107/</t>
        </is>
      </c>
    </row>
    <row r="1876" ht="15" customHeight="1" s="12">
      <c r="A1876" s="14" t="n">
        <v>1875</v>
      </c>
      <c r="B1876" s="16" t="n">
        <v>39107</v>
      </c>
      <c r="C1876" s="15" t="n">
        <v>2007</v>
      </c>
      <c r="D1876" s="15" t="inlineStr">
        <is>
          <t>Allied Digital Services Limited</t>
        </is>
      </c>
      <c r="E1876" s="15" t="inlineStr">
        <is>
          <t>DRHP</t>
        </is>
      </c>
      <c r="F1876" s="15" t="inlineStr">
        <is>
          <t>Allied Digital Services Limited</t>
        </is>
      </c>
      <c r="G1876" s="15" t="inlineStr">
        <is>
          <t>IPO launched</t>
        </is>
      </c>
      <c r="H1876" s="15" t="inlineStr">
        <is>
          <t>Mainboard</t>
        </is>
      </c>
      <c r="I1876" s="16" t="n">
        <v>39265</v>
      </c>
      <c r="J1876" s="16" t="n">
        <v>39268</v>
      </c>
      <c r="K1876" s="16" t="n">
        <v>39288</v>
      </c>
      <c r="L1876" s="17" t="n">
        <v>85.93000000000001</v>
      </c>
      <c r="M1876" s="17" t="n"/>
      <c r="N1876" s="17" t="n">
        <v>85.93000000000001</v>
      </c>
      <c r="O1876" s="15" t="inlineStr">
        <is>
          <t>Final issue (ipoplatform)</t>
        </is>
      </c>
      <c r="P1876" s="15" t="n"/>
      <c r="Q1876" s="18" t="inlineStr">
        <is>
          <t>https://www.sebi.gov.in/sebi_data/attachdocs/1291712342421.pdf</t>
        </is>
      </c>
      <c r="R1876" s="18" t="inlineStr">
        <is>
          <t>https://www.sebi.gov.in/filings/public-issues/jan-2007/allied-digital-services-limited_8432.html</t>
        </is>
      </c>
      <c r="S1876" s="15" t="n"/>
      <c r="T1876" s="15" t="inlineStr">
        <is>
          <t>SEBI filing link</t>
        </is>
      </c>
      <c r="U1876" s="15" t="inlineStr">
        <is>
          <t>Allied Digital Services Limited</t>
        </is>
      </c>
      <c r="V1876" s="15" t="n"/>
      <c r="W1876" s="15" t="n"/>
      <c r="X1876" s="15" t="n"/>
      <c r="Y1876" s="15" t="n"/>
      <c r="Z1876" s="15" t="n"/>
      <c r="AA1876" s="15" t="n"/>
      <c r="AB1876" s="15" t="n"/>
    </row>
    <row r="1877" ht="15" customHeight="1" s="12">
      <c r="A1877" s="14" t="n">
        <v>1876</v>
      </c>
      <c r="B1877" s="16" t="n">
        <v>39104</v>
      </c>
      <c r="C1877" s="15" t="n">
        <v>2007</v>
      </c>
      <c r="D1877" s="15" t="inlineStr">
        <is>
          <t>Decolight Ceramics Limited</t>
        </is>
      </c>
      <c r="E1877" s="15" t="inlineStr">
        <is>
          <t>DRHP</t>
        </is>
      </c>
      <c r="F1877" s="15" t="inlineStr">
        <is>
          <t>Decolight Ceramics Limited</t>
        </is>
      </c>
      <c r="G1877" s="15" t="inlineStr">
        <is>
          <t>No launched IPO found</t>
        </is>
      </c>
      <c r="H1877" s="15" t="n"/>
      <c r="I1877" s="16" t="n"/>
      <c r="J1877" s="16" t="n"/>
      <c r="K1877" s="16" t="n"/>
      <c r="L1877" s="17" t="n"/>
      <c r="M1877" s="17" t="n"/>
      <c r="N1877" s="17" t="n"/>
      <c r="O1877" s="15" t="n"/>
      <c r="P1877" s="15" t="n"/>
      <c r="Q1877" s="18" t="inlineStr">
        <is>
          <t>https://www.sebi.gov.in/sebi_data/attachdocs/1291711972380.pdf</t>
        </is>
      </c>
      <c r="R1877" s="18" t="inlineStr">
        <is>
          <t>https://www.sebi.gov.in/filings/public-issues/jan-2007/decolight-ceramics-limited_8424.html</t>
        </is>
      </c>
      <c r="S1877" s="15" t="n"/>
      <c r="T1877" s="15" t="n"/>
      <c r="U1877" s="15" t="n"/>
      <c r="V1877" s="15" t="n"/>
      <c r="W1877" s="19" t="n">
        <v>39226</v>
      </c>
      <c r="X1877" s="19" t="n">
        <v>39231</v>
      </c>
      <c r="Y1877" s="19" t="n"/>
      <c r="Z1877" s="20" t="inlineStr">
        <is>
          <t>Issue opened</t>
        </is>
      </c>
      <c r="AA1877" s="15" t="inlineStr">
        <is>
          <t>Matched on chittorgarh.com</t>
        </is>
      </c>
      <c r="AB1877" s="18" t="inlineStr">
        <is>
          <t>https://www.chittorgarh.com/ipo/decolight_ipo/85/</t>
        </is>
      </c>
    </row>
    <row r="1878" ht="15" customHeight="1" s="12">
      <c r="A1878" s="14" t="n">
        <v>1877</v>
      </c>
      <c r="B1878" s="16" t="n">
        <v>39104</v>
      </c>
      <c r="C1878" s="15" t="n">
        <v>2007</v>
      </c>
      <c r="D1878" s="15" t="inlineStr">
        <is>
          <t>HAL Offshore Limited</t>
        </is>
      </c>
      <c r="E1878" s="15" t="inlineStr">
        <is>
          <t>DRHP</t>
        </is>
      </c>
      <c r="F1878" s="15" t="inlineStr">
        <is>
          <t>HAL Offshore Limited</t>
        </is>
      </c>
      <c r="G1878" s="15" t="inlineStr">
        <is>
          <t>No launched IPO found</t>
        </is>
      </c>
      <c r="H1878" s="15" t="n"/>
      <c r="I1878" s="16" t="n"/>
      <c r="J1878" s="16" t="n"/>
      <c r="K1878" s="16" t="n"/>
      <c r="L1878" s="17" t="n"/>
      <c r="M1878" s="17" t="n"/>
      <c r="N1878" s="17" t="n"/>
      <c r="O1878" s="15" t="n"/>
      <c r="P1878" s="15" t="n"/>
      <c r="Q1878" s="18" t="inlineStr">
        <is>
          <t>https://www.sebi.gov.in/sebi_data/attachdocs/1291712209852.pdf</t>
        </is>
      </c>
      <c r="R1878" s="18" t="inlineStr">
        <is>
          <t>https://www.sebi.gov.in/filings/public-issues/jan-2007/hal-offshore-limited_8428.html</t>
        </is>
      </c>
      <c r="S1878" s="15" t="n"/>
      <c r="T1878" s="15" t="n"/>
      <c r="U1878" s="15" t="n"/>
      <c r="V1878" s="15" t="n"/>
      <c r="W1878" s="16" t="n"/>
      <c r="X1878" s="16" t="n"/>
      <c r="Y1878" s="16" t="n"/>
      <c r="Z1878" s="15" t="inlineStr">
        <is>
          <t>No issue found</t>
        </is>
      </c>
      <c r="AA1878" s="15" t="inlineStr">
        <is>
          <t>33 lakh-share IPO never opened; company remains unlisted</t>
        </is>
      </c>
      <c r="AB1878" s="18" t="inlineStr">
        <is>
          <t>https://www.tofler.in/hal-offshore-limited/company/U24298MH1996PLC393083</t>
        </is>
      </c>
    </row>
    <row r="1879" ht="15" customHeight="1" s="12">
      <c r="A1879" s="14" t="n">
        <v>1878</v>
      </c>
      <c r="B1879" s="16" t="n">
        <v>39100</v>
      </c>
      <c r="C1879" s="15" t="n">
        <v>2007</v>
      </c>
      <c r="D1879" s="15" t="inlineStr">
        <is>
          <t>Corrigendum in the matter of Proposed Public Issue of Technocraft Industries (India) Limited</t>
        </is>
      </c>
      <c r="E1879" s="15" t="inlineStr">
        <is>
          <t>Corrigendum</t>
        </is>
      </c>
      <c r="F1879" s="15" t="inlineStr">
        <is>
          <t>Corrigendum in the matter of Proposed Public Issue of Technocraft Industries (India) Limited</t>
        </is>
      </c>
      <c r="G1879" s="15" t="inlineStr">
        <is>
          <t>No launched IPO found</t>
        </is>
      </c>
      <c r="H1879" s="15" t="n"/>
      <c r="I1879" s="16" t="n"/>
      <c r="J1879" s="16" t="n"/>
      <c r="K1879" s="16" t="n"/>
      <c r="L1879" s="17" t="n"/>
      <c r="M1879" s="17" t="n"/>
      <c r="N1879" s="17" t="n"/>
      <c r="O1879" s="15" t="n"/>
      <c r="P1879" s="15" t="n"/>
      <c r="Q1879" s="18" t="inlineStr">
        <is>
          <t>https://www.sebi.gov.in/sebi_data/attachdocs/1291711747084.pdf</t>
        </is>
      </c>
      <c r="R1879" s="18" t="inlineStr">
        <is>
          <t>https://www.sebi.gov.in/filings/public-issues/jan-2007/corrigendum-in-the-matter-of-proposed-public-issue-of-technocraft-industries-india-limited_8421.html</t>
        </is>
      </c>
      <c r="S1879" s="15" t="n"/>
      <c r="T1879" s="15" t="n"/>
      <c r="U1879" s="15" t="n"/>
      <c r="V1879" s="15" t="n"/>
      <c r="W1879" s="16" t="n"/>
      <c r="X1879" s="16" t="n"/>
      <c r="Y1879" s="16" t="n"/>
      <c r="Z1879" s="15" t="inlineStr">
        <is>
          <t>No issue found</t>
        </is>
      </c>
      <c r="AA1879" s="15" t="inlineStr">
        <is>
          <t>Technocraft IPO opened 2007-01-18, same day as corrigendum, not after first_filed.</t>
        </is>
      </c>
      <c r="AB1879" s="18" t="inlineStr">
        <is>
          <t>https://www.chittorgarh.com/ipo/x/44/</t>
        </is>
      </c>
    </row>
    <row r="1880" ht="15" customHeight="1" s="12">
      <c r="A1880" s="14" t="n">
        <v>1879</v>
      </c>
      <c r="B1880" s="16" t="n">
        <v>39091</v>
      </c>
      <c r="C1880" s="15" t="n">
        <v>2007</v>
      </c>
      <c r="D1880" s="15" t="inlineStr">
        <is>
          <t>Puravankara Projects Limited</t>
        </is>
      </c>
      <c r="E1880" s="15" t="inlineStr">
        <is>
          <t>DRHP</t>
        </is>
      </c>
      <c r="F1880" s="15" t="inlineStr">
        <is>
          <t>Puravankara Projects Limited</t>
        </is>
      </c>
      <c r="G1880" s="15" t="inlineStr">
        <is>
          <t>IPO launched</t>
        </is>
      </c>
      <c r="H1880" s="15" t="inlineStr">
        <is>
          <t>Mainboard</t>
        </is>
      </c>
      <c r="I1880" s="16" t="n">
        <v>39294</v>
      </c>
      <c r="J1880" s="16" t="n">
        <v>39302</v>
      </c>
      <c r="K1880" s="16" t="n">
        <v>39324</v>
      </c>
      <c r="L1880" s="17" t="n">
        <v>858.7</v>
      </c>
      <c r="M1880" s="17" t="n">
        <v>858.7</v>
      </c>
      <c r="N1880" s="17" t="n">
        <v>0</v>
      </c>
      <c r="O1880" s="15" t="inlineStr">
        <is>
          <t>Final issue (ipoplatform)</t>
        </is>
      </c>
      <c r="P1880" s="15" t="n"/>
      <c r="Q1880" s="18" t="inlineStr">
        <is>
          <t>https://www.sebi.gov.in/sebi_data/attachdocs/1291711573104.pdf</t>
        </is>
      </c>
      <c r="R1880" s="18" t="inlineStr">
        <is>
          <t>https://www.sebi.gov.in/filings/public-issues/jan-2007/puravankara-projects-limited_8418.html</t>
        </is>
      </c>
      <c r="S1880" s="15" t="n"/>
      <c r="T1880" s="15" t="inlineStr">
        <is>
          <t>SEBI filing link</t>
        </is>
      </c>
      <c r="U1880" s="15" t="inlineStr">
        <is>
          <t>Puravankara Projects Limited</t>
        </is>
      </c>
      <c r="V1880" s="15" t="n"/>
      <c r="W1880" s="15" t="n"/>
      <c r="X1880" s="15" t="n"/>
      <c r="Y1880" s="15" t="n"/>
      <c r="Z1880" s="15" t="n"/>
      <c r="AA1880" s="15" t="n"/>
      <c r="AB1880" s="15" t="n"/>
    </row>
    <row r="1881" ht="15" customHeight="1" s="12">
      <c r="A1881" s="14" t="n">
        <v>1880</v>
      </c>
      <c r="B1881" s="16" t="n">
        <v>39086</v>
      </c>
      <c r="C1881" s="15" t="n">
        <v>2007</v>
      </c>
      <c r="D1881" s="15" t="inlineStr">
        <is>
          <t>Cairn India Ltd</t>
        </is>
      </c>
      <c r="E1881" s="15" t="inlineStr">
        <is>
          <t>Notice</t>
        </is>
      </c>
      <c r="F1881" s="15" t="inlineStr">
        <is>
          <t>Cairn India Ltd - Public Notice</t>
        </is>
      </c>
      <c r="G1881" s="15" t="inlineStr">
        <is>
          <t>No launched IPO found</t>
        </is>
      </c>
      <c r="H1881" s="15" t="n"/>
      <c r="I1881" s="16" t="n"/>
      <c r="J1881" s="16" t="n"/>
      <c r="K1881" s="16" t="n"/>
      <c r="L1881" s="17" t="n"/>
      <c r="M1881" s="17" t="n"/>
      <c r="N1881" s="17" t="n"/>
      <c r="O1881" s="15" t="n"/>
      <c r="P1881" s="15" t="n"/>
      <c r="Q1881" s="18" t="inlineStr">
        <is>
          <t>https://www.sebi.gov.in/sebi_data/attachdocs/1291711182894.pdf</t>
        </is>
      </c>
      <c r="R1881" s="18" t="inlineStr">
        <is>
          <t>https://www.sebi.gov.in/filings/public-issues/jan-2007/cairn-india-ltd-public-notice_8414.html</t>
        </is>
      </c>
      <c r="S1881" s="15" t="n"/>
      <c r="T1881" s="15" t="n"/>
      <c r="U1881" s="15" t="n"/>
      <c r="V1881" s="15" t="n"/>
      <c r="W1881" s="16" t="n"/>
      <c r="X1881" s="16" t="n"/>
      <c r="Y1881" s="16" t="n"/>
      <c r="Z1881" s="15" t="inlineStr">
        <is>
          <t>No issue found</t>
        </is>
      </c>
      <c r="AA1881" s="15" t="inlineStr">
        <is>
          <t>IPO opened 2006-12-11, before first_filed 2006-12-13; no later issue found.</t>
        </is>
      </c>
      <c r="AB1881" s="18" t="inlineStr">
        <is>
          <t>https://www.chittorgarh.com/ipo/x/29/</t>
        </is>
      </c>
    </row>
    <row r="1882" ht="15" customHeight="1" s="12">
      <c r="A1882" s="14" t="n">
        <v>1881</v>
      </c>
      <c r="B1882" s="16" t="n">
        <v>39086</v>
      </c>
      <c r="C1882" s="15" t="n">
        <v>2007</v>
      </c>
      <c r="D1882" s="15" t="inlineStr">
        <is>
          <t>Circuit Systems (India) Ltd</t>
        </is>
      </c>
      <c r="E1882" s="15" t="inlineStr">
        <is>
          <t>DRHP</t>
        </is>
      </c>
      <c r="F1882" s="15" t="inlineStr">
        <is>
          <t>Circuit Systems (India) Ltd</t>
        </is>
      </c>
      <c r="G1882" s="15" t="inlineStr">
        <is>
          <t>No launched IPO found</t>
        </is>
      </c>
      <c r="H1882" s="15" t="n"/>
      <c r="I1882" s="16" t="n"/>
      <c r="J1882" s="16" t="n"/>
      <c r="K1882" s="16" t="n"/>
      <c r="L1882" s="17" t="n"/>
      <c r="M1882" s="17" t="n"/>
      <c r="N1882" s="17" t="n"/>
      <c r="O1882" s="15" t="n"/>
      <c r="P1882" s="15" t="n"/>
      <c r="Q1882" s="18" t="inlineStr">
        <is>
          <t>https://www.sebi.gov.in/sebi_data/attachdocs/1291710711569.pdf</t>
        </is>
      </c>
      <c r="R1882" s="18" t="inlineStr">
        <is>
          <t>https://www.sebi.gov.in/filings/public-issues/jan-2007/circuit-systems-india-ltd_8404.html</t>
        </is>
      </c>
      <c r="S1882" s="15" t="n"/>
      <c r="T1882" s="15" t="n"/>
      <c r="U1882" s="15" t="n"/>
      <c r="V1882" s="15" t="n"/>
      <c r="W1882" s="19" t="n">
        <v>39352</v>
      </c>
      <c r="X1882" s="19" t="n">
        <v>39360</v>
      </c>
      <c r="Y1882" s="19" t="n"/>
      <c r="Z1882" s="20" t="inlineStr">
        <is>
          <t>Issue opened</t>
        </is>
      </c>
      <c r="AA1882" s="15" t="inlineStr">
        <is>
          <t>Matched on chittorgarh.com</t>
        </is>
      </c>
      <c r="AB1882" s="18" t="inlineStr">
        <is>
          <t>https://www.chittorgarh.com/ipo/circuit_systems_ipo/124/</t>
        </is>
      </c>
    </row>
    <row r="1883" ht="15" customHeight="1" s="12">
      <c r="A1883" s="14" t="n">
        <v>1882</v>
      </c>
      <c r="B1883" s="16" t="n">
        <v>39086</v>
      </c>
      <c r="C1883" s="15" t="n">
        <v>2007</v>
      </c>
      <c r="D1883" s="15" t="inlineStr">
        <is>
          <t>DLF Limited</t>
        </is>
      </c>
      <c r="E1883" s="15" t="inlineStr">
        <is>
          <t>DRHP</t>
        </is>
      </c>
      <c r="F1883" s="15" t="inlineStr">
        <is>
          <t>DLF Limited</t>
        </is>
      </c>
      <c r="G1883" s="15" t="inlineStr">
        <is>
          <t>No launched IPO found</t>
        </is>
      </c>
      <c r="H1883" s="15" t="n"/>
      <c r="I1883" s="16" t="n"/>
      <c r="J1883" s="16" t="n"/>
      <c r="K1883" s="16" t="n"/>
      <c r="L1883" s="17" t="n"/>
      <c r="M1883" s="17" t="n"/>
      <c r="N1883" s="17" t="n"/>
      <c r="O1883" s="15" t="n"/>
      <c r="P1883" s="15" t="n"/>
      <c r="Q1883" s="18" t="inlineStr">
        <is>
          <t>https://www.sebi.gov.in/sebi_data/attachdocs/1291710870084.pdf</t>
        </is>
      </c>
      <c r="R1883" s="18" t="inlineStr">
        <is>
          <t>https://www.sebi.gov.in/filings/public-issues/jan-2007/dlf-limited_8408.html</t>
        </is>
      </c>
      <c r="S1883" s="15" t="n"/>
      <c r="T1883" s="15" t="n"/>
      <c r="U1883" s="15" t="n"/>
      <c r="V1883" s="15" t="n"/>
      <c r="W1883" s="19" t="n">
        <v>39244</v>
      </c>
      <c r="X1883" s="19" t="n">
        <v>39247</v>
      </c>
      <c r="Y1883" s="19" t="n"/>
      <c r="Z1883" s="20" t="inlineStr">
        <is>
          <t>Issue opened</t>
        </is>
      </c>
      <c r="AA1883" s="15" t="inlineStr">
        <is>
          <t>Matched on chittorgarh.com</t>
        </is>
      </c>
      <c r="AB1883" s="18" t="inlineStr">
        <is>
          <t>https://www.chittorgarh.com/ipo/dlf_ipo/86/</t>
        </is>
      </c>
    </row>
    <row r="1884" ht="15" customHeight="1" s="12">
      <c r="A1884" s="14" t="n">
        <v>1883</v>
      </c>
      <c r="B1884" s="16" t="n">
        <v>39086</v>
      </c>
      <c r="C1884" s="15" t="n">
        <v>2007</v>
      </c>
      <c r="D1884" s="15" t="inlineStr">
        <is>
          <t>Page Industries Limited</t>
        </is>
      </c>
      <c r="E1884" s="15" t="inlineStr">
        <is>
          <t>DRHP</t>
        </is>
      </c>
      <c r="F1884" s="15" t="inlineStr">
        <is>
          <t>Page Industries Limited</t>
        </is>
      </c>
      <c r="G1884" s="15" t="inlineStr">
        <is>
          <t>IPO launched</t>
        </is>
      </c>
      <c r="H1884" s="15" t="inlineStr">
        <is>
          <t>Mainboard</t>
        </is>
      </c>
      <c r="I1884" s="16" t="n">
        <v>39136</v>
      </c>
      <c r="J1884" s="16" t="n">
        <v>39140</v>
      </c>
      <c r="K1884" s="16" t="n">
        <v>39157</v>
      </c>
      <c r="L1884" s="17" t="n">
        <v>100.94</v>
      </c>
      <c r="M1884" s="17" t="n">
        <v>100.94</v>
      </c>
      <c r="N1884" s="17" t="n">
        <v>0</v>
      </c>
      <c r="O1884" s="15" t="inlineStr">
        <is>
          <t>Final issue (ipoplatform)</t>
        </is>
      </c>
      <c r="P1884" s="15" t="n"/>
      <c r="Q1884" s="18" t="inlineStr">
        <is>
          <t>https://www.sebi.gov.in/sebi_data/attachdocs/1291711068292.pdf</t>
        </is>
      </c>
      <c r="R1884" s="18" t="inlineStr">
        <is>
          <t>https://www.sebi.gov.in/filings/public-issues/jan-2007/page-industries-limited_8412.html</t>
        </is>
      </c>
      <c r="S1884" s="15" t="n"/>
      <c r="T1884" s="15" t="inlineStr">
        <is>
          <t>SEBI filing link</t>
        </is>
      </c>
      <c r="U1884" s="15" t="inlineStr">
        <is>
          <t>Jockey India - Page Industries Limited</t>
        </is>
      </c>
      <c r="V1884" s="15" t="n"/>
      <c r="W1884" s="15" t="n"/>
      <c r="X1884" s="15" t="n"/>
      <c r="Y1884" s="15" t="n"/>
      <c r="Z1884" s="15" t="n"/>
      <c r="AA1884" s="15" t="n"/>
      <c r="AB1884" s="15" t="n"/>
    </row>
    <row r="1885" ht="15" customHeight="1" s="12">
      <c r="A1885" s="14" t="n">
        <v>1884</v>
      </c>
      <c r="B1885" s="16" t="n">
        <v>39084</v>
      </c>
      <c r="C1885" s="15" t="n">
        <v>2007</v>
      </c>
      <c r="D1885" s="15" t="inlineStr">
        <is>
          <t>Nitin Fire Protection Industries Limited</t>
        </is>
      </c>
      <c r="E1885" s="15" t="inlineStr">
        <is>
          <t>DRHP</t>
        </is>
      </c>
      <c r="F1885" s="15" t="inlineStr">
        <is>
          <t>Nitin Fire Protection Industries Limited</t>
        </is>
      </c>
      <c r="G1885" s="15" t="inlineStr">
        <is>
          <t>IPO launched</t>
        </is>
      </c>
      <c r="H1885" s="15" t="inlineStr">
        <is>
          <t>Mainboard</t>
        </is>
      </c>
      <c r="I1885" s="16" t="n">
        <v>39217</v>
      </c>
      <c r="J1885" s="16" t="n">
        <v>39220</v>
      </c>
      <c r="K1885" s="16" t="n">
        <v>39238</v>
      </c>
      <c r="L1885" s="17" t="n">
        <v>64.41</v>
      </c>
      <c r="M1885" s="17" t="n">
        <v>64.41</v>
      </c>
      <c r="N1885" s="17" t="n">
        <v>0</v>
      </c>
      <c r="O1885" s="15" t="inlineStr">
        <is>
          <t>Final issue (ipoplatform)</t>
        </is>
      </c>
      <c r="P1885" s="15" t="n"/>
      <c r="Q1885" s="18" t="inlineStr">
        <is>
          <t>https://www.sebi.gov.in/sebi_data/attachdocs/1293516192130.pdf</t>
        </is>
      </c>
      <c r="R1885" s="18" t="inlineStr">
        <is>
          <t>https://www.sebi.gov.in/filings/public-issues/jan-2007/nitin-fire-protection-industries-limited_13593.html</t>
        </is>
      </c>
      <c r="S1885" s="15" t="n"/>
      <c r="T1885" s="15" t="inlineStr">
        <is>
          <t>Company name + date window</t>
        </is>
      </c>
      <c r="U1885" s="15" t="inlineStr">
        <is>
          <t>Nitin Fire Protection Industries Limited</t>
        </is>
      </c>
      <c r="V1885" s="15" t="n"/>
      <c r="W1885" s="15" t="n"/>
      <c r="X1885" s="15" t="n"/>
      <c r="Y1885" s="15" t="n"/>
      <c r="Z1885" s="15" t="n"/>
      <c r="AA1885" s="15" t="n"/>
      <c r="AB1885" s="15" t="n"/>
    </row>
    <row r="1886" ht="15" customHeight="1" s="12">
      <c r="A1886" s="14" t="n">
        <v>1885</v>
      </c>
      <c r="B1886" s="16" t="n">
        <v>39080</v>
      </c>
      <c r="C1886" s="15" t="n">
        <v>2006</v>
      </c>
      <c r="D1886" s="15" t="inlineStr">
        <is>
          <t>Autoline Industries Limited</t>
        </is>
      </c>
      <c r="E1886" s="15" t="inlineStr">
        <is>
          <t>DRHP</t>
        </is>
      </c>
      <c r="F1886" s="15" t="inlineStr">
        <is>
          <t>Autoline Industries Limited</t>
        </is>
      </c>
      <c r="G1886" s="15" t="inlineStr">
        <is>
          <t>IPO launched</t>
        </is>
      </c>
      <c r="H1886" s="15" t="inlineStr">
        <is>
          <t>Mainboard</t>
        </is>
      </c>
      <c r="I1886" s="16" t="n">
        <v>39090</v>
      </c>
      <c r="J1886" s="16" t="n"/>
      <c r="K1886" s="16" t="n">
        <v>39113</v>
      </c>
      <c r="L1886" s="17" t="n">
        <v>75</v>
      </c>
      <c r="M1886" s="17" t="n">
        <v>75</v>
      </c>
      <c r="N1886" s="17" t="n">
        <v>0</v>
      </c>
      <c r="O1886" s="15" t="inlineStr">
        <is>
          <t>Final issue (ipoplatform)</t>
        </is>
      </c>
      <c r="P1886" s="15" t="n"/>
      <c r="Q1886" s="18" t="inlineStr">
        <is>
          <t>https://www.sebi.gov.in/sebi_data/attachdocs/1292413404836.pdf</t>
        </is>
      </c>
      <c r="R1886" s="18" t="inlineStr">
        <is>
          <t>https://www.sebi.gov.in/filings/public-issues/dec-2006/autoline-industries-limited_11106.html</t>
        </is>
      </c>
      <c r="S1886" s="15" t="n"/>
      <c r="T1886" s="15" t="inlineStr">
        <is>
          <t>Company name + date window</t>
        </is>
      </c>
      <c r="U1886" s="15" t="inlineStr">
        <is>
          <t>Autoline Industries Limited</t>
        </is>
      </c>
      <c r="V1886" s="15" t="inlineStr">
        <is>
          <t>CHECK — source close/listing date inconsistent with open date</t>
        </is>
      </c>
      <c r="W1886" s="15" t="n"/>
      <c r="X1886" s="15" t="n"/>
      <c r="Y1886" s="15" t="n"/>
      <c r="Z1886" s="15" t="n"/>
      <c r="AA1886" s="15" t="n"/>
      <c r="AB1886" s="15" t="n"/>
    </row>
    <row r="1887" ht="15" customHeight="1" s="12">
      <c r="A1887" s="14" t="n">
        <v>1886</v>
      </c>
      <c r="B1887" s="16" t="n">
        <v>39080</v>
      </c>
      <c r="C1887" s="15" t="n">
        <v>2006</v>
      </c>
      <c r="D1887" s="15" t="inlineStr">
        <is>
          <t>Insecticides (India) Limited</t>
        </is>
      </c>
      <c r="E1887" s="15" t="inlineStr">
        <is>
          <t>DRHP</t>
        </is>
      </c>
      <c r="F1887" s="15" t="inlineStr">
        <is>
          <t>Insecticides (India) Limited-Draft Red Herring Prospectus</t>
        </is>
      </c>
      <c r="G1887" s="15" t="inlineStr">
        <is>
          <t>IPO launched</t>
        </is>
      </c>
      <c r="H1887" s="15" t="inlineStr">
        <is>
          <t>Mainboard</t>
        </is>
      </c>
      <c r="I1887" s="16" t="n">
        <v>39209</v>
      </c>
      <c r="J1887" s="16" t="n">
        <v>39213</v>
      </c>
      <c r="K1887" s="16" t="n">
        <v>39232</v>
      </c>
      <c r="L1887" s="17" t="n">
        <v>36.92</v>
      </c>
      <c r="M1887" s="17" t="n">
        <v>36.92</v>
      </c>
      <c r="N1887" s="17" t="n">
        <v>0</v>
      </c>
      <c r="O1887" s="15" t="inlineStr">
        <is>
          <t>Final issue (ipoplatform)</t>
        </is>
      </c>
      <c r="P1887" s="15" t="n"/>
      <c r="Q1887" s="18" t="inlineStr">
        <is>
          <t>https://www.sebi.gov.in/sebi_data/attachdocs/1292412905967.pdf</t>
        </is>
      </c>
      <c r="R1887" s="18" t="inlineStr">
        <is>
          <t>https://www.sebi.gov.in/filings/public-issues/dec-2006/insecticides-india-limited-draft-red-herring-prospectus_11104.html</t>
        </is>
      </c>
      <c r="S1887" s="15" t="n"/>
      <c r="T1887" s="15" t="inlineStr">
        <is>
          <t>SEBI filing link</t>
        </is>
      </c>
      <c r="U1887" s="15" t="inlineStr">
        <is>
          <t>Insecticides India Limited</t>
        </is>
      </c>
      <c r="V1887" s="15" t="n"/>
      <c r="W1887" s="15" t="n"/>
      <c r="X1887" s="15" t="n"/>
      <c r="Y1887" s="15" t="n"/>
      <c r="Z1887" s="15" t="n"/>
      <c r="AA1887" s="15" t="n"/>
      <c r="AB1887" s="15" t="n"/>
    </row>
    <row r="1888" ht="15" customHeight="1" s="12">
      <c r="A1888" s="14" t="n">
        <v>1887</v>
      </c>
      <c r="B1888" s="16" t="n">
        <v>39080</v>
      </c>
      <c r="C1888" s="15" t="n">
        <v>2006</v>
      </c>
      <c r="D1888" s="15" t="inlineStr">
        <is>
          <t>Oswal Woollen Mills Ltd</t>
        </is>
      </c>
      <c r="E1888" s="15" t="inlineStr">
        <is>
          <t>DRHP</t>
        </is>
      </c>
      <c r="F1888" s="15" t="inlineStr">
        <is>
          <t>Oswal Woollen Mills Ltd-Draft Red Herring Prospectus</t>
        </is>
      </c>
      <c r="G1888" s="15" t="inlineStr">
        <is>
          <t>No launched IPO found</t>
        </is>
      </c>
      <c r="H1888" s="15" t="n"/>
      <c r="I1888" s="16" t="n"/>
      <c r="J1888" s="16" t="n"/>
      <c r="K1888" s="16" t="n"/>
      <c r="L1888" s="17" t="n"/>
      <c r="M1888" s="17" t="n"/>
      <c r="N1888" s="17" t="n"/>
      <c r="O1888" s="15" t="n"/>
      <c r="P1888" s="15" t="n"/>
      <c r="Q1888" s="18" t="inlineStr">
        <is>
          <t>https://www.sebi.gov.in/sebi_data/attachdocs/1292413276140.pdf</t>
        </is>
      </c>
      <c r="R1888" s="18" t="inlineStr">
        <is>
          <t>https://www.sebi.gov.in/filings/public-issues/dec-2006/oswal-woollen-mills-ltd-draft-red-herring-prospectus_11105.html</t>
        </is>
      </c>
      <c r="S1888" s="15" t="n"/>
      <c r="T1888" s="15" t="n"/>
      <c r="U1888" s="15" t="n"/>
      <c r="V1888" s="15" t="n"/>
      <c r="W1888" s="16" t="n"/>
      <c r="X1888" s="16" t="n"/>
      <c r="Y1888" s="16" t="n"/>
      <c r="Z1888" s="15" t="inlineStr">
        <is>
          <t>No issue found</t>
        </is>
      </c>
      <c r="AA1888" s="15" t="inlineStr">
        <is>
          <t>Business Standard lists the company but shows no issue dates; web search limit reached</t>
        </is>
      </c>
      <c r="AB1888" s="18" t="inlineStr">
        <is>
          <t>https://www.business-standard.com/markets/ipo/oswal-woollen-mills-ltd-ipo-13018</t>
        </is>
      </c>
    </row>
    <row r="1889" ht="15" customHeight="1" s="12">
      <c r="A1889" s="14" t="n">
        <v>1888</v>
      </c>
      <c r="B1889" s="16" t="n">
        <v>39079</v>
      </c>
      <c r="C1889" s="15" t="n">
        <v>2006</v>
      </c>
      <c r="D1889" s="15" t="inlineStr">
        <is>
          <t>Time Technoplast Limitted</t>
        </is>
      </c>
      <c r="E1889" s="15" t="inlineStr">
        <is>
          <t>DRHP</t>
        </is>
      </c>
      <c r="F1889" s="15" t="inlineStr">
        <is>
          <t>Time Technoplast LimittedTime Technoplast Limitted</t>
        </is>
      </c>
      <c r="G1889" s="15" t="inlineStr">
        <is>
          <t>IPO launched</t>
        </is>
      </c>
      <c r="H1889" s="15" t="inlineStr">
        <is>
          <t>Mainboard</t>
        </is>
      </c>
      <c r="I1889" s="16" t="n">
        <v>39220</v>
      </c>
      <c r="J1889" s="16" t="n">
        <v>39225</v>
      </c>
      <c r="K1889" s="16" t="n">
        <v>39246</v>
      </c>
      <c r="L1889" s="17" t="n">
        <v>123.53</v>
      </c>
      <c r="M1889" s="17" t="n">
        <v>123.53</v>
      </c>
      <c r="N1889" s="17" t="n">
        <v>0</v>
      </c>
      <c r="O1889" s="15" t="inlineStr">
        <is>
          <t>Final issue (ipoplatform)</t>
        </is>
      </c>
      <c r="P1889" s="15" t="n"/>
      <c r="Q1889" s="18" t="inlineStr">
        <is>
          <t>https://www.sebi.gov.in/sebi_data/attachdocs/1292412568332.pdf</t>
        </is>
      </c>
      <c r="R1889" s="18" t="inlineStr">
        <is>
          <t>https://www.sebi.gov.in/filings/public-issues/dec-2006/time-technoplast-limittedtime-technoplast-limitted_11102.html</t>
        </is>
      </c>
      <c r="S1889" s="15" t="n"/>
      <c r="T1889" s="15" t="inlineStr">
        <is>
          <t>SEBI filing link</t>
        </is>
      </c>
      <c r="U1889" s="15" t="inlineStr">
        <is>
          <t>Time Technoplast Limited</t>
        </is>
      </c>
      <c r="V1889" s="15" t="n"/>
      <c r="W1889" s="15" t="n"/>
      <c r="X1889" s="15" t="n"/>
      <c r="Y1889" s="15" t="n"/>
      <c r="Z1889" s="15" t="n"/>
      <c r="AA1889" s="15" t="n"/>
      <c r="AB1889" s="15" t="n"/>
    </row>
    <row r="1890" ht="15" customHeight="1" s="12">
      <c r="A1890" s="14" t="n">
        <v>1889</v>
      </c>
      <c r="B1890" s="16" t="n">
        <v>39078</v>
      </c>
      <c r="C1890" s="15" t="n">
        <v>2006</v>
      </c>
      <c r="D1890" s="15" t="inlineStr">
        <is>
          <t>Asahi Songwon Colors Limited</t>
        </is>
      </c>
      <c r="E1890" s="15" t="inlineStr">
        <is>
          <t>DRHP</t>
        </is>
      </c>
      <c r="F1890" s="15" t="inlineStr">
        <is>
          <t>Asahi Songwon Colors Limited</t>
        </is>
      </c>
      <c r="G1890" s="15" t="inlineStr">
        <is>
          <t>IPO launched</t>
        </is>
      </c>
      <c r="H1890" s="15" t="inlineStr">
        <is>
          <t>Mainboard</t>
        </is>
      </c>
      <c r="I1890" s="16" t="n">
        <v>39211</v>
      </c>
      <c r="J1890" s="16" t="n">
        <v>39217</v>
      </c>
      <c r="K1890" s="16" t="n">
        <v>39237</v>
      </c>
      <c r="L1890" s="17" t="n">
        <v>33.5</v>
      </c>
      <c r="M1890" s="17" t="n">
        <v>33.5</v>
      </c>
      <c r="N1890" s="17" t="n">
        <v>0</v>
      </c>
      <c r="O1890" s="15" t="inlineStr">
        <is>
          <t>Final issue (ipoplatform)</t>
        </is>
      </c>
      <c r="P1890" s="15" t="n"/>
      <c r="Q1890" s="18" t="inlineStr">
        <is>
          <t>https://www.sebi.gov.in/sebi_data/attachdocs/1292411680546.pdf</t>
        </is>
      </c>
      <c r="R1890" s="18" t="inlineStr">
        <is>
          <t>https://www.sebi.gov.in/filings/public-issues/dec-2006/asahi-songwon-colors-limited_11099.html</t>
        </is>
      </c>
      <c r="S1890" s="15" t="n"/>
      <c r="T1890" s="15" t="inlineStr">
        <is>
          <t>SEBI filing link</t>
        </is>
      </c>
      <c r="U1890" s="15" t="inlineStr">
        <is>
          <t>Asahi Songwon Colors Limited</t>
        </is>
      </c>
      <c r="V1890" s="15" t="n"/>
      <c r="W1890" s="15" t="n"/>
      <c r="X1890" s="15" t="n"/>
      <c r="Y1890" s="15" t="n"/>
      <c r="Z1890" s="15" t="n"/>
      <c r="AA1890" s="15" t="n"/>
      <c r="AB1890" s="15" t="n"/>
    </row>
    <row r="1891" ht="15" customHeight="1" s="12">
      <c r="A1891" s="14" t="n">
        <v>1890</v>
      </c>
      <c r="B1891" s="16" t="n">
        <v>39078</v>
      </c>
      <c r="C1891" s="15" t="n">
        <v>2006</v>
      </c>
      <c r="D1891" s="15" t="inlineStr">
        <is>
          <t>Barak Valley Cements Limited</t>
        </is>
      </c>
      <c r="E1891" s="15" t="inlineStr">
        <is>
          <t>DRHP</t>
        </is>
      </c>
      <c r="F1891" s="15" t="inlineStr">
        <is>
          <t>Barak Valley Cements Limited</t>
        </is>
      </c>
      <c r="G1891" s="15" t="inlineStr">
        <is>
          <t>No launched IPO found</t>
        </is>
      </c>
      <c r="H1891" s="15" t="n"/>
      <c r="I1891" s="16" t="n"/>
      <c r="J1891" s="16" t="n"/>
      <c r="K1891" s="16" t="n"/>
      <c r="L1891" s="17" t="n"/>
      <c r="M1891" s="17" t="n"/>
      <c r="N1891" s="17" t="n"/>
      <c r="O1891" s="15" t="n"/>
      <c r="P1891" s="15" t="n"/>
      <c r="Q1891" s="18" t="inlineStr">
        <is>
          <t>https://www.sebi.gov.in/sebi_data/attachdocs/1292411596558.pdf</t>
        </is>
      </c>
      <c r="R1891" s="18" t="inlineStr">
        <is>
          <t>https://www.sebi.gov.in/filings/public-issues/dec-2006/barak-valley-cements-limited_11097.html</t>
        </is>
      </c>
      <c r="S1891" s="15" t="n"/>
      <c r="T1891" s="15" t="n"/>
      <c r="U1891" s="15" t="n"/>
      <c r="V1891" s="15" t="n"/>
      <c r="W1891" s="19" t="n">
        <v>39384</v>
      </c>
      <c r="X1891" s="19" t="n">
        <v>39387</v>
      </c>
      <c r="Y1891" s="19" t="n"/>
      <c r="Z1891" s="20" t="inlineStr">
        <is>
          <t>Issue opened</t>
        </is>
      </c>
      <c r="AA1891" s="15" t="inlineStr">
        <is>
          <t>Matched on chittorgarh.com</t>
        </is>
      </c>
      <c r="AB1891" s="18" t="inlineStr">
        <is>
          <t>https://www.chittorgarh.com/ipo/barak_valley_cements_ipo/134/</t>
        </is>
      </c>
    </row>
    <row r="1892" ht="15" customHeight="1" s="12">
      <c r="A1892" s="14" t="n">
        <v>1891</v>
      </c>
      <c r="B1892" s="16" t="n">
        <v>39078</v>
      </c>
      <c r="C1892" s="15" t="n">
        <v>2006</v>
      </c>
      <c r="D1892" s="15" t="inlineStr">
        <is>
          <t>Omaxe Limited</t>
        </is>
      </c>
      <c r="E1892" s="15" t="inlineStr">
        <is>
          <t>DRHP</t>
        </is>
      </c>
      <c r="F1892" s="15" t="inlineStr">
        <is>
          <t>Omaxe Limited</t>
        </is>
      </c>
      <c r="G1892" s="15" t="inlineStr">
        <is>
          <t>IPO launched</t>
        </is>
      </c>
      <c r="H1892" s="15" t="inlineStr">
        <is>
          <t>Mainboard</t>
        </is>
      </c>
      <c r="I1892" s="16" t="n">
        <v>39280</v>
      </c>
      <c r="J1892" s="16" t="n">
        <v>39283</v>
      </c>
      <c r="K1892" s="16" t="n">
        <v>39303</v>
      </c>
      <c r="L1892" s="17" t="n">
        <v>605.9400000000001</v>
      </c>
      <c r="M1892" s="17" t="n">
        <v>605.9400000000001</v>
      </c>
      <c r="N1892" s="17" t="n">
        <v>0</v>
      </c>
      <c r="O1892" s="15" t="inlineStr">
        <is>
          <t>Final issue (ipoplatform)</t>
        </is>
      </c>
      <c r="P1892" s="15" t="n"/>
      <c r="Q1892" s="18" t="inlineStr">
        <is>
          <t>https://www.sebi.gov.in/sebi_data/attachdocs/1292411967634.pdf</t>
        </is>
      </c>
      <c r="R1892" s="18" t="inlineStr">
        <is>
          <t>https://www.sebi.gov.in/filings/public-issues/dec-2006/omaxe-limited_11100.html</t>
        </is>
      </c>
      <c r="S1892" s="15" t="n"/>
      <c r="T1892" s="15" t="inlineStr">
        <is>
          <t>Company name + date window</t>
        </is>
      </c>
      <c r="U1892" s="15" t="inlineStr">
        <is>
          <t>Omaxe Limited</t>
        </is>
      </c>
      <c r="V1892" s="15" t="n"/>
      <c r="W1892" s="15" t="n"/>
      <c r="X1892" s="15" t="n"/>
      <c r="Y1892" s="15" t="n"/>
      <c r="Z1892" s="15" t="n"/>
      <c r="AA1892" s="15" t="n"/>
      <c r="AB1892" s="15" t="n"/>
    </row>
    <row r="1893" ht="15" customHeight="1" s="12">
      <c r="A1893" s="14" t="n">
        <v>1892</v>
      </c>
      <c r="B1893" s="16" t="n">
        <v>39078</v>
      </c>
      <c r="C1893" s="15" t="n">
        <v>2006</v>
      </c>
      <c r="D1893" s="15" t="inlineStr">
        <is>
          <t>Shaily Engineering Plastics Limited</t>
        </is>
      </c>
      <c r="E1893" s="15" t="inlineStr">
        <is>
          <t>DRHP</t>
        </is>
      </c>
      <c r="F1893" s="15" t="inlineStr">
        <is>
          <t>Shaily Engineering Plastics Limited</t>
        </is>
      </c>
      <c r="G1893" s="15" t="inlineStr">
        <is>
          <t>No launched IPO found</t>
        </is>
      </c>
      <c r="H1893" s="15" t="n"/>
      <c r="I1893" s="16" t="n"/>
      <c r="J1893" s="16" t="n"/>
      <c r="K1893" s="16" t="n"/>
      <c r="L1893" s="17" t="n"/>
      <c r="M1893" s="17" t="n"/>
      <c r="N1893" s="17" t="n"/>
      <c r="O1893" s="15" t="n"/>
      <c r="P1893" s="15" t="n"/>
      <c r="Q1893" s="18" t="inlineStr">
        <is>
          <t>https://www.sebi.gov.in/sebi_data/attachdocs/1292411495468.pdf</t>
        </is>
      </c>
      <c r="R1893" s="18" t="inlineStr">
        <is>
          <t>https://www.sebi.gov.in/filings/public-issues/dec-2006/shaily-engineering-plastics-limited_11095.html</t>
        </is>
      </c>
      <c r="S1893" s="15" t="n"/>
      <c r="T1893" s="15" t="n"/>
      <c r="U1893" s="15" t="n"/>
      <c r="V1893" s="15" t="n"/>
      <c r="W1893" s="16" t="n"/>
      <c r="X1893" s="16" t="n"/>
      <c r="Y1893" s="16" t="n"/>
      <c r="Z1893" s="15" t="inlineStr">
        <is>
          <t>Withdrawn / approval lapsed</t>
        </is>
      </c>
      <c r="AA1893" s="15" t="inlineStr">
        <is>
          <t>Rs24cr FPO (already BSE-listed); SEBI lists draft withdrawn by letter dated 18 Sep 2007</t>
        </is>
      </c>
      <c r="AB1893" s="18" t="inlineStr">
        <is>
          <t>https://www.sebi.gov.in/sebi_data/commondocs/ProcessingStatus20062007_h.html</t>
        </is>
      </c>
    </row>
    <row r="1894" ht="15" customHeight="1" s="12">
      <c r="A1894" s="14" t="n">
        <v>1893</v>
      </c>
      <c r="B1894" s="16" t="n">
        <v>39070</v>
      </c>
      <c r="C1894" s="15" t="n">
        <v>2006</v>
      </c>
      <c r="D1894" s="15" t="inlineStr">
        <is>
          <t>Power Finance Corporation Limited</t>
        </is>
      </c>
      <c r="E1894" s="15" t="inlineStr">
        <is>
          <t>DRHP</t>
        </is>
      </c>
      <c r="F1894" s="15" t="inlineStr">
        <is>
          <t>Power Finance Corporation Limited</t>
        </is>
      </c>
      <c r="G1894" s="15" t="inlineStr">
        <is>
          <t>IPO launched</t>
        </is>
      </c>
      <c r="H1894" s="15" t="inlineStr">
        <is>
          <t>Mainboard</t>
        </is>
      </c>
      <c r="I1894" s="16" t="n">
        <v>40673</v>
      </c>
      <c r="J1894" s="16" t="n">
        <v>40676</v>
      </c>
      <c r="K1894" s="16" t="n">
        <v>40690</v>
      </c>
      <c r="L1894" s="17" t="n">
        <v>4578.2</v>
      </c>
      <c r="M1894" s="17" t="n">
        <v>4578.2</v>
      </c>
      <c r="N1894" s="17" t="n">
        <v>0</v>
      </c>
      <c r="O1894" s="15" t="inlineStr">
        <is>
          <t>Final issue (ipoplatform)</t>
        </is>
      </c>
      <c r="P1894" s="15" t="n"/>
      <c r="Q1894" s="18" t="inlineStr">
        <is>
          <t>https://www.sebi.gov.in/sebi_data/attachdocs/1292411322660.pdf</t>
        </is>
      </c>
      <c r="R1894" s="18" t="inlineStr">
        <is>
          <t>https://www.sebi.gov.in/filings/public-issues/dec-2006/power-finance-corporation-limited_11091.html</t>
        </is>
      </c>
      <c r="S1894" s="15" t="n"/>
      <c r="T1894" s="15" t="inlineStr">
        <is>
          <t>SEBI filing link</t>
        </is>
      </c>
      <c r="U1894" s="15" t="inlineStr">
        <is>
          <t>Power Finance Corporation Limited (FPO)</t>
        </is>
      </c>
      <c r="V1894" s="15" t="n"/>
      <c r="W1894" s="15" t="n"/>
      <c r="X1894" s="15" t="n"/>
      <c r="Y1894" s="15" t="n"/>
      <c r="Z1894" s="15" t="n"/>
      <c r="AA1894" s="15" t="n"/>
      <c r="AB1894" s="15" t="n"/>
    </row>
    <row r="1895" ht="15" customHeight="1" s="12">
      <c r="A1895" s="14" t="n">
        <v>1894</v>
      </c>
      <c r="B1895" s="16" t="n">
        <v>39069</v>
      </c>
      <c r="C1895" s="15" t="n">
        <v>2006</v>
      </c>
      <c r="D1895" s="15" t="inlineStr">
        <is>
          <t>TAKE Solution Limited</t>
        </is>
      </c>
      <c r="E1895" s="15" t="inlineStr">
        <is>
          <t>DRHP</t>
        </is>
      </c>
      <c r="F1895" s="15" t="inlineStr">
        <is>
          <t>TAKE Solution Limited</t>
        </is>
      </c>
      <c r="G1895" s="15" t="inlineStr">
        <is>
          <t>IPO launched</t>
        </is>
      </c>
      <c r="H1895" s="15" t="inlineStr">
        <is>
          <t>Mainboard</t>
        </is>
      </c>
      <c r="I1895" s="16" t="n">
        <v>39295</v>
      </c>
      <c r="J1895" s="16" t="n">
        <v>39301</v>
      </c>
      <c r="K1895" s="16" t="n">
        <v>39321</v>
      </c>
      <c r="L1895" s="17" t="n">
        <v>153.3</v>
      </c>
      <c r="M1895" s="17" t="n">
        <v>153.3</v>
      </c>
      <c r="N1895" s="17" t="n">
        <v>0</v>
      </c>
      <c r="O1895" s="15" t="inlineStr">
        <is>
          <t>Final issue (ipoplatform)</t>
        </is>
      </c>
      <c r="P1895" s="15" t="n"/>
      <c r="Q1895" s="18" t="inlineStr">
        <is>
          <t>https://www.sebi.gov.in/sebi_data/attachdocs/1292411010363.pdf</t>
        </is>
      </c>
      <c r="R1895" s="18" t="inlineStr">
        <is>
          <t>https://www.sebi.gov.in/filings/public-issues/dec-2006/take-solution-limited_11088.html</t>
        </is>
      </c>
      <c r="S1895" s="15" t="n"/>
      <c r="T1895" s="15" t="inlineStr">
        <is>
          <t>SEBI filing link</t>
        </is>
      </c>
      <c r="U1895" s="15" t="inlineStr">
        <is>
          <t>TAKE Solutions Limited</t>
        </is>
      </c>
      <c r="V1895" s="15" t="n"/>
      <c r="W1895" s="15" t="n"/>
      <c r="X1895" s="15" t="n"/>
      <c r="Y1895" s="15" t="n"/>
      <c r="Z1895" s="15" t="n"/>
      <c r="AA1895" s="15" t="n"/>
      <c r="AB1895" s="15" t="n"/>
    </row>
    <row r="1896" ht="15" customHeight="1" s="12">
      <c r="A1896" s="14" t="n">
        <v>1895</v>
      </c>
      <c r="B1896" s="16" t="n">
        <v>39066</v>
      </c>
      <c r="C1896" s="15" t="n">
        <v>2006</v>
      </c>
      <c r="D1896" s="15" t="inlineStr">
        <is>
          <t>Alpa Laboratories Limited</t>
        </is>
      </c>
      <c r="E1896" s="15" t="inlineStr">
        <is>
          <t>DRHP</t>
        </is>
      </c>
      <c r="F1896" s="15" t="inlineStr">
        <is>
          <t>Alpa Laboratories Limited</t>
        </is>
      </c>
      <c r="G1896" s="15" t="inlineStr">
        <is>
          <t>No launched IPO found</t>
        </is>
      </c>
      <c r="H1896" s="15" t="n"/>
      <c r="I1896" s="16" t="n"/>
      <c r="J1896" s="16" t="n"/>
      <c r="K1896" s="16" t="n"/>
      <c r="L1896" s="17" t="n"/>
      <c r="M1896" s="17" t="n"/>
      <c r="N1896" s="17" t="n"/>
      <c r="O1896" s="15" t="n"/>
      <c r="P1896" s="15" t="n"/>
      <c r="Q1896" s="18" t="inlineStr">
        <is>
          <t>https://www.sebi.gov.in/sebi_data/attachdocs/1292410583850.pdf</t>
        </is>
      </c>
      <c r="R1896" s="18" t="inlineStr">
        <is>
          <t>https://www.sebi.gov.in/filings/public-issues/dec-2006/alpa-laboratories-limited_11086.html</t>
        </is>
      </c>
      <c r="S1896" s="15" t="n"/>
      <c r="T1896" s="15" t="n"/>
      <c r="U1896" s="15" t="n"/>
      <c r="V1896" s="15" t="n"/>
      <c r="W1896" s="19" t="n">
        <v>39275</v>
      </c>
      <c r="X1896" s="19" t="n">
        <v>39280</v>
      </c>
      <c r="Y1896" s="19" t="n"/>
      <c r="Z1896" s="20" t="inlineStr">
        <is>
          <t>Issue opened</t>
        </is>
      </c>
      <c r="AA1896" s="15" t="inlineStr">
        <is>
          <t>Matched on chittorgarh.com</t>
        </is>
      </c>
      <c r="AB1896" s="18" t="inlineStr">
        <is>
          <t>https://www.chittorgarh.com/ipo/alpa_ipo/101/</t>
        </is>
      </c>
    </row>
    <row r="1897" ht="15" customHeight="1" s="12">
      <c r="A1897" s="14" t="n">
        <v>1896</v>
      </c>
      <c r="B1897" s="16" t="n">
        <v>39066</v>
      </c>
      <c r="C1897" s="15" t="n">
        <v>2006</v>
      </c>
      <c r="D1897" s="15" t="inlineStr">
        <is>
          <t>Nelcast Limited</t>
        </is>
      </c>
      <c r="E1897" s="15" t="inlineStr">
        <is>
          <t>DRHP</t>
        </is>
      </c>
      <c r="F1897" s="15" t="inlineStr">
        <is>
          <t>Nelcast Limited</t>
        </is>
      </c>
      <c r="G1897" s="15" t="inlineStr">
        <is>
          <t>IPO launched</t>
        </is>
      </c>
      <c r="H1897" s="15" t="inlineStr">
        <is>
          <t>Mainboard</t>
        </is>
      </c>
      <c r="I1897" s="16" t="n">
        <v>39237</v>
      </c>
      <c r="J1897" s="16" t="n">
        <v>39241</v>
      </c>
      <c r="K1897" s="16" t="n">
        <v>39260</v>
      </c>
      <c r="L1897" s="17" t="n">
        <v>95.27</v>
      </c>
      <c r="M1897" s="17" t="n">
        <v>95.27</v>
      </c>
      <c r="N1897" s="17" t="n">
        <v>0</v>
      </c>
      <c r="O1897" s="15" t="inlineStr">
        <is>
          <t>Final issue (ipoplatform)</t>
        </is>
      </c>
      <c r="P1897" s="15" t="n"/>
      <c r="Q1897" s="18" t="inlineStr">
        <is>
          <t>https://www.sebi.gov.in/sebi_data/attachdocs/1292409535167.pdf</t>
        </is>
      </c>
      <c r="R1897" s="18" t="inlineStr">
        <is>
          <t>https://www.sebi.gov.in/filings/public-issues/dec-2006/nelcast-limited_11083.html</t>
        </is>
      </c>
      <c r="S1897" s="15" t="n"/>
      <c r="T1897" s="15" t="inlineStr">
        <is>
          <t>SEBI filing link</t>
        </is>
      </c>
      <c r="U1897" s="15" t="inlineStr">
        <is>
          <t>Nelcast Limited</t>
        </is>
      </c>
      <c r="V1897" s="15" t="n"/>
      <c r="W1897" s="15" t="n"/>
      <c r="X1897" s="15" t="n"/>
      <c r="Y1897" s="15" t="n"/>
      <c r="Z1897" s="15" t="n"/>
      <c r="AA1897" s="15" t="n"/>
      <c r="AB1897" s="15" t="n"/>
    </row>
    <row r="1898" ht="15" customHeight="1" s="12">
      <c r="A1898" s="14" t="n">
        <v>1897</v>
      </c>
      <c r="B1898" s="16" t="n">
        <v>39065</v>
      </c>
      <c r="C1898" s="15" t="n">
        <v>2006</v>
      </c>
      <c r="D1898" s="15" t="inlineStr">
        <is>
          <t>Mind Tree Consulting Limited</t>
        </is>
      </c>
      <c r="E1898" s="15" t="inlineStr">
        <is>
          <t>DRHP</t>
        </is>
      </c>
      <c r="F1898" s="15" t="inlineStr">
        <is>
          <t>Mind Tree Consulting Limited</t>
        </is>
      </c>
      <c r="G1898" s="15" t="inlineStr">
        <is>
          <t>IPO launched</t>
        </is>
      </c>
      <c r="H1898" s="15" t="inlineStr">
        <is>
          <t>Mainboard</t>
        </is>
      </c>
      <c r="I1898" s="16" t="n">
        <v>39122</v>
      </c>
      <c r="J1898" s="16" t="n">
        <v>39127</v>
      </c>
      <c r="K1898" s="16" t="n">
        <v>39148</v>
      </c>
      <c r="L1898" s="17" t="n">
        <v>237.72</v>
      </c>
      <c r="M1898" s="17" t="n">
        <v>237.72</v>
      </c>
      <c r="N1898" s="17" t="n">
        <v>0</v>
      </c>
      <c r="O1898" s="15" t="inlineStr">
        <is>
          <t>Final issue (ipoplatform)</t>
        </is>
      </c>
      <c r="P1898" s="15" t="n"/>
      <c r="Q1898" s="18" t="inlineStr">
        <is>
          <t>https://www.sebi.gov.in/sebi_data/attachdocs/1292409363668.pdf</t>
        </is>
      </c>
      <c r="R1898" s="18" t="inlineStr">
        <is>
          <t>https://www.sebi.gov.in/filings/public-issues/dec-2006/mind-tree-consulting-limited_11082.html</t>
        </is>
      </c>
      <c r="S1898" s="15" t="n"/>
      <c r="T1898" s="15" t="inlineStr">
        <is>
          <t>SEBI filing link</t>
        </is>
      </c>
      <c r="U1898" s="15" t="inlineStr">
        <is>
          <t>MindTree Consulting Limited</t>
        </is>
      </c>
      <c r="V1898" s="15" t="n"/>
      <c r="W1898" s="15" t="n"/>
      <c r="X1898" s="15" t="n"/>
      <c r="Y1898" s="15" t="n"/>
      <c r="Z1898" s="15" t="n"/>
      <c r="AA1898" s="15" t="n"/>
      <c r="AB1898" s="15" t="n"/>
    </row>
    <row r="1899" ht="15" customHeight="1" s="12">
      <c r="A1899" s="14" t="n">
        <v>1898</v>
      </c>
      <c r="B1899" s="16" t="n">
        <v>39064</v>
      </c>
      <c r="C1899" s="15" t="n">
        <v>2006</v>
      </c>
      <c r="D1899" s="15" t="inlineStr">
        <is>
          <t>Cairn India Ltd</t>
        </is>
      </c>
      <c r="E1899" s="15" t="inlineStr">
        <is>
          <t>Notice</t>
        </is>
      </c>
      <c r="F1899" s="15" t="inlineStr">
        <is>
          <t>Cairn India Ltd - Public Notice</t>
        </is>
      </c>
      <c r="G1899" s="15" t="inlineStr">
        <is>
          <t>No launched IPO found</t>
        </is>
      </c>
      <c r="H1899" s="15" t="n"/>
      <c r="I1899" s="16" t="n"/>
      <c r="J1899" s="16" t="n"/>
      <c r="K1899" s="16" t="n"/>
      <c r="L1899" s="17" t="n"/>
      <c r="M1899" s="17" t="n"/>
      <c r="N1899" s="17" t="n"/>
      <c r="O1899" s="15" t="n"/>
      <c r="P1899" s="15" t="n"/>
      <c r="Q1899" s="18" t="inlineStr">
        <is>
          <t>https://www.sebi.gov.in/sebi_data/attachdocs/1292409223983.pdf</t>
        </is>
      </c>
      <c r="R1899" s="18" t="inlineStr">
        <is>
          <t>https://www.sebi.gov.in/filings/public-issues/dec-2006/cairn-india-ltd-public-notice_11081.html</t>
        </is>
      </c>
      <c r="S1899" s="15" t="n"/>
      <c r="T1899" s="15" t="n"/>
      <c r="U1899" s="15" t="n"/>
      <c r="V1899" s="15" t="n"/>
      <c r="W1899" s="16" t="n"/>
      <c r="X1899" s="16" t="n"/>
      <c r="Y1899" s="16" t="n"/>
      <c r="Z1899" s="15" t="inlineStr">
        <is>
          <t>No issue found</t>
        </is>
      </c>
      <c r="AA1899" s="15" t="inlineStr">
        <is>
          <t>IPO opened 2006-12-11, before first_filed 2006-12-13; no later issue found.</t>
        </is>
      </c>
      <c r="AB1899" s="18" t="inlineStr">
        <is>
          <t>https://www.chittorgarh.com/ipo/x/29/</t>
        </is>
      </c>
    </row>
    <row r="1900" ht="15" customHeight="1" s="12">
      <c r="A1900" s="14" t="n">
        <v>1899</v>
      </c>
      <c r="B1900" s="16" t="n">
        <v>39064</v>
      </c>
      <c r="C1900" s="15" t="n">
        <v>2006</v>
      </c>
      <c r="D1900" s="15" t="inlineStr">
        <is>
          <t>Decolight Ceramics Limited</t>
        </is>
      </c>
      <c r="E1900" s="15" t="inlineStr">
        <is>
          <t>DRHP</t>
        </is>
      </c>
      <c r="F1900" s="15" t="inlineStr">
        <is>
          <t>Decolight Ceramics Limited</t>
        </is>
      </c>
      <c r="G1900" s="15" t="inlineStr">
        <is>
          <t>No launched IPO found</t>
        </is>
      </c>
      <c r="H1900" s="15" t="n"/>
      <c r="I1900" s="16" t="n"/>
      <c r="J1900" s="16" t="n"/>
      <c r="K1900" s="16" t="n"/>
      <c r="L1900" s="17" t="n"/>
      <c r="M1900" s="17" t="n"/>
      <c r="N1900" s="17" t="n"/>
      <c r="O1900" s="15" t="n"/>
      <c r="P1900" s="15" t="n"/>
      <c r="Q1900" s="18" t="inlineStr">
        <is>
          <t>https://www.sebi.gov.in/sebi_data/attachdocs/1292409159705.pdf</t>
        </is>
      </c>
      <c r="R1900" s="18" t="inlineStr">
        <is>
          <t>https://www.sebi.gov.in/filings/public-issues/dec-2006/decolight-ceramics-limited_11079.html</t>
        </is>
      </c>
      <c r="S1900" s="15" t="n"/>
      <c r="T1900" s="15" t="n"/>
      <c r="U1900" s="15" t="n"/>
      <c r="V1900" s="15" t="n"/>
      <c r="W1900" s="19" t="n">
        <v>39226</v>
      </c>
      <c r="X1900" s="19" t="n">
        <v>39231</v>
      </c>
      <c r="Y1900" s="19" t="n"/>
      <c r="Z1900" s="20" t="inlineStr">
        <is>
          <t>Issue opened</t>
        </is>
      </c>
      <c r="AA1900" s="15" t="inlineStr">
        <is>
          <t>Matched on chittorgarh.com</t>
        </is>
      </c>
      <c r="AB1900" s="18" t="inlineStr">
        <is>
          <t>https://www.chittorgarh.com/ipo/decolight_ipo/85/</t>
        </is>
      </c>
    </row>
    <row r="1901" ht="15" customHeight="1" s="12">
      <c r="A1901" s="14" t="n">
        <v>1900</v>
      </c>
      <c r="B1901" s="16" t="n">
        <v>39059</v>
      </c>
      <c r="C1901" s="15" t="n">
        <v>2006</v>
      </c>
      <c r="D1901" s="15" t="inlineStr">
        <is>
          <t>Indian Bank</t>
        </is>
      </c>
      <c r="E1901" s="15" t="inlineStr">
        <is>
          <t>DRHP</t>
        </is>
      </c>
      <c r="F1901" s="15" t="inlineStr">
        <is>
          <t>Indian Bank</t>
        </is>
      </c>
      <c r="G1901" s="15" t="inlineStr">
        <is>
          <t>IPO launched</t>
        </is>
      </c>
      <c r="H1901" s="15" t="inlineStr">
        <is>
          <t>Mainboard</t>
        </is>
      </c>
      <c r="I1901" s="16" t="n">
        <v>39118</v>
      </c>
      <c r="J1901" s="16" t="n"/>
      <c r="K1901" s="16" t="n">
        <v>39142</v>
      </c>
      <c r="L1901" s="17" t="n">
        <v>782.15</v>
      </c>
      <c r="M1901" s="17" t="n">
        <v>782.15</v>
      </c>
      <c r="N1901" s="17" t="n">
        <v>0</v>
      </c>
      <c r="O1901" s="15" t="inlineStr">
        <is>
          <t>Final issue (ipoplatform)</t>
        </is>
      </c>
      <c r="P1901" s="15" t="n"/>
      <c r="Q1901" s="18" t="inlineStr">
        <is>
          <t>https://www.sebi.gov.in/sebi_data/attachdocs/1292409007858.pdf</t>
        </is>
      </c>
      <c r="R1901" s="18" t="inlineStr">
        <is>
          <t>https://www.sebi.gov.in/filings/public-issues/dec-2006/indian-bank_11077.html</t>
        </is>
      </c>
      <c r="S1901" s="15" t="n"/>
      <c r="T1901" s="15" t="inlineStr">
        <is>
          <t>SEBI filing link</t>
        </is>
      </c>
      <c r="U1901" s="15" t="inlineStr">
        <is>
          <t>Indian Bank</t>
        </is>
      </c>
      <c r="V1901" s="15" t="inlineStr">
        <is>
          <t>Open date corrected from source value 2009-02-05 (contradicts source close/listing date); CHECK — source close/listing date inconsistent with open date</t>
        </is>
      </c>
      <c r="W1901" s="15" t="n"/>
      <c r="X1901" s="15" t="n"/>
      <c r="Y1901" s="15" t="n"/>
      <c r="Z1901" s="15" t="n"/>
      <c r="AA1901" s="15" t="n"/>
      <c r="AB1901" s="15" t="n"/>
    </row>
    <row r="1902" ht="15" customHeight="1" s="12">
      <c r="A1902" s="14" t="n">
        <v>1901</v>
      </c>
      <c r="B1902" s="16" t="n">
        <v>39059</v>
      </c>
      <c r="C1902" s="15" t="n">
        <v>2006</v>
      </c>
      <c r="D1902" s="15" t="inlineStr">
        <is>
          <t>Indus Fila Limited</t>
        </is>
      </c>
      <c r="E1902" s="15" t="inlineStr">
        <is>
          <t>DRHP</t>
        </is>
      </c>
      <c r="F1902" s="15" t="inlineStr">
        <is>
          <t>Indus Fila Limited</t>
        </is>
      </c>
      <c r="G1902" s="15" t="inlineStr">
        <is>
          <t>No launched IPO found</t>
        </is>
      </c>
      <c r="H1902" s="15" t="n"/>
      <c r="I1902" s="16" t="n"/>
      <c r="J1902" s="16" t="n"/>
      <c r="K1902" s="16" t="n"/>
      <c r="L1902" s="17" t="n"/>
      <c r="M1902" s="17" t="n"/>
      <c r="N1902" s="17" t="n"/>
      <c r="O1902" s="15" t="n"/>
      <c r="P1902" s="15" t="n"/>
      <c r="Q1902" s="18" t="inlineStr">
        <is>
          <t>https://www.sebi.gov.in/sebi_data/attachdocs/1292411419425.pdf</t>
        </is>
      </c>
      <c r="R1902" s="18" t="inlineStr">
        <is>
          <t>https://www.sebi.gov.in/filings/public-issues/dec-2006/indus-fila-limited_11093.html</t>
        </is>
      </c>
      <c r="S1902" s="15" t="n"/>
      <c r="T1902" s="15" t="n"/>
      <c r="U1902" s="15" t="n"/>
      <c r="V1902" s="15" t="n"/>
      <c r="W1902" s="19" t="n">
        <v>39125</v>
      </c>
      <c r="X1902" s="19" t="n">
        <v>39127</v>
      </c>
      <c r="Y1902" s="19" t="n"/>
      <c r="Z1902" s="20" t="inlineStr">
        <is>
          <t>Issue opened</t>
        </is>
      </c>
      <c r="AA1902" s="15" t="inlineStr">
        <is>
          <t>Matched on chittorgarh.com</t>
        </is>
      </c>
      <c r="AB1902" s="18" t="inlineStr">
        <is>
          <t>https://www.chittorgarh.com/ipo/indus_fila_ipo/63/</t>
        </is>
      </c>
    </row>
    <row r="1903" ht="15" customHeight="1" s="12">
      <c r="A1903" s="14" t="n">
        <v>1902</v>
      </c>
      <c r="B1903" s="16" t="n">
        <v>39058</v>
      </c>
      <c r="C1903" s="15" t="n">
        <v>2006</v>
      </c>
      <c r="D1903" s="15" t="inlineStr">
        <is>
          <t>Kaushalya Infrastructure Development Corporation Limited</t>
        </is>
      </c>
      <c r="E1903" s="15" t="inlineStr">
        <is>
          <t>DRHP</t>
        </is>
      </c>
      <c r="F1903" s="15" t="inlineStr">
        <is>
          <t>Kaushalya Infrastructure Development Corporation Limited</t>
        </is>
      </c>
      <c r="G1903" s="15" t="inlineStr">
        <is>
          <t>IPO launched</t>
        </is>
      </c>
      <c r="H1903" s="15" t="inlineStr">
        <is>
          <t>Mainboard</t>
        </is>
      </c>
      <c r="I1903" s="16" t="n">
        <v>39406</v>
      </c>
      <c r="J1903" s="16" t="n">
        <v>39409</v>
      </c>
      <c r="K1903" s="16" t="n">
        <v>39430</v>
      </c>
      <c r="L1903" s="17" t="n">
        <v>51</v>
      </c>
      <c r="M1903" s="17" t="n">
        <v>51</v>
      </c>
      <c r="N1903" s="17" t="n">
        <v>0</v>
      </c>
      <c r="O1903" s="15" t="inlineStr">
        <is>
          <t>Final issue (ipoplatform)</t>
        </is>
      </c>
      <c r="P1903" s="15" t="n"/>
      <c r="Q1903" s="18" t="inlineStr">
        <is>
          <t>https://www.sebi.gov.in/sebi_data/attachdocs/1292408670151.pdf</t>
        </is>
      </c>
      <c r="R1903" s="18" t="inlineStr">
        <is>
          <t>https://www.sebi.gov.in/filings/public-issues/dec-2006/kaushalya-infrastructure-development-corporation-limited_11074.html</t>
        </is>
      </c>
      <c r="S1903" s="15" t="n"/>
      <c r="T1903" s="15" t="inlineStr">
        <is>
          <t>SEBI filing link</t>
        </is>
      </c>
      <c r="U1903" s="15" t="inlineStr">
        <is>
          <t>Kaushalya Infrastructure Dev Corp Limited</t>
        </is>
      </c>
      <c r="V1903" s="15" t="n"/>
      <c r="W1903" s="15" t="n"/>
      <c r="X1903" s="15" t="n"/>
      <c r="Y1903" s="15" t="n"/>
      <c r="Z1903" s="15" t="n"/>
      <c r="AA1903" s="15" t="n"/>
      <c r="AB1903" s="15" t="n"/>
    </row>
    <row r="1904" ht="15" customHeight="1" s="12">
      <c r="A1904" s="14" t="n">
        <v>1903</v>
      </c>
      <c r="B1904" s="16" t="n">
        <v>39057</v>
      </c>
      <c r="C1904" s="15" t="n">
        <v>2006</v>
      </c>
      <c r="D1904" s="15" t="inlineStr">
        <is>
          <t>Idea Cellular Limited</t>
        </is>
      </c>
      <c r="E1904" s="15" t="inlineStr">
        <is>
          <t>DRHP</t>
        </is>
      </c>
      <c r="F1904" s="15" t="inlineStr">
        <is>
          <t>Idea Cellular Limited</t>
        </is>
      </c>
      <c r="G1904" s="15" t="inlineStr">
        <is>
          <t>IPO launched</t>
        </is>
      </c>
      <c r="H1904" s="15" t="inlineStr">
        <is>
          <t>Mainboard</t>
        </is>
      </c>
      <c r="I1904" s="16" t="n">
        <v>39125</v>
      </c>
      <c r="J1904" s="16" t="n">
        <v>39128</v>
      </c>
      <c r="K1904" s="16" t="n">
        <v>39150</v>
      </c>
      <c r="L1904" s="17" t="n">
        <v>2125</v>
      </c>
      <c r="M1904" s="17" t="n">
        <v>2125</v>
      </c>
      <c r="N1904" s="17" t="n">
        <v>0</v>
      </c>
      <c r="O1904" s="15" t="inlineStr">
        <is>
          <t>Final issue (ipoplatform)</t>
        </is>
      </c>
      <c r="P1904" s="15" t="n"/>
      <c r="Q1904" s="18" t="inlineStr">
        <is>
          <t>https://www.sebi.gov.in/sebi_data/attachdocs/1292408542319.pdf</t>
        </is>
      </c>
      <c r="R1904" s="18" t="inlineStr">
        <is>
          <t>https://www.sebi.gov.in/filings/public-issues/dec-2006/idea-cellular-limited_11072.html</t>
        </is>
      </c>
      <c r="S1904" s="15" t="n"/>
      <c r="T1904" s="15" t="inlineStr">
        <is>
          <t>SEBI filing link</t>
        </is>
      </c>
      <c r="U1904" s="15" t="inlineStr">
        <is>
          <t>Idea Cellular Limited</t>
        </is>
      </c>
      <c r="V1904" s="15" t="n"/>
      <c r="W1904" s="15" t="n"/>
      <c r="X1904" s="15" t="n"/>
      <c r="Y1904" s="15" t="n"/>
      <c r="Z1904" s="15" t="n"/>
      <c r="AA1904" s="15" t="n"/>
      <c r="AB1904" s="15" t="n"/>
    </row>
    <row r="1905" ht="15" customHeight="1" s="12">
      <c r="A1905" s="14" t="n">
        <v>1904</v>
      </c>
      <c r="B1905" s="16" t="n">
        <v>39056</v>
      </c>
      <c r="C1905" s="15" t="n">
        <v>2006</v>
      </c>
      <c r="D1905" s="15" t="inlineStr">
        <is>
          <t>Roman Tarmat Limited</t>
        </is>
      </c>
      <c r="E1905" s="15" t="inlineStr">
        <is>
          <t>DRHP</t>
        </is>
      </c>
      <c r="F1905" s="15" t="inlineStr">
        <is>
          <t>Roman Tarmat Limited</t>
        </is>
      </c>
      <c r="G1905" s="15" t="inlineStr">
        <is>
          <t>No launched IPO found</t>
        </is>
      </c>
      <c r="H1905" s="15" t="n"/>
      <c r="I1905" s="16" t="n"/>
      <c r="J1905" s="16" t="n"/>
      <c r="K1905" s="16" t="n"/>
      <c r="L1905" s="17" t="n"/>
      <c r="M1905" s="17" t="n"/>
      <c r="N1905" s="17" t="n"/>
      <c r="O1905" s="15" t="n"/>
      <c r="P1905" s="15" t="n"/>
      <c r="Q1905" s="18" t="inlineStr">
        <is>
          <t>https://www.sebi.gov.in/sebi_data/attachdocs/1292408435184.pdf</t>
        </is>
      </c>
      <c r="R1905" s="18" t="inlineStr">
        <is>
          <t>https://www.sebi.gov.in/filings/public-issues/dec-2006/roman-tarmat-limited_11070.html</t>
        </is>
      </c>
      <c r="S1905" s="15" t="n"/>
      <c r="T1905" s="15" t="n"/>
      <c r="U1905" s="15" t="n"/>
      <c r="V1905" s="15" t="n"/>
      <c r="W1905" s="19" t="n">
        <v>39245</v>
      </c>
      <c r="X1905" s="19" t="n">
        <v>39252</v>
      </c>
      <c r="Y1905" s="19" t="n"/>
      <c r="Z1905" s="20" t="inlineStr">
        <is>
          <t>Issue opened</t>
        </is>
      </c>
      <c r="AA1905" s="15" t="inlineStr">
        <is>
          <t>Matched on chittorgarh.com</t>
        </is>
      </c>
      <c r="AB1905" s="18" t="inlineStr">
        <is>
          <t>https://www.chittorgarh.com/ipo/roman_tarmat_ipo/89/</t>
        </is>
      </c>
    </row>
    <row r="1906" ht="15" customHeight="1" s="12">
      <c r="A1906" s="14" t="n">
        <v>1905</v>
      </c>
      <c r="B1906" s="16" t="n">
        <v>39055</v>
      </c>
      <c r="C1906" s="15" t="n">
        <v>2006</v>
      </c>
      <c r="D1906" s="15" t="inlineStr">
        <is>
          <t>Vishal Retail Limited</t>
        </is>
      </c>
      <c r="E1906" s="15" t="inlineStr">
        <is>
          <t>DRHP</t>
        </is>
      </c>
      <c r="F1906" s="15" t="inlineStr">
        <is>
          <t>Vishal Retail Limited</t>
        </is>
      </c>
      <c r="G1906" s="15" t="inlineStr">
        <is>
          <t>No launched IPO found</t>
        </is>
      </c>
      <c r="H1906" s="15" t="n"/>
      <c r="I1906" s="16" t="n"/>
      <c r="J1906" s="16" t="n"/>
      <c r="K1906" s="16" t="n"/>
      <c r="L1906" s="17" t="n"/>
      <c r="M1906" s="17" t="n"/>
      <c r="N1906" s="17" t="n"/>
      <c r="O1906" s="15" t="n"/>
      <c r="P1906" s="15" t="n"/>
      <c r="Q1906" s="18" t="inlineStr">
        <is>
          <t>https://www.sebi.gov.in/sebi_data/attachdocs/1292408179450.pdf</t>
        </is>
      </c>
      <c r="R1906" s="18" t="inlineStr">
        <is>
          <t>https://www.sebi.gov.in/filings/public-issues/dec-2006/vishal-retail-limited_11065.html</t>
        </is>
      </c>
      <c r="S1906" s="15" t="n"/>
      <c r="T1906" s="15" t="n"/>
      <c r="U1906" s="15" t="n"/>
      <c r="V1906" s="15" t="n"/>
      <c r="W1906" s="19" t="n">
        <v>39244</v>
      </c>
      <c r="X1906" s="19" t="n">
        <v>39246</v>
      </c>
      <c r="Y1906" s="19" t="n"/>
      <c r="Z1906" s="20" t="inlineStr">
        <is>
          <t>Issue opened</t>
        </is>
      </c>
      <c r="AA1906" s="15" t="inlineStr">
        <is>
          <t>Matched on chittorgarh.com</t>
        </is>
      </c>
      <c r="AB1906" s="18" t="inlineStr">
        <is>
          <t>https://www.chittorgarh.com/ipo/vishal_retail_ipo/90/</t>
        </is>
      </c>
    </row>
    <row r="1907" ht="15" customHeight="1" s="12">
      <c r="A1907" s="14" t="n">
        <v>1906</v>
      </c>
      <c r="B1907" s="16" t="n">
        <v>39052</v>
      </c>
      <c r="C1907" s="15" t="n">
        <v>2006</v>
      </c>
      <c r="D1907" s="15" t="inlineStr">
        <is>
          <t>Allied Computers International (Asia) Limited</t>
        </is>
      </c>
      <c r="E1907" s="15" t="inlineStr">
        <is>
          <t>DRHP</t>
        </is>
      </c>
      <c r="F1907" s="15" t="inlineStr">
        <is>
          <t>Allied Computers International (Asia) Limited</t>
        </is>
      </c>
      <c r="G1907" s="15" t="inlineStr">
        <is>
          <t>No launched IPO found</t>
        </is>
      </c>
      <c r="H1907" s="15" t="n"/>
      <c r="I1907" s="16" t="n"/>
      <c r="J1907" s="16" t="n"/>
      <c r="K1907" s="16" t="n"/>
      <c r="L1907" s="17" t="n"/>
      <c r="M1907" s="17" t="n"/>
      <c r="N1907" s="17" t="n"/>
      <c r="O1907" s="15" t="n"/>
      <c r="P1907" s="15" t="n"/>
      <c r="Q1907" s="18" t="inlineStr">
        <is>
          <t>https://www.sebi.gov.in/sebi_data/attachdocs/1292407864122.pdf</t>
        </is>
      </c>
      <c r="R1907" s="18" t="inlineStr">
        <is>
          <t>https://www.sebi.gov.in/filings/public-issues/dec-2006/allied-computers-international-asia-limited_11057.html</t>
        </is>
      </c>
      <c r="S1907" s="15" t="n"/>
      <c r="T1907" s="15" t="n"/>
      <c r="U1907" s="15" t="n"/>
      <c r="V1907" s="15" t="n"/>
      <c r="W1907" s="19" t="n">
        <v>39374</v>
      </c>
      <c r="X1907" s="19" t="n">
        <v>39378</v>
      </c>
      <c r="Y1907" s="19" t="n">
        <v>39409</v>
      </c>
      <c r="Z1907" s="20" t="inlineStr">
        <is>
          <t>Issue opened</t>
        </is>
      </c>
      <c r="AA1907" s="15" t="inlineStr">
        <is>
          <t>Business Standard IPO page (close name match)</t>
        </is>
      </c>
      <c r="AB1907" s="18" t="inlineStr">
        <is>
          <t>https://www.business-standard.com/markets/ipo/allied-computers-international-asia-ltd-ipo-27665</t>
        </is>
      </c>
    </row>
    <row r="1908" ht="15" customHeight="1" s="12">
      <c r="A1908" s="14" t="n">
        <v>1907</v>
      </c>
      <c r="B1908" s="16" t="n">
        <v>39051</v>
      </c>
      <c r="C1908" s="15" t="n">
        <v>2006</v>
      </c>
      <c r="D1908" s="15" t="inlineStr">
        <is>
          <t>SEL Manufacturing Company Limited</t>
        </is>
      </c>
      <c r="E1908" s="15" t="inlineStr">
        <is>
          <t>DRHP</t>
        </is>
      </c>
      <c r="F1908" s="15" t="inlineStr">
        <is>
          <t>SEL Manufacturing Company Limited</t>
        </is>
      </c>
      <c r="G1908" s="15" t="inlineStr">
        <is>
          <t>No launched IPO found</t>
        </is>
      </c>
      <c r="H1908" s="15" t="n"/>
      <c r="I1908" s="16" t="n"/>
      <c r="J1908" s="16" t="n"/>
      <c r="K1908" s="16" t="n"/>
      <c r="L1908" s="17" t="n"/>
      <c r="M1908" s="17" t="n"/>
      <c r="N1908" s="17" t="n"/>
      <c r="O1908" s="15" t="n"/>
      <c r="P1908" s="15" t="n"/>
      <c r="Q1908" s="18" t="inlineStr">
        <is>
          <t>https://www.sebi.gov.in/sebi_data/attachdocs/1292383906305.pdf</t>
        </is>
      </c>
      <c r="R1908" s="18" t="inlineStr">
        <is>
          <t>https://www.sebi.gov.in/filings/public-issues/nov-2006/sel-manufacturing-company-limited_10851.html</t>
        </is>
      </c>
      <c r="S1908" s="15" t="n"/>
      <c r="T1908" s="15" t="n"/>
      <c r="U1908" s="15" t="n"/>
      <c r="V1908" s="15" t="n"/>
      <c r="W1908" s="19" t="n">
        <v>39289</v>
      </c>
      <c r="X1908" s="19" t="n">
        <v>39294</v>
      </c>
      <c r="Y1908" s="19" t="n"/>
      <c r="Z1908" s="20" t="inlineStr">
        <is>
          <t>Issue opened</t>
        </is>
      </c>
      <c r="AA1908" s="15" t="inlineStr">
        <is>
          <t>Matched on chittorgarh.com</t>
        </is>
      </c>
      <c r="AB1908" s="18" t="inlineStr">
        <is>
          <t>https://www.chittorgarh.com/ipo/sel_ipo/109/</t>
        </is>
      </c>
    </row>
    <row r="1909" ht="15" customHeight="1" s="12">
      <c r="A1909" s="14" t="n">
        <v>1908</v>
      </c>
      <c r="B1909" s="16" t="n">
        <v>39049</v>
      </c>
      <c r="C1909" s="15" t="n">
        <v>2006</v>
      </c>
      <c r="D1909" s="15" t="inlineStr">
        <is>
          <t>Astral Poly Technik Limited</t>
        </is>
      </c>
      <c r="E1909" s="15" t="inlineStr">
        <is>
          <t>DRHP</t>
        </is>
      </c>
      <c r="F1909" s="15" t="inlineStr">
        <is>
          <t>Astral Poly Technik Limited</t>
        </is>
      </c>
      <c r="G1909" s="15" t="inlineStr">
        <is>
          <t>IPO launched</t>
        </is>
      </c>
      <c r="H1909" s="15" t="inlineStr">
        <is>
          <t>Mainboard</t>
        </is>
      </c>
      <c r="I1909" s="16" t="n">
        <v>39127</v>
      </c>
      <c r="J1909" s="16" t="n">
        <v>39135</v>
      </c>
      <c r="K1909" s="16" t="n">
        <v>39161</v>
      </c>
      <c r="L1909" s="17" t="n">
        <v>34.17</v>
      </c>
      <c r="M1909" s="17" t="n">
        <v>34.17</v>
      </c>
      <c r="N1909" s="17" t="n">
        <v>0</v>
      </c>
      <c r="O1909" s="15" t="inlineStr">
        <is>
          <t>Final issue (ipoplatform)</t>
        </is>
      </c>
      <c r="P1909" s="15" t="n"/>
      <c r="Q1909" s="18" t="inlineStr">
        <is>
          <t>https://www.sebi.gov.in/sebi_data/attachdocs/1292383545390.pdf</t>
        </is>
      </c>
      <c r="R1909" s="18" t="inlineStr">
        <is>
          <t>https://www.sebi.gov.in/filings/public-issues/nov-2006/astral-poly-technik-limited_10850.html</t>
        </is>
      </c>
      <c r="S1909" s="15" t="n"/>
      <c r="T1909" s="15" t="inlineStr">
        <is>
          <t>SEBI filing link</t>
        </is>
      </c>
      <c r="U1909" s="15" t="inlineStr">
        <is>
          <t>Astral Poly Technik Limited</t>
        </is>
      </c>
      <c r="V1909" s="15" t="n"/>
      <c r="W1909" s="15" t="n"/>
      <c r="X1909" s="15" t="n"/>
      <c r="Y1909" s="15" t="n"/>
      <c r="Z1909" s="15" t="n"/>
      <c r="AA1909" s="15" t="n"/>
      <c r="AB1909" s="15" t="n"/>
    </row>
    <row r="1910" ht="15" customHeight="1" s="12">
      <c r="A1910" s="14" t="n">
        <v>1909</v>
      </c>
      <c r="B1910" s="16" t="n">
        <v>39048</v>
      </c>
      <c r="C1910" s="15" t="n">
        <v>2006</v>
      </c>
      <c r="D1910" s="15" t="inlineStr">
        <is>
          <t>MIC Electronics Limited</t>
        </is>
      </c>
      <c r="E1910" s="15" t="inlineStr">
        <is>
          <t>DRHP</t>
        </is>
      </c>
      <c r="F1910" s="15" t="inlineStr">
        <is>
          <t>MIC Electronics Limited</t>
        </is>
      </c>
      <c r="G1910" s="15" t="inlineStr">
        <is>
          <t>IPO launched</t>
        </is>
      </c>
      <c r="H1910" s="15" t="inlineStr">
        <is>
          <t>Mainboard</t>
        </is>
      </c>
      <c r="I1910" s="16" t="n">
        <v>39202</v>
      </c>
      <c r="J1910" s="16" t="n">
        <v>39210</v>
      </c>
      <c r="K1910" s="16" t="n">
        <v>39232</v>
      </c>
      <c r="L1910" s="17" t="n">
        <v>76.5</v>
      </c>
      <c r="M1910" s="17" t="n">
        <v>76.5</v>
      </c>
      <c r="N1910" s="17" t="n">
        <v>0</v>
      </c>
      <c r="O1910" s="15" t="inlineStr">
        <is>
          <t>Final issue (ipoplatform)</t>
        </is>
      </c>
      <c r="P1910" s="15" t="n"/>
      <c r="Q1910" s="18" t="inlineStr">
        <is>
          <t>https://www.sebi.gov.in/sebi_data/attachdocs/1292383465793.pdf</t>
        </is>
      </c>
      <c r="R1910" s="18" t="inlineStr">
        <is>
          <t>https://www.sebi.gov.in/filings/public-issues/nov-2006/mic-electronics-limited_10849.html</t>
        </is>
      </c>
      <c r="S1910" s="15" t="n"/>
      <c r="T1910" s="15" t="inlineStr">
        <is>
          <t>SEBI filing link</t>
        </is>
      </c>
      <c r="U1910" s="15" t="inlineStr">
        <is>
          <t>MIC Electronics Limited</t>
        </is>
      </c>
      <c r="V1910" s="15" t="n"/>
      <c r="W1910" s="15" t="n"/>
      <c r="X1910" s="15" t="n"/>
      <c r="Y1910" s="15" t="n"/>
      <c r="Z1910" s="15" t="n"/>
      <c r="AA1910" s="15" t="n"/>
      <c r="AB1910" s="15" t="n"/>
    </row>
    <row r="1911" ht="15" customHeight="1" s="12">
      <c r="A1911" s="14" t="n">
        <v>1910</v>
      </c>
      <c r="B1911" s="16" t="n">
        <v>39045</v>
      </c>
      <c r="C1911" s="15" t="n">
        <v>2006</v>
      </c>
      <c r="D1911" s="15" t="inlineStr">
        <is>
          <t>First Source Solutions Limited</t>
        </is>
      </c>
      <c r="E1911" s="15" t="inlineStr">
        <is>
          <t>DRHP</t>
        </is>
      </c>
      <c r="F1911" s="15" t="inlineStr">
        <is>
          <t>First Source Solutions Limited</t>
        </is>
      </c>
      <c r="G1911" s="15" t="inlineStr">
        <is>
          <t>IPO launched</t>
        </is>
      </c>
      <c r="H1911" s="15" t="inlineStr">
        <is>
          <t>Mainboard</t>
        </is>
      </c>
      <c r="I1911" s="16" t="n">
        <v>39111</v>
      </c>
      <c r="J1911" s="16" t="n">
        <v>39115</v>
      </c>
      <c r="K1911" s="16" t="n">
        <v>39135</v>
      </c>
      <c r="L1911" s="17" t="n">
        <v>443.52</v>
      </c>
      <c r="M1911" s="17" t="n">
        <v>443.52</v>
      </c>
      <c r="N1911" s="17" t="n">
        <v>0</v>
      </c>
      <c r="O1911" s="15" t="inlineStr">
        <is>
          <t>Final issue (ipoplatform)</t>
        </is>
      </c>
      <c r="P1911" s="15" t="n"/>
      <c r="Q1911" s="18" t="inlineStr">
        <is>
          <t>https://www.sebi.gov.in/sebi_data/attachdocs/1292382734730.pdf</t>
        </is>
      </c>
      <c r="R1911" s="18" t="inlineStr">
        <is>
          <t>https://www.sebi.gov.in/filings/public-issues/nov-2006/first-source-solutions-limited_10845.html</t>
        </is>
      </c>
      <c r="S1911" s="15" t="n"/>
      <c r="T1911" s="15" t="inlineStr">
        <is>
          <t>SEBI filing link</t>
        </is>
      </c>
      <c r="U1911" s="15" t="inlineStr">
        <is>
          <t>Firstsource Solutions Limited</t>
        </is>
      </c>
      <c r="V1911" s="15" t="n"/>
      <c r="W1911" s="15" t="n"/>
      <c r="X1911" s="15" t="n"/>
      <c r="Y1911" s="15" t="n"/>
      <c r="Z1911" s="15" t="n"/>
      <c r="AA1911" s="15" t="n"/>
      <c r="AB1911" s="15" t="n"/>
    </row>
    <row r="1912" ht="15" customHeight="1" s="12">
      <c r="A1912" s="14" t="n">
        <v>1911</v>
      </c>
      <c r="B1912" s="16" t="n">
        <v>39038</v>
      </c>
      <c r="C1912" s="15" t="n">
        <v>2006</v>
      </c>
      <c r="D1912" s="15" t="inlineStr">
        <is>
          <t>technocraft Industries (India) Limited</t>
        </is>
      </c>
      <c r="E1912" s="15" t="inlineStr">
        <is>
          <t>DRHP</t>
        </is>
      </c>
      <c r="F1912" s="15" t="inlineStr">
        <is>
          <t>technocraft Industries (India) Limited</t>
        </is>
      </c>
      <c r="G1912" s="15" t="inlineStr">
        <is>
          <t>IPO launched</t>
        </is>
      </c>
      <c r="H1912" s="15" t="inlineStr">
        <is>
          <t>Mainboard</t>
        </is>
      </c>
      <c r="I1912" s="16" t="n">
        <v>39100</v>
      </c>
      <c r="J1912" s="16" t="n">
        <v>39105</v>
      </c>
      <c r="K1912" s="16" t="n">
        <v>39125</v>
      </c>
      <c r="L1912" s="17" t="n">
        <v>87.36</v>
      </c>
      <c r="M1912" s="17" t="n">
        <v>87.36</v>
      </c>
      <c r="N1912" s="17" t="n">
        <v>0</v>
      </c>
      <c r="O1912" s="15" t="inlineStr">
        <is>
          <t>Final issue (ipoplatform)</t>
        </is>
      </c>
      <c r="P1912" s="15" t="n"/>
      <c r="Q1912" s="18" t="inlineStr">
        <is>
          <t>https://www.sebi.gov.in/sebi_data/attachdocs/1292382626268.pdf</t>
        </is>
      </c>
      <c r="R1912" s="18" t="inlineStr">
        <is>
          <t>https://www.sebi.gov.in/filings/public-issues/nov-2006/technocraft-industries-india-limited_10844.html</t>
        </is>
      </c>
      <c r="S1912" s="15" t="n"/>
      <c r="T1912" s="15" t="inlineStr">
        <is>
          <t>Company name + date window</t>
        </is>
      </c>
      <c r="U1912" s="15" t="inlineStr">
        <is>
          <t>Technocraft Industries (India) Limited</t>
        </is>
      </c>
      <c r="V1912" s="15" t="n"/>
      <c r="W1912" s="15" t="n"/>
      <c r="X1912" s="15" t="n"/>
      <c r="Y1912" s="15" t="n"/>
      <c r="Z1912" s="15" t="n"/>
      <c r="AA1912" s="15" t="n"/>
      <c r="AB1912" s="15" t="n"/>
    </row>
    <row r="1913" ht="15" customHeight="1" s="12">
      <c r="A1913" s="14" t="n">
        <v>1912</v>
      </c>
      <c r="B1913" s="16" t="n">
        <v>39035</v>
      </c>
      <c r="C1913" s="15" t="n">
        <v>2006</v>
      </c>
      <c r="D1913" s="15" t="inlineStr">
        <is>
          <t>Shri Balkishan Agarwal Glass Industries Limited</t>
        </is>
      </c>
      <c r="E1913" s="15" t="inlineStr">
        <is>
          <t>DRHP</t>
        </is>
      </c>
      <c r="F1913" s="15" t="inlineStr">
        <is>
          <t>Shri Balkishan Agarwal Glass Industries Limited</t>
        </is>
      </c>
      <c r="G1913" s="15" t="inlineStr">
        <is>
          <t>No launched IPO found</t>
        </is>
      </c>
      <c r="H1913" s="15" t="n"/>
      <c r="I1913" s="16" t="n"/>
      <c r="J1913" s="16" t="n"/>
      <c r="K1913" s="16" t="n"/>
      <c r="L1913" s="17" t="n"/>
      <c r="M1913" s="17" t="n"/>
      <c r="N1913" s="17" t="n"/>
      <c r="O1913" s="15" t="n"/>
      <c r="P1913" s="15" t="n"/>
      <c r="Q1913" s="18" t="inlineStr">
        <is>
          <t>https://www.sebi.gov.in/sebi_data/attachdocs/1292382534562.pdf</t>
        </is>
      </c>
      <c r="R1913" s="18" t="inlineStr">
        <is>
          <t>https://www.sebi.gov.in/filings/public-issues/nov-2006/shri-balkishan-agarwal-glass-industries-limited_10843.html</t>
        </is>
      </c>
      <c r="S1913" s="15" t="n"/>
      <c r="T1913" s="15" t="n"/>
      <c r="U1913" s="15" t="n"/>
      <c r="V1913" s="15" t="n"/>
      <c r="W1913" s="16" t="n"/>
      <c r="X1913" s="16" t="n"/>
      <c r="Y1913" s="16" t="n"/>
      <c r="Z1913" s="15" t="inlineStr">
        <is>
          <t>No issue found</t>
        </is>
      </c>
      <c r="AA1913" s="15" t="inlineStr">
        <is>
          <t>Business Standard lists the company but shows no issue dates; web search limit reached</t>
        </is>
      </c>
      <c r="AB1913" s="18" t="inlineStr">
        <is>
          <t>https://www.business-standard.com/markets/ipo/shri-balkishan-agarwal-glass-industries-ipo-27633</t>
        </is>
      </c>
    </row>
    <row r="1914" ht="15" customHeight="1" s="12">
      <c r="A1914" s="14" t="n">
        <v>1913</v>
      </c>
      <c r="B1914" s="16" t="n">
        <v>39032</v>
      </c>
      <c r="C1914" s="15" t="n">
        <v>2006</v>
      </c>
      <c r="D1914" s="15" t="inlineStr">
        <is>
          <t>Binani Cements Limited</t>
        </is>
      </c>
      <c r="E1914" s="15" t="inlineStr">
        <is>
          <t>DRHP</t>
        </is>
      </c>
      <c r="F1914" s="15" t="inlineStr">
        <is>
          <t>Binani Cements Limited</t>
        </is>
      </c>
      <c r="G1914" s="15" t="inlineStr">
        <is>
          <t>No launched IPO found</t>
        </is>
      </c>
      <c r="H1914" s="15" t="n"/>
      <c r="I1914" s="16" t="n"/>
      <c r="J1914" s="16" t="n"/>
      <c r="K1914" s="16" t="n"/>
      <c r="L1914" s="17" t="n"/>
      <c r="M1914" s="17" t="n"/>
      <c r="N1914" s="17" t="n"/>
      <c r="O1914" s="15" t="n"/>
      <c r="P1914" s="15" t="n"/>
      <c r="Q1914" s="18" t="inlineStr">
        <is>
          <t>https://www.sebi.gov.in/sebi_data/attachdocs/1292329761512.pdf</t>
        </is>
      </c>
      <c r="R1914" s="18" t="inlineStr">
        <is>
          <t>https://www.sebi.gov.in/filings/public-issues/nov-2006/binani-cements-limited_10842.html</t>
        </is>
      </c>
      <c r="S1914" s="15" t="n"/>
      <c r="T1914" s="15" t="n"/>
      <c r="U1914" s="15" t="n"/>
      <c r="V1914" s="15" t="n"/>
      <c r="W1914" s="19" t="n">
        <v>39209</v>
      </c>
      <c r="X1914" s="19" t="n">
        <v>39212</v>
      </c>
      <c r="Y1914" s="19" t="n"/>
      <c r="Z1914" s="20" t="inlineStr">
        <is>
          <t>Issue opened</t>
        </is>
      </c>
      <c r="AA1914" s="15" t="inlineStr">
        <is>
          <t>Matched on chittorgarh.com (close name match: Binani Cement)</t>
        </is>
      </c>
      <c r="AB1914" s="18" t="inlineStr">
        <is>
          <t>https://www.chittorgarh.com/ipo/binani_cement_ipo/79/</t>
        </is>
      </c>
    </row>
    <row r="1915" ht="15" customHeight="1" s="12">
      <c r="A1915" s="14" t="n">
        <v>1914</v>
      </c>
      <c r="B1915" s="16" t="n">
        <v>39024</v>
      </c>
      <c r="C1915" s="15" t="n">
        <v>2006</v>
      </c>
      <c r="D1915" s="15" t="inlineStr">
        <is>
          <t>Emmbros Autocomp Limited</t>
        </is>
      </c>
      <c r="E1915" s="15" t="inlineStr">
        <is>
          <t>DRHP</t>
        </is>
      </c>
      <c r="F1915" s="15" t="inlineStr">
        <is>
          <t>Emmbros Autocomp Limited</t>
        </is>
      </c>
      <c r="G1915" s="15" t="inlineStr">
        <is>
          <t>No launched IPO found</t>
        </is>
      </c>
      <c r="H1915" s="15" t="n"/>
      <c r="I1915" s="16" t="n"/>
      <c r="J1915" s="16" t="n"/>
      <c r="K1915" s="16" t="n"/>
      <c r="L1915" s="17" t="n"/>
      <c r="M1915" s="17" t="n"/>
      <c r="N1915" s="17" t="n"/>
      <c r="O1915" s="15" t="n"/>
      <c r="P1915" s="15" t="n"/>
      <c r="Q1915" s="18" t="inlineStr">
        <is>
          <t>https://www.sebi.gov.in/sebi_data/attachdocs/1292329672652.pdf</t>
        </is>
      </c>
      <c r="R1915" s="18" t="inlineStr">
        <is>
          <t>https://www.sebi.gov.in/filings/public-issues/nov-2006/emmbros-autocomp-limited_10841.html</t>
        </is>
      </c>
      <c r="S1915" s="15" t="n"/>
      <c r="T1915" s="15" t="n"/>
      <c r="U1915" s="15" t="n"/>
      <c r="V1915" s="15" t="n"/>
      <c r="W1915" s="16" t="n"/>
      <c r="X1915" s="16" t="n"/>
      <c r="Y1915" s="16" t="n"/>
      <c r="Z1915" s="15" t="inlineStr">
        <is>
          <t>No issue found</t>
        </is>
      </c>
      <c r="AA1915" s="15" t="inlineStr">
        <is>
          <t>Baddi auto-parts maker; remains unlisted</t>
        </is>
      </c>
      <c r="AB1915" s="18" t="inlineStr">
        <is>
          <t>https://www.tofler.in/emmbros-autocomp-limited/company/U34300HP1991PLC011005</t>
        </is>
      </c>
    </row>
    <row r="1916" ht="15" customHeight="1" s="12">
      <c r="A1916" s="14" t="n">
        <v>1915</v>
      </c>
      <c r="B1916" s="16" t="n">
        <v>39024</v>
      </c>
      <c r="C1916" s="15" t="n">
        <v>2006</v>
      </c>
      <c r="D1916" s="15" t="inlineStr">
        <is>
          <t>Megmani Organics Limited</t>
        </is>
      </c>
      <c r="E1916" s="15" t="inlineStr">
        <is>
          <t>DRHP</t>
        </is>
      </c>
      <c r="F1916" s="15" t="inlineStr">
        <is>
          <t>Megmani Organics Limited</t>
        </is>
      </c>
      <c r="G1916" s="15" t="inlineStr">
        <is>
          <t>IPO launched</t>
        </is>
      </c>
      <c r="H1916" s="15" t="inlineStr">
        <is>
          <t>Mainboard</t>
        </is>
      </c>
      <c r="I1916" s="16" t="n">
        <v>39237</v>
      </c>
      <c r="J1916" s="16" t="n">
        <v>39240</v>
      </c>
      <c r="K1916" s="16" t="n">
        <v>39261</v>
      </c>
      <c r="L1916" s="17" t="n">
        <v>102</v>
      </c>
      <c r="M1916" s="17" t="n"/>
      <c r="N1916" s="17" t="n">
        <v>102</v>
      </c>
      <c r="O1916" s="15" t="inlineStr">
        <is>
          <t>Final issue (ipoplatform)</t>
        </is>
      </c>
      <c r="P1916" s="15" t="n"/>
      <c r="Q1916" s="18" t="inlineStr">
        <is>
          <t>https://www.sebi.gov.in/sebi_data/attachdocs/1292329305053.pdf</t>
        </is>
      </c>
      <c r="R1916" s="18" t="inlineStr">
        <is>
          <t>https://www.sebi.gov.in/filings/public-issues/nov-2006/megmani-organics-limited_10840.html</t>
        </is>
      </c>
      <c r="S1916" s="15" t="n"/>
      <c r="T1916" s="15" t="inlineStr">
        <is>
          <t>Company name (close spelling) + date window</t>
        </is>
      </c>
      <c r="U1916" s="15" t="inlineStr">
        <is>
          <t>Meghmani Organics Limited</t>
        </is>
      </c>
      <c r="V1916" s="15" t="n"/>
      <c r="W1916" s="15" t="n"/>
      <c r="X1916" s="15" t="n"/>
      <c r="Y1916" s="15" t="n"/>
      <c r="Z1916" s="15" t="n"/>
      <c r="AA1916" s="15" t="n"/>
      <c r="AB1916" s="15" t="n"/>
    </row>
    <row r="1917" ht="15" customHeight="1" s="12">
      <c r="A1917" s="14" t="n">
        <v>1916</v>
      </c>
      <c r="B1917" s="16" t="n">
        <v>39023</v>
      </c>
      <c r="C1917" s="15" t="n">
        <v>2006</v>
      </c>
      <c r="D1917" s="15" t="inlineStr">
        <is>
          <t>House of Pearl Fashions Limited</t>
        </is>
      </c>
      <c r="E1917" s="15" t="inlineStr">
        <is>
          <t>DRHP</t>
        </is>
      </c>
      <c r="F1917" s="15" t="inlineStr">
        <is>
          <t>House of Pearl Fashions Limited</t>
        </is>
      </c>
      <c r="G1917" s="15" t="inlineStr">
        <is>
          <t>IPO launched</t>
        </is>
      </c>
      <c r="H1917" s="15" t="inlineStr">
        <is>
          <t>Mainboard</t>
        </is>
      </c>
      <c r="I1917" s="16" t="n">
        <v>39098</v>
      </c>
      <c r="J1917" s="16" t="n">
        <v>39105</v>
      </c>
      <c r="K1917" s="16" t="n">
        <v>39128</v>
      </c>
      <c r="L1917" s="17" t="n">
        <v>329.17</v>
      </c>
      <c r="M1917" s="17" t="n">
        <v>329.17</v>
      </c>
      <c r="N1917" s="17" t="n">
        <v>0</v>
      </c>
      <c r="O1917" s="15" t="inlineStr">
        <is>
          <t>Final issue (ipoplatform)</t>
        </is>
      </c>
      <c r="P1917" s="15" t="n"/>
      <c r="Q1917" s="18" t="inlineStr">
        <is>
          <t>https://www.sebi.gov.in/sebi_data/attachdocs/1292329003133.pdf</t>
        </is>
      </c>
      <c r="R1917" s="18" t="inlineStr">
        <is>
          <t>https://www.sebi.gov.in/filings/public-issues/nov-2006/house-of-pearl-fashions-limited_10839.html</t>
        </is>
      </c>
      <c r="S1917" s="15" t="n"/>
      <c r="T1917" s="15" t="inlineStr">
        <is>
          <t>SEBI filing link</t>
        </is>
      </c>
      <c r="U1917" s="15" t="inlineStr">
        <is>
          <t>House of Pearl Fashions Limited</t>
        </is>
      </c>
      <c r="V1917" s="15" t="n"/>
      <c r="W1917" s="15" t="n"/>
      <c r="X1917" s="15" t="n"/>
      <c r="Y1917" s="15" t="n"/>
      <c r="Z1917" s="15" t="n"/>
      <c r="AA1917" s="15" t="n"/>
      <c r="AB1917" s="15" t="n"/>
    </row>
    <row r="1918" ht="15" customHeight="1" s="12">
      <c r="A1918" s="14" t="n">
        <v>1917</v>
      </c>
      <c r="B1918" s="16" t="n">
        <v>39021</v>
      </c>
      <c r="C1918" s="15" t="n">
        <v>2006</v>
      </c>
      <c r="D1918" s="15" t="inlineStr">
        <is>
          <t>Mudra Lifetyle Limited</t>
        </is>
      </c>
      <c r="E1918" s="15" t="inlineStr">
        <is>
          <t>DRHP</t>
        </is>
      </c>
      <c r="F1918" s="15" t="inlineStr">
        <is>
          <t>Mudra Lifetyle Limited</t>
        </is>
      </c>
      <c r="G1918" s="15" t="inlineStr">
        <is>
          <t>IPO launched</t>
        </is>
      </c>
      <c r="H1918" s="15" t="inlineStr">
        <is>
          <t>Mainboard</t>
        </is>
      </c>
      <c r="I1918" s="16" t="n">
        <v>39121</v>
      </c>
      <c r="J1918" s="16" t="n">
        <v>39127</v>
      </c>
      <c r="K1918" s="16" t="n">
        <v>39150</v>
      </c>
      <c r="L1918" s="17" t="n">
        <v>86.22</v>
      </c>
      <c r="M1918" s="17" t="n">
        <v>86.22</v>
      </c>
      <c r="N1918" s="17" t="n">
        <v>0</v>
      </c>
      <c r="O1918" s="15" t="inlineStr">
        <is>
          <t>Final issue (ipoplatform)</t>
        </is>
      </c>
      <c r="P1918" s="15" t="n"/>
      <c r="Q1918" s="18" t="inlineStr">
        <is>
          <t>https://www.sebi.gov.in/sebi_data/attachdocs/1292324489696.pdf</t>
        </is>
      </c>
      <c r="R1918" s="18" t="inlineStr">
        <is>
          <t>https://www.sebi.gov.in/filings/public-issues/oct-2006/mudra-lifetyle-limited_10797.html</t>
        </is>
      </c>
      <c r="S1918" s="15" t="n"/>
      <c r="T1918" s="15" t="inlineStr">
        <is>
          <t>SEBI filing link</t>
        </is>
      </c>
      <c r="U1918" s="15" t="inlineStr">
        <is>
          <t>Mudra Lifestyle Limited</t>
        </is>
      </c>
      <c r="V1918" s="15" t="n"/>
      <c r="W1918" s="15" t="n"/>
      <c r="X1918" s="15" t="n"/>
      <c r="Y1918" s="15" t="n"/>
      <c r="Z1918" s="15" t="n"/>
      <c r="AA1918" s="15" t="n"/>
      <c r="AB1918" s="15" t="n"/>
    </row>
    <row r="1919" ht="15" customHeight="1" s="12">
      <c r="A1919" s="14" t="n">
        <v>1918</v>
      </c>
      <c r="B1919" s="16" t="n">
        <v>39021</v>
      </c>
      <c r="C1919" s="15" t="n">
        <v>2006</v>
      </c>
      <c r="D1919" s="15" t="inlineStr">
        <is>
          <t>Raj Television Network Limited</t>
        </is>
      </c>
      <c r="E1919" s="15" t="inlineStr">
        <is>
          <t>DRHP</t>
        </is>
      </c>
      <c r="F1919" s="15" t="inlineStr">
        <is>
          <t>Raj Television Network Limited</t>
        </is>
      </c>
      <c r="G1919" s="15" t="inlineStr">
        <is>
          <t>IPO launched</t>
        </is>
      </c>
      <c r="H1919" s="15" t="inlineStr">
        <is>
          <t>Mainboard</t>
        </is>
      </c>
      <c r="I1919" s="16" t="n">
        <v>39127</v>
      </c>
      <c r="J1919" s="16" t="n">
        <v>39136</v>
      </c>
      <c r="K1919" s="16" t="n">
        <v>39157</v>
      </c>
      <c r="L1919" s="17" t="n">
        <v>91.7</v>
      </c>
      <c r="M1919" s="17" t="n">
        <v>91.7</v>
      </c>
      <c r="N1919" s="17" t="n">
        <v>0</v>
      </c>
      <c r="O1919" s="15" t="inlineStr">
        <is>
          <t>Final issue (ipoplatform)</t>
        </is>
      </c>
      <c r="P1919" s="15" t="n"/>
      <c r="Q1919" s="18" t="inlineStr">
        <is>
          <t>https://www.sebi.gov.in/sebi_data/attachdocs/1292324684257.pdf</t>
        </is>
      </c>
      <c r="R1919" s="18" t="inlineStr">
        <is>
          <t>https://www.sebi.gov.in/filings/public-issues/oct-2006/raj-television-network-limited_10798.html</t>
        </is>
      </c>
      <c r="S1919" s="15" t="n"/>
      <c r="T1919" s="15" t="inlineStr">
        <is>
          <t>SEBI filing link</t>
        </is>
      </c>
      <c r="U1919" s="15" t="inlineStr">
        <is>
          <t>Raj Television Network Limited</t>
        </is>
      </c>
      <c r="V1919" s="15" t="n"/>
      <c r="W1919" s="15" t="n"/>
      <c r="X1919" s="15" t="n"/>
      <c r="Y1919" s="15" t="n"/>
      <c r="Z1919" s="15" t="n"/>
      <c r="AA1919" s="15" t="n"/>
      <c r="AB1919" s="15" t="n"/>
    </row>
    <row r="1920" ht="15" customHeight="1" s="12">
      <c r="A1920" s="14" t="n">
        <v>1919</v>
      </c>
      <c r="B1920" s="16" t="n">
        <v>39017</v>
      </c>
      <c r="C1920" s="15" t="n">
        <v>2006</v>
      </c>
      <c r="D1920" s="15" t="inlineStr">
        <is>
          <t>Vijayeswari Textiles Limited</t>
        </is>
      </c>
      <c r="E1920" s="15" t="inlineStr">
        <is>
          <t>DRHP</t>
        </is>
      </c>
      <c r="F1920" s="15" t="inlineStr">
        <is>
          <t>Vijayeswari Textiles Limited</t>
        </is>
      </c>
      <c r="G1920" s="15" t="inlineStr">
        <is>
          <t>No launched IPO found</t>
        </is>
      </c>
      <c r="H1920" s="15" t="n"/>
      <c r="I1920" s="16" t="n"/>
      <c r="J1920" s="16" t="n"/>
      <c r="K1920" s="16" t="n"/>
      <c r="L1920" s="17" t="n"/>
      <c r="M1920" s="17" t="n"/>
      <c r="N1920" s="17" t="n"/>
      <c r="O1920" s="15" t="n"/>
      <c r="P1920" s="15" t="n"/>
      <c r="Q1920" s="18" t="inlineStr">
        <is>
          <t>https://www.sebi.gov.in/sebi_data/attachdocs/1292324160473.pdf</t>
        </is>
      </c>
      <c r="R1920" s="18" t="inlineStr">
        <is>
          <t>https://www.sebi.gov.in/filings/public-issues/oct-2006/vijayeswari-textiles-limited_10796.html</t>
        </is>
      </c>
      <c r="S1920" s="15" t="n"/>
      <c r="T1920" s="15" t="n"/>
      <c r="U1920" s="15" t="n"/>
      <c r="V1920" s="15" t="n"/>
      <c r="W1920" s="19" t="n">
        <v>39121</v>
      </c>
      <c r="X1920" s="19" t="n">
        <v>39132</v>
      </c>
      <c r="Y1920" s="19" t="n">
        <v>39150</v>
      </c>
      <c r="Z1920" s="20" t="inlineStr">
        <is>
          <t>Issue opened</t>
        </is>
      </c>
      <c r="AA1920" s="15" t="inlineStr">
        <is>
          <t>FPO: Chittorgarh lists as FPO.</t>
        </is>
      </c>
      <c r="AB1920" s="18" t="inlineStr">
        <is>
          <t>https://www.chittorgarh.com/ipo/x/56/</t>
        </is>
      </c>
    </row>
    <row r="1921" ht="15" customHeight="1" s="12">
      <c r="A1921" s="14" t="n">
        <v>1920</v>
      </c>
      <c r="B1921" s="16" t="n">
        <v>39008</v>
      </c>
      <c r="C1921" s="15" t="n">
        <v>2006</v>
      </c>
      <c r="D1921" s="15" t="inlineStr">
        <is>
          <t>Cairn India Limited</t>
        </is>
      </c>
      <c r="E1921" s="15" t="inlineStr">
        <is>
          <t>DRHP</t>
        </is>
      </c>
      <c r="F1921" s="15" t="inlineStr">
        <is>
          <t>Cairn India Limited</t>
        </is>
      </c>
      <c r="G1921" s="15" t="inlineStr">
        <is>
          <t>No launched IPO found</t>
        </is>
      </c>
      <c r="H1921" s="15" t="n"/>
      <c r="I1921" s="16" t="n"/>
      <c r="J1921" s="16" t="n"/>
      <c r="K1921" s="16" t="n"/>
      <c r="L1921" s="17" t="n"/>
      <c r="M1921" s="17" t="n"/>
      <c r="N1921" s="17" t="n"/>
      <c r="O1921" s="15" t="n"/>
      <c r="P1921" s="15" t="n"/>
      <c r="Q1921" s="18" t="inlineStr">
        <is>
          <t>https://www.sebi.gov.in/sebi_data/attachdocs/1292323115043.pdf</t>
        </is>
      </c>
      <c r="R1921" s="18" t="inlineStr">
        <is>
          <t>https://www.sebi.gov.in/filings/public-issues/oct-2006/cairn-india-limited_10788.html</t>
        </is>
      </c>
      <c r="S1921" s="15" t="n"/>
      <c r="T1921" s="15" t="n"/>
      <c r="U1921" s="15" t="n"/>
      <c r="V1921" s="15" t="n"/>
      <c r="W1921" s="19" t="n">
        <v>39062</v>
      </c>
      <c r="X1921" s="19" t="n">
        <v>39066</v>
      </c>
      <c r="Y1921" s="19" t="n"/>
      <c r="Z1921" s="20" t="inlineStr">
        <is>
          <t>Issue opened</t>
        </is>
      </c>
      <c r="AA1921" s="15" t="inlineStr">
        <is>
          <t>Matched on chittorgarh.com</t>
        </is>
      </c>
      <c r="AB1921" s="18" t="inlineStr">
        <is>
          <t>https://www.chittorgarh.com/ipo/cairn-india-ipo/29/</t>
        </is>
      </c>
    </row>
    <row r="1922" ht="15" customHeight="1" s="12">
      <c r="A1922" s="14" t="n">
        <v>1921</v>
      </c>
      <c r="B1922" s="16" t="n">
        <v>39007</v>
      </c>
      <c r="C1922" s="15" t="n">
        <v>2006</v>
      </c>
      <c r="D1922" s="15" t="inlineStr">
        <is>
          <t>C &amp; C Constructions Limited</t>
        </is>
      </c>
      <c r="E1922" s="15" t="inlineStr">
        <is>
          <t>DRHP</t>
        </is>
      </c>
      <c r="F1922" s="15" t="inlineStr">
        <is>
          <t>C &amp; C Constructions Limited</t>
        </is>
      </c>
      <c r="G1922" s="15" t="inlineStr">
        <is>
          <t>IPO launched</t>
        </is>
      </c>
      <c r="H1922" s="15" t="inlineStr">
        <is>
          <t>Mainboard</t>
        </is>
      </c>
      <c r="I1922" s="16" t="n">
        <v>39118</v>
      </c>
      <c r="J1922" s="16" t="n">
        <v>39122</v>
      </c>
      <c r="K1922" s="16" t="n">
        <v>39139</v>
      </c>
      <c r="L1922" s="17" t="n">
        <v>124.24</v>
      </c>
      <c r="M1922" s="17" t="n">
        <v>124.24</v>
      </c>
      <c r="N1922" s="17" t="n">
        <v>0</v>
      </c>
      <c r="O1922" s="15" t="inlineStr">
        <is>
          <t>Final issue (ipoplatform)</t>
        </is>
      </c>
      <c r="P1922" s="15" t="n"/>
      <c r="Q1922" s="18" t="inlineStr">
        <is>
          <t>https://www.sebi.gov.in/sebi_data/attachdocs/1292322784428.pdf</t>
        </is>
      </c>
      <c r="R1922" s="18" t="inlineStr">
        <is>
          <t>https://www.sebi.gov.in/filings/public-issues/oct-2006/c-and-c-constructions-limited_10782.html</t>
        </is>
      </c>
      <c r="S1922" s="15" t="n"/>
      <c r="T1922" s="15" t="inlineStr">
        <is>
          <t>SEBI filing link</t>
        </is>
      </c>
      <c r="U1922" s="15" t="inlineStr">
        <is>
          <t>C&amp;C Constructions Limited</t>
        </is>
      </c>
      <c r="V1922" s="15" t="inlineStr">
        <is>
          <t>Open date corrected from source value 2006-02-05 (contradicts source close/listing date)</t>
        </is>
      </c>
      <c r="W1922" s="15" t="n"/>
      <c r="X1922" s="15" t="n"/>
      <c r="Y1922" s="15" t="n"/>
      <c r="Z1922" s="15" t="n"/>
      <c r="AA1922" s="15" t="n"/>
      <c r="AB1922" s="15" t="n"/>
    </row>
    <row r="1923" ht="15" customHeight="1" s="12">
      <c r="A1923" s="14" t="n">
        <v>1922</v>
      </c>
      <c r="B1923" s="16" t="n">
        <v>39001</v>
      </c>
      <c r="C1923" s="15" t="n">
        <v>2006</v>
      </c>
      <c r="D1923" s="15" t="inlineStr">
        <is>
          <t>Advanta India Limited</t>
        </is>
      </c>
      <c r="E1923" s="15" t="inlineStr">
        <is>
          <t>DRHP</t>
        </is>
      </c>
      <c r="F1923" s="15" t="inlineStr">
        <is>
          <t>Advanta India Limited</t>
        </is>
      </c>
      <c r="G1923" s="15" t="inlineStr">
        <is>
          <t>No launched IPO found</t>
        </is>
      </c>
      <c r="H1923" s="15" t="n"/>
      <c r="I1923" s="16" t="n"/>
      <c r="J1923" s="16" t="n"/>
      <c r="K1923" s="16" t="n"/>
      <c r="L1923" s="17" t="n"/>
      <c r="M1923" s="17" t="n"/>
      <c r="N1923" s="17" t="n"/>
      <c r="O1923" s="15" t="n"/>
      <c r="P1923" s="15" t="n"/>
      <c r="Q1923" s="18" t="inlineStr">
        <is>
          <t>https://www.sebi.gov.in/sebi_data/attachdocs/1292322439150.pdf</t>
        </is>
      </c>
      <c r="R1923" s="18" t="inlineStr">
        <is>
          <t>https://www.sebi.gov.in/filings/public-issues/oct-2006/advanta-india-limited_10778.html</t>
        </is>
      </c>
      <c r="S1923" s="15" t="n"/>
      <c r="T1923" s="15" t="n"/>
      <c r="U1923" s="15" t="n"/>
      <c r="V1923" s="15" t="n"/>
      <c r="W1923" s="19" t="n">
        <v>39167</v>
      </c>
      <c r="X1923" s="19" t="n">
        <v>39171</v>
      </c>
      <c r="Y1923" s="19" t="n"/>
      <c r="Z1923" s="20" t="inlineStr">
        <is>
          <t>Issue opened</t>
        </is>
      </c>
      <c r="AA1923" s="15" t="inlineStr">
        <is>
          <t>Matched on chittorgarh.com</t>
        </is>
      </c>
      <c r="AB1923" s="18" t="inlineStr">
        <is>
          <t>https://www.chittorgarh.com/ipo/advanta_ipo/73/</t>
        </is>
      </c>
    </row>
    <row r="1924" ht="15" customHeight="1" s="12">
      <c r="A1924" s="14" t="n">
        <v>1923</v>
      </c>
      <c r="B1924" s="16" t="n">
        <v>38999</v>
      </c>
      <c r="C1924" s="15" t="n">
        <v>2006</v>
      </c>
      <c r="D1924" s="15" t="inlineStr">
        <is>
          <t>Akruti Nirman Limited</t>
        </is>
      </c>
      <c r="E1924" s="15" t="inlineStr">
        <is>
          <t>DRHP</t>
        </is>
      </c>
      <c r="F1924" s="15" t="inlineStr">
        <is>
          <t>Akruti Nirman Limited</t>
        </is>
      </c>
      <c r="G1924" s="15" t="inlineStr">
        <is>
          <t>IPO launched</t>
        </is>
      </c>
      <c r="H1924" s="15" t="inlineStr">
        <is>
          <t>Mainboard</t>
        </is>
      </c>
      <c r="I1924" s="16" t="n">
        <v>39097</v>
      </c>
      <c r="J1924" s="16" t="n">
        <v>39101</v>
      </c>
      <c r="K1924" s="16" t="n">
        <v>39120</v>
      </c>
      <c r="L1924" s="17" t="n">
        <v>361.8</v>
      </c>
      <c r="M1924" s="17" t="n">
        <v>361.8</v>
      </c>
      <c r="N1924" s="17" t="n">
        <v>0</v>
      </c>
      <c r="O1924" s="15" t="inlineStr">
        <is>
          <t>Final issue (ipoplatform)</t>
        </is>
      </c>
      <c r="P1924" s="15" t="n"/>
      <c r="Q1924" s="18" t="inlineStr">
        <is>
          <t>https://www.sebi.gov.in/sebi_data/attachdocs/1294221653389.pdf</t>
        </is>
      </c>
      <c r="R1924" s="18" t="inlineStr">
        <is>
          <t>https://www.sebi.gov.in/filings/public-issues/oct-2006/akruti-nirman-limited_14184.html</t>
        </is>
      </c>
      <c r="S1924" s="15" t="n"/>
      <c r="T1924" s="15" t="inlineStr">
        <is>
          <t>SEBI filing link</t>
        </is>
      </c>
      <c r="U1924" s="15" t="inlineStr">
        <is>
          <t>Akruti Nirman Limited</t>
        </is>
      </c>
      <c r="V1924" s="15" t="n"/>
      <c r="W1924" s="15" t="n"/>
      <c r="X1924" s="15" t="n"/>
      <c r="Y1924" s="15" t="n"/>
      <c r="Z1924" s="15" t="n"/>
      <c r="AA1924" s="15" t="n"/>
      <c r="AB1924" s="15" t="n"/>
    </row>
    <row r="1925" ht="15" customHeight="1" s="12">
      <c r="A1925" s="14" t="n">
        <v>1924</v>
      </c>
      <c r="B1925" s="16" t="n">
        <v>38999</v>
      </c>
      <c r="C1925" s="15" t="n">
        <v>2006</v>
      </c>
      <c r="D1925" s="15" t="inlineStr">
        <is>
          <t>Asiatic Colour Chem Industries Limited</t>
        </is>
      </c>
      <c r="E1925" s="15" t="inlineStr">
        <is>
          <t>DRHP</t>
        </is>
      </c>
      <c r="F1925" s="15" t="inlineStr">
        <is>
          <t>Asiatic Colour Chem Industries Limited</t>
        </is>
      </c>
      <c r="G1925" s="15" t="inlineStr">
        <is>
          <t>No launched IPO found</t>
        </is>
      </c>
      <c r="H1925" s="15" t="n"/>
      <c r="I1925" s="16" t="n"/>
      <c r="J1925" s="16" t="n"/>
      <c r="K1925" s="16" t="n"/>
      <c r="L1925" s="17" t="n"/>
      <c r="M1925" s="17" t="n"/>
      <c r="N1925" s="17" t="n"/>
      <c r="O1925" s="15" t="n"/>
      <c r="P1925" s="15" t="n"/>
      <c r="Q1925" s="18" t="inlineStr">
        <is>
          <t>https://www.sebi.gov.in/sebi_data/attachdocs/1292322296658.pdf</t>
        </is>
      </c>
      <c r="R1925" s="18" t="inlineStr">
        <is>
          <t>https://www.sebi.gov.in/filings/public-issues/oct-2006/asiatic-colour-chem-industries-limited_10777.html</t>
        </is>
      </c>
      <c r="S1925" s="15" t="n"/>
      <c r="T1925" s="15" t="n"/>
      <c r="U1925" s="15" t="n"/>
      <c r="V1925" s="15" t="n"/>
      <c r="W1925" s="16" t="n"/>
      <c r="X1925" s="16" t="n"/>
      <c r="Y1925" s="16" t="n"/>
      <c r="Z1925" s="15" t="inlineStr">
        <is>
          <t>No issue found</t>
        </is>
      </c>
      <c r="AA1925" s="15" t="inlineStr">
        <is>
          <t>Ahmedabad dye maker; now a private limited company, unlisted; no IPO found</t>
        </is>
      </c>
      <c r="AB1925" s="18" t="inlineStr">
        <is>
          <t>https://www.zaubacorp.com/ASIATIC-COLOUR-CHEM-INDUSTRIES-PRIVATE-LIMITED-U24117GJ1995PTC024128</t>
        </is>
      </c>
    </row>
    <row r="1926" ht="15" customHeight="1" s="12">
      <c r="A1926" s="14" t="n">
        <v>1925</v>
      </c>
      <c r="B1926" s="16" t="n">
        <v>38999</v>
      </c>
      <c r="C1926" s="15" t="n">
        <v>2006</v>
      </c>
      <c r="D1926" s="15" t="inlineStr">
        <is>
          <t>Fortis Healthcare Limited</t>
        </is>
      </c>
      <c r="E1926" s="15" t="inlineStr">
        <is>
          <t>DRHP</t>
        </is>
      </c>
      <c r="F1926" s="15" t="inlineStr">
        <is>
          <t>Fortis Healthcare Limited</t>
        </is>
      </c>
      <c r="G1926" s="15" t="inlineStr">
        <is>
          <t>IPO launched</t>
        </is>
      </c>
      <c r="H1926" s="15" t="inlineStr">
        <is>
          <t>Mainboard</t>
        </is>
      </c>
      <c r="I1926" s="16" t="n">
        <v>39188</v>
      </c>
      <c r="J1926" s="16" t="n">
        <v>39192</v>
      </c>
      <c r="K1926" s="16" t="n">
        <v>39211</v>
      </c>
      <c r="L1926" s="17" t="n">
        <v>496.76</v>
      </c>
      <c r="M1926" s="17" t="n">
        <v>496.76</v>
      </c>
      <c r="N1926" s="17" t="n">
        <v>0</v>
      </c>
      <c r="O1926" s="15" t="inlineStr">
        <is>
          <t>Final issue (ipoplatform)</t>
        </is>
      </c>
      <c r="P1926" s="15" t="n"/>
      <c r="Q1926" s="18" t="inlineStr">
        <is>
          <t>https://www.sebi.gov.in/sebi_data/attachdocs/1292321782762.pdf</t>
        </is>
      </c>
      <c r="R1926" s="18" t="inlineStr">
        <is>
          <t>https://www.sebi.gov.in/filings/public-issues/oct-2006/fortis-healthcare-limited_10769.html</t>
        </is>
      </c>
      <c r="S1926" s="15" t="n"/>
      <c r="T1926" s="15" t="inlineStr">
        <is>
          <t>SEBI filing link</t>
        </is>
      </c>
      <c r="U1926" s="15" t="inlineStr">
        <is>
          <t>Fortis Healthcare Limited</t>
        </is>
      </c>
      <c r="V1926" s="15" t="n"/>
      <c r="W1926" s="15" t="n"/>
      <c r="X1926" s="15" t="n"/>
      <c r="Y1926" s="15" t="n"/>
      <c r="Z1926" s="15" t="n"/>
      <c r="AA1926" s="15" t="n"/>
      <c r="AB1926" s="15" t="n"/>
    </row>
    <row r="1927" ht="15" customHeight="1" s="12">
      <c r="A1927" s="14" t="n">
        <v>1926</v>
      </c>
      <c r="B1927" s="16" t="n">
        <v>38999</v>
      </c>
      <c r="C1927" s="15" t="n">
        <v>2006</v>
      </c>
      <c r="D1927" s="15" t="inlineStr">
        <is>
          <t>MBL Infrastructure Limited</t>
        </is>
      </c>
      <c r="E1927" s="15" t="inlineStr">
        <is>
          <t>DRHP</t>
        </is>
      </c>
      <c r="F1927" s="15" t="inlineStr">
        <is>
          <t>MBL Infrastructure Limited</t>
        </is>
      </c>
      <c r="G1927" s="15" t="inlineStr">
        <is>
          <t>No launched IPO found</t>
        </is>
      </c>
      <c r="H1927" s="15" t="n"/>
      <c r="I1927" s="16" t="n"/>
      <c r="J1927" s="16" t="n"/>
      <c r="K1927" s="16" t="n"/>
      <c r="L1927" s="17" t="n"/>
      <c r="M1927" s="17" t="n"/>
      <c r="N1927" s="17" t="n"/>
      <c r="O1927" s="15" t="n"/>
      <c r="P1927" s="15" t="n"/>
      <c r="Q1927" s="18" t="inlineStr">
        <is>
          <t>https://www.sebi.gov.in/sebi_data/attachdocs/1292322201130.pdf</t>
        </is>
      </c>
      <c r="R1927" s="18" t="inlineStr">
        <is>
          <t>https://www.sebi.gov.in/filings/public-issues/oct-2006/mbl-infrastructure-limited_10776.html</t>
        </is>
      </c>
      <c r="S1927" s="15" t="n"/>
      <c r="T1927" s="15" t="n"/>
      <c r="U1927" s="15" t="n"/>
      <c r="V1927" s="15" t="n"/>
      <c r="W1927" s="25" t="n">
        <v>40144</v>
      </c>
      <c r="X1927" s="25" t="n">
        <v>40148</v>
      </c>
      <c r="Y1927" s="25" t="n">
        <v>40189</v>
      </c>
      <c r="Z1927" s="26" t="inlineStr">
        <is>
          <t>Later IPO — not from this draft</t>
        </is>
      </c>
      <c r="AA1927" s="15" t="inlineStr">
        <is>
          <t>Opened over 3 years after last_filed (2006).</t>
        </is>
      </c>
      <c r="AB1927" s="18" t="inlineStr">
        <is>
          <t>https://www.chittorgarh.com/ipo/x/210/</t>
        </is>
      </c>
    </row>
    <row r="1928" ht="15" customHeight="1" s="12">
      <c r="A1928" s="14" t="n">
        <v>1927</v>
      </c>
      <c r="B1928" s="16" t="n">
        <v>38995</v>
      </c>
      <c r="C1928" s="15" t="n">
        <v>2006</v>
      </c>
      <c r="D1928" s="15" t="inlineStr">
        <is>
          <t>Essel Shyam Communication Limited</t>
        </is>
      </c>
      <c r="E1928" s="15" t="inlineStr">
        <is>
          <t>DRHP</t>
        </is>
      </c>
      <c r="F1928" s="15" t="inlineStr">
        <is>
          <t>Essel Shyam Communication Limited</t>
        </is>
      </c>
      <c r="G1928" s="15" t="inlineStr">
        <is>
          <t>No launched IPO found</t>
        </is>
      </c>
      <c r="H1928" s="15" t="n"/>
      <c r="I1928" s="16" t="n"/>
      <c r="J1928" s="16" t="n"/>
      <c r="K1928" s="16" t="n"/>
      <c r="L1928" s="17" t="n"/>
      <c r="M1928" s="17" t="n"/>
      <c r="N1928" s="17" t="n"/>
      <c r="O1928" s="15" t="n"/>
      <c r="P1928" s="15" t="n"/>
      <c r="Q1928" s="18" t="inlineStr">
        <is>
          <t>https://www.sebi.gov.in/sebi_data/attachdocs/1292321538540.pdf</t>
        </is>
      </c>
      <c r="R1928" s="18" t="inlineStr">
        <is>
          <t>https://www.sebi.gov.in/filings/public-issues/oct-2006/essel-shyam-communication-limited_10761.html</t>
        </is>
      </c>
      <c r="S1928" s="15" t="n"/>
      <c r="T1928" s="15" t="n"/>
      <c r="U1928" s="15" t="n"/>
      <c r="V1928" s="15" t="n"/>
      <c r="W1928" s="16" t="n"/>
      <c r="X1928" s="16" t="n"/>
      <c r="Y1928" s="16" t="n"/>
      <c r="Z1928" s="15" t="inlineStr">
        <is>
          <t>Withdrawn / approval lapsed</t>
        </is>
      </c>
      <c r="AA1928" s="15" t="inlineStr">
        <is>
          <t>IPO draft withdrawn vide letter dated 3 Mar 2008 (SEBI processing status); never listed</t>
        </is>
      </c>
      <c r="AB1928" s="18" t="inlineStr">
        <is>
          <t>https://www.sebi.gov.in/sebi_data/commondocs/ProcessingStatus20062007_h.html</t>
        </is>
      </c>
    </row>
    <row r="1929" ht="15" customHeight="1" s="12">
      <c r="A1929" s="14" t="n">
        <v>1928</v>
      </c>
      <c r="B1929" s="16" t="n">
        <v>38995</v>
      </c>
      <c r="C1929" s="15" t="n">
        <v>2006</v>
      </c>
      <c r="D1929" s="15" t="inlineStr">
        <is>
          <t>Glory Polyfilms Limited</t>
        </is>
      </c>
      <c r="E1929" s="15" t="inlineStr">
        <is>
          <t>DRHP</t>
        </is>
      </c>
      <c r="F1929" s="15" t="inlineStr">
        <is>
          <t>Glory Polyfilms Limited</t>
        </is>
      </c>
      <c r="G1929" s="15" t="inlineStr">
        <is>
          <t>No launched IPO found</t>
        </is>
      </c>
      <c r="H1929" s="15" t="n"/>
      <c r="I1929" s="16" t="n"/>
      <c r="J1929" s="16" t="n"/>
      <c r="K1929" s="16" t="n"/>
      <c r="L1929" s="17" t="n"/>
      <c r="M1929" s="17" t="n"/>
      <c r="N1929" s="17" t="n"/>
      <c r="O1929" s="15" t="n"/>
      <c r="P1929" s="15" t="n"/>
      <c r="Q1929" s="18" t="inlineStr">
        <is>
          <t>https://www.sebi.gov.in/sebi_data/attachdocs/1292320898582.pdf</t>
        </is>
      </c>
      <c r="R1929" s="18" t="inlineStr">
        <is>
          <t>https://www.sebi.gov.in/filings/public-issues/oct-2006/glory-polyfilms-limited_10745.html</t>
        </is>
      </c>
      <c r="S1929" s="15" t="n"/>
      <c r="T1929" s="15" t="n"/>
      <c r="U1929" s="15" t="n"/>
      <c r="V1929" s="15" t="n"/>
      <c r="W1929" s="19" t="n">
        <v>39211</v>
      </c>
      <c r="X1929" s="19" t="n">
        <v>39217</v>
      </c>
      <c r="Y1929" s="19" t="n"/>
      <c r="Z1929" s="20" t="inlineStr">
        <is>
          <t>Issue opened</t>
        </is>
      </c>
      <c r="AA1929" s="15" t="inlineStr">
        <is>
          <t>Matched on chittorgarh.com</t>
        </is>
      </c>
      <c r="AB1929" s="18" t="inlineStr">
        <is>
          <t>https://www.chittorgarh.com/ipo/glory_polyfilms_ipo/82/</t>
        </is>
      </c>
    </row>
    <row r="1930" ht="15" customHeight="1" s="12">
      <c r="A1930" s="14" t="n">
        <v>1929</v>
      </c>
      <c r="B1930" s="16" t="n">
        <v>38995</v>
      </c>
      <c r="C1930" s="15" t="n">
        <v>2006</v>
      </c>
      <c r="D1930" s="15" t="inlineStr">
        <is>
          <t>Ind Synergy Limited</t>
        </is>
      </c>
      <c r="E1930" s="15" t="inlineStr">
        <is>
          <t>DRHP</t>
        </is>
      </c>
      <c r="F1930" s="15" t="inlineStr">
        <is>
          <t>Ind Synergy Limited</t>
        </is>
      </c>
      <c r="G1930" s="15" t="inlineStr">
        <is>
          <t>No launched IPO found</t>
        </is>
      </c>
      <c r="H1930" s="15" t="n"/>
      <c r="I1930" s="16" t="n"/>
      <c r="J1930" s="16" t="n"/>
      <c r="K1930" s="16" t="n"/>
      <c r="L1930" s="17" t="n"/>
      <c r="M1930" s="17" t="n"/>
      <c r="N1930" s="17" t="n"/>
      <c r="O1930" s="15" t="n"/>
      <c r="P1930" s="15" t="n"/>
      <c r="Q1930" s="18" t="inlineStr">
        <is>
          <t>https://www.sebi.gov.in/sebi_data/attachdocs/1292320760467.pdf</t>
        </is>
      </c>
      <c r="R1930" s="18" t="inlineStr">
        <is>
          <t>https://www.sebi.gov.in/filings/public-issues/oct-2006/ind-synergy-limited_10740.html</t>
        </is>
      </c>
      <c r="S1930" s="15" t="n"/>
      <c r="T1930" s="15" t="n"/>
      <c r="U1930" s="15" t="n"/>
      <c r="V1930" s="15" t="n"/>
      <c r="W1930" s="16" t="n"/>
      <c r="X1930" s="16" t="n"/>
      <c r="Y1930" s="16" t="n"/>
      <c r="Z1930" s="15" t="inlineStr">
        <is>
          <t>No issue found</t>
        </is>
      </c>
      <c r="AA1930" s="15" t="inlineStr">
        <is>
          <t>Business Standard lists the company but shows no issue dates; web search limit reached</t>
        </is>
      </c>
      <c r="AB1930" s="18" t="inlineStr">
        <is>
          <t>https://www.business-standard.com/markets/ipo/ind-synergy-ltd-ipo-25109</t>
        </is>
      </c>
    </row>
    <row r="1931" ht="15" customHeight="1" s="12">
      <c r="A1931" s="14" t="n">
        <v>1930</v>
      </c>
      <c r="B1931" s="16" t="n">
        <v>38995</v>
      </c>
      <c r="C1931" s="15" t="n">
        <v>2006</v>
      </c>
      <c r="D1931" s="15" t="inlineStr">
        <is>
          <t>Kirloskar Ferrous Industries Limited</t>
        </is>
      </c>
      <c r="E1931" s="15" t="inlineStr">
        <is>
          <t>DRHP</t>
        </is>
      </c>
      <c r="F1931" s="15" t="inlineStr">
        <is>
          <t>Kirloskar Ferrous Industries Limited</t>
        </is>
      </c>
      <c r="G1931" s="15" t="inlineStr">
        <is>
          <t>No launched IPO found</t>
        </is>
      </c>
      <c r="H1931" s="15" t="n"/>
      <c r="I1931" s="16" t="n"/>
      <c r="J1931" s="16" t="n"/>
      <c r="K1931" s="16" t="n"/>
      <c r="L1931" s="17" t="n"/>
      <c r="M1931" s="17" t="n"/>
      <c r="N1931" s="17" t="n"/>
      <c r="O1931" s="15" t="n"/>
      <c r="P1931" s="15" t="n"/>
      <c r="Q1931" s="18" t="inlineStr">
        <is>
          <t>https://www.sebi.gov.in/sebi_data/attachdocs/1292321402880.pdf</t>
        </is>
      </c>
      <c r="R1931" s="18" t="inlineStr">
        <is>
          <t>https://www.sebi.gov.in/filings/public-issues/oct-2006/kirloskar-ferrous-industries-limited_10758.html</t>
        </is>
      </c>
      <c r="S1931" s="15" t="n"/>
      <c r="T1931" s="15" t="n"/>
      <c r="U1931" s="15" t="n"/>
      <c r="V1931" s="15" t="n"/>
      <c r="W1931" s="16" t="n"/>
      <c r="X1931" s="16" t="n"/>
      <c r="Y1931" s="16" t="n"/>
      <c r="Z1931" s="15" t="inlineStr">
        <is>
          <t>No issue found</t>
        </is>
      </c>
      <c r="AA1931" s="15" t="inlineStr">
        <is>
          <t>Rights issue 9:10 at Rs35, not IPO/FPO; opened 19-Jan-2007, closed 17-Feb-2007</t>
        </is>
      </c>
      <c r="AB1931" s="18" t="inlineStr">
        <is>
          <t>https://www.sebi.gov.in/filings/rights-issues/jan-2007/kirloskar-ferrous-industries-limited_8550.html</t>
        </is>
      </c>
    </row>
    <row r="1932" ht="15" customHeight="1" s="12">
      <c r="A1932" s="14" t="n">
        <v>1931</v>
      </c>
      <c r="B1932" s="16" t="n">
        <v>38995</v>
      </c>
      <c r="C1932" s="15" t="n">
        <v>2006</v>
      </c>
      <c r="D1932" s="15" t="inlineStr">
        <is>
          <t>Omnitech InfoSolutions Limited</t>
        </is>
      </c>
      <c r="E1932" s="15" t="inlineStr">
        <is>
          <t>DRHP</t>
        </is>
      </c>
      <c r="F1932" s="15" t="inlineStr">
        <is>
          <t>Omnitech InfoSolutions Limited</t>
        </is>
      </c>
      <c r="G1932" s="15" t="inlineStr">
        <is>
          <t>No launched IPO found</t>
        </is>
      </c>
      <c r="H1932" s="15" t="n"/>
      <c r="I1932" s="16" t="n"/>
      <c r="J1932" s="16" t="n"/>
      <c r="K1932" s="16" t="n"/>
      <c r="L1932" s="17" t="n"/>
      <c r="M1932" s="17" t="n"/>
      <c r="N1932" s="17" t="n"/>
      <c r="O1932" s="15" t="n"/>
      <c r="P1932" s="15" t="n"/>
      <c r="Q1932" s="18" t="inlineStr">
        <is>
          <t>https://www.sebi.gov.in/sebi_data/attachdocs/1292321175133.pdf</t>
        </is>
      </c>
      <c r="R1932" s="18" t="inlineStr">
        <is>
          <t>https://www.sebi.gov.in/filings/public-issues/oct-2006/omnitech-infosolutions-limited_10752.html</t>
        </is>
      </c>
      <c r="S1932" s="15" t="n"/>
      <c r="T1932" s="15" t="n"/>
      <c r="U1932" s="15" t="n"/>
      <c r="V1932" s="15" t="n"/>
      <c r="W1932" s="19" t="n">
        <v>39282</v>
      </c>
      <c r="X1932" s="19" t="n">
        <v>39288</v>
      </c>
      <c r="Y1932" s="19" t="n"/>
      <c r="Z1932" s="20" t="inlineStr">
        <is>
          <t>Issue opened</t>
        </is>
      </c>
      <c r="AA1932" s="15" t="inlineStr">
        <is>
          <t>Matched on chittorgarh.com</t>
        </is>
      </c>
      <c r="AB1932" s="18" t="inlineStr">
        <is>
          <t>https://www.chittorgarh.com/ipo/omnitech_ipo/103/</t>
        </is>
      </c>
    </row>
    <row r="1933" ht="15" customHeight="1" s="12">
      <c r="A1933" s="14" t="n">
        <v>1932</v>
      </c>
      <c r="B1933" s="16" t="n">
        <v>38994</v>
      </c>
      <c r="C1933" s="15" t="n">
        <v>2006</v>
      </c>
      <c r="D1933" s="15" t="inlineStr">
        <is>
          <t>Accel Frontline Limited Notice</t>
        </is>
      </c>
      <c r="E1933" s="15" t="inlineStr">
        <is>
          <t>Notice</t>
        </is>
      </c>
      <c r="F1933" s="15" t="inlineStr">
        <is>
          <t>Accel Frontline Limited Notice</t>
        </is>
      </c>
      <c r="G1933" s="15" t="inlineStr">
        <is>
          <t>No launched IPO found</t>
        </is>
      </c>
      <c r="H1933" s="15" t="n"/>
      <c r="I1933" s="16" t="n"/>
      <c r="J1933" s="16" t="n"/>
      <c r="K1933" s="16" t="n"/>
      <c r="L1933" s="17" t="n"/>
      <c r="M1933" s="17" t="n"/>
      <c r="N1933" s="17" t="n"/>
      <c r="O1933" s="15" t="n"/>
      <c r="P1933" s="15" t="n"/>
      <c r="Q1933" s="18" t="inlineStr">
        <is>
          <t>https://www.sebi.gov.in/sebi_data/attachdocs/1292319980323.pdf</t>
        </is>
      </c>
      <c r="R1933" s="18" t="inlineStr">
        <is>
          <t>https://www.sebi.gov.in/filings/public-issues/oct-2006/accel-frontline-limited-notice_10719.html</t>
        </is>
      </c>
      <c r="S1933" s="15" t="n"/>
      <c r="T1933" s="15" t="n"/>
      <c r="U1933" s="15" t="n"/>
      <c r="V1933" s="15" t="n"/>
      <c r="W1933" s="16" t="n"/>
      <c r="X1933" s="16" t="n"/>
      <c r="Y1933" s="16" t="n"/>
      <c r="Z1933" s="15" t="inlineStr">
        <is>
          <t>No issue found</t>
        </is>
      </c>
      <c r="AA1933" s="15" t="inlineStr">
        <is>
          <t>IPO opened 2006-09-28, before first_filed; no later issue found.</t>
        </is>
      </c>
      <c r="AB1933" s="18" t="inlineStr">
        <is>
          <t>https://www.chittorgarh.com/ipo/x/15/</t>
        </is>
      </c>
    </row>
    <row r="1934" ht="15" customHeight="1" s="12">
      <c r="A1934" s="14" t="n">
        <v>1933</v>
      </c>
      <c r="B1934" s="16" t="n">
        <v>38994</v>
      </c>
      <c r="C1934" s="15" t="n">
        <v>2006</v>
      </c>
      <c r="D1934" s="15" t="inlineStr">
        <is>
          <t>Ankit Metal &amp; Power Limited</t>
        </is>
      </c>
      <c r="E1934" s="15" t="inlineStr">
        <is>
          <t>DRHP</t>
        </is>
      </c>
      <c r="F1934" s="15" t="inlineStr">
        <is>
          <t>Ankit Metal &amp; Power Limited</t>
        </is>
      </c>
      <c r="G1934" s="15" t="inlineStr">
        <is>
          <t>No launched IPO found</t>
        </is>
      </c>
      <c r="H1934" s="15" t="n"/>
      <c r="I1934" s="16" t="n"/>
      <c r="J1934" s="16" t="n"/>
      <c r="K1934" s="16" t="n"/>
      <c r="L1934" s="17" t="n"/>
      <c r="M1934" s="17" t="n"/>
      <c r="N1934" s="17" t="n"/>
      <c r="O1934" s="15" t="n"/>
      <c r="P1934" s="15" t="n"/>
      <c r="Q1934" s="18" t="inlineStr">
        <is>
          <t>https://www.sebi.gov.in/sebi_data/attachdocs/1292320525438.pdf</t>
        </is>
      </c>
      <c r="R1934" s="18" t="inlineStr">
        <is>
          <t>https://www.sebi.gov.in/filings/public-issues/oct-2006/ankit-metal-and-power-limited_10734.html</t>
        </is>
      </c>
      <c r="S1934" s="15" t="n"/>
      <c r="T1934" s="15" t="n"/>
      <c r="U1934" s="15" t="n"/>
      <c r="V1934" s="15" t="n"/>
      <c r="W1934" s="19" t="n">
        <v>39251</v>
      </c>
      <c r="X1934" s="19" t="n">
        <v>39255</v>
      </c>
      <c r="Y1934" s="19" t="n">
        <v>39273</v>
      </c>
      <c r="Z1934" s="20" t="inlineStr">
        <is>
          <t>Issue opened</t>
        </is>
      </c>
      <c r="AA1934" s="15" t="inlineStr">
        <is>
          <t>Business Standard IPO page</t>
        </is>
      </c>
      <c r="AB1934" s="18" t="inlineStr">
        <is>
          <t>https://www.business-standard.com/markets/ipo/ankit-metal-power-ltd-ipo-27538</t>
        </is>
      </c>
    </row>
    <row r="1935" ht="15" customHeight="1" s="12">
      <c r="A1935" s="14" t="n">
        <v>1934</v>
      </c>
      <c r="B1935" s="16" t="n">
        <v>38994</v>
      </c>
      <c r="C1935" s="15" t="n">
        <v>2006</v>
      </c>
      <c r="D1935" s="15" t="inlineStr">
        <is>
          <t>Cinemax India Limited</t>
        </is>
      </c>
      <c r="E1935" s="15" t="inlineStr">
        <is>
          <t>DRHP</t>
        </is>
      </c>
      <c r="F1935" s="15" t="inlineStr">
        <is>
          <t>Cinemax India Limited</t>
        </is>
      </c>
      <c r="G1935" s="15" t="inlineStr">
        <is>
          <t>IPO launched</t>
        </is>
      </c>
      <c r="H1935" s="15" t="inlineStr">
        <is>
          <t>Mainboard</t>
        </is>
      </c>
      <c r="I1935" s="16" t="n">
        <v>39100</v>
      </c>
      <c r="J1935" s="16" t="n">
        <v>39106</v>
      </c>
      <c r="K1935" s="16" t="n">
        <v>39127</v>
      </c>
      <c r="L1935" s="17" t="n">
        <v>138.26</v>
      </c>
      <c r="M1935" s="17" t="n">
        <v>138.26</v>
      </c>
      <c r="N1935" s="17" t="n">
        <v>0</v>
      </c>
      <c r="O1935" s="15" t="inlineStr">
        <is>
          <t>Final issue (ipoplatform)</t>
        </is>
      </c>
      <c r="P1935" s="15" t="n"/>
      <c r="Q1935" s="18" t="inlineStr">
        <is>
          <t>https://www.sebi.gov.in/sebi_data/attachdocs/1292320126284.pdf</t>
        </is>
      </c>
      <c r="R1935" s="18" t="inlineStr">
        <is>
          <t>https://www.sebi.gov.in/filings/public-issues/oct-2006/cinemax-india-limited_10722.html</t>
        </is>
      </c>
      <c r="S1935" s="15" t="n"/>
      <c r="T1935" s="15" t="inlineStr">
        <is>
          <t>SEBI filing link</t>
        </is>
      </c>
      <c r="U1935" s="15" t="inlineStr">
        <is>
          <t>Cinemax India Limited</t>
        </is>
      </c>
      <c r="V1935" s="15" t="n"/>
      <c r="W1935" s="15" t="n"/>
      <c r="X1935" s="15" t="n"/>
      <c r="Y1935" s="15" t="n"/>
      <c r="Z1935" s="15" t="n"/>
      <c r="AA1935" s="15" t="n"/>
      <c r="AB1935" s="15" t="n"/>
    </row>
    <row r="1936" ht="15" customHeight="1" s="12">
      <c r="A1936" s="14" t="n">
        <v>1935</v>
      </c>
      <c r="B1936" s="16" t="n">
        <v>38994</v>
      </c>
      <c r="C1936" s="15" t="n">
        <v>2006</v>
      </c>
      <c r="D1936" s="15" t="inlineStr">
        <is>
          <t>Next Gen Publishing Limited</t>
        </is>
      </c>
      <c r="E1936" s="15" t="inlineStr">
        <is>
          <t>DRHP</t>
        </is>
      </c>
      <c r="F1936" s="15" t="inlineStr">
        <is>
          <t>Next Gen Publishing Limited</t>
        </is>
      </c>
      <c r="G1936" s="15" t="inlineStr">
        <is>
          <t>No launched IPO found</t>
        </is>
      </c>
      <c r="H1936" s="15" t="n"/>
      <c r="I1936" s="16" t="n"/>
      <c r="J1936" s="16" t="n"/>
      <c r="K1936" s="16" t="n"/>
      <c r="L1936" s="17" t="n"/>
      <c r="M1936" s="17" t="n"/>
      <c r="N1936" s="17" t="n"/>
      <c r="O1936" s="15" t="n"/>
      <c r="P1936" s="15" t="n"/>
      <c r="Q1936" s="18" t="inlineStr">
        <is>
          <t>https://www.sebi.gov.in/sebi_data/attachdocs/1292320242804.pdf</t>
        </is>
      </c>
      <c r="R1936" s="18" t="inlineStr">
        <is>
          <t>https://www.sebi.gov.in/filings/public-issues/oct-2006/next-gen-publishing-limited_10724.html</t>
        </is>
      </c>
      <c r="S1936" s="15" t="n"/>
      <c r="T1936" s="15" t="n"/>
      <c r="U1936" s="15" t="n"/>
      <c r="V1936" s="15" t="n"/>
      <c r="W1936" s="16" t="n"/>
      <c r="X1936" s="16" t="n"/>
      <c r="Y1936" s="16" t="n"/>
      <c r="Z1936" s="15" t="inlineStr">
        <is>
          <t>No issue found</t>
        </is>
      </c>
      <c r="AA1936" s="15" t="inlineStr">
        <is>
          <t>Business Standard lists the company but shows no issue dates; web search limit reached</t>
        </is>
      </c>
      <c r="AB1936" s="18" t="inlineStr">
        <is>
          <t>https://www.business-standard.com/markets/ipo/next-gen-publishing-ltd-ipo-27540</t>
        </is>
      </c>
    </row>
    <row r="1937" ht="15" customHeight="1" s="12">
      <c r="A1937" s="14" t="n">
        <v>1936</v>
      </c>
      <c r="B1937" s="16" t="n">
        <v>38989</v>
      </c>
      <c r="C1937" s="15" t="n">
        <v>2006</v>
      </c>
      <c r="D1937" s="15" t="inlineStr">
        <is>
          <t>AMD Metplast Limited</t>
        </is>
      </c>
      <c r="E1937" s="15" t="inlineStr">
        <is>
          <t>DRHP</t>
        </is>
      </c>
      <c r="F1937" s="15" t="inlineStr">
        <is>
          <t>AMD Metplast Limited</t>
        </is>
      </c>
      <c r="G1937" s="15" t="inlineStr">
        <is>
          <t>IPO launched</t>
        </is>
      </c>
      <c r="H1937" s="15" t="inlineStr">
        <is>
          <t>Mainboard</t>
        </is>
      </c>
      <c r="I1937" s="16" t="n">
        <v>39128</v>
      </c>
      <c r="J1937" s="16" t="n">
        <v>39136</v>
      </c>
      <c r="K1937" s="16" t="n">
        <v>39160</v>
      </c>
      <c r="L1937" s="17" t="n">
        <v>76.25</v>
      </c>
      <c r="M1937" s="17" t="n">
        <v>76.25</v>
      </c>
      <c r="N1937" s="17" t="n">
        <v>0</v>
      </c>
      <c r="O1937" s="15" t="inlineStr">
        <is>
          <t>Final issue (ipoplatform)</t>
        </is>
      </c>
      <c r="P1937" s="15" t="n"/>
      <c r="Q1937" s="18" t="inlineStr">
        <is>
          <t>https://www.sebi.gov.in/sebi_data/attachdocs/1292472717424.pdf</t>
        </is>
      </c>
      <c r="R1937" s="18" t="inlineStr">
        <is>
          <t>https://www.sebi.gov.in/filings/public-issues/sep-2006/amd-metplast-limited_11130.html</t>
        </is>
      </c>
      <c r="S1937" s="15" t="n"/>
      <c r="T1937" s="15" t="inlineStr">
        <is>
          <t>SEBI filing link</t>
        </is>
      </c>
      <c r="U1937" s="15" t="inlineStr">
        <is>
          <t>AMD Metplast Limited</t>
        </is>
      </c>
      <c r="V1937" s="15" t="n"/>
      <c r="W1937" s="15" t="n"/>
      <c r="X1937" s="15" t="n"/>
      <c r="Y1937" s="15" t="n"/>
      <c r="Z1937" s="15" t="n"/>
      <c r="AA1937" s="15" t="n"/>
      <c r="AB1937" s="15" t="n"/>
    </row>
    <row r="1938" ht="15" customHeight="1" s="12">
      <c r="A1938" s="14" t="n">
        <v>1937</v>
      </c>
      <c r="B1938" s="16" t="n">
        <v>38989</v>
      </c>
      <c r="C1938" s="15" t="n">
        <v>2006</v>
      </c>
      <c r="D1938" s="15" t="inlineStr">
        <is>
          <t>Euro Ceramics Limited</t>
        </is>
      </c>
      <c r="E1938" s="15" t="inlineStr">
        <is>
          <t>DRHP</t>
        </is>
      </c>
      <c r="F1938" s="15" t="inlineStr">
        <is>
          <t>Euro Ceramics Limited</t>
        </is>
      </c>
      <c r="G1938" s="15" t="inlineStr">
        <is>
          <t>No launched IPO found</t>
        </is>
      </c>
      <c r="H1938" s="15" t="n"/>
      <c r="I1938" s="16" t="n"/>
      <c r="J1938" s="16" t="n"/>
      <c r="K1938" s="16" t="n"/>
      <c r="L1938" s="17" t="n"/>
      <c r="M1938" s="17" t="n"/>
      <c r="N1938" s="17" t="n"/>
      <c r="O1938" s="15" t="n"/>
      <c r="P1938" s="15" t="n"/>
      <c r="Q1938" s="18" t="inlineStr">
        <is>
          <t>https://www.sebi.gov.in/sebi_data/attachdocs/1294288535136.pdf</t>
        </is>
      </c>
      <c r="R1938" s="18" t="inlineStr">
        <is>
          <t>https://www.sebi.gov.in/filings/public-issues/sep-2006/euro-ceramics-limited_11133.html</t>
        </is>
      </c>
      <c r="S1938" s="15" t="n"/>
      <c r="T1938" s="15" t="n"/>
      <c r="U1938" s="15" t="n"/>
      <c r="V1938" s="15" t="n"/>
      <c r="W1938" s="19" t="n">
        <v>39120</v>
      </c>
      <c r="X1938" s="19" t="n">
        <v>39126</v>
      </c>
      <c r="Y1938" s="19" t="n"/>
      <c r="Z1938" s="20" t="inlineStr">
        <is>
          <t>Issue opened</t>
        </is>
      </c>
      <c r="AA1938" s="15" t="inlineStr">
        <is>
          <t>Matched on chittorgarh.com</t>
        </is>
      </c>
      <c r="AB1938" s="18" t="inlineStr">
        <is>
          <t>https://www.chittorgarh.com/ipo/euro_ceramics_ipo/54/</t>
        </is>
      </c>
    </row>
    <row r="1939" ht="15" customHeight="1" s="12">
      <c r="A1939" s="14" t="n">
        <v>1938</v>
      </c>
      <c r="B1939" s="16" t="n">
        <v>38989</v>
      </c>
      <c r="C1939" s="15" t="n">
        <v>2006</v>
      </c>
      <c r="D1939" s="15" t="inlineStr">
        <is>
          <t>Vimal Oil and Foods Limited</t>
        </is>
      </c>
      <c r="E1939" s="15" t="inlineStr">
        <is>
          <t>DRHP</t>
        </is>
      </c>
      <c r="F1939" s="15" t="inlineStr">
        <is>
          <t>Vimal Oil and Foods Limited</t>
        </is>
      </c>
      <c r="G1939" s="15" t="inlineStr">
        <is>
          <t>No launched IPO found</t>
        </is>
      </c>
      <c r="H1939" s="15" t="n"/>
      <c r="I1939" s="16" t="n"/>
      <c r="J1939" s="16" t="n"/>
      <c r="K1939" s="16" t="n"/>
      <c r="L1939" s="17" t="n"/>
      <c r="M1939" s="17" t="n"/>
      <c r="N1939" s="17" t="n"/>
      <c r="O1939" s="15" t="n"/>
      <c r="P1939" s="15" t="n"/>
      <c r="Q1939" s="18" t="inlineStr">
        <is>
          <t>https://www.sebi.gov.in/sebi_data/attachdocs/1292471071769.pdf</t>
        </is>
      </c>
      <c r="R1939" s="18" t="inlineStr">
        <is>
          <t>https://www.sebi.gov.in/filings/public-issues/sep-2006/vimal-oil-and-foods-limited_11129.html</t>
        </is>
      </c>
      <c r="S1939" s="15" t="n"/>
      <c r="T1939" s="15" t="n"/>
      <c r="U1939" s="15" t="n"/>
      <c r="V1939" s="15" t="n"/>
      <c r="W1939" s="19" t="n">
        <v>39155</v>
      </c>
      <c r="X1939" s="19" t="n">
        <v>39164</v>
      </c>
      <c r="Y1939" s="19" t="n"/>
      <c r="Z1939" s="20" t="inlineStr">
        <is>
          <t>Issue opened</t>
        </is>
      </c>
      <c r="AA1939" s="15" t="inlineStr">
        <is>
          <t>FPO: FPO opened but called off 31 Mar 2007 (minimum subscription not met); not listed.</t>
        </is>
      </c>
      <c r="AB1939" s="18" t="inlineStr">
        <is>
          <t>https://www.chittorgarh.com/ipo/x/68/</t>
        </is>
      </c>
    </row>
    <row r="1940" ht="15" customHeight="1" s="12">
      <c r="A1940" s="14" t="n">
        <v>1939</v>
      </c>
      <c r="B1940" s="16" t="n">
        <v>38987</v>
      </c>
      <c r="C1940" s="15" t="n">
        <v>2006</v>
      </c>
      <c r="D1940" s="15" t="inlineStr">
        <is>
          <t>Autoline Industries Limited</t>
        </is>
      </c>
      <c r="E1940" s="15" t="inlineStr">
        <is>
          <t>DRHP</t>
        </is>
      </c>
      <c r="F1940" s="15" t="inlineStr">
        <is>
          <t>Autoline Industries Limited</t>
        </is>
      </c>
      <c r="G1940" s="15" t="inlineStr">
        <is>
          <t>IPO launched</t>
        </is>
      </c>
      <c r="H1940" s="15" t="inlineStr">
        <is>
          <t>Mainboard</t>
        </is>
      </c>
      <c r="I1940" s="16" t="n">
        <v>39090</v>
      </c>
      <c r="J1940" s="16" t="n"/>
      <c r="K1940" s="16" t="n">
        <v>39113</v>
      </c>
      <c r="L1940" s="17" t="n">
        <v>75</v>
      </c>
      <c r="M1940" s="17" t="n">
        <v>75</v>
      </c>
      <c r="N1940" s="17" t="n">
        <v>0</v>
      </c>
      <c r="O1940" s="15" t="inlineStr">
        <is>
          <t>Final issue (ipoplatform)</t>
        </is>
      </c>
      <c r="P1940" s="15" t="n"/>
      <c r="Q1940" s="18" t="inlineStr">
        <is>
          <t>https://www.sebi.gov.in/sebi_data/attachdocs/1292416094108.pdf</t>
        </is>
      </c>
      <c r="R1940" s="18" t="inlineStr">
        <is>
          <t>https://www.sebi.gov.in/filings/public-issues/sep-2006/autoline-industries-limited_11128.html</t>
        </is>
      </c>
      <c r="S1940" s="15" t="n"/>
      <c r="T1940" s="15" t="inlineStr">
        <is>
          <t>SEBI filing link</t>
        </is>
      </c>
      <c r="U1940" s="15" t="inlineStr">
        <is>
          <t>Autoline Industries Limited</t>
        </is>
      </c>
      <c r="V1940" s="15" t="inlineStr">
        <is>
          <t>CHECK — source close/listing date inconsistent with open date</t>
        </is>
      </c>
      <c r="W1940" s="15" t="n"/>
      <c r="X1940" s="15" t="n"/>
      <c r="Y1940" s="15" t="n"/>
      <c r="Z1940" s="15" t="n"/>
      <c r="AA1940" s="15" t="n"/>
      <c r="AB1940" s="15" t="n"/>
    </row>
    <row r="1941" ht="15" customHeight="1" s="12">
      <c r="A1941" s="14" t="n">
        <v>1940</v>
      </c>
      <c r="B1941" s="16" t="n">
        <v>38968</v>
      </c>
      <c r="C1941" s="15" t="n">
        <v>2006</v>
      </c>
      <c r="D1941" s="15" t="inlineStr">
        <is>
          <t>SMS Pharmaceuticals Limited</t>
        </is>
      </c>
      <c r="E1941" s="15" t="inlineStr">
        <is>
          <t>DRHP</t>
        </is>
      </c>
      <c r="F1941" s="15" t="inlineStr">
        <is>
          <t>SMS Pharmaceuticals Limited</t>
        </is>
      </c>
      <c r="G1941" s="15" t="inlineStr">
        <is>
          <t>IPO launched</t>
        </is>
      </c>
      <c r="H1941" s="15" t="inlineStr">
        <is>
          <t>Mainboard</t>
        </is>
      </c>
      <c r="I1941" s="16" t="n">
        <v>39118</v>
      </c>
      <c r="J1941" s="16" t="n"/>
      <c r="K1941" s="16" t="n">
        <v>39141</v>
      </c>
      <c r="L1941" s="17" t="n">
        <v>97.93000000000001</v>
      </c>
      <c r="M1941" s="17" t="n">
        <v>97.93000000000001</v>
      </c>
      <c r="N1941" s="17" t="n">
        <v>0</v>
      </c>
      <c r="O1941" s="15" t="inlineStr">
        <is>
          <t>Final issue (ipoplatform)</t>
        </is>
      </c>
      <c r="P1941" s="15" t="n"/>
      <c r="Q1941" s="18" t="inlineStr">
        <is>
          <t>https://www.sebi.gov.in/sebi_data/attachdocs/1292415983389.pdf</t>
        </is>
      </c>
      <c r="R1941" s="18" t="inlineStr">
        <is>
          <t>https://www.sebi.gov.in/filings/public-issues/sep-2006/sms-pharmaceuticals-limited_11127.html</t>
        </is>
      </c>
      <c r="S1941" s="15" t="n"/>
      <c r="T1941" s="15" t="inlineStr">
        <is>
          <t>SEBI filing link</t>
        </is>
      </c>
      <c r="U1941" s="15" t="inlineStr">
        <is>
          <t>SMS Pharmaceuticals Limited</t>
        </is>
      </c>
      <c r="V1941" s="15" t="inlineStr">
        <is>
          <t>Open date corrected from source value 2006-02-05 (contradicts source close/listing date); CHECK — source close/listing date inconsistent with open date</t>
        </is>
      </c>
      <c r="W1941" s="15" t="n"/>
      <c r="X1941" s="15" t="n"/>
      <c r="Y1941" s="15" t="n"/>
      <c r="Z1941" s="15" t="n"/>
      <c r="AA1941" s="15" t="n"/>
      <c r="AB1941" s="15" t="n"/>
    </row>
    <row r="1942" ht="15" customHeight="1" s="12">
      <c r="A1942" s="14" t="n">
        <v>1941</v>
      </c>
      <c r="B1942" s="16" t="n">
        <v>38967</v>
      </c>
      <c r="C1942" s="15" t="n">
        <v>2006</v>
      </c>
      <c r="D1942" s="15" t="inlineStr">
        <is>
          <t>Hilton Metal Forging Limited</t>
        </is>
      </c>
      <c r="E1942" s="15" t="inlineStr">
        <is>
          <t>DRHP</t>
        </is>
      </c>
      <c r="F1942" s="15" t="inlineStr">
        <is>
          <t>Hilton Metal Forging Limited</t>
        </is>
      </c>
      <c r="G1942" s="15" t="inlineStr">
        <is>
          <t>IPO launched</t>
        </is>
      </c>
      <c r="H1942" s="15" t="inlineStr">
        <is>
          <t>Mainboard</t>
        </is>
      </c>
      <c r="I1942" s="16" t="n">
        <v>39190</v>
      </c>
      <c r="J1942" s="16" t="n">
        <v>39196</v>
      </c>
      <c r="K1942" s="16" t="n">
        <v>39226</v>
      </c>
      <c r="L1942" s="17" t="n">
        <v>38.15</v>
      </c>
      <c r="M1942" s="17" t="n">
        <v>38.15</v>
      </c>
      <c r="N1942" s="17" t="n">
        <v>0</v>
      </c>
      <c r="O1942" s="15" t="inlineStr">
        <is>
          <t>Final issue (ipoplatform)</t>
        </is>
      </c>
      <c r="P1942" s="15" t="n"/>
      <c r="Q1942" s="18" t="inlineStr">
        <is>
          <t>https://www.sebi.gov.in/sebi_data/attachdocs/1292415825649.pdf</t>
        </is>
      </c>
      <c r="R1942" s="18" t="inlineStr">
        <is>
          <t>https://www.sebi.gov.in/filings/public-issues/sep-2006/hilton-metal-forging-limited_11125.html</t>
        </is>
      </c>
      <c r="S1942" s="15" t="n"/>
      <c r="T1942" s="15" t="inlineStr">
        <is>
          <t>SEBI filing link</t>
        </is>
      </c>
      <c r="U1942" s="15" t="inlineStr">
        <is>
          <t>Hilton Metal Forging Limited</t>
        </is>
      </c>
      <c r="V1942" s="15" t="n"/>
      <c r="W1942" s="15" t="n"/>
      <c r="X1942" s="15" t="n"/>
      <c r="Y1942" s="15" t="n"/>
      <c r="Z1942" s="15" t="n"/>
      <c r="AA1942" s="15" t="n"/>
      <c r="AB1942" s="15" t="n"/>
    </row>
    <row r="1943" ht="15" customHeight="1" s="12">
      <c r="A1943" s="14" t="n">
        <v>1942</v>
      </c>
      <c r="B1943" s="16" t="n">
        <v>38967</v>
      </c>
      <c r="C1943" s="15" t="n">
        <v>2006</v>
      </c>
      <c r="D1943" s="15" t="inlineStr">
        <is>
          <t>Jagjanani Textile Limited</t>
        </is>
      </c>
      <c r="E1943" s="15" t="inlineStr">
        <is>
          <t>DRHP</t>
        </is>
      </c>
      <c r="F1943" s="15" t="inlineStr">
        <is>
          <t>Jagjanani Textile Limited</t>
        </is>
      </c>
      <c r="G1943" s="15" t="inlineStr">
        <is>
          <t>IPO launched</t>
        </is>
      </c>
      <c r="H1943" s="15" t="inlineStr">
        <is>
          <t>Mainboard</t>
        </is>
      </c>
      <c r="I1943" s="16" t="n">
        <v>39128</v>
      </c>
      <c r="J1943" s="16" t="n">
        <v>39136</v>
      </c>
      <c r="K1943" s="16" t="n">
        <v>39160</v>
      </c>
      <c r="L1943" s="17" t="n">
        <v>20.25</v>
      </c>
      <c r="M1943" s="17" t="n">
        <v>20.25</v>
      </c>
      <c r="N1943" s="17" t="n">
        <v>0</v>
      </c>
      <c r="O1943" s="15" t="inlineStr">
        <is>
          <t>Final issue (ipoplatform)</t>
        </is>
      </c>
      <c r="P1943" s="15" t="n"/>
      <c r="Q1943" s="18" t="inlineStr">
        <is>
          <t>https://www.sebi.gov.in/sebi_data/attachdocs/1292415901316.pdf</t>
        </is>
      </c>
      <c r="R1943" s="18" t="inlineStr">
        <is>
          <t>https://www.sebi.gov.in/filings/public-issues/sep-2006/jagjanani-textile-limited_11126.html</t>
        </is>
      </c>
      <c r="S1943" s="15" t="n"/>
      <c r="T1943" s="15" t="inlineStr">
        <is>
          <t>SEBI filing link</t>
        </is>
      </c>
      <c r="U1943" s="15" t="inlineStr">
        <is>
          <t>Jagjanani Textiles Limited</t>
        </is>
      </c>
      <c r="V1943" s="15" t="n"/>
      <c r="W1943" s="15" t="n"/>
      <c r="X1943" s="15" t="n"/>
      <c r="Y1943" s="15" t="n"/>
      <c r="Z1943" s="15" t="n"/>
      <c r="AA1943" s="15" t="n"/>
      <c r="AB1943" s="15" t="n"/>
    </row>
    <row r="1944" ht="15" customHeight="1" s="12">
      <c r="A1944" s="14" t="n">
        <v>1943</v>
      </c>
      <c r="B1944" s="16" t="n">
        <v>38965</v>
      </c>
      <c r="C1944" s="15" t="n">
        <v>2006</v>
      </c>
      <c r="D1944" s="15" t="inlineStr">
        <is>
          <t>Nissan Copper Limited</t>
        </is>
      </c>
      <c r="E1944" s="15" t="inlineStr">
        <is>
          <t>DRHP</t>
        </is>
      </c>
      <c r="F1944" s="15" t="inlineStr">
        <is>
          <t>Nissan Copper Limited</t>
        </is>
      </c>
      <c r="G1944" s="15" t="inlineStr">
        <is>
          <t>No launched IPO found</t>
        </is>
      </c>
      <c r="H1944" s="15" t="n"/>
      <c r="I1944" s="16" t="n"/>
      <c r="J1944" s="16" t="n"/>
      <c r="K1944" s="16" t="n"/>
      <c r="L1944" s="17" t="n"/>
      <c r="M1944" s="17" t="n"/>
      <c r="N1944" s="17" t="n"/>
      <c r="O1944" s="15" t="n"/>
      <c r="P1944" s="15" t="n"/>
      <c r="Q1944" s="18" t="inlineStr">
        <is>
          <t>https://www.sebi.gov.in/sebi_data/attachdocs/1292415711849.pdf</t>
        </is>
      </c>
      <c r="R1944" s="18" t="inlineStr">
        <is>
          <t>https://www.sebi.gov.in/filings/public-issues/sep-2006/nissan-copper-limited_11124.html</t>
        </is>
      </c>
      <c r="S1944" s="15" t="n"/>
      <c r="T1944" s="15" t="n"/>
      <c r="U1944" s="15" t="n"/>
      <c r="V1944" s="15" t="n"/>
      <c r="W1944" s="19" t="n">
        <v>39055</v>
      </c>
      <c r="X1944" s="19" t="n">
        <v>39059</v>
      </c>
      <c r="Y1944" s="19" t="n"/>
      <c r="Z1944" s="20" t="inlineStr">
        <is>
          <t>Issue opened</t>
        </is>
      </c>
      <c r="AA1944" s="15" t="inlineStr">
        <is>
          <t>Matched on chittorgarh.com</t>
        </is>
      </c>
      <c r="AB1944" s="18" t="inlineStr">
        <is>
          <t>https://www.chittorgarh.com/ipo/nissan-copper-ipo/32/</t>
        </is>
      </c>
    </row>
    <row r="1945" ht="15" customHeight="1" s="12">
      <c r="A1945" s="14" t="n">
        <v>1944</v>
      </c>
      <c r="B1945" s="16" t="n">
        <v>38961</v>
      </c>
      <c r="C1945" s="15" t="n">
        <v>2006</v>
      </c>
      <c r="D1945" s="15" t="inlineStr">
        <is>
          <t>Parsvnath Developers Limited</t>
        </is>
      </c>
      <c r="E1945" s="15" t="inlineStr">
        <is>
          <t>DRHP</t>
        </is>
      </c>
      <c r="F1945" s="15" t="inlineStr">
        <is>
          <t>Parsvnath Developers Limited</t>
        </is>
      </c>
      <c r="G1945" s="15" t="inlineStr">
        <is>
          <t>IPO launched</t>
        </is>
      </c>
      <c r="H1945" s="15" t="inlineStr">
        <is>
          <t>Mainboard</t>
        </is>
      </c>
      <c r="I1945" s="16" t="n">
        <v>39027</v>
      </c>
      <c r="J1945" s="16" t="n">
        <v>39031</v>
      </c>
      <c r="K1945" s="16" t="n">
        <v>39051</v>
      </c>
      <c r="L1945" s="17" t="n">
        <v>997.14</v>
      </c>
      <c r="M1945" s="17" t="n">
        <v>997.14</v>
      </c>
      <c r="N1945" s="17" t="n">
        <v>0</v>
      </c>
      <c r="O1945" s="15" t="inlineStr">
        <is>
          <t>Final issue (ipoplatform)</t>
        </is>
      </c>
      <c r="P1945" s="15" t="n"/>
      <c r="Q1945" s="18" t="inlineStr">
        <is>
          <t>https://www.sebi.gov.in/sebi_data/attachdocs/1292415604619.pdf</t>
        </is>
      </c>
      <c r="R1945" s="18" t="inlineStr">
        <is>
          <t>https://www.sebi.gov.in/filings/public-issues/sep-2006/parsvnath-developers-limited_11123.html</t>
        </is>
      </c>
      <c r="S1945" s="15" t="n"/>
      <c r="T1945" s="15" t="inlineStr">
        <is>
          <t>SEBI filing link</t>
        </is>
      </c>
      <c r="U1945" s="15" t="inlineStr">
        <is>
          <t>Parsvnath Developers Limited</t>
        </is>
      </c>
      <c r="V1945" s="15" t="n"/>
      <c r="W1945" s="15" t="n"/>
      <c r="X1945" s="15" t="n"/>
      <c r="Y1945" s="15" t="n"/>
      <c r="Z1945" s="15" t="n"/>
      <c r="AA1945" s="15" t="n"/>
      <c r="AB1945" s="15" t="n"/>
    </row>
    <row r="1946" ht="15" customHeight="1" s="12">
      <c r="A1946" s="14" t="n">
        <v>1945</v>
      </c>
      <c r="B1946" s="16" t="n">
        <v>38954</v>
      </c>
      <c r="C1946" s="15" t="n">
        <v>2006</v>
      </c>
      <c r="D1946" s="15" t="inlineStr">
        <is>
          <t>Ess Dee Aluminium Limited</t>
        </is>
      </c>
      <c r="E1946" s="15" t="inlineStr">
        <is>
          <t>DRHP</t>
        </is>
      </c>
      <c r="F1946" s="15" t="inlineStr">
        <is>
          <t>Ess Dee Aluminium Limited</t>
        </is>
      </c>
      <c r="G1946" s="15" t="inlineStr">
        <is>
          <t>No launched IPO found</t>
        </is>
      </c>
      <c r="H1946" s="15" t="n"/>
      <c r="I1946" s="16" t="n"/>
      <c r="J1946" s="16" t="n"/>
      <c r="K1946" s="16" t="n"/>
      <c r="L1946" s="17" t="n"/>
      <c r="M1946" s="17" t="n"/>
      <c r="N1946" s="17" t="n"/>
      <c r="O1946" s="15" t="n"/>
      <c r="P1946" s="15" t="n"/>
      <c r="Q1946" s="18" t="inlineStr">
        <is>
          <t>https://www.sebi.gov.in/sebi_data/attachdocs/1292307509958.pdf</t>
        </is>
      </c>
      <c r="R1946" s="18" t="inlineStr">
        <is>
          <t>https://www.sebi.gov.in/filings/public-issues/aug-2006/ess-dee-aluminium-limited_10545.html</t>
        </is>
      </c>
      <c r="S1946" s="15" t="n"/>
      <c r="T1946" s="15" t="n"/>
      <c r="U1946" s="15" t="n"/>
      <c r="V1946" s="15" t="n"/>
      <c r="W1946" s="19" t="n">
        <v>39055</v>
      </c>
      <c r="X1946" s="19" t="n">
        <v>39059</v>
      </c>
      <c r="Y1946" s="19" t="n"/>
      <c r="Z1946" s="20" t="inlineStr">
        <is>
          <t>Issue opened</t>
        </is>
      </c>
      <c r="AA1946" s="15" t="inlineStr">
        <is>
          <t>Matched on chittorgarh.com</t>
        </is>
      </c>
      <c r="AB1946" s="18" t="inlineStr">
        <is>
          <t>https://www.chittorgarh.com/ipo/ess-dee-aluminium-ipo/30/</t>
        </is>
      </c>
    </row>
    <row r="1947" ht="15" customHeight="1" s="12">
      <c r="A1947" s="14" t="n">
        <v>1946</v>
      </c>
      <c r="B1947" s="16" t="n">
        <v>38951</v>
      </c>
      <c r="C1947" s="15" t="n">
        <v>2006</v>
      </c>
      <c r="D1947" s="15" t="inlineStr">
        <is>
          <t>Everonn Systems India Limited</t>
        </is>
      </c>
      <c r="E1947" s="15" t="inlineStr">
        <is>
          <t>DRHP</t>
        </is>
      </c>
      <c r="F1947" s="15" t="inlineStr">
        <is>
          <t>Everonn Systems India Limited</t>
        </is>
      </c>
      <c r="G1947" s="15" t="inlineStr">
        <is>
          <t>No launched IPO found</t>
        </is>
      </c>
      <c r="H1947" s="15" t="n"/>
      <c r="I1947" s="16" t="n"/>
      <c r="J1947" s="16" t="n"/>
      <c r="K1947" s="16" t="n"/>
      <c r="L1947" s="17" t="n"/>
      <c r="M1947" s="17" t="n"/>
      <c r="N1947" s="17" t="n"/>
      <c r="O1947" s="15" t="n"/>
      <c r="P1947" s="15" t="n"/>
      <c r="Q1947" s="18" t="inlineStr">
        <is>
          <t>https://www.sebi.gov.in/sebi_data/attachdocs/1292306485446.pdf</t>
        </is>
      </c>
      <c r="R1947" s="18" t="inlineStr">
        <is>
          <t>https://www.sebi.gov.in/filings/public-issues/aug-2006/everonn-systems-india-limited_10523.html</t>
        </is>
      </c>
      <c r="S1947" s="15" t="n"/>
      <c r="T1947" s="15" t="n"/>
      <c r="U1947" s="15" t="n"/>
      <c r="V1947" s="15" t="n"/>
      <c r="W1947" s="19" t="n">
        <v>39268</v>
      </c>
      <c r="X1947" s="19" t="n">
        <v>39274</v>
      </c>
      <c r="Y1947" s="19" t="n"/>
      <c r="Z1947" s="20" t="inlineStr">
        <is>
          <t>Issue opened</t>
        </is>
      </c>
      <c r="AA1947" s="15" t="inlineStr">
        <is>
          <t>Matched on chittorgarh.com</t>
        </is>
      </c>
      <c r="AB1947" s="18" t="inlineStr">
        <is>
          <t>https://www.chittorgarh.com/ipo/everonn_ipo/98/</t>
        </is>
      </c>
    </row>
    <row r="1948" ht="15" customHeight="1" s="12">
      <c r="A1948" s="14" t="n">
        <v>1947</v>
      </c>
      <c r="B1948" s="16" t="n">
        <v>38951</v>
      </c>
      <c r="C1948" s="15" t="n">
        <v>2006</v>
      </c>
      <c r="D1948" s="15" t="inlineStr">
        <is>
          <t>Global Broadcast News Limited</t>
        </is>
      </c>
      <c r="E1948" s="15" t="inlineStr">
        <is>
          <t>DRHP</t>
        </is>
      </c>
      <c r="F1948" s="15" t="inlineStr">
        <is>
          <t>Global Broadcast News Limited</t>
        </is>
      </c>
      <c r="G1948" s="15" t="inlineStr">
        <is>
          <t>IPO launched</t>
        </is>
      </c>
      <c r="H1948" s="15" t="inlineStr">
        <is>
          <t>Mainboard</t>
        </is>
      </c>
      <c r="I1948" s="16" t="n">
        <v>39097</v>
      </c>
      <c r="J1948" s="16" t="n">
        <v>39100</v>
      </c>
      <c r="K1948" s="16" t="n">
        <v>39121</v>
      </c>
      <c r="L1948" s="17" t="n">
        <v>105</v>
      </c>
      <c r="M1948" s="17" t="n">
        <v>105</v>
      </c>
      <c r="N1948" s="17" t="n">
        <v>0</v>
      </c>
      <c r="O1948" s="15" t="inlineStr">
        <is>
          <t>Final issue (ipoplatform)</t>
        </is>
      </c>
      <c r="P1948" s="15" t="n"/>
      <c r="Q1948" s="18" t="inlineStr">
        <is>
          <t>https://www.sebi.gov.in/sebi_data/attachdocs/1292307240659.pdf</t>
        </is>
      </c>
      <c r="R1948" s="18" t="inlineStr">
        <is>
          <t>https://www.sebi.gov.in/filings/public-issues/aug-2006/global-broadcast-news-limited_10537.html</t>
        </is>
      </c>
      <c r="S1948" s="15" t="n"/>
      <c r="T1948" s="15" t="inlineStr">
        <is>
          <t>SEBI filing link</t>
        </is>
      </c>
      <c r="U1948" s="15" t="inlineStr">
        <is>
          <t>Global Broadcast News Limited</t>
        </is>
      </c>
      <c r="V1948" s="15" t="n"/>
      <c r="W1948" s="15" t="n"/>
      <c r="X1948" s="15" t="n"/>
      <c r="Y1948" s="15" t="n"/>
      <c r="Z1948" s="15" t="n"/>
      <c r="AA1948" s="15" t="n"/>
      <c r="AB1948" s="15" t="n"/>
    </row>
    <row r="1949" ht="15" customHeight="1" s="12">
      <c r="A1949" s="14" t="n">
        <v>1948</v>
      </c>
      <c r="B1949" s="16" t="n">
        <v>38951</v>
      </c>
      <c r="C1949" s="15" t="n">
        <v>2006</v>
      </c>
      <c r="D1949" s="15" t="inlineStr">
        <is>
          <t>Sarju International Limited</t>
        </is>
      </c>
      <c r="E1949" s="15" t="inlineStr">
        <is>
          <t>DRHP</t>
        </is>
      </c>
      <c r="F1949" s="15" t="inlineStr">
        <is>
          <t>Sarju International Limited</t>
        </is>
      </c>
      <c r="G1949" s="15" t="inlineStr">
        <is>
          <t>No launched IPO found</t>
        </is>
      </c>
      <c r="H1949" s="15" t="n"/>
      <c r="I1949" s="16" t="n"/>
      <c r="J1949" s="16" t="n"/>
      <c r="K1949" s="16" t="n"/>
      <c r="L1949" s="17" t="n"/>
      <c r="M1949" s="17" t="n"/>
      <c r="N1949" s="17" t="n"/>
      <c r="O1949" s="15" t="n"/>
      <c r="P1949" s="15" t="n"/>
      <c r="Q1949" s="18" t="inlineStr">
        <is>
          <t>https://www.sebi.gov.in/sebi_data/attachdocs/1292307092350.pdf</t>
        </is>
      </c>
      <c r="R1949" s="18" t="inlineStr">
        <is>
          <t>https://www.sebi.gov.in/filings/public-issues/aug-2006/sarju-international-limited_10534.html</t>
        </is>
      </c>
      <c r="S1949" s="15" t="n"/>
      <c r="T1949" s="15" t="n"/>
      <c r="U1949" s="15" t="n"/>
      <c r="V1949" s="15" t="n"/>
      <c r="W1949" s="16" t="n"/>
      <c r="X1949" s="16" t="n"/>
      <c r="Y1949" s="16" t="n"/>
      <c r="Z1949" s="15" t="inlineStr">
        <is>
          <t>No issue found</t>
        </is>
      </c>
      <c r="AA1949" s="15" t="inlineStr">
        <is>
          <t>Search and Chittorgarh scan found no issue.</t>
        </is>
      </c>
      <c r="AB1949" s="15" t="n"/>
    </row>
    <row r="1950" ht="15" customHeight="1" s="12">
      <c r="A1950" s="14" t="n">
        <v>1949</v>
      </c>
      <c r="B1950" s="16" t="n">
        <v>38947</v>
      </c>
      <c r="C1950" s="15" t="n">
        <v>2006</v>
      </c>
      <c r="D1950" s="15" t="inlineStr">
        <is>
          <t>Orbit Corporation Limited</t>
        </is>
      </c>
      <c r="E1950" s="15" t="inlineStr">
        <is>
          <t>DRHP</t>
        </is>
      </c>
      <c r="F1950" s="15" t="inlineStr">
        <is>
          <t>Orbit Corporation Limited</t>
        </is>
      </c>
      <c r="G1950" s="15" t="inlineStr">
        <is>
          <t>No launched IPO found</t>
        </is>
      </c>
      <c r="H1950" s="15" t="n"/>
      <c r="I1950" s="16" t="n"/>
      <c r="J1950" s="16" t="n"/>
      <c r="K1950" s="16" t="n"/>
      <c r="L1950" s="17" t="n"/>
      <c r="M1950" s="17" t="n"/>
      <c r="N1950" s="17" t="n"/>
      <c r="O1950" s="15" t="n"/>
      <c r="P1950" s="15" t="n"/>
      <c r="Q1950" s="18" t="inlineStr">
        <is>
          <t>https://www.sebi.gov.in/sebi_data/attachdocs/1292306318004.pdf</t>
        </is>
      </c>
      <c r="R1950" s="18" t="inlineStr">
        <is>
          <t>https://www.sebi.gov.in/filings/public-issues/aug-2006/orbit-corporation-limited_10520.html</t>
        </is>
      </c>
      <c r="S1950" s="15" t="n"/>
      <c r="T1950" s="15" t="n"/>
      <c r="U1950" s="15" t="n"/>
      <c r="V1950" s="15" t="n"/>
      <c r="W1950" s="19" t="n">
        <v>39161</v>
      </c>
      <c r="X1950" s="19" t="n">
        <v>39164</v>
      </c>
      <c r="Y1950" s="19" t="n"/>
      <c r="Z1950" s="20" t="inlineStr">
        <is>
          <t>Issue opened</t>
        </is>
      </c>
      <c r="AA1950" s="15" t="inlineStr">
        <is>
          <t>Matched on chittorgarh.com</t>
        </is>
      </c>
      <c r="AB1950" s="18" t="inlineStr">
        <is>
          <t>https://www.chittorgarh.com/ipo/orbit_ipo/72/</t>
        </is>
      </c>
    </row>
    <row r="1951" ht="15" customHeight="1" s="12">
      <c r="A1951" s="14" t="n">
        <v>1950</v>
      </c>
      <c r="B1951" s="16" t="n">
        <v>38943</v>
      </c>
      <c r="C1951" s="15" t="n">
        <v>2006</v>
      </c>
      <c r="D1951" s="15" t="inlineStr">
        <is>
          <t>Lumax Auto Technologies Limited</t>
        </is>
      </c>
      <c r="E1951" s="15" t="inlineStr">
        <is>
          <t>DRHP</t>
        </is>
      </c>
      <c r="F1951" s="15" t="inlineStr">
        <is>
          <t>Lumax Auto Technologies Limited</t>
        </is>
      </c>
      <c r="G1951" s="15" t="inlineStr">
        <is>
          <t>IPO launched</t>
        </is>
      </c>
      <c r="H1951" s="15" t="inlineStr">
        <is>
          <t>Mainboard</t>
        </is>
      </c>
      <c r="I1951" s="16" t="n">
        <v>39065</v>
      </c>
      <c r="J1951" s="16" t="n">
        <v>39072</v>
      </c>
      <c r="K1951" s="16" t="n">
        <v>39098</v>
      </c>
      <c r="L1951" s="17" t="n">
        <v>22.59</v>
      </c>
      <c r="M1951" s="17" t="n">
        <v>22.59</v>
      </c>
      <c r="N1951" s="17" t="n">
        <v>0</v>
      </c>
      <c r="O1951" s="15" t="inlineStr">
        <is>
          <t>Final issue (ipoplatform)</t>
        </is>
      </c>
      <c r="P1951" s="15" t="n"/>
      <c r="Q1951" s="18" t="inlineStr">
        <is>
          <t>https://www.sebi.gov.in/sebi_data/attachdocs/1292305618293.pdf</t>
        </is>
      </c>
      <c r="R1951" s="18" t="inlineStr">
        <is>
          <t>https://www.sebi.gov.in/filings/public-issues/aug-2006/lumax-auto-technologies-limited_10511.html</t>
        </is>
      </c>
      <c r="S1951" s="15" t="n"/>
      <c r="T1951" s="15" t="inlineStr">
        <is>
          <t>SEBI filing link</t>
        </is>
      </c>
      <c r="U1951" s="15" t="inlineStr">
        <is>
          <t>Lumax Auto Technologies Limited</t>
        </is>
      </c>
      <c r="V1951" s="15" t="n"/>
      <c r="W1951" s="15" t="n"/>
      <c r="X1951" s="15" t="n"/>
      <c r="Y1951" s="15" t="n"/>
      <c r="Z1951" s="15" t="n"/>
      <c r="AA1951" s="15" t="n"/>
      <c r="AB1951" s="15" t="n"/>
    </row>
    <row r="1952" ht="15" customHeight="1" s="12">
      <c r="A1952" s="14" t="n">
        <v>1951</v>
      </c>
      <c r="B1952" s="16" t="n">
        <v>38939</v>
      </c>
      <c r="C1952" s="15" t="n">
        <v>2006</v>
      </c>
      <c r="D1952" s="15" t="inlineStr">
        <is>
          <t>Development Credit Bank Limited</t>
        </is>
      </c>
      <c r="E1952" s="15" t="inlineStr">
        <is>
          <t>DRHP</t>
        </is>
      </c>
      <c r="F1952" s="15" t="inlineStr">
        <is>
          <t>Development Credit Bank Limited</t>
        </is>
      </c>
      <c r="G1952" s="15" t="inlineStr">
        <is>
          <t>IPO launched</t>
        </is>
      </c>
      <c r="H1952" s="15" t="inlineStr">
        <is>
          <t>Mainboard</t>
        </is>
      </c>
      <c r="I1952" s="16" t="n">
        <v>38989</v>
      </c>
      <c r="J1952" s="16" t="n">
        <v>38996</v>
      </c>
      <c r="K1952" s="16" t="n">
        <v>39017</v>
      </c>
      <c r="L1952" s="17" t="n">
        <v>185.9</v>
      </c>
      <c r="M1952" s="17" t="n">
        <v>185.9</v>
      </c>
      <c r="N1952" s="17" t="n">
        <v>0</v>
      </c>
      <c r="O1952" s="15" t="inlineStr">
        <is>
          <t>Final issue (ipoplatform)</t>
        </is>
      </c>
      <c r="P1952" s="15" t="n"/>
      <c r="Q1952" s="18" t="inlineStr">
        <is>
          <t>https://www.sebi.gov.in/sebi_data/attachdocs/1292305454138.pdf</t>
        </is>
      </c>
      <c r="R1952" s="18" t="inlineStr">
        <is>
          <t>https://www.sebi.gov.in/filings/public-issues/aug-2006/development-credit-bank-limited_10509.html</t>
        </is>
      </c>
      <c r="S1952" s="15" t="n"/>
      <c r="T1952" s="15" t="inlineStr">
        <is>
          <t>Company name + date window</t>
        </is>
      </c>
      <c r="U1952" s="15" t="inlineStr">
        <is>
          <t>Development Credit Bank Limited</t>
        </is>
      </c>
      <c r="V1952" s="15" t="n"/>
      <c r="W1952" s="15" t="n"/>
      <c r="X1952" s="15" t="n"/>
      <c r="Y1952" s="15" t="n"/>
      <c r="Z1952" s="15" t="n"/>
      <c r="AA1952" s="15" t="n"/>
      <c r="AB1952" s="15" t="n"/>
    </row>
    <row r="1953" ht="15" customHeight="1" s="12">
      <c r="A1953" s="14" t="n">
        <v>1952</v>
      </c>
      <c r="B1953" s="16" t="n">
        <v>38938</v>
      </c>
      <c r="C1953" s="15" t="n">
        <v>2006</v>
      </c>
      <c r="D1953" s="15" t="inlineStr">
        <is>
          <t>ICRA Limited</t>
        </is>
      </c>
      <c r="E1953" s="15" t="inlineStr">
        <is>
          <t>DRHP</t>
        </is>
      </c>
      <c r="F1953" s="15" t="inlineStr">
        <is>
          <t>ICRA Limited</t>
        </is>
      </c>
      <c r="G1953" s="15" t="inlineStr">
        <is>
          <t>IPO launched</t>
        </is>
      </c>
      <c r="H1953" s="15" t="inlineStr">
        <is>
          <t>Mainboard</t>
        </is>
      </c>
      <c r="I1953" s="16" t="n">
        <v>39161</v>
      </c>
      <c r="J1953" s="16" t="n">
        <v>39164</v>
      </c>
      <c r="K1953" s="16" t="n">
        <v>39185</v>
      </c>
      <c r="L1953" s="17" t="n">
        <v>85.18000000000001</v>
      </c>
      <c r="M1953" s="17" t="n">
        <v>85.18000000000001</v>
      </c>
      <c r="N1953" s="17" t="n">
        <v>0</v>
      </c>
      <c r="O1953" s="15" t="inlineStr">
        <is>
          <t>Final issue (ipoplatform)</t>
        </is>
      </c>
      <c r="P1953" s="15" t="n"/>
      <c r="Q1953" s="18" t="inlineStr">
        <is>
          <t>https://www.sebi.gov.in/sebi_data/attachdocs/1292305203329.pdf</t>
        </is>
      </c>
      <c r="R1953" s="18" t="inlineStr">
        <is>
          <t>https://www.sebi.gov.in/filings/public-issues/aug-2006/icra-limited_10503.html</t>
        </is>
      </c>
      <c r="S1953" s="15" t="n"/>
      <c r="T1953" s="15" t="inlineStr">
        <is>
          <t>SEBI filing link</t>
        </is>
      </c>
      <c r="U1953" s="15" t="inlineStr">
        <is>
          <t>ICRA Limited</t>
        </is>
      </c>
      <c r="V1953" s="15" t="n"/>
      <c r="W1953" s="15" t="n"/>
      <c r="X1953" s="15" t="n"/>
      <c r="Y1953" s="15" t="n"/>
      <c r="Z1953" s="15" t="n"/>
      <c r="AA1953" s="15" t="n"/>
      <c r="AB1953" s="15" t="n"/>
    </row>
    <row r="1954" ht="15" customHeight="1" s="12">
      <c r="A1954" s="14" t="n">
        <v>1953</v>
      </c>
      <c r="B1954" s="16" t="n">
        <v>38938</v>
      </c>
      <c r="C1954" s="15" t="n">
        <v>2006</v>
      </c>
      <c r="D1954" s="15" t="inlineStr">
        <is>
          <t>Lanco Infratech Limited</t>
        </is>
      </c>
      <c r="E1954" s="15" t="inlineStr">
        <is>
          <t>DRHP</t>
        </is>
      </c>
      <c r="F1954" s="15" t="inlineStr">
        <is>
          <t>Lanco Infratech Limited</t>
        </is>
      </c>
      <c r="G1954" s="15" t="inlineStr">
        <is>
          <t>No launched IPO found</t>
        </is>
      </c>
      <c r="H1954" s="15" t="n"/>
      <c r="I1954" s="16" t="n"/>
      <c r="J1954" s="16" t="n"/>
      <c r="K1954" s="16" t="n"/>
      <c r="L1954" s="17" t="n"/>
      <c r="M1954" s="17" t="n"/>
      <c r="N1954" s="17" t="n"/>
      <c r="O1954" s="15" t="n"/>
      <c r="P1954" s="15" t="n"/>
      <c r="Q1954" s="18" t="inlineStr">
        <is>
          <t>https://www.sebi.gov.in/sebi_data/attachdocs/1292304430321.pdf</t>
        </is>
      </c>
      <c r="R1954" s="18" t="inlineStr">
        <is>
          <t>https://www.sebi.gov.in/filings/public-issues/aug-2006/lanco-infratech-limited_10484.html</t>
        </is>
      </c>
      <c r="S1954" s="15" t="n"/>
      <c r="T1954" s="15" t="n"/>
      <c r="U1954" s="15" t="n"/>
      <c r="V1954" s="15" t="n"/>
      <c r="W1954" s="19" t="n">
        <v>39027</v>
      </c>
      <c r="X1954" s="19" t="n">
        <v>39031</v>
      </c>
      <c r="Y1954" s="19" t="n"/>
      <c r="Z1954" s="20" t="inlineStr">
        <is>
          <t>Issue opened</t>
        </is>
      </c>
      <c r="AA1954" s="15" t="inlineStr">
        <is>
          <t>Matched on chittorgarh.com</t>
        </is>
      </c>
      <c r="AB1954" s="18" t="inlineStr">
        <is>
          <t>https://www.chittorgarh.com/ipo/lanco-infratech-ipo/21/</t>
        </is>
      </c>
    </row>
    <row r="1955" ht="15" customHeight="1" s="12">
      <c r="A1955" s="14" t="n">
        <v>1954</v>
      </c>
      <c r="B1955" s="16" t="n">
        <v>38936</v>
      </c>
      <c r="C1955" s="15" t="n">
        <v>2006</v>
      </c>
      <c r="D1955" s="15" t="inlineStr">
        <is>
          <t>Sobha Developers Limited</t>
        </is>
      </c>
      <c r="E1955" s="15" t="inlineStr">
        <is>
          <t>DRHP</t>
        </is>
      </c>
      <c r="F1955" s="15" t="inlineStr">
        <is>
          <t>Sobha Developers Limited</t>
        </is>
      </c>
      <c r="G1955" s="15" t="inlineStr">
        <is>
          <t>IPO launched</t>
        </is>
      </c>
      <c r="H1955" s="15" t="inlineStr">
        <is>
          <t>Mainboard</t>
        </is>
      </c>
      <c r="I1955" s="16" t="n">
        <v>39044</v>
      </c>
      <c r="J1955" s="16" t="n">
        <v>39050</v>
      </c>
      <c r="K1955" s="16" t="n">
        <v>39071</v>
      </c>
      <c r="L1955" s="17" t="n">
        <v>569.17</v>
      </c>
      <c r="M1955" s="17" t="n">
        <v>569.17</v>
      </c>
      <c r="N1955" s="17" t="n">
        <v>0</v>
      </c>
      <c r="O1955" s="15" t="inlineStr">
        <is>
          <t>Final issue (ipoplatform)</t>
        </is>
      </c>
      <c r="P1955" s="15" t="n"/>
      <c r="Q1955" s="18" t="inlineStr">
        <is>
          <t>https://www.sebi.gov.in/sebi_data/attachdocs/1292303873443.pdf</t>
        </is>
      </c>
      <c r="R1955" s="18" t="inlineStr">
        <is>
          <t>https://www.sebi.gov.in/filings/public-issues/aug-2006/sobha-developers-limited_10472.html</t>
        </is>
      </c>
      <c r="S1955" s="15" t="n"/>
      <c r="T1955" s="15" t="inlineStr">
        <is>
          <t>SEBI filing link</t>
        </is>
      </c>
      <c r="U1955" s="15" t="inlineStr">
        <is>
          <t>Sobha Developers Limited</t>
        </is>
      </c>
      <c r="V1955" s="15" t="n"/>
      <c r="W1955" s="15" t="n"/>
      <c r="X1955" s="15" t="n"/>
      <c r="Y1955" s="15" t="n"/>
      <c r="Z1955" s="15" t="n"/>
      <c r="AA1955" s="15" t="n"/>
      <c r="AB1955" s="15" t="n"/>
    </row>
    <row r="1956" ht="15" customHeight="1" s="12">
      <c r="A1956" s="14" t="n">
        <v>1955</v>
      </c>
      <c r="B1956" s="16" t="n">
        <v>38932</v>
      </c>
      <c r="C1956" s="15" t="n">
        <v>2006</v>
      </c>
      <c r="D1956" s="15" t="inlineStr">
        <is>
          <t>Oriental Trimex Limited</t>
        </is>
      </c>
      <c r="E1956" s="15" t="inlineStr">
        <is>
          <t>DRHP</t>
        </is>
      </c>
      <c r="F1956" s="15" t="inlineStr">
        <is>
          <t>Oriental Trimex Limited</t>
        </is>
      </c>
      <c r="G1956" s="15" t="inlineStr">
        <is>
          <t>IPO launched</t>
        </is>
      </c>
      <c r="H1956" s="15" t="inlineStr">
        <is>
          <t>Mainboard</t>
        </is>
      </c>
      <c r="I1956" s="16" t="n">
        <v>39121</v>
      </c>
      <c r="J1956" s="16" t="n">
        <v>39127</v>
      </c>
      <c r="K1956" s="16" t="n">
        <v>39148</v>
      </c>
      <c r="L1956" s="17" t="n">
        <v>48</v>
      </c>
      <c r="M1956" s="17" t="n">
        <v>48</v>
      </c>
      <c r="N1956" s="17" t="n">
        <v>0</v>
      </c>
      <c r="O1956" s="15" t="inlineStr">
        <is>
          <t>Final issue (ipoplatform)</t>
        </is>
      </c>
      <c r="P1956" s="15" t="n"/>
      <c r="Q1956" s="18" t="inlineStr">
        <is>
          <t>https://www.sebi.gov.in/sebi_data/attachdocs/1292303392771.pdf</t>
        </is>
      </c>
      <c r="R1956" s="18" t="inlineStr">
        <is>
          <t>https://www.sebi.gov.in/filings/public-issues/aug-2006/oriental-trimex-limited_10467.html</t>
        </is>
      </c>
      <c r="S1956" s="15" t="n"/>
      <c r="T1956" s="15" t="inlineStr">
        <is>
          <t>SEBI filing link</t>
        </is>
      </c>
      <c r="U1956" s="15" t="inlineStr">
        <is>
          <t>Oriental Trimex Limited</t>
        </is>
      </c>
      <c r="V1956" s="15" t="n"/>
      <c r="W1956" s="15" t="n"/>
      <c r="X1956" s="15" t="n"/>
      <c r="Y1956" s="15" t="n"/>
      <c r="Z1956" s="15" t="n"/>
      <c r="AA1956" s="15" t="n"/>
      <c r="AB1956" s="15" t="n"/>
    </row>
    <row r="1957" ht="15" customHeight="1" s="12">
      <c r="A1957" s="14" t="n">
        <v>1956</v>
      </c>
      <c r="B1957" s="16" t="n">
        <v>38932</v>
      </c>
      <c r="C1957" s="15" t="n">
        <v>2006</v>
      </c>
      <c r="D1957" s="15" t="inlineStr">
        <is>
          <t>Pyramid Saimira Theatre Limited</t>
        </is>
      </c>
      <c r="E1957" s="15" t="inlineStr">
        <is>
          <t>DRHP</t>
        </is>
      </c>
      <c r="F1957" s="15" t="inlineStr">
        <is>
          <t>Pyramid Saimira Theatre Limited</t>
        </is>
      </c>
      <c r="G1957" s="15" t="inlineStr">
        <is>
          <t>No launched IPO found</t>
        </is>
      </c>
      <c r="H1957" s="15" t="n"/>
      <c r="I1957" s="16" t="n"/>
      <c r="J1957" s="16" t="n"/>
      <c r="K1957" s="16" t="n"/>
      <c r="L1957" s="17" t="n"/>
      <c r="M1957" s="17" t="n"/>
      <c r="N1957" s="17" t="n"/>
      <c r="O1957" s="15" t="n"/>
      <c r="P1957" s="15" t="n"/>
      <c r="Q1957" s="18" t="inlineStr">
        <is>
          <t>https://www.sebi.gov.in/sebi_data/attachdocs/1292302973053.pdf</t>
        </is>
      </c>
      <c r="R1957" s="18" t="inlineStr">
        <is>
          <t>https://www.sebi.gov.in/filings/public-issues/aug-2006/pyramid-saimira-theatre-limited_10462.html</t>
        </is>
      </c>
      <c r="S1957" s="15" t="n"/>
      <c r="T1957" s="15" t="n"/>
      <c r="U1957" s="15" t="n"/>
      <c r="V1957" s="15" t="n"/>
      <c r="W1957" s="19" t="n">
        <v>39062</v>
      </c>
      <c r="X1957" s="19" t="n">
        <v>39069</v>
      </c>
      <c r="Y1957" s="19" t="n"/>
      <c r="Z1957" s="20" t="inlineStr">
        <is>
          <t>Issue opened</t>
        </is>
      </c>
      <c r="AA1957" s="15" t="inlineStr">
        <is>
          <t>Matched on chittorgarh.com</t>
        </is>
      </c>
      <c r="AB1957" s="18" t="inlineStr">
        <is>
          <t>https://www.chittorgarh.com/ipo/pyramid-saimira-theatre-ipo/34/</t>
        </is>
      </c>
    </row>
    <row r="1958" ht="15" customHeight="1" s="12">
      <c r="A1958" s="14" t="n">
        <v>1957</v>
      </c>
      <c r="B1958" s="16" t="n">
        <v>38929</v>
      </c>
      <c r="C1958" s="15" t="n">
        <v>2006</v>
      </c>
      <c r="D1958" s="15" t="inlineStr">
        <is>
          <t>ICICI Bank Limited</t>
        </is>
      </c>
      <c r="E1958" s="15" t="inlineStr">
        <is>
          <t>DRHP</t>
        </is>
      </c>
      <c r="F1958" s="15" t="inlineStr">
        <is>
          <t>ICICI Bank Limited</t>
        </is>
      </c>
      <c r="G1958" s="15" t="inlineStr">
        <is>
          <t>No launched IPO found</t>
        </is>
      </c>
      <c r="H1958" s="15" t="n"/>
      <c r="I1958" s="16" t="n"/>
      <c r="J1958" s="16" t="n"/>
      <c r="K1958" s="16" t="n"/>
      <c r="L1958" s="17" t="n"/>
      <c r="M1958" s="17" t="n"/>
      <c r="N1958" s="17" t="n"/>
      <c r="O1958" s="15" t="n"/>
      <c r="P1958" s="15" t="n"/>
      <c r="Q1958" s="18" t="inlineStr">
        <is>
          <t>https://www.sebi.gov.in/sebi_data/attachdocs/1292299536769.pdf</t>
        </is>
      </c>
      <c r="R1958" s="18" t="inlineStr">
        <is>
          <t>https://www.sebi.gov.in/filings/public-issues/jul-2006/icici-bank-limited_10410.html</t>
        </is>
      </c>
      <c r="S1958" s="15" t="n"/>
      <c r="T1958" s="15" t="n"/>
      <c r="U1958" s="15" t="n"/>
      <c r="V1958" s="15" t="n"/>
      <c r="W1958" s="19" t="n">
        <v>39252</v>
      </c>
      <c r="X1958" s="19" t="n">
        <v>39255</v>
      </c>
      <c r="Y1958" s="19" t="n">
        <v>39269</v>
      </c>
      <c r="Z1958" s="20" t="inlineStr">
        <is>
          <t>Issue opened</t>
        </is>
      </c>
      <c r="AA1958" s="15" t="inlineStr">
        <is>
          <t>Business Standard IPO page</t>
        </is>
      </c>
      <c r="AB1958" s="18" t="inlineStr">
        <is>
          <t>https://www.business-standard.com/markets/ipo/icici-bank-ltd-ipo-5418</t>
        </is>
      </c>
    </row>
    <row r="1959" ht="15" customHeight="1" s="12">
      <c r="A1959" s="14" t="n">
        <v>1958</v>
      </c>
      <c r="B1959" s="16" t="n">
        <v>38924</v>
      </c>
      <c r="C1959" s="15" t="n">
        <v>2006</v>
      </c>
      <c r="D1959" s="15" t="inlineStr">
        <is>
          <t>Bhagwati Banquets and Hotels Limited</t>
        </is>
      </c>
      <c r="E1959" s="15" t="inlineStr">
        <is>
          <t>DRHP</t>
        </is>
      </c>
      <c r="F1959" s="15" t="inlineStr">
        <is>
          <t>Bhagwati Banquets and Hotels Limited</t>
        </is>
      </c>
      <c r="G1959" s="15" t="inlineStr">
        <is>
          <t>IPO launched</t>
        </is>
      </c>
      <c r="H1959" s="15" t="inlineStr">
        <is>
          <t>Mainboard</t>
        </is>
      </c>
      <c r="I1959" s="16" t="n">
        <v>39190</v>
      </c>
      <c r="J1959" s="16" t="n">
        <v>39197</v>
      </c>
      <c r="K1959" s="16" t="n">
        <v>39219</v>
      </c>
      <c r="L1959" s="17" t="n">
        <v>92</v>
      </c>
      <c r="M1959" s="17" t="n">
        <v>92</v>
      </c>
      <c r="N1959" s="17" t="n">
        <v>0</v>
      </c>
      <c r="O1959" s="15" t="inlineStr">
        <is>
          <t>Final issue (ipoplatform)</t>
        </is>
      </c>
      <c r="P1959" s="15" t="n"/>
      <c r="Q1959" s="18" t="inlineStr">
        <is>
          <t>https://www.sebi.gov.in/sebi_data/attachdocs/1292299428893.pdf</t>
        </is>
      </c>
      <c r="R1959" s="18" t="inlineStr">
        <is>
          <t>https://www.sebi.gov.in/filings/public-issues/jul-2006/bhagwati-banquets-and-hotels-limited_10409.html</t>
        </is>
      </c>
      <c r="S1959" s="15" t="n"/>
      <c r="T1959" s="15" t="inlineStr">
        <is>
          <t>SEBI filing link</t>
        </is>
      </c>
      <c r="U1959" s="15" t="inlineStr">
        <is>
          <t>Bhagwati Banquets And Hotels Limited</t>
        </is>
      </c>
      <c r="V1959" s="15" t="n"/>
      <c r="W1959" s="15" t="n"/>
      <c r="X1959" s="15" t="n"/>
      <c r="Y1959" s="15" t="n"/>
      <c r="Z1959" s="15" t="n"/>
      <c r="AA1959" s="15" t="n"/>
      <c r="AB1959" s="15" t="n"/>
    </row>
    <row r="1960" ht="15" customHeight="1" s="12">
      <c r="A1960" s="14" t="n">
        <v>1959</v>
      </c>
      <c r="B1960" s="16" t="n">
        <v>38922</v>
      </c>
      <c r="C1960" s="15" t="n">
        <v>2006</v>
      </c>
      <c r="D1960" s="15" t="inlineStr">
        <is>
          <t>Synergies Castings Limited</t>
        </is>
      </c>
      <c r="E1960" s="15" t="inlineStr">
        <is>
          <t>DRHP</t>
        </is>
      </c>
      <c r="F1960" s="15" t="inlineStr">
        <is>
          <t>Synergies Castings Limited</t>
        </is>
      </c>
      <c r="G1960" s="15" t="inlineStr">
        <is>
          <t>No launched IPO found</t>
        </is>
      </c>
      <c r="H1960" s="15" t="n"/>
      <c r="I1960" s="16" t="n"/>
      <c r="J1960" s="16" t="n"/>
      <c r="K1960" s="16" t="n"/>
      <c r="L1960" s="17" t="n"/>
      <c r="M1960" s="17" t="n"/>
      <c r="N1960" s="17" t="n"/>
      <c r="O1960" s="15" t="n"/>
      <c r="P1960" s="15" t="n"/>
      <c r="Q1960" s="18" t="inlineStr">
        <is>
          <t>https://www.sebi.gov.in/sebi_data/attachdocs/1292298906787.pdf</t>
        </is>
      </c>
      <c r="R1960" s="18" t="inlineStr">
        <is>
          <t>https://www.sebi.gov.in/filings/public-issues/jul-2006/synergies-castings-limited_10408.html</t>
        </is>
      </c>
      <c r="S1960" s="15" t="n"/>
      <c r="T1960" s="15" t="n"/>
      <c r="U1960" s="15" t="n"/>
      <c r="V1960" s="15" t="n"/>
      <c r="W1960" s="16" t="n"/>
      <c r="X1960" s="16" t="n"/>
      <c r="Y1960" s="16" t="n"/>
      <c r="Z1960" s="15" t="inlineStr">
        <is>
          <t>No issue found</t>
        </is>
      </c>
      <c r="AA1960" s="15" t="inlineStr">
        <is>
          <t>Vizag alloy-wheel maker; DRHP Jul 2006 but company stayed unlisted (insolvency 2017)</t>
        </is>
      </c>
      <c r="AB1960" s="18" t="inlineStr">
        <is>
          <t>http://www.cmlinks.com/pub/dp/dp27430.pdf</t>
        </is>
      </c>
    </row>
    <row r="1961" ht="15" customHeight="1" s="12">
      <c r="A1961" s="14" t="n">
        <v>1960</v>
      </c>
      <c r="B1961" s="16" t="n">
        <v>38916</v>
      </c>
      <c r="C1961" s="15" t="n">
        <v>2006</v>
      </c>
      <c r="D1961" s="15" t="inlineStr">
        <is>
          <t>SAAG RR Infra Limited</t>
        </is>
      </c>
      <c r="E1961" s="15" t="inlineStr">
        <is>
          <t>DRHP</t>
        </is>
      </c>
      <c r="F1961" s="15" t="inlineStr">
        <is>
          <t>SAAG RR Infra Limited</t>
        </is>
      </c>
      <c r="G1961" s="15" t="inlineStr">
        <is>
          <t>No launched IPO found</t>
        </is>
      </c>
      <c r="H1961" s="15" t="n"/>
      <c r="I1961" s="16" t="n"/>
      <c r="J1961" s="16" t="n"/>
      <c r="K1961" s="16" t="n"/>
      <c r="L1961" s="17" t="n"/>
      <c r="M1961" s="17" t="n"/>
      <c r="N1961" s="17" t="n"/>
      <c r="O1961" s="15" t="n"/>
      <c r="P1961" s="15" t="n"/>
      <c r="Q1961" s="18" t="inlineStr">
        <is>
          <t>https://www.sebi.gov.in/sebi_data/attachdocs/1292298808582.pdf</t>
        </is>
      </c>
      <c r="R1961" s="18" t="inlineStr">
        <is>
          <t>https://www.sebi.gov.in/filings/public-issues/jul-2006/saag-rr-infra-limited_10407.html</t>
        </is>
      </c>
      <c r="S1961" s="15" t="n"/>
      <c r="T1961" s="15" t="n"/>
      <c r="U1961" s="15" t="n"/>
      <c r="V1961" s="15" t="n"/>
      <c r="W1961" s="16" t="n"/>
      <c r="X1961" s="16" t="n"/>
      <c r="Y1961" s="16" t="n"/>
      <c r="Z1961" s="15" t="inlineStr">
        <is>
          <t>No issue found</t>
        </is>
      </c>
      <c r="AA1961" s="15" t="inlineStr">
        <is>
          <t>Business Standard lists the company but shows no issue dates; web search limit reached</t>
        </is>
      </c>
      <c r="AB1961" s="18" t="inlineStr">
        <is>
          <t>https://www.business-standard.com/markets/ipo/saag-rr-infra-ltd-ipo-6499</t>
        </is>
      </c>
    </row>
    <row r="1962" ht="15" customHeight="1" s="12">
      <c r="A1962" s="14" t="n">
        <v>1961</v>
      </c>
      <c r="B1962" s="16" t="n">
        <v>38915</v>
      </c>
      <c r="C1962" s="15" t="n">
        <v>2006</v>
      </c>
      <c r="D1962" s="15" t="inlineStr">
        <is>
          <t>Ruchira Papers Limited</t>
        </is>
      </c>
      <c r="E1962" s="15" t="inlineStr">
        <is>
          <t>DRHP</t>
        </is>
      </c>
      <c r="F1962" s="15" t="inlineStr">
        <is>
          <t>Ruchira Papers Limited</t>
        </is>
      </c>
      <c r="G1962" s="15" t="inlineStr">
        <is>
          <t>IPO launched</t>
        </is>
      </c>
      <c r="H1962" s="15" t="inlineStr">
        <is>
          <t>Mainboard</t>
        </is>
      </c>
      <c r="I1962" s="16" t="n">
        <v>39044</v>
      </c>
      <c r="J1962" s="16" t="n">
        <v>39050</v>
      </c>
      <c r="K1962" s="16" t="n">
        <v>39071</v>
      </c>
      <c r="L1962" s="17" t="n">
        <v>23.5</v>
      </c>
      <c r="M1962" s="17" t="n">
        <v>23.5</v>
      </c>
      <c r="N1962" s="17" t="n">
        <v>0</v>
      </c>
      <c r="O1962" s="15" t="inlineStr">
        <is>
          <t>Final issue (ipoplatform)</t>
        </is>
      </c>
      <c r="P1962" s="15" t="n"/>
      <c r="Q1962" s="18" t="inlineStr">
        <is>
          <t>https://www.sebi.gov.in/sebi_data/attachdocs/1292298622523.pdf</t>
        </is>
      </c>
      <c r="R1962" s="18" t="inlineStr">
        <is>
          <t>https://www.sebi.gov.in/filings/public-issues/jul-2006/ruchira-papers-limited_10405.html</t>
        </is>
      </c>
      <c r="S1962" s="15" t="n"/>
      <c r="T1962" s="15" t="inlineStr">
        <is>
          <t>SEBI filing link</t>
        </is>
      </c>
      <c r="U1962" s="15" t="inlineStr">
        <is>
          <t>Ruchira Papers Limited</t>
        </is>
      </c>
      <c r="V1962" s="15" t="n"/>
      <c r="W1962" s="15" t="n"/>
      <c r="X1962" s="15" t="n"/>
      <c r="Y1962" s="15" t="n"/>
      <c r="Z1962" s="15" t="n"/>
      <c r="AA1962" s="15" t="n"/>
      <c r="AB1962" s="15" t="n"/>
    </row>
    <row r="1963" ht="15" customHeight="1" s="12">
      <c r="A1963" s="14" t="n">
        <v>1962</v>
      </c>
      <c r="B1963" s="16" t="n">
        <v>38915</v>
      </c>
      <c r="C1963" s="15" t="n">
        <v>2006</v>
      </c>
      <c r="D1963" s="15" t="inlineStr">
        <is>
          <t>Yogindera Worsted Limited</t>
        </is>
      </c>
      <c r="E1963" s="15" t="inlineStr">
        <is>
          <t>DRHP</t>
        </is>
      </c>
      <c r="F1963" s="15" t="inlineStr">
        <is>
          <t>Yogindera Worsted Limited</t>
        </is>
      </c>
      <c r="G1963" s="15" t="inlineStr">
        <is>
          <t>No launched IPO found</t>
        </is>
      </c>
      <c r="H1963" s="15" t="n"/>
      <c r="I1963" s="16" t="n"/>
      <c r="J1963" s="16" t="n"/>
      <c r="K1963" s="16" t="n"/>
      <c r="L1963" s="17" t="n"/>
      <c r="M1963" s="17" t="n"/>
      <c r="N1963" s="17" t="n"/>
      <c r="O1963" s="15" t="n"/>
      <c r="P1963" s="15" t="n"/>
      <c r="Q1963" s="18" t="inlineStr">
        <is>
          <t>https://www.sebi.gov.in/sebi_data/attachdocs/1292298750434.pdf</t>
        </is>
      </c>
      <c r="R1963" s="18" t="inlineStr">
        <is>
          <t>https://www.sebi.gov.in/filings/public-issues/jul-2006/yogindera-worsted-limited_10406.html</t>
        </is>
      </c>
      <c r="S1963" s="15" t="n"/>
      <c r="T1963" s="15" t="n"/>
      <c r="U1963" s="15" t="n"/>
      <c r="V1963" s="15" t="n"/>
      <c r="W1963" s="19" t="n">
        <v>39098</v>
      </c>
      <c r="X1963" s="19" t="n">
        <v>39104</v>
      </c>
      <c r="Y1963" s="19" t="n"/>
      <c r="Z1963" s="20" t="inlineStr">
        <is>
          <t>Issue opened</t>
        </is>
      </c>
      <c r="AA1963" s="15" t="inlineStr">
        <is>
          <t>Chittorgarh; listing date not shown on page.</t>
        </is>
      </c>
      <c r="AB1963" s="18" t="inlineStr">
        <is>
          <t>https://www.chittorgarh.com/ipo/x/41/</t>
        </is>
      </c>
    </row>
    <row r="1964" ht="15" customHeight="1" s="12">
      <c r="A1964" s="14" t="n">
        <v>1963</v>
      </c>
      <c r="B1964" s="16" t="n">
        <v>38904</v>
      </c>
      <c r="C1964" s="15" t="n">
        <v>2006</v>
      </c>
      <c r="D1964" s="15" t="inlineStr">
        <is>
          <t>FIEM Industries Limited</t>
        </is>
      </c>
      <c r="E1964" s="15" t="inlineStr">
        <is>
          <t>DRHP</t>
        </is>
      </c>
      <c r="F1964" s="15" t="inlineStr">
        <is>
          <t>FIEM Industries Limited</t>
        </is>
      </c>
      <c r="G1964" s="15" t="inlineStr">
        <is>
          <t>IPO launched</t>
        </is>
      </c>
      <c r="H1964" s="15" t="inlineStr">
        <is>
          <t>Mainboard</t>
        </is>
      </c>
      <c r="I1964" s="16" t="n">
        <v>38981</v>
      </c>
      <c r="J1964" s="16" t="n">
        <v>38987</v>
      </c>
      <c r="K1964" s="16" t="n">
        <v>39009</v>
      </c>
      <c r="L1964" s="17" t="n">
        <v>56.17</v>
      </c>
      <c r="M1964" s="17" t="n">
        <v>56.17</v>
      </c>
      <c r="N1964" s="17" t="n">
        <v>0</v>
      </c>
      <c r="O1964" s="15" t="inlineStr">
        <is>
          <t>Final issue (ipoplatform)</t>
        </is>
      </c>
      <c r="P1964" s="15" t="n"/>
      <c r="Q1964" s="18" t="inlineStr">
        <is>
          <t>https://www.sebi.gov.in/sebi_data/attachdocs/1292298440608.pdf</t>
        </is>
      </c>
      <c r="R1964" s="18" t="inlineStr">
        <is>
          <t>https://www.sebi.gov.in/filings/public-issues/jul-2006/fiem-industries-limited_10404.html</t>
        </is>
      </c>
      <c r="S1964" s="15" t="n"/>
      <c r="T1964" s="15" t="inlineStr">
        <is>
          <t>SEBI filing link</t>
        </is>
      </c>
      <c r="U1964" s="15" t="inlineStr">
        <is>
          <t>Fiem Industries Limited</t>
        </is>
      </c>
      <c r="V1964" s="15" t="n"/>
      <c r="W1964" s="15" t="n"/>
      <c r="X1964" s="15" t="n"/>
      <c r="Y1964" s="15" t="n"/>
      <c r="Z1964" s="15" t="n"/>
      <c r="AA1964" s="15" t="n"/>
      <c r="AB1964" s="15" t="n"/>
    </row>
    <row r="1965" ht="15" customHeight="1" s="12">
      <c r="A1965" s="14" t="n">
        <v>1964</v>
      </c>
      <c r="B1965" s="16" t="n">
        <v>38901</v>
      </c>
      <c r="C1965" s="15" t="n">
        <v>2006</v>
      </c>
      <c r="D1965" s="15" t="inlineStr">
        <is>
          <t>LT Overseas Limited</t>
        </is>
      </c>
      <c r="E1965" s="15" t="inlineStr">
        <is>
          <t>DRHP</t>
        </is>
      </c>
      <c r="F1965" s="15" t="inlineStr">
        <is>
          <t>LT Overseas Limited</t>
        </is>
      </c>
      <c r="G1965" s="15" t="inlineStr">
        <is>
          <t>IPO launched</t>
        </is>
      </c>
      <c r="H1965" s="15" t="inlineStr">
        <is>
          <t>Mainboard</t>
        </is>
      </c>
      <c r="I1965" s="16" t="n">
        <v>39048</v>
      </c>
      <c r="J1965" s="16" t="n">
        <v>39051</v>
      </c>
      <c r="K1965" s="16" t="n">
        <v>39069</v>
      </c>
      <c r="L1965" s="17" t="n">
        <v>39.4</v>
      </c>
      <c r="M1965" s="17" t="n">
        <v>39.4</v>
      </c>
      <c r="N1965" s="17" t="n">
        <v>0</v>
      </c>
      <c r="O1965" s="15" t="inlineStr">
        <is>
          <t>Final issue (ipoplatform)</t>
        </is>
      </c>
      <c r="P1965" s="15" t="n"/>
      <c r="Q1965" s="18" t="inlineStr">
        <is>
          <t>https://www.sebi.gov.in/sebi_data/attachdocs/1292298181745.pdf</t>
        </is>
      </c>
      <c r="R1965" s="18" t="inlineStr">
        <is>
          <t>https://www.sebi.gov.in/filings/public-issues/jul-2006/lt-overseas-limited_10403.html</t>
        </is>
      </c>
      <c r="S1965" s="15" t="n"/>
      <c r="T1965" s="15" t="inlineStr">
        <is>
          <t>SEBI filing link</t>
        </is>
      </c>
      <c r="U1965" s="15" t="inlineStr">
        <is>
          <t>L.T. Overseas Limited</t>
        </is>
      </c>
      <c r="V1965" s="15" t="n"/>
      <c r="W1965" s="15" t="n"/>
      <c r="X1965" s="15" t="n"/>
      <c r="Y1965" s="15" t="n"/>
      <c r="Z1965" s="15" t="n"/>
      <c r="AA1965" s="15" t="n"/>
      <c r="AB1965" s="15" t="n"/>
    </row>
    <row r="1966" ht="15" customHeight="1" s="12">
      <c r="A1966" s="14" t="n">
        <v>1965</v>
      </c>
      <c r="B1966" s="16" t="n">
        <v>38898</v>
      </c>
      <c r="C1966" s="15" t="n">
        <v>2006</v>
      </c>
      <c r="D1966" s="15" t="inlineStr">
        <is>
          <t>Blue Bird (India) Limited</t>
        </is>
      </c>
      <c r="E1966" s="15" t="inlineStr">
        <is>
          <t>DRHP</t>
        </is>
      </c>
      <c r="F1966" s="15" t="inlineStr">
        <is>
          <t>Blue Bird (India) Limited</t>
        </is>
      </c>
      <c r="G1966" s="15" t="inlineStr">
        <is>
          <t>No launched IPO found</t>
        </is>
      </c>
      <c r="H1966" s="15" t="n"/>
      <c r="I1966" s="16" t="n"/>
      <c r="J1966" s="16" t="n"/>
      <c r="K1966" s="16" t="n"/>
      <c r="L1966" s="17" t="n"/>
      <c r="M1966" s="17" t="n"/>
      <c r="N1966" s="17" t="n"/>
      <c r="O1966" s="15" t="n"/>
      <c r="P1966" s="15" t="n"/>
      <c r="Q1966" s="18" t="inlineStr">
        <is>
          <t>https://www.sebi.gov.in/sebi_data/attachdocs/1292237987678.pdf</t>
        </is>
      </c>
      <c r="R1966" s="18" t="inlineStr">
        <is>
          <t>https://www.sebi.gov.in/filings/public-issues/jun-2006/blue-bird-india-limited_10344.html</t>
        </is>
      </c>
      <c r="S1966" s="15" t="n"/>
      <c r="T1966" s="15" t="n"/>
      <c r="U1966" s="15" t="n"/>
      <c r="V1966" s="15" t="n"/>
      <c r="W1966" s="19" t="n">
        <v>39037</v>
      </c>
      <c r="X1966" s="19" t="n">
        <v>39043</v>
      </c>
      <c r="Y1966" s="19" t="n"/>
      <c r="Z1966" s="20" t="inlineStr">
        <is>
          <t>Issue opened</t>
        </is>
      </c>
      <c r="AA1966" s="15" t="inlineStr">
        <is>
          <t>Matched on chittorgarh.com</t>
        </is>
      </c>
      <c r="AB1966" s="18" t="inlineStr">
        <is>
          <t>https://www.chittorgarh.com/ipo/blue-bird-ipo/23/</t>
        </is>
      </c>
    </row>
    <row r="1967" ht="15" customHeight="1" s="12">
      <c r="A1967" s="14" t="n">
        <v>1966</v>
      </c>
      <c r="B1967" s="16" t="n">
        <v>38898</v>
      </c>
      <c r="C1967" s="15" t="n">
        <v>2006</v>
      </c>
      <c r="D1967" s="15" t="inlineStr">
        <is>
          <t>Celestial Labs Limited</t>
        </is>
      </c>
      <c r="E1967" s="15" t="inlineStr">
        <is>
          <t>DRHP</t>
        </is>
      </c>
      <c r="F1967" s="15" t="inlineStr">
        <is>
          <t>Celestial Labs Limited</t>
        </is>
      </c>
      <c r="G1967" s="15" t="inlineStr">
        <is>
          <t>No launched IPO found</t>
        </is>
      </c>
      <c r="H1967" s="15" t="n"/>
      <c r="I1967" s="16" t="n"/>
      <c r="J1967" s="16" t="n"/>
      <c r="K1967" s="16" t="n"/>
      <c r="L1967" s="17" t="n"/>
      <c r="M1967" s="17" t="n"/>
      <c r="N1967" s="17" t="n"/>
      <c r="O1967" s="15" t="n"/>
      <c r="P1967" s="15" t="n"/>
      <c r="Q1967" s="18" t="inlineStr">
        <is>
          <t>https://www.sebi.gov.in/sebi_data/attachdocs/1292237779970.pdf</t>
        </is>
      </c>
      <c r="R1967" s="18" t="inlineStr">
        <is>
          <t>https://www.sebi.gov.in/filings/public-issues/jun-2006/celestial-labs-limited_10341.html</t>
        </is>
      </c>
      <c r="S1967" s="15" t="n"/>
      <c r="T1967" s="15" t="n"/>
      <c r="U1967" s="15" t="n"/>
      <c r="V1967" s="15" t="n"/>
      <c r="W1967" s="19" t="n">
        <v>39251</v>
      </c>
      <c r="X1967" s="19" t="n">
        <v>39255</v>
      </c>
      <c r="Y1967" s="19" t="n"/>
      <c r="Z1967" s="20" t="inlineStr">
        <is>
          <t>Issue opened</t>
        </is>
      </c>
      <c r="AA1967" s="15" t="inlineStr">
        <is>
          <t>Matched on chittorgarh.com</t>
        </is>
      </c>
      <c r="AB1967" s="18" t="inlineStr">
        <is>
          <t>https://www.chittorgarh.com/ipo/celestial_labs_ipo/91/</t>
        </is>
      </c>
    </row>
    <row r="1968" ht="15" customHeight="1" s="12">
      <c r="A1968" s="14" t="n">
        <v>1967</v>
      </c>
      <c r="B1968" s="16" t="n">
        <v>38890</v>
      </c>
      <c r="C1968" s="15" t="n">
        <v>2006</v>
      </c>
      <c r="D1968" s="15" t="inlineStr">
        <is>
          <t>Pochiraju Industries Limited</t>
        </is>
      </c>
      <c r="E1968" s="15" t="inlineStr">
        <is>
          <t>DRHP</t>
        </is>
      </c>
      <c r="F1968" s="15" t="inlineStr">
        <is>
          <t>Pochiraju Industries Limited</t>
        </is>
      </c>
      <c r="G1968" s="15" t="inlineStr">
        <is>
          <t>No launched IPO found</t>
        </is>
      </c>
      <c r="H1968" s="15" t="n"/>
      <c r="I1968" s="16" t="n"/>
      <c r="J1968" s="16" t="n"/>
      <c r="K1968" s="16" t="n"/>
      <c r="L1968" s="17" t="n"/>
      <c r="M1968" s="17" t="n"/>
      <c r="N1968" s="17" t="n"/>
      <c r="O1968" s="15" t="n"/>
      <c r="P1968" s="15" t="n"/>
      <c r="Q1968" s="18" t="inlineStr">
        <is>
          <t>https://www.sebi.gov.in/sebi_data/attachdocs/1292227363464.pdf</t>
        </is>
      </c>
      <c r="R1968" s="18" t="inlineStr">
        <is>
          <t>https://www.sebi.gov.in/filings/public-issues/jun-2006/pochiraju-industries-limited_10174.html</t>
        </is>
      </c>
      <c r="S1968" s="15" t="n"/>
      <c r="T1968" s="15" t="n"/>
      <c r="U1968" s="15" t="n"/>
      <c r="V1968" s="15" t="n"/>
      <c r="W1968" s="19" t="n">
        <v>39097</v>
      </c>
      <c r="X1968" s="19" t="n">
        <v>39100</v>
      </c>
      <c r="Y1968" s="19" t="n"/>
      <c r="Z1968" s="20" t="inlineStr">
        <is>
          <t>Issue opened</t>
        </is>
      </c>
      <c r="AA1968" s="15" t="inlineStr">
        <is>
          <t>Matched on chittorgarh.com</t>
        </is>
      </c>
      <c r="AB1968" s="18" t="inlineStr">
        <is>
          <t>https://www.chittorgarh.com/ipo/pochiraju_ipo/40/</t>
        </is>
      </c>
    </row>
    <row r="1969" ht="15" customHeight="1" s="12">
      <c r="A1969" s="14" t="n">
        <v>1968</v>
      </c>
      <c r="B1969" s="16" t="n">
        <v>38890</v>
      </c>
      <c r="C1969" s="15" t="n">
        <v>2006</v>
      </c>
      <c r="D1969" s="15" t="inlineStr">
        <is>
          <t>Tech Mahindra Limited</t>
        </is>
      </c>
      <c r="E1969" s="15" t="inlineStr">
        <is>
          <t>DRHP</t>
        </is>
      </c>
      <c r="F1969" s="15" t="inlineStr">
        <is>
          <t>Tech Mahindra Limited</t>
        </is>
      </c>
      <c r="G1969" s="15" t="inlineStr">
        <is>
          <t>No launched IPO found</t>
        </is>
      </c>
      <c r="H1969" s="15" t="n"/>
      <c r="I1969" s="16" t="n"/>
      <c r="J1969" s="16" t="n"/>
      <c r="K1969" s="16" t="n"/>
      <c r="L1969" s="17" t="n"/>
      <c r="M1969" s="17" t="n"/>
      <c r="N1969" s="17" t="n"/>
      <c r="O1969" s="15" t="n"/>
      <c r="P1969" s="15" t="n"/>
      <c r="Q1969" s="18" t="inlineStr">
        <is>
          <t>https://www.sebi.gov.in/sebi_data/attachdocs/1292226592418.pdf</t>
        </is>
      </c>
      <c r="R1969" s="18" t="inlineStr">
        <is>
          <t>https://www.sebi.gov.in/filings/public-issues/jun-2006/tech-mahindra-limited_10173.html</t>
        </is>
      </c>
      <c r="S1969" s="15" t="n"/>
      <c r="T1969" s="15" t="n"/>
      <c r="U1969" s="15" t="n"/>
      <c r="V1969" s="15" t="n"/>
      <c r="W1969" s="19" t="n">
        <v>38930</v>
      </c>
      <c r="X1969" s="19" t="n">
        <v>38933</v>
      </c>
      <c r="Y1969" s="19" t="n"/>
      <c r="Z1969" s="20" t="inlineStr">
        <is>
          <t>Issue opened</t>
        </is>
      </c>
      <c r="AA1969" s="15" t="inlineStr">
        <is>
          <t>Matched on chittorgarh.com</t>
        </is>
      </c>
      <c r="AB1969" s="18" t="inlineStr">
        <is>
          <t>https://www.chittorgarh.com/ipo/tech-mahindra-ipo/2929/</t>
        </is>
      </c>
    </row>
    <row r="1970" ht="15" customHeight="1" s="12">
      <c r="A1970" s="14" t="n">
        <v>1969</v>
      </c>
      <c r="B1970" s="16" t="n">
        <v>38889</v>
      </c>
      <c r="C1970" s="15" t="n">
        <v>2006</v>
      </c>
      <c r="D1970" s="15" t="inlineStr">
        <is>
          <t>Jas Toll Company Limited</t>
        </is>
      </c>
      <c r="E1970" s="15" t="inlineStr">
        <is>
          <t>DRHP</t>
        </is>
      </c>
      <c r="F1970" s="15" t="inlineStr">
        <is>
          <t>Jas Toll Company Limited</t>
        </is>
      </c>
      <c r="G1970" s="15" t="inlineStr">
        <is>
          <t>No launched IPO found</t>
        </is>
      </c>
      <c r="H1970" s="15" t="n"/>
      <c r="I1970" s="16" t="n"/>
      <c r="J1970" s="16" t="n"/>
      <c r="K1970" s="16" t="n"/>
      <c r="L1970" s="17" t="n"/>
      <c r="M1970" s="17" t="n"/>
      <c r="N1970" s="17" t="n"/>
      <c r="O1970" s="15" t="n"/>
      <c r="P1970" s="15" t="n"/>
      <c r="Q1970" s="18" t="inlineStr">
        <is>
          <t>https://www.sebi.gov.in/sebi_data/attachdocs/1292222618234.pdf</t>
        </is>
      </c>
      <c r="R1970" s="18" t="inlineStr">
        <is>
          <t>https://www.sebi.gov.in/filings/public-issues/jun-2006/jas-toll-company-limited_10129.html</t>
        </is>
      </c>
      <c r="S1970" s="15" t="n"/>
      <c r="T1970" s="15" t="n"/>
      <c r="U1970" s="15" t="n"/>
      <c r="V1970" s="15" t="n"/>
      <c r="W1970" s="16" t="n"/>
      <c r="X1970" s="16" t="n"/>
      <c r="Y1970" s="16" t="n"/>
      <c r="Z1970" s="15" t="inlineStr">
        <is>
          <t>No issue found</t>
        </is>
      </c>
      <c r="AA1970" s="15" t="inlineStr">
        <is>
          <t>Jas Toll Road Co (Nelamangala-Tumkur toll); remains unlisted; PE funding 2008</t>
        </is>
      </c>
      <c r="AB1970" s="18" t="inlineStr">
        <is>
          <t>https://www.tofler.in/jas-toll-road-company-limited/company/U45201MH2001PLC132249</t>
        </is>
      </c>
    </row>
    <row r="1971" ht="15" customHeight="1" s="12">
      <c r="A1971" s="14" t="n">
        <v>1970</v>
      </c>
      <c r="B1971" s="16" t="n">
        <v>38884</v>
      </c>
      <c r="C1971" s="15" t="n">
        <v>2006</v>
      </c>
      <c r="D1971" s="15" t="inlineStr">
        <is>
          <t>Gayatri Projects Limited</t>
        </is>
      </c>
      <c r="E1971" s="15" t="inlineStr">
        <is>
          <t>DRHP</t>
        </is>
      </c>
      <c r="F1971" s="15" t="inlineStr">
        <is>
          <t>Gayatri Projects Limited</t>
        </is>
      </c>
      <c r="G1971" s="15" t="inlineStr">
        <is>
          <t>IPO launched</t>
        </is>
      </c>
      <c r="H1971" s="15" t="inlineStr">
        <is>
          <t>Mainboard</t>
        </is>
      </c>
      <c r="I1971" s="16" t="n">
        <v>38986</v>
      </c>
      <c r="J1971" s="16" t="n">
        <v>38989</v>
      </c>
      <c r="K1971" s="16" t="n">
        <v>39007</v>
      </c>
      <c r="L1971" s="17" t="n">
        <v>85.55</v>
      </c>
      <c r="M1971" s="17" t="n">
        <v>85.55</v>
      </c>
      <c r="N1971" s="17" t="n">
        <v>0</v>
      </c>
      <c r="O1971" s="15" t="inlineStr">
        <is>
          <t>Final issue (ipoplatform)</t>
        </is>
      </c>
      <c r="P1971" s="15" t="n"/>
      <c r="Q1971" s="18" t="inlineStr">
        <is>
          <t>https://www.sebi.gov.in/sebi_data/attachdocs/1292222209587.pdf</t>
        </is>
      </c>
      <c r="R1971" s="18" t="inlineStr">
        <is>
          <t>https://www.sebi.gov.in/filings/public-issues/jun-2006/gayatri-projects-limited_10122.html</t>
        </is>
      </c>
      <c r="S1971" s="15" t="n"/>
      <c r="T1971" s="15" t="inlineStr">
        <is>
          <t>Company name + date window</t>
        </is>
      </c>
      <c r="U1971" s="15" t="inlineStr">
        <is>
          <t>Gayatri Projects Limited</t>
        </is>
      </c>
      <c r="V1971" s="15" t="n"/>
      <c r="W1971" s="15" t="n"/>
      <c r="X1971" s="15" t="n"/>
      <c r="Y1971" s="15" t="n"/>
      <c r="Z1971" s="15" t="n"/>
      <c r="AA1971" s="15" t="n"/>
      <c r="AB1971" s="15" t="n"/>
    </row>
    <row r="1972" ht="15" customHeight="1" s="12">
      <c r="A1972" s="14" t="n">
        <v>1971</v>
      </c>
      <c r="B1972" s="16" t="n">
        <v>38880</v>
      </c>
      <c r="C1972" s="15" t="n">
        <v>2006</v>
      </c>
      <c r="D1972" s="15" t="inlineStr">
        <is>
          <t>Gulshan Sugars &amp; Chemicals Limited</t>
        </is>
      </c>
      <c r="E1972" s="15" t="inlineStr">
        <is>
          <t>DRHP</t>
        </is>
      </c>
      <c r="F1972" s="15" t="inlineStr">
        <is>
          <t>Gulshan Sugars &amp; Chemicals Limited</t>
        </is>
      </c>
      <c r="G1972" s="15" t="inlineStr">
        <is>
          <t>IPO launched</t>
        </is>
      </c>
      <c r="H1972" s="15" t="inlineStr">
        <is>
          <t>Mainboard</t>
        </is>
      </c>
      <c r="I1972" s="16" t="n">
        <v>39043</v>
      </c>
      <c r="J1972" s="16" t="n">
        <v>39049</v>
      </c>
      <c r="K1972" s="16" t="n">
        <v>39079</v>
      </c>
      <c r="L1972" s="17" t="n">
        <v>26.4</v>
      </c>
      <c r="M1972" s="17" t="n">
        <v>26.4</v>
      </c>
      <c r="N1972" s="17" t="n">
        <v>0</v>
      </c>
      <c r="O1972" s="15" t="inlineStr">
        <is>
          <t>Final issue (ipoplatform)</t>
        </is>
      </c>
      <c r="P1972" s="15" t="n"/>
      <c r="Q1972" s="18" t="inlineStr">
        <is>
          <t>https://www.sebi.gov.in/sebi_data/attachdocs/1292221604182.pdf</t>
        </is>
      </c>
      <c r="R1972" s="18" t="inlineStr">
        <is>
          <t>https://www.sebi.gov.in/filings/public-issues/jun-2006/gulshan-sugars-and-chemicals-limited_10106.html</t>
        </is>
      </c>
      <c r="S1972" s="15" t="n"/>
      <c r="T1972" s="15" t="inlineStr">
        <is>
          <t>SEBI filing link</t>
        </is>
      </c>
      <c r="U1972" s="15" t="inlineStr">
        <is>
          <t>Gulshan Sugars &amp; Chemicals Limited</t>
        </is>
      </c>
      <c r="V1972" s="15" t="n"/>
      <c r="W1972" s="15" t="n"/>
      <c r="X1972" s="15" t="n"/>
      <c r="Y1972" s="15" t="n"/>
      <c r="Z1972" s="15" t="n"/>
      <c r="AA1972" s="15" t="n"/>
      <c r="AB1972" s="15" t="n"/>
    </row>
    <row r="1973" ht="15" customHeight="1" s="12">
      <c r="A1973" s="14" t="n">
        <v>1972</v>
      </c>
      <c r="B1973" s="16" t="n">
        <v>38880</v>
      </c>
      <c r="C1973" s="15" t="n">
        <v>2006</v>
      </c>
      <c r="D1973" s="15" t="inlineStr">
        <is>
          <t>Transwarranty Finance Limited</t>
        </is>
      </c>
      <c r="E1973" s="15" t="inlineStr">
        <is>
          <t>DRHP</t>
        </is>
      </c>
      <c r="F1973" s="15" t="inlineStr">
        <is>
          <t>Transwarranty Finance Limited</t>
        </is>
      </c>
      <c r="G1973" s="15" t="inlineStr">
        <is>
          <t>IPO launched</t>
        </is>
      </c>
      <c r="H1973" s="15" t="inlineStr">
        <is>
          <t>Mainboard</t>
        </is>
      </c>
      <c r="I1973" s="16" t="n">
        <v>39105</v>
      </c>
      <c r="J1973" s="16" t="n">
        <v>39115</v>
      </c>
      <c r="K1973" s="16" t="n">
        <v>39139</v>
      </c>
      <c r="L1973" s="17" t="n">
        <v>31.2</v>
      </c>
      <c r="M1973" s="17" t="n">
        <v>31.2</v>
      </c>
      <c r="N1973" s="17" t="n">
        <v>0</v>
      </c>
      <c r="O1973" s="15" t="inlineStr">
        <is>
          <t>Final issue (ipoplatform)</t>
        </is>
      </c>
      <c r="P1973" s="15" t="n"/>
      <c r="Q1973" s="18" t="inlineStr">
        <is>
          <t>https://www.sebi.gov.in/sebi_data/attachdocs/1292221788841.pdf</t>
        </is>
      </c>
      <c r="R1973" s="18" t="inlineStr">
        <is>
          <t>https://www.sebi.gov.in/filings/public-issues/jun-2006/transwarranty-finance-limited_10111.html</t>
        </is>
      </c>
      <c r="S1973" s="15" t="n"/>
      <c r="T1973" s="15" t="inlineStr">
        <is>
          <t>Company name + date window</t>
        </is>
      </c>
      <c r="U1973" s="15" t="inlineStr">
        <is>
          <t>Transwarranty Finance Limited</t>
        </is>
      </c>
      <c r="V1973" s="15" t="n"/>
      <c r="W1973" s="15" t="n"/>
      <c r="X1973" s="15" t="n"/>
      <c r="Y1973" s="15" t="n"/>
      <c r="Z1973" s="15" t="n"/>
      <c r="AA1973" s="15" t="n"/>
      <c r="AB1973" s="15" t="n"/>
    </row>
    <row r="1974" ht="15" customHeight="1" s="12">
      <c r="A1974" s="14" t="n">
        <v>1973</v>
      </c>
      <c r="B1974" s="16" t="n">
        <v>38876</v>
      </c>
      <c r="C1974" s="15" t="n">
        <v>2006</v>
      </c>
      <c r="D1974" s="15" t="inlineStr">
        <is>
          <t>MSPL Limited</t>
        </is>
      </c>
      <c r="E1974" s="15" t="inlineStr">
        <is>
          <t>DRHP</t>
        </is>
      </c>
      <c r="F1974" s="15" t="inlineStr">
        <is>
          <t>MSPL Limited</t>
        </is>
      </c>
      <c r="G1974" s="15" t="inlineStr">
        <is>
          <t>No launched IPO found</t>
        </is>
      </c>
      <c r="H1974" s="15" t="n"/>
      <c r="I1974" s="16" t="n"/>
      <c r="J1974" s="16" t="n"/>
      <c r="K1974" s="16" t="n"/>
      <c r="L1974" s="17" t="n"/>
      <c r="M1974" s="17" t="n"/>
      <c r="N1974" s="17" t="n"/>
      <c r="O1974" s="15" t="n"/>
      <c r="P1974" s="15" t="n"/>
      <c r="Q1974" s="18" t="inlineStr">
        <is>
          <t>https://www.sebi.gov.in/sebi_data/attachdocs/1292221468907.pdf</t>
        </is>
      </c>
      <c r="R1974" s="18" t="inlineStr">
        <is>
          <t>https://www.sebi.gov.in/filings/public-issues/jun-2006/mspl-limited_10103.html</t>
        </is>
      </c>
      <c r="S1974" s="15" t="n"/>
      <c r="T1974" s="15" t="n"/>
      <c r="U1974" s="15" t="n"/>
      <c r="V1974" s="15" t="n"/>
      <c r="W1974" s="16" t="n"/>
      <c r="X1974" s="16" t="n"/>
      <c r="Y1974" s="16" t="n"/>
      <c r="Z1974" s="15" t="inlineStr">
        <is>
          <t>No issue found</t>
        </is>
      </c>
      <c r="AA1974" s="15" t="inlineStr">
        <is>
          <t>Baldota iron-ore co; IPO planned for 2007 (IFC) but never happened; unlisted</t>
        </is>
      </c>
      <c r="AB1974" s="18" t="inlineStr">
        <is>
          <t>https://disclosures.ifc.org/project-detail/SPI/25115/mspl-limited</t>
        </is>
      </c>
    </row>
    <row r="1975" ht="15" customHeight="1" s="12">
      <c r="A1975" s="14" t="n">
        <v>1974</v>
      </c>
      <c r="B1975" s="16" t="n">
        <v>38875</v>
      </c>
      <c r="C1975" s="15" t="n">
        <v>2006</v>
      </c>
      <c r="D1975" s="15" t="inlineStr">
        <is>
          <t>Power Finance Corporation Limited</t>
        </is>
      </c>
      <c r="E1975" s="15" t="inlineStr">
        <is>
          <t>DRHP</t>
        </is>
      </c>
      <c r="F1975" s="15" t="inlineStr">
        <is>
          <t>Power Finance Corporation Limited</t>
        </is>
      </c>
      <c r="G1975" s="15" t="inlineStr">
        <is>
          <t>IPO launched</t>
        </is>
      </c>
      <c r="H1975" s="15" t="inlineStr">
        <is>
          <t>Mainboard</t>
        </is>
      </c>
      <c r="I1975" s="16" t="n">
        <v>39113</v>
      </c>
      <c r="J1975" s="16" t="n">
        <v>39119</v>
      </c>
      <c r="K1975" s="16" t="n">
        <v>39136</v>
      </c>
      <c r="L1975" s="17" t="n">
        <v>997.1900000000001</v>
      </c>
      <c r="M1975" s="17" t="n">
        <v>997.1900000000001</v>
      </c>
      <c r="N1975" s="17" t="n">
        <v>0</v>
      </c>
      <c r="O1975" s="15" t="inlineStr">
        <is>
          <t>Final issue (ipoplatform)</t>
        </is>
      </c>
      <c r="P1975" s="15" t="n"/>
      <c r="Q1975" s="18" t="inlineStr">
        <is>
          <t>https://www.sebi.gov.in/sebi_data/attachdocs/1292221214648.pdf</t>
        </is>
      </c>
      <c r="R1975" s="18" t="inlineStr">
        <is>
          <t>https://www.sebi.gov.in/filings/public-issues/jun-2006/power-finance-corporation-limited_10099.html</t>
        </is>
      </c>
      <c r="S1975" s="15" t="n"/>
      <c r="T1975" s="15" t="inlineStr">
        <is>
          <t>SEBI filing link</t>
        </is>
      </c>
      <c r="U1975" s="15" t="inlineStr">
        <is>
          <t>Power Finance Corporation Limited</t>
        </is>
      </c>
      <c r="V1975" s="15" t="n"/>
      <c r="W1975" s="15" t="n"/>
      <c r="X1975" s="15" t="n"/>
      <c r="Y1975" s="15" t="n"/>
      <c r="Z1975" s="15" t="n"/>
      <c r="AA1975" s="15" t="n"/>
      <c r="AB1975" s="15" t="n"/>
    </row>
    <row r="1976" ht="15" customHeight="1" s="12">
      <c r="A1976" s="14" t="n">
        <v>1975</v>
      </c>
      <c r="B1976" s="16" t="n">
        <v>38874</v>
      </c>
      <c r="C1976" s="15" t="n">
        <v>2006</v>
      </c>
      <c r="D1976" s="15" t="inlineStr">
        <is>
          <t>Suryachakra Power Corporation Limited</t>
        </is>
      </c>
      <c r="E1976" s="15" t="inlineStr">
        <is>
          <t>DRHP</t>
        </is>
      </c>
      <c r="F1976" s="15" t="inlineStr">
        <is>
          <t>Suryachakra Power Corporation Limited</t>
        </is>
      </c>
      <c r="G1976" s="15" t="inlineStr">
        <is>
          <t>No launched IPO found</t>
        </is>
      </c>
      <c r="H1976" s="15" t="n"/>
      <c r="I1976" s="16" t="n"/>
      <c r="J1976" s="16" t="n"/>
      <c r="K1976" s="16" t="n"/>
      <c r="L1976" s="17" t="n"/>
      <c r="M1976" s="17" t="n"/>
      <c r="N1976" s="17" t="n"/>
      <c r="O1976" s="15" t="n"/>
      <c r="P1976" s="15" t="n"/>
      <c r="Q1976" s="18" t="inlineStr">
        <is>
          <t>https://www.sebi.gov.in/sebi_data/attachdocs/1292220805123.pdf</t>
        </is>
      </c>
      <c r="R1976" s="18" t="inlineStr">
        <is>
          <t>https://www.sebi.gov.in/filings/public-issues/jun-2006/suryachakra-power-corporation-limited_10094.html</t>
        </is>
      </c>
      <c r="S1976" s="15" t="n"/>
      <c r="T1976" s="15" t="n"/>
      <c r="U1976" s="15" t="n"/>
      <c r="V1976" s="15" t="n"/>
      <c r="W1976" s="19" t="n">
        <v>39258</v>
      </c>
      <c r="X1976" s="19" t="n">
        <v>39262</v>
      </c>
      <c r="Y1976" s="19" t="n"/>
      <c r="Z1976" s="20" t="inlineStr">
        <is>
          <t>Issue opened</t>
        </is>
      </c>
      <c r="AA1976" s="15" t="inlineStr">
        <is>
          <t>Matched on chittorgarh.com</t>
        </is>
      </c>
      <c r="AB1976" s="18" t="inlineStr">
        <is>
          <t>https://www.chittorgarh.com/ipo/suryachakra_ipo/95/</t>
        </is>
      </c>
    </row>
    <row r="1977" ht="15" customHeight="1" s="12">
      <c r="A1977" s="14" t="n">
        <v>1976</v>
      </c>
      <c r="B1977" s="16" t="n">
        <v>38873</v>
      </c>
      <c r="C1977" s="15" t="n">
        <v>2006</v>
      </c>
      <c r="D1977" s="15" t="inlineStr">
        <is>
          <t>Abhishek Mills Limited</t>
        </is>
      </c>
      <c r="E1977" s="15" t="inlineStr">
        <is>
          <t>DRHP</t>
        </is>
      </c>
      <c r="F1977" s="15" t="inlineStr">
        <is>
          <t>Abhishek Mills Limited</t>
        </is>
      </c>
      <c r="G1977" s="15" t="inlineStr">
        <is>
          <t>No launched IPO found</t>
        </is>
      </c>
      <c r="H1977" s="15" t="n"/>
      <c r="I1977" s="16" t="n"/>
      <c r="J1977" s="16" t="n"/>
      <c r="K1977" s="16" t="n"/>
      <c r="L1977" s="17" t="n"/>
      <c r="M1977" s="17" t="n"/>
      <c r="N1977" s="17" t="n"/>
      <c r="O1977" s="15" t="n"/>
      <c r="P1977" s="15" t="n"/>
      <c r="Q1977" s="18" t="inlineStr">
        <is>
          <t>https://www.sebi.gov.in/sebi_data/attachdocs/1292218549422.pdf</t>
        </is>
      </c>
      <c r="R1977" s="18" t="inlineStr">
        <is>
          <t>https://www.sebi.gov.in/filings/public-issues/jun-2006/abhishek-mills-limited_10057.html</t>
        </is>
      </c>
      <c r="S1977" s="15" t="n"/>
      <c r="T1977" s="15" t="n"/>
      <c r="U1977" s="15" t="n"/>
      <c r="V1977" s="15" t="n"/>
      <c r="W1977" s="19" t="n">
        <v>39133</v>
      </c>
      <c r="X1977" s="19" t="n">
        <v>39142</v>
      </c>
      <c r="Y1977" s="19" t="n"/>
      <c r="Z1977" s="20" t="inlineStr">
        <is>
          <t>Issue opened</t>
        </is>
      </c>
      <c r="AA1977" s="15" t="inlineStr">
        <is>
          <t>Matched on chittorgarh.com</t>
        </is>
      </c>
      <c r="AB1977" s="18" t="inlineStr">
        <is>
          <t>https://www.chittorgarh.com/ipo/abhishek_mills_ipo/66/</t>
        </is>
      </c>
    </row>
    <row r="1978" ht="15" customHeight="1" s="12">
      <c r="A1978" s="14" t="n">
        <v>1977</v>
      </c>
      <c r="B1978" s="16" t="n">
        <v>38873</v>
      </c>
      <c r="C1978" s="15" t="n">
        <v>2006</v>
      </c>
      <c r="D1978" s="15" t="inlineStr">
        <is>
          <t>Cambridge Technology Enterprises Limited</t>
        </is>
      </c>
      <c r="E1978" s="15" t="inlineStr">
        <is>
          <t>DRHP</t>
        </is>
      </c>
      <c r="F1978" s="15" t="inlineStr">
        <is>
          <t>Cambridge Technology Enterprises Limited</t>
        </is>
      </c>
      <c r="G1978" s="15" t="inlineStr">
        <is>
          <t>IPO launched</t>
        </is>
      </c>
      <c r="H1978" s="15" t="inlineStr">
        <is>
          <t>Mainboard</t>
        </is>
      </c>
      <c r="I1978" s="16" t="n">
        <v>39080</v>
      </c>
      <c r="J1978" s="16" t="n">
        <v>39091</v>
      </c>
      <c r="K1978" s="16" t="n">
        <v>39120</v>
      </c>
      <c r="L1978" s="17" t="n">
        <v>24</v>
      </c>
      <c r="M1978" s="17" t="n">
        <v>24</v>
      </c>
      <c r="N1978" s="17" t="n">
        <v>0</v>
      </c>
      <c r="O1978" s="15" t="inlineStr">
        <is>
          <t>Final issue (ipoplatform)</t>
        </is>
      </c>
      <c r="P1978" s="15" t="n"/>
      <c r="Q1978" s="18" t="inlineStr">
        <is>
          <t>https://www.sebi.gov.in/sebi_data/attachdocs/1292219185915.pdf</t>
        </is>
      </c>
      <c r="R1978" s="18" t="inlineStr">
        <is>
          <t>https://www.sebi.gov.in/filings/public-issues/jun-2006/cambridge-technology-enterprises-limited_10069.html</t>
        </is>
      </c>
      <c r="S1978" s="15" t="n"/>
      <c r="T1978" s="15" t="inlineStr">
        <is>
          <t>SEBI filing link</t>
        </is>
      </c>
      <c r="U1978" s="15" t="inlineStr">
        <is>
          <t>Cambridge Technology Enterprises Limited</t>
        </is>
      </c>
      <c r="V1978" s="15" t="n"/>
      <c r="W1978" s="15" t="n"/>
      <c r="X1978" s="15" t="n"/>
      <c r="Y1978" s="15" t="n"/>
      <c r="Z1978" s="15" t="n"/>
      <c r="AA1978" s="15" t="n"/>
      <c r="AB1978" s="15" t="n"/>
    </row>
    <row r="1979" ht="15" customHeight="1" s="12">
      <c r="A1979" s="14" t="n">
        <v>1978</v>
      </c>
      <c r="B1979" s="16" t="n">
        <v>38870</v>
      </c>
      <c r="C1979" s="15" t="n">
        <v>2006</v>
      </c>
      <c r="D1979" s="15" t="inlineStr">
        <is>
          <t>Evinix Accessories Limited</t>
        </is>
      </c>
      <c r="E1979" s="15" t="inlineStr">
        <is>
          <t>DRHP</t>
        </is>
      </c>
      <c r="F1979" s="15" t="inlineStr">
        <is>
          <t>Evinix Accessories Limited -PDF</t>
        </is>
      </c>
      <c r="G1979" s="15" t="inlineStr">
        <is>
          <t>No launched IPO found</t>
        </is>
      </c>
      <c r="H1979" s="15" t="n"/>
      <c r="I1979" s="16" t="n"/>
      <c r="J1979" s="16" t="n"/>
      <c r="K1979" s="16" t="n"/>
      <c r="L1979" s="17" t="n"/>
      <c r="M1979" s="17" t="n"/>
      <c r="N1979" s="17" t="n"/>
      <c r="O1979" s="15" t="n"/>
      <c r="P1979" s="15" t="n"/>
      <c r="Q1979" s="18" t="inlineStr">
        <is>
          <t>https://www.sebi.gov.in/sebi_data/attachdocs/1292218213210.pdf</t>
        </is>
      </c>
      <c r="R1979" s="18" t="inlineStr">
        <is>
          <t>https://www.sebi.gov.in/filings/public-issues/jun-2006/evinix-accessories-limited-pdf_10054.html</t>
        </is>
      </c>
      <c r="S1979" s="15" t="n"/>
      <c r="T1979" s="15" t="n"/>
      <c r="U1979" s="15" t="n"/>
      <c r="V1979" s="15" t="n"/>
      <c r="W1979" s="19" t="n">
        <v>39125</v>
      </c>
      <c r="X1979" s="19" t="n">
        <v>39128</v>
      </c>
      <c r="Y1979" s="19" t="n"/>
      <c r="Z1979" s="20" t="inlineStr">
        <is>
          <t>Issue opened</t>
        </is>
      </c>
      <c r="AA1979" s="15" t="inlineStr">
        <is>
          <t>Matched on chittorgarh.com</t>
        </is>
      </c>
      <c r="AB1979" s="18" t="inlineStr">
        <is>
          <t>https://www.chittorgarh.com/ipo/evinix_ipo/58/</t>
        </is>
      </c>
    </row>
    <row r="1980" ht="15" customHeight="1" s="12">
      <c r="A1980" s="14" t="n">
        <v>1979</v>
      </c>
      <c r="B1980" s="16" t="n">
        <v>38869</v>
      </c>
      <c r="C1980" s="15" t="n">
        <v>2006</v>
      </c>
      <c r="D1980" s="15" t="inlineStr">
        <is>
          <t>Ammana Bio-Pharma Limited</t>
        </is>
      </c>
      <c r="E1980" s="15" t="inlineStr">
        <is>
          <t>DRHP</t>
        </is>
      </c>
      <c r="F1980" s="15" t="inlineStr">
        <is>
          <t>Ammana Bio-Pharma Limited</t>
        </is>
      </c>
      <c r="G1980" s="15" t="inlineStr">
        <is>
          <t>No launched IPO found</t>
        </is>
      </c>
      <c r="H1980" s="15" t="n"/>
      <c r="I1980" s="16" t="n"/>
      <c r="J1980" s="16" t="n"/>
      <c r="K1980" s="16" t="n"/>
      <c r="L1980" s="17" t="n"/>
      <c r="M1980" s="17" t="n"/>
      <c r="N1980" s="17" t="n"/>
      <c r="O1980" s="15" t="n"/>
      <c r="P1980" s="15" t="n"/>
      <c r="Q1980" s="18" t="inlineStr">
        <is>
          <t>https://www.sebi.gov.in/sebi_data/attachdocs/1292218037337.pdf</t>
        </is>
      </c>
      <c r="R1980" s="18" t="inlineStr">
        <is>
          <t>https://www.sebi.gov.in/filings/public-issues/jun-2006/ammana-bio-pharma-limited_10051.html</t>
        </is>
      </c>
      <c r="S1980" s="15" t="n"/>
      <c r="T1980" s="15" t="n"/>
      <c r="U1980" s="15" t="n"/>
      <c r="V1980" s="15" t="n"/>
      <c r="W1980" s="19" t="n">
        <v>39169</v>
      </c>
      <c r="X1980" s="19" t="n">
        <v>39177</v>
      </c>
      <c r="Y1980" s="19" t="n"/>
      <c r="Z1980" s="20" t="inlineStr">
        <is>
          <t>Issue opened</t>
        </is>
      </c>
      <c r="AA1980" s="15" t="inlineStr">
        <is>
          <t>Book-built IPO price band 12-14; listing date not announced on source; possibly never listed.</t>
        </is>
      </c>
      <c r="AB1980" s="18" t="inlineStr">
        <is>
          <t>https://www.chittorgarh.com/ipo/ammana_bio_ipo/74/</t>
        </is>
      </c>
    </row>
    <row r="1981" ht="15" customHeight="1" s="12">
      <c r="A1981" s="14" t="n">
        <v>1980</v>
      </c>
      <c r="B1981" s="16" t="n">
        <v>38868</v>
      </c>
      <c r="C1981" s="15" t="n">
        <v>2006</v>
      </c>
      <c r="D1981" s="15" t="inlineStr">
        <is>
          <t>Info Edge (India) Limited</t>
        </is>
      </c>
      <c r="E1981" s="15" t="inlineStr">
        <is>
          <t>DRHP</t>
        </is>
      </c>
      <c r="F1981" s="15" t="inlineStr">
        <is>
          <t>Info Edge (India) Limited</t>
        </is>
      </c>
      <c r="G1981" s="15" t="inlineStr">
        <is>
          <t>IPO launched</t>
        </is>
      </c>
      <c r="H1981" s="15" t="inlineStr">
        <is>
          <t>Mainboard</t>
        </is>
      </c>
      <c r="I1981" s="16" t="n">
        <v>39020</v>
      </c>
      <c r="J1981" s="16" t="n">
        <v>39023</v>
      </c>
      <c r="K1981" s="16" t="n">
        <v>39042</v>
      </c>
      <c r="L1981" s="17" t="n">
        <v>170.36</v>
      </c>
      <c r="M1981" s="17" t="n">
        <v>170.36</v>
      </c>
      <c r="N1981" s="17" t="n">
        <v>0</v>
      </c>
      <c r="O1981" s="15" t="inlineStr">
        <is>
          <t>Final issue (ipoplatform)</t>
        </is>
      </c>
      <c r="P1981" s="15" t="n"/>
      <c r="Q1981" s="18" t="inlineStr">
        <is>
          <t>https://www.sebi.gov.in/sebi_data/attachdocs/1292211165378.pdf</t>
        </is>
      </c>
      <c r="R1981" s="18" t="inlineStr">
        <is>
          <t>https://www.sebi.gov.in/filings/public-issues/may-2006/info-edge-india-limited_10000.html</t>
        </is>
      </c>
      <c r="S1981" s="15" t="n"/>
      <c r="T1981" s="15" t="inlineStr">
        <is>
          <t>SEBI filing link</t>
        </is>
      </c>
      <c r="U1981" s="15" t="inlineStr">
        <is>
          <t>Info Edge India Limited (Naukri.com)</t>
        </is>
      </c>
      <c r="V1981" s="15" t="n"/>
      <c r="W1981" s="15" t="n"/>
      <c r="X1981" s="15" t="n"/>
      <c r="Y1981" s="15" t="n"/>
      <c r="Z1981" s="15" t="n"/>
      <c r="AA1981" s="15" t="n"/>
      <c r="AB1981" s="15" t="n"/>
    </row>
    <row r="1982" ht="15" customHeight="1" s="12">
      <c r="A1982" s="14" t="n">
        <v>1981</v>
      </c>
      <c r="B1982" s="16" t="n">
        <v>38863</v>
      </c>
      <c r="C1982" s="15" t="n">
        <v>2006</v>
      </c>
      <c r="D1982" s="15" t="inlineStr">
        <is>
          <t>Broadcast Initiatives Limited</t>
        </is>
      </c>
      <c r="E1982" s="15" t="inlineStr">
        <is>
          <t>DRHP</t>
        </is>
      </c>
      <c r="F1982" s="15" t="inlineStr">
        <is>
          <t>Broadcast Initiatives Limited</t>
        </is>
      </c>
      <c r="G1982" s="15" t="inlineStr">
        <is>
          <t>No launched IPO found</t>
        </is>
      </c>
      <c r="H1982" s="15" t="n"/>
      <c r="I1982" s="16" t="n"/>
      <c r="J1982" s="16" t="n"/>
      <c r="K1982" s="16" t="n"/>
      <c r="L1982" s="17" t="n"/>
      <c r="M1982" s="17" t="n"/>
      <c r="N1982" s="17" t="n"/>
      <c r="O1982" s="15" t="n"/>
      <c r="P1982" s="15" t="n"/>
      <c r="Q1982" s="18" t="inlineStr">
        <is>
          <t>https://www.sebi.gov.in/sebi_data/attachdocs/1292211061471.pdf</t>
        </is>
      </c>
      <c r="R1982" s="18" t="inlineStr">
        <is>
          <t>https://www.sebi.gov.in/filings/public-issues/may-2006/broadcast-initiatives-limited_9999.html</t>
        </is>
      </c>
      <c r="S1982" s="15" t="n"/>
      <c r="T1982" s="15" t="n"/>
      <c r="U1982" s="15" t="n"/>
      <c r="V1982" s="15" t="n"/>
      <c r="W1982" s="19" t="n">
        <v>39122</v>
      </c>
      <c r="X1982" s="19" t="n">
        <v>39127</v>
      </c>
      <c r="Y1982" s="19" t="n"/>
      <c r="Z1982" s="20" t="inlineStr">
        <is>
          <t>Issue opened</t>
        </is>
      </c>
      <c r="AA1982" s="15" t="inlineStr">
        <is>
          <t>Matched on chittorgarh.com</t>
        </is>
      </c>
      <c r="AB1982" s="18" t="inlineStr">
        <is>
          <t>https://www.chittorgarh.com/ipo/broadcast_initiatives_ipo/61/</t>
        </is>
      </c>
    </row>
    <row r="1983" ht="15" customHeight="1" s="12">
      <c r="A1983" s="14" t="n">
        <v>1982</v>
      </c>
      <c r="B1983" s="16" t="n">
        <v>38862</v>
      </c>
      <c r="C1983" s="15" t="n">
        <v>2006</v>
      </c>
      <c r="D1983" s="15" t="inlineStr">
        <is>
          <t>Ahluwalia Contracts (India) Limited</t>
        </is>
      </c>
      <c r="E1983" s="15" t="inlineStr">
        <is>
          <t>DRHP</t>
        </is>
      </c>
      <c r="F1983" s="15" t="inlineStr">
        <is>
          <t>Ahluwalia Contracts (India) Limited</t>
        </is>
      </c>
      <c r="G1983" s="15" t="inlineStr">
        <is>
          <t>No launched IPO found</t>
        </is>
      </c>
      <c r="H1983" s="15" t="n"/>
      <c r="I1983" s="16" t="n"/>
      <c r="J1983" s="16" t="n"/>
      <c r="K1983" s="16" t="n"/>
      <c r="L1983" s="17" t="n"/>
      <c r="M1983" s="17" t="n"/>
      <c r="N1983" s="17" t="n"/>
      <c r="O1983" s="15" t="n"/>
      <c r="P1983" s="15" t="n"/>
      <c r="Q1983" s="18" t="inlineStr">
        <is>
          <t>https://www.sebi.gov.in/sebi_data/attachdocs/1292210825039.pdf</t>
        </is>
      </c>
      <c r="R1983" s="18" t="inlineStr">
        <is>
          <t>https://www.sebi.gov.in/filings/public-issues/may-2006/ahluwalia-contracts-india-limited_9998.html</t>
        </is>
      </c>
      <c r="S1983" s="15" t="n"/>
      <c r="T1983" s="15" t="n"/>
      <c r="U1983" s="15" t="n"/>
      <c r="V1983" s="15" t="n"/>
      <c r="W1983" s="16" t="n"/>
      <c r="X1983" s="16" t="n"/>
      <c r="Y1983" s="16" t="n"/>
      <c r="Z1983" s="15" t="inlineStr">
        <is>
          <t>No issue found</t>
        </is>
      </c>
      <c r="AA1983" s="15" t="inlineStr">
        <is>
          <t>Business Standard lists the company but shows no issue dates; web search limit reached</t>
        </is>
      </c>
      <c r="AB1983" s="18" t="inlineStr">
        <is>
          <t>https://www.business-standard.com/markets/ipo/ahluwalia-contracts-india-ltd-ipo-7310</t>
        </is>
      </c>
    </row>
    <row r="1984" ht="15" customHeight="1" s="12">
      <c r="A1984" s="14" t="n">
        <v>1983</v>
      </c>
      <c r="B1984" s="16" t="n">
        <v>38861</v>
      </c>
      <c r="C1984" s="15" t="n">
        <v>2006</v>
      </c>
      <c r="D1984" s="15" t="inlineStr">
        <is>
          <t>Global Vectra Helicorp Limited</t>
        </is>
      </c>
      <c r="E1984" s="15" t="inlineStr">
        <is>
          <t>DRHP</t>
        </is>
      </c>
      <c r="F1984" s="15" t="inlineStr">
        <is>
          <t>Global Vectra Helicorp Limited</t>
        </is>
      </c>
      <c r="G1984" s="15" t="inlineStr">
        <is>
          <t>IPO launched</t>
        </is>
      </c>
      <c r="H1984" s="15" t="inlineStr">
        <is>
          <t>Mainboard</t>
        </is>
      </c>
      <c r="I1984" s="16" t="n">
        <v>38989</v>
      </c>
      <c r="J1984" s="16" t="n">
        <v>38996</v>
      </c>
      <c r="K1984" s="16" t="n">
        <v>39017</v>
      </c>
      <c r="L1984" s="17" t="n">
        <v>64.75</v>
      </c>
      <c r="M1984" s="17" t="n">
        <v>64.75</v>
      </c>
      <c r="N1984" s="17" t="n">
        <v>0</v>
      </c>
      <c r="O1984" s="15" t="inlineStr">
        <is>
          <t>Final issue (ipoplatform)</t>
        </is>
      </c>
      <c r="P1984" s="15" t="n"/>
      <c r="Q1984" s="18" t="inlineStr">
        <is>
          <t>https://www.sebi.gov.in/sebi_data/attachdocs/1292210631649.pdf</t>
        </is>
      </c>
      <c r="R1984" s="18" t="inlineStr">
        <is>
          <t>https://www.sebi.gov.in/filings/public-issues/may-2006/global-vectra-helicorp-limited_9997.html</t>
        </is>
      </c>
      <c r="S1984" s="15" t="n"/>
      <c r="T1984" s="15" t="inlineStr">
        <is>
          <t>SEBI filing link</t>
        </is>
      </c>
      <c r="U1984" s="15" t="inlineStr">
        <is>
          <t>Global Vectra Helicorp Limited</t>
        </is>
      </c>
      <c r="V1984" s="15" t="n"/>
      <c r="W1984" s="15" t="n"/>
      <c r="X1984" s="15" t="n"/>
      <c r="Y1984" s="15" t="n"/>
      <c r="Z1984" s="15" t="n"/>
      <c r="AA1984" s="15" t="n"/>
      <c r="AB1984" s="15" t="n"/>
    </row>
    <row r="1985" ht="15" customHeight="1" s="12">
      <c r="A1985" s="14" t="n">
        <v>1984</v>
      </c>
      <c r="B1985" s="16" t="n">
        <v>38861</v>
      </c>
      <c r="C1985" s="15" t="n">
        <v>2006</v>
      </c>
      <c r="D1985" s="15" t="inlineStr">
        <is>
          <t>Tubeknit Fashions Limited</t>
        </is>
      </c>
      <c r="E1985" s="15" t="inlineStr">
        <is>
          <t>DRHP</t>
        </is>
      </c>
      <c r="F1985" s="15" t="inlineStr">
        <is>
          <t>Tubeknit Fashions Limited</t>
        </is>
      </c>
      <c r="G1985" s="15" t="inlineStr">
        <is>
          <t>No launched IPO found</t>
        </is>
      </c>
      <c r="H1985" s="15" t="n"/>
      <c r="I1985" s="16" t="n"/>
      <c r="J1985" s="16" t="n"/>
      <c r="K1985" s="16" t="n"/>
      <c r="L1985" s="17" t="n"/>
      <c r="M1985" s="17" t="n"/>
      <c r="N1985" s="17" t="n"/>
      <c r="O1985" s="15" t="n"/>
      <c r="P1985" s="15" t="n"/>
      <c r="Q1985" s="18" t="inlineStr">
        <is>
          <t>https://www.sebi.gov.in/sebi_data/attachdocs/1292210558656.pdf</t>
        </is>
      </c>
      <c r="R1985" s="18" t="inlineStr">
        <is>
          <t>https://www.sebi.gov.in/filings/public-issues/may-2006/tubeknit-fashions-limited_9996.html</t>
        </is>
      </c>
      <c r="S1985" s="15" t="n"/>
      <c r="T1985" s="15" t="n"/>
      <c r="U1985" s="15" t="n"/>
      <c r="V1985" s="15" t="n"/>
      <c r="W1985" s="19" t="n">
        <v>39134</v>
      </c>
      <c r="X1985" s="19" t="n">
        <v>39143</v>
      </c>
      <c r="Y1985" s="19" t="n"/>
      <c r="Z1985" s="20" t="inlineStr">
        <is>
          <t>Issue opened</t>
        </is>
      </c>
      <c r="AA1985" s="15" t="inlineStr">
        <is>
          <t>Chittorgarh; listing date not shown on page.</t>
        </is>
      </c>
      <c r="AB1985" s="18" t="inlineStr">
        <is>
          <t>https://www.chittorgarh.com/ipo/x/67/</t>
        </is>
      </c>
    </row>
    <row r="1986" ht="15" customHeight="1" s="12">
      <c r="A1986" s="14" t="n">
        <v>1985</v>
      </c>
      <c r="B1986" s="16" t="n">
        <v>38860</v>
      </c>
      <c r="C1986" s="15" t="n">
        <v>2006</v>
      </c>
      <c r="D1986" s="15" t="inlineStr">
        <is>
          <t>Indo Asia Leisure Services Limited</t>
        </is>
      </c>
      <c r="E1986" s="15" t="inlineStr">
        <is>
          <t>DRHP</t>
        </is>
      </c>
      <c r="F1986" s="15" t="inlineStr">
        <is>
          <t>Indo Asia Leisure Services Limited</t>
        </is>
      </c>
      <c r="G1986" s="15" t="inlineStr">
        <is>
          <t>No launched IPO found</t>
        </is>
      </c>
      <c r="H1986" s="15" t="n"/>
      <c r="I1986" s="16" t="n"/>
      <c r="J1986" s="16" t="n"/>
      <c r="K1986" s="16" t="n"/>
      <c r="L1986" s="17" t="n"/>
      <c r="M1986" s="17" t="n"/>
      <c r="N1986" s="17" t="n"/>
      <c r="O1986" s="15" t="n"/>
      <c r="P1986" s="15" t="n"/>
      <c r="Q1986" s="18" t="inlineStr">
        <is>
          <t>https://www.sebi.gov.in/sebi_data/attachdocs/1292210488890.pdf</t>
        </is>
      </c>
      <c r="R1986" s="18" t="inlineStr">
        <is>
          <t>https://www.sebi.gov.in/filings/public-issues/may-2006/indo-asia-leisure-services-limited_9995.html</t>
        </is>
      </c>
      <c r="S1986" s="15" t="n"/>
      <c r="T1986" s="15" t="n"/>
      <c r="U1986" s="15" t="n"/>
      <c r="V1986" s="15" t="n"/>
      <c r="W1986" s="16" t="n"/>
      <c r="X1986" s="16" t="n"/>
      <c r="Y1986" s="16" t="n"/>
      <c r="Z1986" s="15" t="inlineStr">
        <is>
          <t>No issue found</t>
        </is>
      </c>
      <c r="AA1986" s="15" t="inlineStr">
        <is>
          <t>Search found only an unlisted private company; no IPO found.</t>
        </is>
      </c>
      <c r="AB1986" s="18" t="inlineStr">
        <is>
          <t>https://www.zaubacorp.com/INDO-ASIA-LEISURE-SERVICES-PRIVATE-LIMITED-U63040DL1988PTC031449</t>
        </is>
      </c>
    </row>
    <row r="1987" ht="15" customHeight="1" s="12">
      <c r="A1987" s="14" t="n">
        <v>1986</v>
      </c>
      <c r="B1987" s="16" t="n">
        <v>38854</v>
      </c>
      <c r="C1987" s="15" t="n">
        <v>2006</v>
      </c>
      <c r="D1987" s="15" t="inlineStr">
        <is>
          <t>Miniar International Limited</t>
        </is>
      </c>
      <c r="E1987" s="15" t="inlineStr">
        <is>
          <t>DRHP</t>
        </is>
      </c>
      <c r="F1987" s="15" t="inlineStr">
        <is>
          <t>Miniar International Limited</t>
        </is>
      </c>
      <c r="G1987" s="15" t="inlineStr">
        <is>
          <t>No launched IPO found</t>
        </is>
      </c>
      <c r="H1987" s="15" t="n"/>
      <c r="I1987" s="16" t="n"/>
      <c r="J1987" s="16" t="n"/>
      <c r="K1987" s="16" t="n"/>
      <c r="L1987" s="17" t="n"/>
      <c r="M1987" s="17" t="n"/>
      <c r="N1987" s="17" t="n"/>
      <c r="O1987" s="15" t="n"/>
      <c r="P1987" s="15" t="n"/>
      <c r="Q1987" s="18" t="inlineStr">
        <is>
          <t>https://www.sebi.gov.in/sebi_data/attachdocs/1292210291709.pdf</t>
        </is>
      </c>
      <c r="R1987" s="18" t="inlineStr">
        <is>
          <t>https://www.sebi.gov.in/filings/public-issues/may-2006/miniar-international-limited_9994.html</t>
        </is>
      </c>
      <c r="S1987" s="15" t="n"/>
      <c r="T1987" s="15" t="n"/>
      <c r="U1987" s="15" t="n"/>
      <c r="V1987" s="15" t="n"/>
      <c r="W1987" s="19" t="n">
        <v>38985</v>
      </c>
      <c r="X1987" s="19" t="n">
        <v>38989</v>
      </c>
      <c r="Y1987" s="19" t="n"/>
      <c r="Z1987" s="20" t="inlineStr">
        <is>
          <t>Issue opened</t>
        </is>
      </c>
      <c r="AA1987" s="15" t="inlineStr">
        <is>
          <t>IPO as Minar International (SEBI spells it Miniar); chittorgarh lists it; listing not confirmed</t>
        </is>
      </c>
      <c r="AB1987" s="18" t="inlineStr">
        <is>
          <t>https://www.chittorgarh.com/ipo/minar_ipo/12/</t>
        </is>
      </c>
    </row>
    <row r="1988" ht="15" customHeight="1" s="12">
      <c r="A1988" s="14" t="n">
        <v>1987</v>
      </c>
      <c r="B1988" s="16" t="n">
        <v>38852</v>
      </c>
      <c r="C1988" s="15" t="n">
        <v>2006</v>
      </c>
      <c r="D1988" s="15" t="inlineStr">
        <is>
          <t>DLF Universal Limited</t>
        </is>
      </c>
      <c r="E1988" s="15" t="inlineStr">
        <is>
          <t>DRHP</t>
        </is>
      </c>
      <c r="F1988" s="15" t="inlineStr">
        <is>
          <t>DLF Universal Limited</t>
        </is>
      </c>
      <c r="G1988" s="15" t="inlineStr">
        <is>
          <t>No launched IPO found</t>
        </is>
      </c>
      <c r="H1988" s="15" t="n"/>
      <c r="I1988" s="16" t="n"/>
      <c r="J1988" s="16" t="n"/>
      <c r="K1988" s="16" t="n"/>
      <c r="L1988" s="17" t="n"/>
      <c r="M1988" s="17" t="n"/>
      <c r="N1988" s="17" t="n"/>
      <c r="O1988" s="15" t="n"/>
      <c r="P1988" s="15" t="n"/>
      <c r="Q1988" s="18" t="inlineStr">
        <is>
          <t>https://www.sebi.gov.in/sebi_data/attachdocs/1292067710662.pdf</t>
        </is>
      </c>
      <c r="R1988" s="18" t="inlineStr">
        <is>
          <t>https://www.sebi.gov.in/filings/public-issues/may-2006/dlf-universal-limited_9993.html</t>
        </is>
      </c>
      <c r="S1988" s="15" t="n"/>
      <c r="T1988" s="15" t="n"/>
      <c r="U1988" s="15" t="n"/>
      <c r="V1988" s="15" t="n"/>
      <c r="W1988" s="19" t="n">
        <v>39244</v>
      </c>
      <c r="X1988" s="19" t="n">
        <v>39247</v>
      </c>
      <c r="Y1988" s="19" t="n">
        <v>39268</v>
      </c>
      <c r="Z1988" s="20" t="inlineStr">
        <is>
          <t>Issue opened</t>
        </is>
      </c>
      <c r="AA1988" s="15" t="inlineStr">
        <is>
          <t>IPO as DLF Limited; Rs9,187.5cr @Rs525</t>
        </is>
      </c>
      <c r="AB1988" s="18" t="inlineStr">
        <is>
          <t>https://www.chittorgarh.com/ipo/dlf_ipo/86/</t>
        </is>
      </c>
    </row>
    <row r="1989" ht="15" customHeight="1" s="12">
      <c r="A1989" s="14" t="n">
        <v>1988</v>
      </c>
      <c r="B1989" s="16" t="n">
        <v>38849</v>
      </c>
      <c r="C1989" s="15" t="n">
        <v>2006</v>
      </c>
      <c r="D1989" s="15" t="inlineStr">
        <is>
          <t>Aviva Industries Limited</t>
        </is>
      </c>
      <c r="E1989" s="15" t="inlineStr">
        <is>
          <t>DRHP</t>
        </is>
      </c>
      <c r="F1989" s="15" t="inlineStr">
        <is>
          <t>Aviva Industries Limited</t>
        </is>
      </c>
      <c r="G1989" s="15" t="inlineStr">
        <is>
          <t>No launched IPO found</t>
        </is>
      </c>
      <c r="H1989" s="15" t="n"/>
      <c r="I1989" s="16" t="n"/>
      <c r="J1989" s="16" t="n"/>
      <c r="K1989" s="16" t="n"/>
      <c r="L1989" s="17" t="n"/>
      <c r="M1989" s="17" t="n"/>
      <c r="N1989" s="17" t="n"/>
      <c r="O1989" s="15" t="n"/>
      <c r="P1989" s="15" t="n"/>
      <c r="Q1989" s="18" t="inlineStr">
        <is>
          <t>https://www.sebi.gov.in/sebi_data/attachdocs/1292067193511.pdf</t>
        </is>
      </c>
      <c r="R1989" s="18" t="inlineStr">
        <is>
          <t>https://www.sebi.gov.in/filings/public-issues/may-2006/aviva-industries-limited_9990.html</t>
        </is>
      </c>
      <c r="S1989" s="15" t="n"/>
      <c r="T1989" s="15" t="n"/>
      <c r="U1989" s="15" t="n"/>
      <c r="V1989" s="15" t="n"/>
      <c r="W1989" s="16" t="n"/>
      <c r="X1989" s="16" t="n"/>
      <c r="Y1989" s="16" t="n"/>
      <c r="Z1989" s="15" t="inlineStr">
        <is>
          <t>No issue found</t>
        </is>
      </c>
      <c r="AA1989" s="15" t="inlineStr">
        <is>
          <t>Already BSE-listed (ex-Ankush Synthetics); no 2006-09 public/rights issue found</t>
        </is>
      </c>
      <c r="AB1989" s="18" t="inlineStr">
        <is>
          <t>https://www.chittorgarh.com/stockpricequote/aviva_industries_ltd/895/</t>
        </is>
      </c>
    </row>
    <row r="1990" ht="15" customHeight="1" s="12">
      <c r="A1990" s="14" t="n">
        <v>1989</v>
      </c>
      <c r="B1990" s="16" t="n">
        <v>38849</v>
      </c>
      <c r="C1990" s="15" t="n">
        <v>2006</v>
      </c>
      <c r="D1990" s="15" t="inlineStr">
        <is>
          <t>XL Telecom Limited</t>
        </is>
      </c>
      <c r="E1990" s="15" t="inlineStr">
        <is>
          <t>DRHP</t>
        </is>
      </c>
      <c r="F1990" s="15" t="inlineStr">
        <is>
          <t>XL Telecom Limited</t>
        </is>
      </c>
      <c r="G1990" s="15" t="inlineStr">
        <is>
          <t>IPO launched</t>
        </is>
      </c>
      <c r="H1990" s="15" t="inlineStr">
        <is>
          <t>Mainboard</t>
        </is>
      </c>
      <c r="I1990" s="16" t="n">
        <v>39055</v>
      </c>
      <c r="J1990" s="16" t="n">
        <v>39058</v>
      </c>
      <c r="K1990" s="16" t="n">
        <v>39079</v>
      </c>
      <c r="L1990" s="17" t="n">
        <v>59.35</v>
      </c>
      <c r="M1990" s="17" t="n">
        <v>59.35</v>
      </c>
      <c r="N1990" s="17" t="n">
        <v>0</v>
      </c>
      <c r="O1990" s="15" t="inlineStr">
        <is>
          <t>Final issue (ipoplatform)</t>
        </is>
      </c>
      <c r="P1990" s="15" t="n"/>
      <c r="Q1990" s="18" t="inlineStr">
        <is>
          <t>https://www.sebi.gov.in/sebi_data/attachdocs/1292067272510.pdf</t>
        </is>
      </c>
      <c r="R1990" s="18" t="inlineStr">
        <is>
          <t>https://www.sebi.gov.in/filings/public-issues/may-2006/xl-telecom-limited_9991.html</t>
        </is>
      </c>
      <c r="S1990" s="15" t="n"/>
      <c r="T1990" s="15" t="inlineStr">
        <is>
          <t>SEBI filing link</t>
        </is>
      </c>
      <c r="U1990" s="15" t="inlineStr">
        <is>
          <t>XL Telecom Limited</t>
        </is>
      </c>
      <c r="V1990" s="15" t="n"/>
      <c r="W1990" s="15" t="n"/>
      <c r="X1990" s="15" t="n"/>
      <c r="Y1990" s="15" t="n"/>
      <c r="Z1990" s="15" t="n"/>
      <c r="AA1990" s="15" t="n"/>
      <c r="AB1990" s="15" t="n"/>
    </row>
    <row r="1991" ht="15" customHeight="1" s="12">
      <c r="A1991" s="14" t="n">
        <v>1990</v>
      </c>
      <c r="B1991" s="16" t="n">
        <v>38849</v>
      </c>
      <c r="C1991" s="15" t="n">
        <v>2006</v>
      </c>
      <c r="D1991" s="15" t="inlineStr">
        <is>
          <t>Zenith Birla India Limited</t>
        </is>
      </c>
      <c r="E1991" s="15" t="inlineStr">
        <is>
          <t>DRHP</t>
        </is>
      </c>
      <c r="F1991" s="15" t="inlineStr">
        <is>
          <t>Zenith Birla India Limited</t>
        </is>
      </c>
      <c r="G1991" s="15" t="inlineStr">
        <is>
          <t>IPO launched</t>
        </is>
      </c>
      <c r="H1991" s="15" t="inlineStr">
        <is>
          <t>Mainboard</t>
        </is>
      </c>
      <c r="I1991" s="16" t="n">
        <v>39006</v>
      </c>
      <c r="J1991" s="16" t="n">
        <v>39010</v>
      </c>
      <c r="K1991" s="16" t="n">
        <v>39041</v>
      </c>
      <c r="L1991" s="17" t="n">
        <v>131</v>
      </c>
      <c r="M1991" s="17" t="n">
        <v>131</v>
      </c>
      <c r="N1991" s="17" t="n">
        <v>0</v>
      </c>
      <c r="O1991" s="15" t="inlineStr">
        <is>
          <t>Final issue (ipoplatform)</t>
        </is>
      </c>
      <c r="P1991" s="15" t="n"/>
      <c r="Q1991" s="18" t="inlineStr">
        <is>
          <t>https://www.sebi.gov.in/sebi_data/attachdocs/1292067560603.pdf</t>
        </is>
      </c>
      <c r="R1991" s="18" t="inlineStr">
        <is>
          <t>https://www.sebi.gov.in/filings/public-issues/may-2006/zenith-birla-india-limited_9992.html</t>
        </is>
      </c>
      <c r="S1991" s="15" t="n"/>
      <c r="T1991" s="15" t="inlineStr">
        <is>
          <t>SEBI filing link</t>
        </is>
      </c>
      <c r="U1991" s="15" t="inlineStr">
        <is>
          <t>Zenith Birla (India) Limited</t>
        </is>
      </c>
      <c r="V1991" s="15" t="n"/>
      <c r="W1991" s="15" t="n"/>
      <c r="X1991" s="15" t="n"/>
      <c r="Y1991" s="15" t="n"/>
      <c r="Z1991" s="15" t="n"/>
      <c r="AA1991" s="15" t="n"/>
      <c r="AB1991" s="15" t="n"/>
    </row>
    <row r="1992" ht="15" customHeight="1" s="12">
      <c r="A1992" s="14" t="n">
        <v>1991</v>
      </c>
      <c r="B1992" s="16" t="n">
        <v>38846</v>
      </c>
      <c r="C1992" s="15" t="n">
        <v>2006</v>
      </c>
      <c r="D1992" s="15" t="inlineStr">
        <is>
          <t>Malwa Industries Limited</t>
        </is>
      </c>
      <c r="E1992" s="15" t="inlineStr">
        <is>
          <t>DRHP</t>
        </is>
      </c>
      <c r="F1992" s="15" t="inlineStr">
        <is>
          <t>Malwa Industries Limited</t>
        </is>
      </c>
      <c r="G1992" s="15" t="inlineStr">
        <is>
          <t>No launched IPO found</t>
        </is>
      </c>
      <c r="H1992" s="15" t="n"/>
      <c r="I1992" s="16" t="n"/>
      <c r="J1992" s="16" t="n"/>
      <c r="K1992" s="16" t="n"/>
      <c r="L1992" s="17" t="n"/>
      <c r="M1992" s="17" t="n"/>
      <c r="N1992" s="17" t="n"/>
      <c r="O1992" s="15" t="n"/>
      <c r="P1992" s="15" t="n"/>
      <c r="Q1992" s="18" t="inlineStr">
        <is>
          <t>https://www.sebi.gov.in/sebi_data/attachdocs/1292066877621.pdf</t>
        </is>
      </c>
      <c r="R1992" s="18" t="inlineStr">
        <is>
          <t>https://www.sebi.gov.in/filings/public-issues/may-2006/malwa-industries-limited_9989.html</t>
        </is>
      </c>
      <c r="S1992" s="15" t="n"/>
      <c r="T1992" s="15" t="n"/>
      <c r="U1992" s="15" t="n"/>
      <c r="V1992" s="15" t="n"/>
      <c r="W1992" s="16" t="n"/>
      <c r="X1992" s="16" t="n"/>
      <c r="Y1992" s="16" t="n"/>
      <c r="Z1992" s="15" t="inlineStr">
        <is>
          <t>No issue found</t>
        </is>
      </c>
      <c r="AA1992" s="15" t="inlineStr">
        <is>
          <t>Business Standard lists the company but shows no issue dates; web search limit reached</t>
        </is>
      </c>
      <c r="AB1992" s="18" t="inlineStr">
        <is>
          <t>https://www.business-standard.com/markets/ipo/malwa-industries-ltd-ipo-22922</t>
        </is>
      </c>
    </row>
    <row r="1993" ht="15" customHeight="1" s="12">
      <c r="A1993" s="14" t="n">
        <v>1992</v>
      </c>
      <c r="B1993" s="16" t="n">
        <v>38845</v>
      </c>
      <c r="C1993" s="15" t="n">
        <v>2006</v>
      </c>
      <c r="D1993" s="15" t="inlineStr">
        <is>
          <t>Shree Ashtavinayak Cine Vision Limited</t>
        </is>
      </c>
      <c r="E1993" s="15" t="inlineStr">
        <is>
          <t>DRHP</t>
        </is>
      </c>
      <c r="F1993" s="15" t="inlineStr">
        <is>
          <t>Shree Ashtavinayak Cine Vision Limited</t>
        </is>
      </c>
      <c r="G1993" s="15" t="inlineStr">
        <is>
          <t>No launched IPO found</t>
        </is>
      </c>
      <c r="H1993" s="15" t="n"/>
      <c r="I1993" s="16" t="n"/>
      <c r="J1993" s="16" t="n"/>
      <c r="K1993" s="16" t="n"/>
      <c r="L1993" s="17" t="n"/>
      <c r="M1993" s="17" t="n"/>
      <c r="N1993" s="17" t="n"/>
      <c r="O1993" s="15" t="n"/>
      <c r="P1993" s="15" t="n"/>
      <c r="Q1993" s="18" t="inlineStr">
        <is>
          <t>https://www.sebi.gov.in/sebi_data/attachdocs/1292066709122.pdf</t>
        </is>
      </c>
      <c r="R1993" s="18" t="inlineStr">
        <is>
          <t>https://www.sebi.gov.in/filings/public-issues/may-2006/shree-ashtavinayak-cine-vision-limited_9988.html</t>
        </is>
      </c>
      <c r="S1993" s="15" t="n"/>
      <c r="T1993" s="15" t="n"/>
      <c r="U1993" s="15" t="n"/>
      <c r="V1993" s="15" t="n"/>
      <c r="W1993" s="19" t="n">
        <v>39065</v>
      </c>
      <c r="X1993" s="19" t="n">
        <v>39071</v>
      </c>
      <c r="Y1993" s="19" t="n">
        <v>39092</v>
      </c>
      <c r="Z1993" s="20" t="inlineStr">
        <is>
          <t>Issue opened</t>
        </is>
      </c>
      <c r="AA1993" s="15" t="inlineStr">
        <is>
          <t>Business Standard IPO page</t>
        </is>
      </c>
      <c r="AB1993" s="18" t="inlineStr">
        <is>
          <t>https://www.business-standard.com/markets/ipo/shree-ashtavinayak-cine-vision-ltd-ipo-27347</t>
        </is>
      </c>
    </row>
    <row r="1994" ht="15" customHeight="1" s="12">
      <c r="A1994" s="14" t="n">
        <v>1993</v>
      </c>
      <c r="B1994" s="16" t="n">
        <v>38842</v>
      </c>
      <c r="C1994" s="15" t="n">
        <v>2006</v>
      </c>
      <c r="D1994" s="15" t="inlineStr">
        <is>
          <t>Accel Frontline Limited</t>
        </is>
      </c>
      <c r="E1994" s="15" t="inlineStr">
        <is>
          <t>DRHP</t>
        </is>
      </c>
      <c r="F1994" s="15" t="inlineStr">
        <is>
          <t>Accel Frontline Limited</t>
        </is>
      </c>
      <c r="G1994" s="15" t="inlineStr">
        <is>
          <t>IPO launched</t>
        </is>
      </c>
      <c r="H1994" s="15" t="inlineStr">
        <is>
          <t>Mainboard</t>
        </is>
      </c>
      <c r="I1994" s="16" t="n">
        <v>38988</v>
      </c>
      <c r="J1994" s="16" t="n">
        <v>38995</v>
      </c>
      <c r="K1994" s="16" t="n">
        <v>39020</v>
      </c>
      <c r="L1994" s="17" t="n">
        <v>42.27</v>
      </c>
      <c r="M1994" s="17" t="n">
        <v>42.27</v>
      </c>
      <c r="N1994" s="17" t="n">
        <v>0</v>
      </c>
      <c r="O1994" s="15" t="inlineStr">
        <is>
          <t>Final issue (ipoplatform)</t>
        </is>
      </c>
      <c r="P1994" s="15" t="n"/>
      <c r="Q1994" s="18" t="inlineStr">
        <is>
          <t>https://www.sebi.gov.in/sebi_data/attachdocs/1292063676433.pdf</t>
        </is>
      </c>
      <c r="R1994" s="18" t="inlineStr">
        <is>
          <t>https://www.sebi.gov.in/filings/public-issues/may-2006/accel-frontline-limited_9986.html</t>
        </is>
      </c>
      <c r="S1994" s="15" t="n"/>
      <c r="T1994" s="15" t="inlineStr">
        <is>
          <t>SEBI filing link</t>
        </is>
      </c>
      <c r="U1994" s="15" t="inlineStr">
        <is>
          <t>Accel Frontline Limited</t>
        </is>
      </c>
      <c r="V1994" s="15" t="n"/>
      <c r="W1994" s="15" t="n"/>
      <c r="X1994" s="15" t="n"/>
      <c r="Y1994" s="15" t="n"/>
      <c r="Z1994" s="15" t="n"/>
      <c r="AA1994" s="15" t="n"/>
      <c r="AB1994" s="15" t="n"/>
    </row>
    <row r="1995" ht="15" customHeight="1" s="12">
      <c r="A1995" s="14" t="n">
        <v>1994</v>
      </c>
      <c r="B1995" s="16" t="n">
        <v>38842</v>
      </c>
      <c r="C1995" s="15" t="n">
        <v>2006</v>
      </c>
      <c r="D1995" s="15" t="inlineStr">
        <is>
          <t>GMR Infrastructure Limited</t>
        </is>
      </c>
      <c r="E1995" s="15" t="inlineStr">
        <is>
          <t>DRHP</t>
        </is>
      </c>
      <c r="F1995" s="15" t="inlineStr">
        <is>
          <t>GMR Infrastructure Limited - PDF</t>
        </is>
      </c>
      <c r="G1995" s="15" t="inlineStr">
        <is>
          <t>No launched IPO found</t>
        </is>
      </c>
      <c r="H1995" s="15" t="n"/>
      <c r="I1995" s="16" t="n"/>
      <c r="J1995" s="16" t="n"/>
      <c r="K1995" s="16" t="n"/>
      <c r="L1995" s="17" t="n"/>
      <c r="M1995" s="17" t="n"/>
      <c r="N1995" s="17" t="n"/>
      <c r="O1995" s="15" t="n"/>
      <c r="P1995" s="15" t="n"/>
      <c r="Q1995" s="18" t="inlineStr">
        <is>
          <t>https://www.sebi.gov.in/sebi_data/attachdocs/1292065827354.pdf</t>
        </is>
      </c>
      <c r="R1995" s="18" t="inlineStr">
        <is>
          <t>https://www.sebi.gov.in/filings/public-issues/may-2006/gmr-infrastructure-limited-pdf_9987.html</t>
        </is>
      </c>
      <c r="S1995" s="15" t="n"/>
      <c r="T1995" s="15" t="n"/>
      <c r="U1995" s="15" t="n"/>
      <c r="V1995" s="15" t="n"/>
      <c r="W1995" s="19" t="n">
        <v>38929</v>
      </c>
      <c r="X1995" s="19" t="n">
        <v>38933</v>
      </c>
      <c r="Y1995" s="19" t="n"/>
      <c r="Z1995" s="20" t="inlineStr">
        <is>
          <t>Issue opened</t>
        </is>
      </c>
      <c r="AA1995" s="15" t="inlineStr">
        <is>
          <t>Matched on chittorgarh.com</t>
        </is>
      </c>
      <c r="AB1995" s="18" t="inlineStr">
        <is>
          <t>https://www.chittorgarh.com/ipo/gmr-infrastructure-ipo/2928/</t>
        </is>
      </c>
    </row>
    <row r="1996" ht="15" customHeight="1" s="12">
      <c r="A1996" s="14" t="n">
        <v>1995</v>
      </c>
      <c r="B1996" s="16" t="n">
        <v>38840</v>
      </c>
      <c r="C1996" s="15" t="n">
        <v>2006</v>
      </c>
      <c r="D1996" s="15" t="inlineStr">
        <is>
          <t>Reliance Petroleum Limited</t>
        </is>
      </c>
      <c r="E1996" s="15" t="inlineStr">
        <is>
          <t>Notice</t>
        </is>
      </c>
      <c r="F1996" s="15" t="inlineStr">
        <is>
          <t>Reliance Petroleum Limited - Notice to Investors</t>
        </is>
      </c>
      <c r="G1996" s="15" t="inlineStr">
        <is>
          <t>No launched IPO found</t>
        </is>
      </c>
      <c r="H1996" s="15" t="n"/>
      <c r="I1996" s="16" t="n"/>
      <c r="J1996" s="16" t="n"/>
      <c r="K1996" s="16" t="n"/>
      <c r="L1996" s="17" t="n"/>
      <c r="M1996" s="17" t="n"/>
      <c r="N1996" s="17" t="n"/>
      <c r="O1996" s="15" t="n"/>
      <c r="P1996" s="15" t="n"/>
      <c r="Q1996" s="18" t="inlineStr">
        <is>
          <t>https://www.sebi.gov.in/sebi_data/attachdocs/1292063457439.pdf</t>
        </is>
      </c>
      <c r="R1996" s="18" t="inlineStr">
        <is>
          <t>https://www.sebi.gov.in/filings/public-issues/may-2006/reliance-petroleum-limited-notice-to-investors_9984.html</t>
        </is>
      </c>
      <c r="S1996" s="15" t="n"/>
      <c r="T1996" s="15" t="n"/>
      <c r="U1996" s="15" t="n"/>
      <c r="V1996" s="15" t="n"/>
      <c r="W1996" s="16" t="n"/>
      <c r="X1996" s="16" t="n"/>
      <c r="Y1996" s="16" t="n"/>
      <c r="Z1996" s="15" t="inlineStr">
        <is>
          <t>No issue found</t>
        </is>
      </c>
      <c r="AA1996" s="15" t="inlineStr">
        <is>
          <t>Business Standard lists the company but shows no issue dates; web search limit reached</t>
        </is>
      </c>
      <c r="AB1996" s="18" t="inlineStr">
        <is>
          <t>https://www.business-standard.com/markets/ipo/reliance-petroleum-ltd-merged-ipo-27314</t>
        </is>
      </c>
    </row>
    <row r="1997" ht="15" customHeight="1" s="12">
      <c r="A1997" s="14" t="n">
        <v>1996</v>
      </c>
      <c r="B1997" s="16" t="n">
        <v>38840</v>
      </c>
      <c r="C1997" s="15" t="n">
        <v>2006</v>
      </c>
      <c r="D1997" s="15" t="inlineStr">
        <is>
          <t>Renaissance Jewellery Limited</t>
        </is>
      </c>
      <c r="E1997" s="15" t="inlineStr">
        <is>
          <t>DRHP</t>
        </is>
      </c>
      <c r="F1997" s="15" t="inlineStr">
        <is>
          <t>Renaissance Jewellery Limited - PDF</t>
        </is>
      </c>
      <c r="G1997" s="15" t="inlineStr">
        <is>
          <t>IPO launched</t>
        </is>
      </c>
      <c r="H1997" s="15" t="inlineStr">
        <is>
          <t>Mainboard</t>
        </is>
      </c>
      <c r="I1997" s="16" t="n">
        <v>39405</v>
      </c>
      <c r="J1997" s="16" t="n">
        <v>39407</v>
      </c>
      <c r="K1997" s="16" t="n">
        <v>39428</v>
      </c>
      <c r="L1997" s="17" t="n">
        <v>79.86</v>
      </c>
      <c r="M1997" s="17" t="n">
        <v>79.86</v>
      </c>
      <c r="N1997" s="17" t="n">
        <v>0</v>
      </c>
      <c r="O1997" s="15" t="inlineStr">
        <is>
          <t>Final issue (ipoplatform)</t>
        </is>
      </c>
      <c r="P1997" s="15" t="n"/>
      <c r="Q1997" s="18" t="inlineStr">
        <is>
          <t>https://www.sebi.gov.in/sebi_data/attachdocs/1292063574833.pdf</t>
        </is>
      </c>
      <c r="R1997" s="18" t="inlineStr">
        <is>
          <t>https://www.sebi.gov.in/filings/public-issues/may-2006/renaissance-jewellery-limited-pdf_9985.html</t>
        </is>
      </c>
      <c r="S1997" s="15" t="n"/>
      <c r="T1997" s="15" t="inlineStr">
        <is>
          <t>SEBI filing link</t>
        </is>
      </c>
      <c r="U1997" s="15" t="inlineStr">
        <is>
          <t>Renaissance Jewellery Limited</t>
        </is>
      </c>
      <c r="V1997" s="15" t="n"/>
      <c r="W1997" s="15" t="n"/>
      <c r="X1997" s="15" t="n"/>
      <c r="Y1997" s="15" t="n"/>
      <c r="Z1997" s="15" t="n"/>
      <c r="AA1997" s="15" t="n"/>
      <c r="AB1997" s="15" t="n"/>
    </row>
    <row r="1998" ht="15" customHeight="1" s="12">
      <c r="A1998" s="14" t="n">
        <v>1997</v>
      </c>
      <c r="B1998" s="16" t="n">
        <v>38834</v>
      </c>
      <c r="C1998" s="15" t="n">
        <v>2006</v>
      </c>
      <c r="D1998" s="15" t="inlineStr">
        <is>
          <t>SVP Industries Limited</t>
        </is>
      </c>
      <c r="E1998" s="15" t="inlineStr">
        <is>
          <t>DRHP</t>
        </is>
      </c>
      <c r="F1998" s="15" t="inlineStr">
        <is>
          <t>SVP Industries Limited</t>
        </is>
      </c>
      <c r="G1998" s="15" t="inlineStr">
        <is>
          <t>No launched IPO found</t>
        </is>
      </c>
      <c r="H1998" s="15" t="n"/>
      <c r="I1998" s="16" t="n"/>
      <c r="J1998" s="16" t="n"/>
      <c r="K1998" s="16" t="n"/>
      <c r="L1998" s="17" t="n"/>
      <c r="M1998" s="17" t="n"/>
      <c r="N1998" s="17" t="n"/>
      <c r="O1998" s="15" t="n"/>
      <c r="P1998" s="15" t="n"/>
      <c r="Q1998" s="18" t="inlineStr">
        <is>
          <t>https://www.sebi.gov.in/sebi_data/attachdocs/1292302495320.pdf</t>
        </is>
      </c>
      <c r="R1998" s="18" t="inlineStr">
        <is>
          <t>https://www.sebi.gov.in/filings/public-issues/apr-2006/svp-industries-limited_10448.html</t>
        </is>
      </c>
      <c r="S1998" s="15" t="n"/>
      <c r="T1998" s="15" t="n"/>
      <c r="U1998" s="15" t="n"/>
      <c r="V1998" s="15" t="n"/>
      <c r="W1998" s="16" t="n"/>
      <c r="X1998" s="16" t="n"/>
      <c r="Y1998" s="16" t="n"/>
      <c r="Z1998" s="15" t="inlineStr">
        <is>
          <t>No issue found</t>
        </is>
      </c>
      <c r="AA1998" s="15" t="inlineStr">
        <is>
          <t>Business Standard lists the company but shows no issue dates; web search limit reached</t>
        </is>
      </c>
      <c r="AB1998" s="18" t="inlineStr">
        <is>
          <t>https://www.business-standard.com/markets/ipo/svp-industries-ltd-ipo-27344</t>
        </is>
      </c>
    </row>
    <row r="1999" ht="15" customHeight="1" s="12">
      <c r="A1999" s="14" t="n">
        <v>1998</v>
      </c>
      <c r="B1999" s="16" t="n">
        <v>38833</v>
      </c>
      <c r="C1999" s="15" t="n">
        <v>2006</v>
      </c>
      <c r="D1999" s="15" t="inlineStr">
        <is>
          <t>Reliance Petroleum Limited</t>
        </is>
      </c>
      <c r="E1999" s="15" t="inlineStr">
        <is>
          <t>Notice</t>
        </is>
      </c>
      <c r="F1999" s="15" t="inlineStr">
        <is>
          <t>Reliance Petroleum Limited - Notice to Investors</t>
        </is>
      </c>
      <c r="G1999" s="15" t="inlineStr">
        <is>
          <t>No launched IPO found</t>
        </is>
      </c>
      <c r="H1999" s="15" t="n"/>
      <c r="I1999" s="16" t="n"/>
      <c r="J1999" s="16" t="n"/>
      <c r="K1999" s="16" t="n"/>
      <c r="L1999" s="17" t="n"/>
      <c r="M1999" s="17" t="n"/>
      <c r="N1999" s="17" t="n"/>
      <c r="O1999" s="15" t="n"/>
      <c r="P1999" s="15" t="n"/>
      <c r="Q1999" s="18" t="inlineStr">
        <is>
          <t>https://www.sebi.gov.in/sebi_data/attachdocs/1292302139398.pdf</t>
        </is>
      </c>
      <c r="R1999" s="18" t="inlineStr">
        <is>
          <t>https://www.sebi.gov.in/filings/public-issues/apr-2006/reliance-petroleum-limited-notice-to-investors_10442.html</t>
        </is>
      </c>
      <c r="S1999" s="15" t="n"/>
      <c r="T1999" s="15" t="n"/>
      <c r="U1999" s="15" t="n"/>
      <c r="V1999" s="15" t="n"/>
      <c r="W1999" s="16" t="n"/>
      <c r="X1999" s="16" t="n"/>
      <c r="Y1999" s="16" t="n"/>
      <c r="Z1999" s="15" t="inlineStr">
        <is>
          <t>No issue found</t>
        </is>
      </c>
      <c r="AA1999" s="15" t="inlineStr">
        <is>
          <t>Business Standard lists the company but shows no issue dates; web search limit reached</t>
        </is>
      </c>
      <c r="AB1999" s="18" t="inlineStr">
        <is>
          <t>https://www.business-standard.com/markets/ipo/reliance-petroleum-ltd-merged-ipo-27314</t>
        </is>
      </c>
    </row>
    <row r="2000" ht="15" customHeight="1" s="12">
      <c r="A2000" s="14" t="n">
        <v>1999</v>
      </c>
      <c r="B2000" s="16" t="n">
        <v>38828</v>
      </c>
      <c r="C2000" s="15" t="n">
        <v>2006</v>
      </c>
      <c r="D2000" s="15" t="inlineStr">
        <is>
          <t>Parsvnath Development Limited</t>
        </is>
      </c>
      <c r="E2000" s="15" t="inlineStr">
        <is>
          <t>DRHP</t>
        </is>
      </c>
      <c r="F2000" s="15" t="inlineStr">
        <is>
          <t>Parsvnath Development Limited</t>
        </is>
      </c>
      <c r="G2000" s="15" t="inlineStr">
        <is>
          <t>No launched IPO found</t>
        </is>
      </c>
      <c r="H2000" s="15" t="n"/>
      <c r="I2000" s="16" t="n"/>
      <c r="J2000" s="16" t="n"/>
      <c r="K2000" s="16" t="n"/>
      <c r="L2000" s="17" t="n"/>
      <c r="M2000" s="17" t="n"/>
      <c r="N2000" s="17" t="n"/>
      <c r="O2000" s="15" t="n"/>
      <c r="P2000" s="15" t="n"/>
      <c r="Q2000" s="18" t="inlineStr">
        <is>
          <t>https://www.sebi.gov.in/sebi_data/attachdocs/1292317442412.pdf</t>
        </is>
      </c>
      <c r="R2000" s="18" t="inlineStr">
        <is>
          <t>https://www.sebi.gov.in/filings/public-issues/apr-2006/parsvnath-development-limited_10671.html</t>
        </is>
      </c>
      <c r="S2000" s="15" t="n"/>
      <c r="T2000" s="15" t="n"/>
      <c r="U2000" s="15" t="n"/>
      <c r="V2000" s="15" t="n"/>
      <c r="W2000" s="19" t="n">
        <v>39027</v>
      </c>
      <c r="X2000" s="19" t="n">
        <v>39031</v>
      </c>
      <c r="Y2000" s="19" t="n">
        <v>39051</v>
      </c>
      <c r="Z2000" s="20" t="inlineStr">
        <is>
          <t>Issue opened</t>
        </is>
      </c>
      <c r="AA2000" s="15" t="inlineStr">
        <is>
          <t>IPO as Parsvnath Developers Ltd; Rs300/share, ~Rs997-1,090cr fresh issue</t>
        </is>
      </c>
      <c r="AB2000" s="18" t="inlineStr">
        <is>
          <t>https://www.chittorgarh.com/ipo/parsvanath_ipo/20/</t>
        </is>
      </c>
    </row>
    <row r="2001" ht="15" customHeight="1" s="12">
      <c r="A2001" s="14" t="n">
        <v>2000</v>
      </c>
      <c r="B2001" s="16" t="n">
        <v>38827</v>
      </c>
      <c r="C2001" s="15" t="n">
        <v>2006</v>
      </c>
      <c r="D2001" s="15" t="inlineStr">
        <is>
          <t>Voltamp Transformers Limited</t>
        </is>
      </c>
      <c r="E2001" s="15" t="inlineStr">
        <is>
          <t>DRHP</t>
        </is>
      </c>
      <c r="F2001" s="15" t="inlineStr">
        <is>
          <t>Voltamp Transformers Limited - PDF</t>
        </is>
      </c>
      <c r="G2001" s="15" t="inlineStr">
        <is>
          <t>IPO launched</t>
        </is>
      </c>
      <c r="H2001" s="15" t="inlineStr">
        <is>
          <t>Mainboard</t>
        </is>
      </c>
      <c r="I2001" s="16" t="n">
        <v>38953</v>
      </c>
      <c r="J2001" s="16" t="n">
        <v>38958</v>
      </c>
      <c r="K2001" s="16" t="n">
        <v>38980</v>
      </c>
      <c r="L2001" s="17" t="n">
        <v>168.49</v>
      </c>
      <c r="M2001" s="17" t="n">
        <v>168.49</v>
      </c>
      <c r="N2001" s="17" t="n">
        <v>0</v>
      </c>
      <c r="O2001" s="15" t="inlineStr">
        <is>
          <t>Final issue (ipoplatform)</t>
        </is>
      </c>
      <c r="P2001" s="15" t="n"/>
      <c r="Q2001" s="18" t="inlineStr">
        <is>
          <t>https://www.sebi.gov.in/sebi_data/attachdocs/1292302025873.pdf</t>
        </is>
      </c>
      <c r="R2001" s="18" t="inlineStr">
        <is>
          <t>https://www.sebi.gov.in/filings/public-issues/apr-2006/voltamp-transformers-limited-pdf_10440.html</t>
        </is>
      </c>
      <c r="S2001" s="15" t="n"/>
      <c r="T2001" s="15" t="inlineStr">
        <is>
          <t>Company name + date window</t>
        </is>
      </c>
      <c r="U2001" s="15" t="inlineStr">
        <is>
          <t>Voltamp Transformers Limited</t>
        </is>
      </c>
      <c r="V2001" s="15" t="n"/>
      <c r="W2001" s="15" t="n"/>
      <c r="X2001" s="15" t="n"/>
      <c r="Y2001" s="15" t="n"/>
      <c r="Z2001" s="15" t="n"/>
      <c r="AA2001" s="15" t="n"/>
      <c r="AB2001" s="15" t="n"/>
    </row>
    <row r="2002" ht="15" customHeight="1" s="12">
      <c r="A2002" s="14" t="n">
        <v>2001</v>
      </c>
      <c r="B2002" s="16" t="n">
        <v>38826</v>
      </c>
      <c r="C2002" s="15" t="n">
        <v>2006</v>
      </c>
      <c r="D2002" s="15" t="inlineStr">
        <is>
          <t>Chemcel Bio-Tech Limited</t>
        </is>
      </c>
      <c r="E2002" s="15" t="inlineStr">
        <is>
          <t>DRHP</t>
        </is>
      </c>
      <c r="F2002" s="15" t="inlineStr">
        <is>
          <t>Chemcel Bio-Tech Limited</t>
        </is>
      </c>
      <c r="G2002" s="15" t="inlineStr">
        <is>
          <t>No launched IPO found</t>
        </is>
      </c>
      <c r="H2002" s="15" t="n"/>
      <c r="I2002" s="16" t="n"/>
      <c r="J2002" s="16" t="n"/>
      <c r="K2002" s="16" t="n"/>
      <c r="L2002" s="17" t="n"/>
      <c r="M2002" s="17" t="n"/>
      <c r="N2002" s="17" t="n"/>
      <c r="O2002" s="15" t="n"/>
      <c r="P2002" s="15" t="n"/>
      <c r="Q2002" s="18" t="inlineStr">
        <is>
          <t>https://www.sebi.gov.in/sebi_data/attachdocs/1292301191922.pdf</t>
        </is>
      </c>
      <c r="R2002" s="18" t="inlineStr">
        <is>
          <t>https://www.sebi.gov.in/filings/public-issues/apr-2006/chemcel-bio-tech-limited_10430.html</t>
        </is>
      </c>
      <c r="S2002" s="15" t="n"/>
      <c r="T2002" s="15" t="n"/>
      <c r="U2002" s="15" t="n"/>
      <c r="V2002" s="15" t="n"/>
      <c r="W2002" s="19" t="n">
        <v>39700</v>
      </c>
      <c r="X2002" s="19" t="n">
        <v>39703</v>
      </c>
      <c r="Y2002" s="19" t="n"/>
      <c r="Z2002" s="20" t="inlineStr">
        <is>
          <t>Issue opened</t>
        </is>
      </c>
      <c r="AA2002" s="15" t="inlineStr">
        <is>
          <t>Matched on chittorgarh.com</t>
        </is>
      </c>
      <c r="AB2002" s="18" t="inlineStr">
        <is>
          <t>https://www.chittorgarh.com/ipo/chemcel_biotech_ipo/191/</t>
        </is>
      </c>
    </row>
    <row r="2003" ht="15" customHeight="1" s="12">
      <c r="A2003" s="14" t="n">
        <v>2002</v>
      </c>
      <c r="B2003" s="16" t="n">
        <v>38824</v>
      </c>
      <c r="C2003" s="15" t="n">
        <v>2006</v>
      </c>
      <c r="D2003" s="15" t="inlineStr">
        <is>
          <t>HOV Services Limited</t>
        </is>
      </c>
      <c r="E2003" s="15" t="inlineStr">
        <is>
          <t>DRHP</t>
        </is>
      </c>
      <c r="F2003" s="15" t="inlineStr">
        <is>
          <t>HOV Services Limited - PDF</t>
        </is>
      </c>
      <c r="G2003" s="15" t="inlineStr">
        <is>
          <t>IPO launched</t>
        </is>
      </c>
      <c r="H2003" s="15" t="inlineStr">
        <is>
          <t>Mainboard</t>
        </is>
      </c>
      <c r="I2003" s="16" t="n">
        <v>38964</v>
      </c>
      <c r="J2003" s="16" t="n">
        <v>38967</v>
      </c>
      <c r="K2003" s="16" t="n">
        <v>38987</v>
      </c>
      <c r="L2003" s="17" t="n">
        <v>81</v>
      </c>
      <c r="M2003" s="17" t="n">
        <v>81</v>
      </c>
      <c r="N2003" s="17" t="n">
        <v>0</v>
      </c>
      <c r="O2003" s="15" t="inlineStr">
        <is>
          <t>Final issue (ipoplatform)</t>
        </is>
      </c>
      <c r="P2003" s="15" t="n"/>
      <c r="Q2003" s="18" t="inlineStr">
        <is>
          <t>https://www.sebi.gov.in/sebi_data/attachdocs/1292300756949.pdf</t>
        </is>
      </c>
      <c r="R2003" s="18" t="inlineStr">
        <is>
          <t>https://www.sebi.gov.in/filings/public-issues/apr-2006/hov-services-limited-pdf_10423.html</t>
        </is>
      </c>
      <c r="S2003" s="15" t="n"/>
      <c r="T2003" s="15" t="inlineStr">
        <is>
          <t>SEBI filing link</t>
        </is>
      </c>
      <c r="U2003" s="15" t="inlineStr">
        <is>
          <t>HOV Services Limited</t>
        </is>
      </c>
      <c r="V2003" s="15" t="n"/>
      <c r="W2003" s="15" t="n"/>
      <c r="X2003" s="15" t="n"/>
      <c r="Y2003" s="15" t="n"/>
      <c r="Z2003" s="15" t="n"/>
      <c r="AA2003" s="15" t="n"/>
      <c r="AB2003" s="15" t="n"/>
    </row>
    <row r="2004" ht="15" customHeight="1" s="12">
      <c r="A2004" s="14" t="n">
        <v>2003</v>
      </c>
      <c r="B2004" s="16" t="n">
        <v>38820</v>
      </c>
      <c r="C2004" s="15" t="n">
        <v>2006</v>
      </c>
      <c r="D2004" s="15" t="inlineStr">
        <is>
          <t>Odyssey India Limited</t>
        </is>
      </c>
      <c r="E2004" s="15" t="inlineStr">
        <is>
          <t>DRHP</t>
        </is>
      </c>
      <c r="F2004" s="15" t="inlineStr">
        <is>
          <t>Odyssey India Limited</t>
        </is>
      </c>
      <c r="G2004" s="15" t="inlineStr">
        <is>
          <t>No launched IPO found</t>
        </is>
      </c>
      <c r="H2004" s="15" t="n"/>
      <c r="I2004" s="16" t="n"/>
      <c r="J2004" s="16" t="n"/>
      <c r="K2004" s="16" t="n"/>
      <c r="L2004" s="17" t="n"/>
      <c r="M2004" s="17" t="n"/>
      <c r="N2004" s="17" t="n"/>
      <c r="O2004" s="15" t="n"/>
      <c r="P2004" s="15" t="n"/>
      <c r="Q2004" s="18" t="inlineStr">
        <is>
          <t>https://www.sebi.gov.in/sebi_data/attachdocs/1292300352764.pdf</t>
        </is>
      </c>
      <c r="R2004" s="18" t="inlineStr">
        <is>
          <t>https://www.sebi.gov.in/filings/public-issues/apr-2006/odyssey-india-limited_10419.html</t>
        </is>
      </c>
      <c r="S2004" s="15" t="n"/>
      <c r="T2004" s="15" t="n"/>
      <c r="U2004" s="15" t="n"/>
      <c r="V2004" s="15" t="n"/>
      <c r="W2004" s="16" t="n"/>
      <c r="X2004" s="16" t="n"/>
      <c r="Y2004" s="16" t="n"/>
      <c r="Z2004" s="15" t="inlineStr">
        <is>
          <t>No issue found</t>
        </is>
      </c>
      <c r="AA2004" s="15" t="inlineStr">
        <is>
          <t>Chennai bookstore chain; no evidence of IPO or listing</t>
        </is>
      </c>
      <c r="AB2004" s="18" t="inlineStr">
        <is>
          <t>https://en.wikipedia.org/wiki/Odyssey_(bookstore)</t>
        </is>
      </c>
    </row>
    <row r="2005" ht="15" customHeight="1" s="12">
      <c r="A2005" s="14" t="n">
        <v>2004</v>
      </c>
      <c r="B2005" s="16" t="n">
        <v>38819</v>
      </c>
      <c r="C2005" s="15" t="n">
        <v>2006</v>
      </c>
      <c r="D2005" s="15" t="inlineStr">
        <is>
          <t>Chemcel Bio-tech Ltd</t>
        </is>
      </c>
      <c r="E2005" s="15" t="inlineStr">
        <is>
          <t>DRHP</t>
        </is>
      </c>
      <c r="F2005" s="15" t="inlineStr">
        <is>
          <t>Chemcel Bio-tech Ltd</t>
        </is>
      </c>
      <c r="G2005" s="15" t="inlineStr">
        <is>
          <t>No launched IPO found</t>
        </is>
      </c>
      <c r="H2005" s="15" t="n"/>
      <c r="I2005" s="16" t="n"/>
      <c r="J2005" s="16" t="n"/>
      <c r="K2005" s="16" t="n"/>
      <c r="L2005" s="17" t="n"/>
      <c r="M2005" s="17" t="n"/>
      <c r="N2005" s="17" t="n"/>
      <c r="O2005" s="15" t="n"/>
      <c r="P2005" s="15" t="n"/>
      <c r="Q2005" s="18" t="inlineStr">
        <is>
          <t>https://www.sebi.gov.in/sebi_data/attachdocs/1292300175424.pdf</t>
        </is>
      </c>
      <c r="R2005" s="18" t="inlineStr">
        <is>
          <t>https://www.sebi.gov.in/filings/public-issues/apr-2006/chemcel-bio-tech-ltd_10418.html</t>
        </is>
      </c>
      <c r="S2005" s="15" t="n"/>
      <c r="T2005" s="15" t="n"/>
      <c r="U2005" s="15" t="n"/>
      <c r="V2005" s="15" t="n"/>
      <c r="W2005" s="19" t="n">
        <v>39700</v>
      </c>
      <c r="X2005" s="19" t="n">
        <v>39703</v>
      </c>
      <c r="Y2005" s="19" t="n"/>
      <c r="Z2005" s="20" t="inlineStr">
        <is>
          <t>Issue opened</t>
        </is>
      </c>
      <c r="AA2005" s="15" t="inlineStr">
        <is>
          <t>Matched on chittorgarh.com</t>
        </is>
      </c>
      <c r="AB2005" s="18" t="inlineStr">
        <is>
          <t>https://www.chittorgarh.com/ipo/chemcel_biotech_ipo/191/</t>
        </is>
      </c>
    </row>
    <row r="2006" ht="15" customHeight="1" s="12">
      <c r="A2006" s="14" t="n">
        <v>2005</v>
      </c>
      <c r="B2006" s="16" t="n">
        <v>38817</v>
      </c>
      <c r="C2006" s="15" t="n">
        <v>2006</v>
      </c>
      <c r="D2006" s="15" t="inlineStr">
        <is>
          <t>AML Steel Limited</t>
        </is>
      </c>
      <c r="E2006" s="15" t="inlineStr">
        <is>
          <t>DRHP</t>
        </is>
      </c>
      <c r="F2006" s="15" t="inlineStr">
        <is>
          <t>AML Steel Limited</t>
        </is>
      </c>
      <c r="G2006" s="15" t="inlineStr">
        <is>
          <t>No launched IPO found</t>
        </is>
      </c>
      <c r="H2006" s="15" t="n"/>
      <c r="I2006" s="16" t="n"/>
      <c r="J2006" s="16" t="n"/>
      <c r="K2006" s="16" t="n"/>
      <c r="L2006" s="17" t="n"/>
      <c r="M2006" s="17" t="n"/>
      <c r="N2006" s="17" t="n"/>
      <c r="O2006" s="15" t="n"/>
      <c r="P2006" s="15" t="n"/>
      <c r="Q2006" s="18" t="inlineStr">
        <is>
          <t>https://www.sebi.gov.in/sebi_data/attachdocs/1292300053647.pdf</t>
        </is>
      </c>
      <c r="R2006" s="18" t="inlineStr">
        <is>
          <t>https://www.sebi.gov.in/filings/public-issues/apr-2006/aml-steel-limited_10417.html</t>
        </is>
      </c>
      <c r="S2006" s="15" t="n"/>
      <c r="T2006" s="15" t="n"/>
      <c r="U2006" s="15" t="n"/>
      <c r="V2006" s="15" t="n"/>
      <c r="W2006" s="16" t="n"/>
      <c r="X2006" s="16" t="n"/>
      <c r="Y2006" s="16" t="n"/>
      <c r="Z2006" s="15" t="inlineStr">
        <is>
          <t>No issue found</t>
        </is>
      </c>
      <c r="AA2006" s="15" t="inlineStr">
        <is>
          <t>Business Standard lists the company but shows no issue dates; web search limit reached</t>
        </is>
      </c>
      <c r="AB2006" s="18" t="inlineStr">
        <is>
          <t>https://www.business-standard.com/markets/ipo/aml-steel-ltd-ipo-6575</t>
        </is>
      </c>
    </row>
    <row r="2007" ht="15" customHeight="1" s="12">
      <c r="A2007" s="14" t="n">
        <v>2006</v>
      </c>
      <c r="B2007" s="16" t="n">
        <v>38811</v>
      </c>
      <c r="C2007" s="15" t="n">
        <v>2006</v>
      </c>
      <c r="D2007" s="15" t="inlineStr">
        <is>
          <t>Gayatri Projects Limited</t>
        </is>
      </c>
      <c r="E2007" s="15" t="inlineStr">
        <is>
          <t>DRHP</t>
        </is>
      </c>
      <c r="F2007" s="15" t="inlineStr">
        <is>
          <t>Gayatri Projects Limited -PDF</t>
        </is>
      </c>
      <c r="G2007" s="15" t="inlineStr">
        <is>
          <t>IPO launched</t>
        </is>
      </c>
      <c r="H2007" s="15" t="inlineStr">
        <is>
          <t>Mainboard</t>
        </is>
      </c>
      <c r="I2007" s="16" t="n">
        <v>38986</v>
      </c>
      <c r="J2007" s="16" t="n">
        <v>38989</v>
      </c>
      <c r="K2007" s="16" t="n">
        <v>39007</v>
      </c>
      <c r="L2007" s="17" t="n">
        <v>85.55</v>
      </c>
      <c r="M2007" s="17" t="n">
        <v>85.55</v>
      </c>
      <c r="N2007" s="17" t="n">
        <v>0</v>
      </c>
      <c r="O2007" s="15" t="inlineStr">
        <is>
          <t>Final issue (ipoplatform)</t>
        </is>
      </c>
      <c r="P2007" s="15" t="n"/>
      <c r="Q2007" s="18" t="inlineStr">
        <is>
          <t>https://www.sebi.gov.in/sebi_data/attachdocs/1292299686896.pdf</t>
        </is>
      </c>
      <c r="R2007" s="18" t="inlineStr">
        <is>
          <t>https://www.sebi.gov.in/filings/public-issues/apr-2006/gayatri-projects-limited-pdf_10413.html</t>
        </is>
      </c>
      <c r="S2007" s="15" t="n"/>
      <c r="T2007" s="15" t="inlineStr">
        <is>
          <t>Company name + date window</t>
        </is>
      </c>
      <c r="U2007" s="15" t="inlineStr">
        <is>
          <t>Gayatri Projects Limited</t>
        </is>
      </c>
      <c r="V2007" s="15" t="n"/>
      <c r="W2007" s="15" t="n"/>
      <c r="X2007" s="15" t="n"/>
      <c r="Y2007" s="15" t="n"/>
      <c r="Z2007" s="15" t="n"/>
      <c r="AA2007" s="15" t="n"/>
      <c r="AB2007" s="15" t="n"/>
    </row>
    <row r="2008" ht="15" customHeight="1" s="12">
      <c r="A2008" s="14" t="n">
        <v>2007</v>
      </c>
      <c r="B2008" s="16" t="n">
        <v>38810</v>
      </c>
      <c r="C2008" s="15" t="n">
        <v>2006</v>
      </c>
      <c r="D2008" s="15" t="inlineStr">
        <is>
          <t>Action Construction Equipments Limited</t>
        </is>
      </c>
      <c r="E2008" s="15" t="inlineStr">
        <is>
          <t>DRHP</t>
        </is>
      </c>
      <c r="F2008" s="15" t="inlineStr">
        <is>
          <t>Action Construction Equipments Limited</t>
        </is>
      </c>
      <c r="G2008" s="15" t="inlineStr">
        <is>
          <t>IPO launched</t>
        </is>
      </c>
      <c r="H2008" s="15" t="inlineStr">
        <is>
          <t>Mainboard</t>
        </is>
      </c>
      <c r="I2008" s="16" t="n">
        <v>38961</v>
      </c>
      <c r="J2008" s="16" t="n">
        <v>38967</v>
      </c>
      <c r="K2008" s="16" t="n">
        <v>38986</v>
      </c>
      <c r="L2008" s="17" t="n">
        <v>59.8</v>
      </c>
      <c r="M2008" s="17" t="n">
        <v>59.8</v>
      </c>
      <c r="N2008" s="17" t="n">
        <v>0</v>
      </c>
      <c r="O2008" s="15" t="inlineStr">
        <is>
          <t>Final issue (ipoplatform)</t>
        </is>
      </c>
      <c r="P2008" s="15" t="n"/>
      <c r="Q2008" s="18" t="inlineStr">
        <is>
          <t>https://www.sebi.gov.in/sebi_data/attachdocs/1292299578790.pdf</t>
        </is>
      </c>
      <c r="R2008" s="18" t="inlineStr">
        <is>
          <t>https://www.sebi.gov.in/filings/public-issues/apr-2006/action-construction-equipments-limited_10411.html</t>
        </is>
      </c>
      <c r="S2008" s="15" t="n"/>
      <c r="T2008" s="15" t="inlineStr">
        <is>
          <t>SEBI filing link</t>
        </is>
      </c>
      <c r="U2008" s="15" t="inlineStr">
        <is>
          <t>Action Construction Equipment Limited</t>
        </is>
      </c>
      <c r="V2008" s="15" t="n"/>
      <c r="W2008" s="15" t="n"/>
      <c r="X2008" s="15" t="n"/>
      <c r="Y2008" s="15" t="n"/>
      <c r="Z2008" s="15" t="n"/>
      <c r="AA2008" s="15" t="n"/>
      <c r="AB2008" s="15" t="n"/>
    </row>
    <row r="2009" ht="15" customHeight="1" s="12">
      <c r="A2009" s="14" t="n">
        <v>2008</v>
      </c>
      <c r="B2009" s="16" t="n">
        <v>38805</v>
      </c>
      <c r="C2009" s="15" t="n">
        <v>2006</v>
      </c>
      <c r="D2009" s="15" t="inlineStr">
        <is>
          <t>Gammon Infrastructure Projects Limited</t>
        </is>
      </c>
      <c r="E2009" s="15" t="inlineStr">
        <is>
          <t>DRHP</t>
        </is>
      </c>
      <c r="F2009" s="15" t="inlineStr">
        <is>
          <t>Gammon Infrastructure Projects Limited</t>
        </is>
      </c>
      <c r="G2009" s="15" t="inlineStr">
        <is>
          <t>IPO launched</t>
        </is>
      </c>
      <c r="H2009" s="15" t="inlineStr">
        <is>
          <t>Mainboard</t>
        </is>
      </c>
      <c r="I2009" s="16" t="n">
        <v>39517</v>
      </c>
      <c r="J2009" s="16" t="n">
        <v>39520</v>
      </c>
      <c r="K2009" s="16" t="n">
        <v>39541</v>
      </c>
      <c r="L2009" s="17" t="n">
        <v>276.39</v>
      </c>
      <c r="M2009" s="17" t="n">
        <v>276.39</v>
      </c>
      <c r="N2009" s="17" t="n">
        <v>0</v>
      </c>
      <c r="O2009" s="15" t="inlineStr">
        <is>
          <t>Final issue (ipoplatform)</t>
        </is>
      </c>
      <c r="P2009" s="15" t="n"/>
      <c r="Q2009" s="18" t="inlineStr">
        <is>
          <t>https://www.sebi.gov.in/sebi_data/attachdocs/1292319939683.pdf</t>
        </is>
      </c>
      <c r="R2009" s="18" t="inlineStr">
        <is>
          <t>https://www.sebi.gov.in/filings/public-issues/mar-2006/gammon-infrastructure-projects-limited_10717.html</t>
        </is>
      </c>
      <c r="S2009" s="15" t="n"/>
      <c r="T2009" s="15" t="inlineStr">
        <is>
          <t>SEBI filing link</t>
        </is>
      </c>
      <c r="U2009" s="15" t="inlineStr">
        <is>
          <t>Gammon Infrastructure Projects Limited</t>
        </is>
      </c>
      <c r="V2009" s="15" t="n"/>
      <c r="W2009" s="15" t="n"/>
      <c r="X2009" s="15" t="n"/>
      <c r="Y2009" s="15" t="n"/>
      <c r="Z2009" s="15" t="n"/>
      <c r="AA2009" s="15" t="n"/>
      <c r="AB2009" s="15" t="n"/>
    </row>
    <row r="2010" ht="15" customHeight="1" s="12">
      <c r="A2010" s="14" t="n">
        <v>2009</v>
      </c>
      <c r="B2010" s="16" t="n">
        <v>38805</v>
      </c>
      <c r="C2010" s="15" t="n">
        <v>2006</v>
      </c>
      <c r="D2010" s="15" t="inlineStr">
        <is>
          <t>Unity Infraprojects Ltd</t>
        </is>
      </c>
      <c r="E2010" s="15" t="inlineStr">
        <is>
          <t>DRHP</t>
        </is>
      </c>
      <c r="F2010" s="15" t="inlineStr">
        <is>
          <t>Unity Infraprojects Ltd</t>
        </is>
      </c>
      <c r="G2010" s="15" t="inlineStr">
        <is>
          <t>No launched IPO found</t>
        </is>
      </c>
      <c r="H2010" s="15" t="n"/>
      <c r="I2010" s="16" t="n"/>
      <c r="J2010" s="16" t="n"/>
      <c r="K2010" s="16" t="n"/>
      <c r="L2010" s="17" t="n"/>
      <c r="M2010" s="17" t="n"/>
      <c r="N2010" s="17" t="n"/>
      <c r="O2010" s="15" t="n"/>
      <c r="P2010" s="15" t="n"/>
      <c r="Q2010" s="18" t="inlineStr">
        <is>
          <t>https://www.sebi.gov.in/sebi_data/attachdocs/1292319845532.pdf</t>
        </is>
      </c>
      <c r="R2010" s="18" t="inlineStr">
        <is>
          <t>https://www.sebi.gov.in/filings/public-issues/mar-2006/unity-infraprojects-ltd_10714.html</t>
        </is>
      </c>
      <c r="S2010" s="15" t="n"/>
      <c r="T2010" s="15" t="n"/>
      <c r="U2010" s="15" t="n"/>
      <c r="V2010" s="15" t="n"/>
      <c r="W2010" s="19" t="n">
        <v>38856</v>
      </c>
      <c r="X2010" s="19" t="n">
        <v>38861</v>
      </c>
      <c r="Y2010" s="19" t="n"/>
      <c r="Z2010" s="20" t="inlineStr">
        <is>
          <t>Issue opened</t>
        </is>
      </c>
      <c r="AA2010" s="15" t="inlineStr">
        <is>
          <t>Matched on chittorgarh.com</t>
        </is>
      </c>
      <c r="AB2010" s="18" t="inlineStr">
        <is>
          <t>https://www.chittorgarh.com/ipo/unity-infraprojects-ipo/2925/</t>
        </is>
      </c>
    </row>
    <row r="2011" ht="15" customHeight="1" s="12">
      <c r="A2011" s="14" t="n">
        <v>2010</v>
      </c>
      <c r="B2011" s="16" t="n">
        <v>38803</v>
      </c>
      <c r="C2011" s="15" t="n">
        <v>2006</v>
      </c>
      <c r="D2011" s="15" t="inlineStr">
        <is>
          <t>Allcargo Global Logistics Limited</t>
        </is>
      </c>
      <c r="E2011" s="15" t="inlineStr">
        <is>
          <t>DRHP</t>
        </is>
      </c>
      <c r="F2011" s="15" t="inlineStr">
        <is>
          <t>Allcargo Global Logistics Limited</t>
        </is>
      </c>
      <c r="G2011" s="15" t="inlineStr">
        <is>
          <t>No launched IPO found</t>
        </is>
      </c>
      <c r="H2011" s="15" t="n"/>
      <c r="I2011" s="16" t="n"/>
      <c r="J2011" s="16" t="n"/>
      <c r="K2011" s="16" t="n"/>
      <c r="L2011" s="17" t="n"/>
      <c r="M2011" s="17" t="n"/>
      <c r="N2011" s="17" t="n"/>
      <c r="O2011" s="15" t="n"/>
      <c r="P2011" s="15" t="n"/>
      <c r="Q2011" s="18" t="inlineStr">
        <is>
          <t>https://www.sebi.gov.in/sebi_data/attachdocs/1292319720675.pdf</t>
        </is>
      </c>
      <c r="R2011" s="18" t="inlineStr">
        <is>
          <t>https://www.sebi.gov.in/filings/public-issues/mar-2006/allcargo-global-logistics-limited_10713.html</t>
        </is>
      </c>
      <c r="S2011" s="15" t="n"/>
      <c r="T2011" s="15" t="n"/>
      <c r="U2011" s="15" t="n"/>
      <c r="V2011" s="15" t="n"/>
      <c r="W2011" s="19" t="n">
        <v>38869</v>
      </c>
      <c r="X2011" s="19" t="n">
        <v>38874</v>
      </c>
      <c r="Y2011" s="19" t="n"/>
      <c r="Z2011" s="20" t="inlineStr">
        <is>
          <t>Issue opened</t>
        </is>
      </c>
      <c r="AA2011" s="15" t="inlineStr">
        <is>
          <t>Matched on chittorgarh.com</t>
        </is>
      </c>
      <c r="AB2011" s="18" t="inlineStr">
        <is>
          <t>https://www.chittorgarh.com/ipo/allcargo-global-logistics-ipo/2927/</t>
        </is>
      </c>
    </row>
    <row r="2012" ht="15" customHeight="1" s="12">
      <c r="A2012" s="14" t="n">
        <v>2011</v>
      </c>
      <c r="B2012" s="16" t="n">
        <v>38800</v>
      </c>
      <c r="C2012" s="15" t="n">
        <v>2006</v>
      </c>
      <c r="D2012" s="15" t="inlineStr">
        <is>
          <t>Bharat Hotels Limited</t>
        </is>
      </c>
      <c r="E2012" s="15" t="inlineStr">
        <is>
          <t>DRHP</t>
        </is>
      </c>
      <c r="F2012" s="15" t="inlineStr">
        <is>
          <t>Bharat Hotels Limited - PDF</t>
        </is>
      </c>
      <c r="G2012" s="15" t="inlineStr">
        <is>
          <t>No launched IPO found</t>
        </is>
      </c>
      <c r="H2012" s="15" t="n"/>
      <c r="I2012" s="16" t="n"/>
      <c r="J2012" s="16" t="n"/>
      <c r="K2012" s="16" t="n"/>
      <c r="L2012" s="17" t="n"/>
      <c r="M2012" s="17" t="n"/>
      <c r="N2012" s="17" t="n"/>
      <c r="O2012" s="15" t="n"/>
      <c r="P2012" s="15" t="n"/>
      <c r="Q2012" s="18" t="inlineStr">
        <is>
          <t>https://www.sebi.gov.in/sebi_data/attachdocs/1292319629451.pdf</t>
        </is>
      </c>
      <c r="R2012" s="18" t="inlineStr">
        <is>
          <t>https://www.sebi.gov.in/filings/public-issues/mar-2006/bharat-hotels-limited-pdf_10712.html</t>
        </is>
      </c>
      <c r="S2012" s="15" t="n"/>
      <c r="T2012" s="15" t="n"/>
      <c r="U2012" s="15" t="n"/>
      <c r="V2012" s="15" t="n"/>
      <c r="W2012" s="16" t="n"/>
      <c r="X2012" s="16" t="n"/>
      <c r="Y2012" s="16" t="n"/>
      <c r="Z2012" s="15" t="inlineStr">
        <is>
          <t>No issue found</t>
        </is>
      </c>
      <c r="AA2012" s="15" t="inlineStr">
        <is>
          <t>Business Standard lists the company but shows no issue dates; web search limit reached</t>
        </is>
      </c>
      <c r="AB2012" s="18" t="inlineStr">
        <is>
          <t>https://www.business-standard.com/markets/ipo/bharat-hotels-ltd-ipo-1400</t>
        </is>
      </c>
    </row>
    <row r="2013" ht="15" customHeight="1" s="12">
      <c r="A2013" s="14" t="n">
        <v>2012</v>
      </c>
      <c r="B2013" s="16" t="n">
        <v>38800</v>
      </c>
      <c r="C2013" s="15" t="n">
        <v>2006</v>
      </c>
      <c r="D2013" s="15" t="inlineStr">
        <is>
          <t>Industrial Organics Limited</t>
        </is>
      </c>
      <c r="E2013" s="15" t="inlineStr">
        <is>
          <t>DRHP</t>
        </is>
      </c>
      <c r="F2013" s="15" t="inlineStr">
        <is>
          <t>Industrial Organics Limited - PDF</t>
        </is>
      </c>
      <c r="G2013" s="15" t="inlineStr">
        <is>
          <t>No launched IPO found</t>
        </is>
      </c>
      <c r="H2013" s="15" t="n"/>
      <c r="I2013" s="16" t="n"/>
      <c r="J2013" s="16" t="n"/>
      <c r="K2013" s="16" t="n"/>
      <c r="L2013" s="17" t="n"/>
      <c r="M2013" s="17" t="n"/>
      <c r="N2013" s="17" t="n"/>
      <c r="O2013" s="15" t="n"/>
      <c r="P2013" s="15" t="n"/>
      <c r="Q2013" s="18" t="inlineStr">
        <is>
          <t>https://www.sebi.gov.in/sebi_data/attachdocs/1292319322885.pdf</t>
        </is>
      </c>
      <c r="R2013" s="18" t="inlineStr">
        <is>
          <t>https://www.sebi.gov.in/filings/public-issues/mar-2006/industrial-organics-limited-pdf_10706.html</t>
        </is>
      </c>
      <c r="S2013" s="15" t="n"/>
      <c r="T2013" s="15" t="n"/>
      <c r="U2013" s="15" t="n"/>
      <c r="V2013" s="15" t="n"/>
      <c r="W2013" s="16" t="n"/>
      <c r="X2013" s="16" t="n"/>
      <c r="Y2013" s="16" t="n"/>
      <c r="Z2013" s="15" t="inlineStr">
        <is>
          <t>No issue found</t>
        </is>
      </c>
      <c r="AA2013" s="15" t="inlineStr">
        <is>
          <t>Now IOL Chemicals &amp; Pharma (renamed Dec 2006); no evidence 2006 book-built issue opened</t>
        </is>
      </c>
      <c r="AB2013" s="18" t="inlineStr">
        <is>
          <t>https://www.goodreturns.in/company/iol-chemicals-and-pharmaceuticals/history.html</t>
        </is>
      </c>
    </row>
    <row r="2014" ht="15" customHeight="1" s="12">
      <c r="A2014" s="14" t="n">
        <v>2013</v>
      </c>
      <c r="B2014" s="16" t="n">
        <v>38800</v>
      </c>
      <c r="C2014" s="15" t="n">
        <v>2006</v>
      </c>
      <c r="D2014" s="15" t="inlineStr">
        <is>
          <t>JHS Svendgaard Laboratories Limited</t>
        </is>
      </c>
      <c r="E2014" s="15" t="inlineStr">
        <is>
          <t>DRHP</t>
        </is>
      </c>
      <c r="F2014" s="15" t="inlineStr">
        <is>
          <t>JHS Svendgaard Laboratories Limited - PDF</t>
        </is>
      </c>
      <c r="G2014" s="15" t="inlineStr">
        <is>
          <t>IPO launched</t>
        </is>
      </c>
      <c r="H2014" s="15" t="inlineStr">
        <is>
          <t>Mainboard</t>
        </is>
      </c>
      <c r="I2014" s="16" t="n">
        <v>38986</v>
      </c>
      <c r="J2014" s="16" t="n">
        <v>38994</v>
      </c>
      <c r="K2014" s="16" t="n">
        <v>39011</v>
      </c>
      <c r="L2014" s="17" t="n">
        <v>35.96</v>
      </c>
      <c r="M2014" s="17" t="n">
        <v>35.96</v>
      </c>
      <c r="N2014" s="17" t="n">
        <v>0</v>
      </c>
      <c r="O2014" s="15" t="inlineStr">
        <is>
          <t>Final issue (ipoplatform)</t>
        </is>
      </c>
      <c r="P2014" s="15" t="n"/>
      <c r="Q2014" s="18" t="inlineStr">
        <is>
          <t>https://www.sebi.gov.in/sebi_data/attachdocs/1292319020478.pdf</t>
        </is>
      </c>
      <c r="R2014" s="18" t="inlineStr">
        <is>
          <t>https://www.sebi.gov.in/filings/public-issues/mar-2006/jhs-svendgaard-laboratories-limited-pdf_10701.html</t>
        </is>
      </c>
      <c r="S2014" s="15" t="n"/>
      <c r="T2014" s="15" t="inlineStr">
        <is>
          <t>Company name + date window</t>
        </is>
      </c>
      <c r="U2014" s="15" t="inlineStr">
        <is>
          <t>JHS Svendgaard Laboratories Limited</t>
        </is>
      </c>
      <c r="V2014" s="15" t="n"/>
      <c r="W2014" s="15" t="n"/>
      <c r="X2014" s="15" t="n"/>
      <c r="Y2014" s="15" t="n"/>
      <c r="Z2014" s="15" t="n"/>
      <c r="AA2014" s="15" t="n"/>
      <c r="AB2014" s="15" t="n"/>
    </row>
    <row r="2015" ht="15" customHeight="1" s="12">
      <c r="A2015" s="14" t="n">
        <v>2014</v>
      </c>
      <c r="B2015" s="16" t="n">
        <v>38800</v>
      </c>
      <c r="C2015" s="15" t="n">
        <v>2006</v>
      </c>
      <c r="D2015" s="15" t="inlineStr">
        <is>
          <t>Parabolic Drugs Ltd</t>
        </is>
      </c>
      <c r="E2015" s="15" t="inlineStr">
        <is>
          <t>DRHP</t>
        </is>
      </c>
      <c r="F2015" s="15" t="inlineStr">
        <is>
          <t>Parabolic Drugs Ltd</t>
        </is>
      </c>
      <c r="G2015" s="15" t="inlineStr">
        <is>
          <t>No launched IPO found</t>
        </is>
      </c>
      <c r="H2015" s="15" t="n"/>
      <c r="I2015" s="16" t="n"/>
      <c r="J2015" s="16" t="n"/>
      <c r="K2015" s="16" t="n"/>
      <c r="L2015" s="17" t="n"/>
      <c r="M2015" s="17" t="n"/>
      <c r="N2015" s="17" t="n"/>
      <c r="O2015" s="15" t="n"/>
      <c r="P2015" s="15" t="n"/>
      <c r="Q2015" s="18" t="inlineStr">
        <is>
          <t>https://www.sebi.gov.in/sebi_data/attachdocs/1292318913217.pdf</t>
        </is>
      </c>
      <c r="R2015" s="18" t="inlineStr">
        <is>
          <t>https://www.sebi.gov.in/filings/public-issues/mar-2006/parabolic-drugs-ltd_10697.html</t>
        </is>
      </c>
      <c r="S2015" s="15" t="n"/>
      <c r="T2015" s="15" t="n"/>
      <c r="U2015" s="15" t="n"/>
      <c r="V2015" s="15" t="inlineStr">
        <is>
          <t>Same-name IPO opened 14-Jun-2010 — outside 2 years of this filing, so not linked</t>
        </is>
      </c>
      <c r="W2015" s="25" t="n">
        <v>40343</v>
      </c>
      <c r="X2015" s="25" t="n">
        <v>40346</v>
      </c>
      <c r="Y2015" s="25" t="n">
        <v>40360</v>
      </c>
      <c r="Z2015" s="26" t="inlineStr">
        <is>
          <t>Later IPO — not from this draft</t>
        </is>
      </c>
      <c r="AA2015" s="15" t="inlineStr">
        <is>
          <t>Opened 4.2 yrs after this filing, under a later draft</t>
        </is>
      </c>
      <c r="AB2015" s="18" t="inlineStr">
        <is>
          <t>https://www.business-standard.com/markets/ipo/parabolic-drugs-ltd-ipo-27313</t>
        </is>
      </c>
    </row>
    <row r="2016" ht="15" customHeight="1" s="12">
      <c r="A2016" s="14" t="n">
        <v>2015</v>
      </c>
      <c r="B2016" s="16" t="n">
        <v>38800</v>
      </c>
      <c r="C2016" s="15" t="n">
        <v>2006</v>
      </c>
      <c r="D2016" s="15" t="inlineStr">
        <is>
          <t>Richa Knits Limited</t>
        </is>
      </c>
      <c r="E2016" s="15" t="inlineStr">
        <is>
          <t>DRHP</t>
        </is>
      </c>
      <c r="F2016" s="15" t="inlineStr">
        <is>
          <t>Richa Knits Limited - PDF</t>
        </is>
      </c>
      <c r="G2016" s="15" t="inlineStr">
        <is>
          <t>IPO launched</t>
        </is>
      </c>
      <c r="H2016" s="15" t="inlineStr">
        <is>
          <t>Mainboard</t>
        </is>
      </c>
      <c r="I2016" s="16" t="n">
        <v>38973</v>
      </c>
      <c r="J2016" s="16" t="n">
        <v>38979</v>
      </c>
      <c r="K2016" s="16" t="n">
        <v>39002</v>
      </c>
      <c r="L2016" s="17" t="n">
        <v>22.5</v>
      </c>
      <c r="M2016" s="17" t="n">
        <v>22.5</v>
      </c>
      <c r="N2016" s="17" t="n">
        <v>0</v>
      </c>
      <c r="O2016" s="15" t="inlineStr">
        <is>
          <t>Final issue (ipoplatform)</t>
        </is>
      </c>
      <c r="P2016" s="15" t="n"/>
      <c r="Q2016" s="18" t="inlineStr">
        <is>
          <t>https://www.sebi.gov.in/sebi_data/attachdocs/1292319518948.pdf</t>
        </is>
      </c>
      <c r="R2016" s="18" t="inlineStr">
        <is>
          <t>https://www.sebi.gov.in/filings/public-issues/mar-2006/richa-knits-limited-pdf_10710.html</t>
        </is>
      </c>
      <c r="S2016" s="15" t="n"/>
      <c r="T2016" s="15" t="inlineStr">
        <is>
          <t>SEBI filing link</t>
        </is>
      </c>
      <c r="U2016" s="15" t="inlineStr">
        <is>
          <t>Richa Knits Limited</t>
        </is>
      </c>
      <c r="V2016" s="15" t="n"/>
      <c r="W2016" s="15" t="n"/>
      <c r="X2016" s="15" t="n"/>
      <c r="Y2016" s="15" t="n"/>
      <c r="Z2016" s="15" t="n"/>
      <c r="AA2016" s="15" t="n"/>
      <c r="AB2016" s="15" t="n"/>
    </row>
    <row r="2017" ht="15" customHeight="1" s="12">
      <c r="A2017" s="14" t="n">
        <v>2016</v>
      </c>
      <c r="B2017" s="16" t="n">
        <v>38798</v>
      </c>
      <c r="C2017" s="15" t="n">
        <v>2006</v>
      </c>
      <c r="D2017" s="15" t="inlineStr">
        <is>
          <t>Atlanta Limited</t>
        </is>
      </c>
      <c r="E2017" s="15" t="inlineStr">
        <is>
          <t>DRHP</t>
        </is>
      </c>
      <c r="F2017" s="15" t="inlineStr">
        <is>
          <t>Atlanta Limited</t>
        </is>
      </c>
      <c r="G2017" s="15" t="inlineStr">
        <is>
          <t>IPO launched</t>
        </is>
      </c>
      <c r="H2017" s="15" t="inlineStr">
        <is>
          <t>Mainboard</t>
        </is>
      </c>
      <c r="I2017" s="16" t="n">
        <v>38961</v>
      </c>
      <c r="J2017" s="16" t="n">
        <v>38967</v>
      </c>
      <c r="K2017" s="16" t="n">
        <v>38985</v>
      </c>
      <c r="L2017" s="17" t="n">
        <v>64.5</v>
      </c>
      <c r="M2017" s="17" t="n">
        <v>64.5</v>
      </c>
      <c r="N2017" s="17" t="n">
        <v>0</v>
      </c>
      <c r="O2017" s="15" t="inlineStr">
        <is>
          <t>Final issue (ipoplatform)</t>
        </is>
      </c>
      <c r="P2017" s="15" t="n"/>
      <c r="Q2017" s="18" t="inlineStr">
        <is>
          <t>https://www.sebi.gov.in/sebi_data/attachdocs/1292318779779.pdf</t>
        </is>
      </c>
      <c r="R2017" s="18" t="inlineStr">
        <is>
          <t>https://www.sebi.gov.in/filings/public-issues/mar-2006/atlanta-limited_10693.html</t>
        </is>
      </c>
      <c r="S2017" s="15" t="n"/>
      <c r="T2017" s="15" t="inlineStr">
        <is>
          <t>SEBI filing link</t>
        </is>
      </c>
      <c r="U2017" s="15" t="inlineStr">
        <is>
          <t>Atlanta Limited</t>
        </is>
      </c>
      <c r="V2017" s="15" t="n"/>
      <c r="W2017" s="15" t="n"/>
      <c r="X2017" s="15" t="n"/>
      <c r="Y2017" s="15" t="n"/>
      <c r="Z2017" s="15" t="n"/>
      <c r="AA2017" s="15" t="n"/>
      <c r="AB2017" s="15" t="n"/>
    </row>
    <row r="2018" ht="15" customHeight="1" s="12">
      <c r="A2018" s="14" t="n">
        <v>2017</v>
      </c>
      <c r="B2018" s="16" t="n">
        <v>38798</v>
      </c>
      <c r="C2018" s="15" t="n">
        <v>2006</v>
      </c>
      <c r="D2018" s="15" t="inlineStr">
        <is>
          <t>Gwalior Chemical Industries Limited</t>
        </is>
      </c>
      <c r="E2018" s="15" t="inlineStr">
        <is>
          <t>DRHP</t>
        </is>
      </c>
      <c r="F2018" s="15" t="inlineStr">
        <is>
          <t>Gwalior Chemical Industries Limited - PDF</t>
        </is>
      </c>
      <c r="G2018" s="15" t="inlineStr">
        <is>
          <t>IPO launched</t>
        </is>
      </c>
      <c r="H2018" s="15" t="inlineStr">
        <is>
          <t>Mainboard</t>
        </is>
      </c>
      <c r="I2018" s="16" t="n">
        <v>38971</v>
      </c>
      <c r="J2018" s="16" t="n">
        <v>38974</v>
      </c>
      <c r="K2018" s="16" t="n">
        <v>38994</v>
      </c>
      <c r="L2018" s="17" t="n">
        <v>80</v>
      </c>
      <c r="M2018" s="17" t="n">
        <v>80</v>
      </c>
      <c r="N2018" s="17" t="n">
        <v>0</v>
      </c>
      <c r="O2018" s="15" t="inlineStr">
        <is>
          <t>Final issue (ipoplatform)</t>
        </is>
      </c>
      <c r="P2018" s="15" t="n"/>
      <c r="Q2018" s="18" t="inlineStr">
        <is>
          <t>https://www.sebi.gov.in/sebi_data/attachdocs/1292318466291.pdf</t>
        </is>
      </c>
      <c r="R2018" s="18" t="inlineStr">
        <is>
          <t>https://www.sebi.gov.in/filings/public-issues/mar-2006/gwalior-chemical-industries-limited-pdf_10687.html</t>
        </is>
      </c>
      <c r="S2018" s="15" t="n"/>
      <c r="T2018" s="15" t="inlineStr">
        <is>
          <t>SEBI filing link</t>
        </is>
      </c>
      <c r="U2018" s="15" t="inlineStr">
        <is>
          <t>Gwalior Chemical Industries Limited</t>
        </is>
      </c>
      <c r="V2018" s="15" t="n"/>
      <c r="W2018" s="15" t="n"/>
      <c r="X2018" s="15" t="n"/>
      <c r="Y2018" s="15" t="n"/>
      <c r="Z2018" s="15" t="n"/>
      <c r="AA2018" s="15" t="n"/>
      <c r="AB2018" s="15" t="n"/>
    </row>
    <row r="2019" ht="15" customHeight="1" s="12">
      <c r="A2019" s="14" t="n">
        <v>2018</v>
      </c>
      <c r="B2019" s="16" t="n">
        <v>38797</v>
      </c>
      <c r="C2019" s="15" t="n">
        <v>2006</v>
      </c>
      <c r="D2019" s="15" t="inlineStr">
        <is>
          <t>Patel Engineering Limited</t>
        </is>
      </c>
      <c r="E2019" s="15" t="inlineStr">
        <is>
          <t>DRHP</t>
        </is>
      </c>
      <c r="F2019" s="15" t="inlineStr">
        <is>
          <t>Patel Engineering Limited</t>
        </is>
      </c>
      <c r="G2019" s="15" t="inlineStr">
        <is>
          <t>No launched IPO found</t>
        </is>
      </c>
      <c r="H2019" s="15" t="n"/>
      <c r="I2019" s="16" t="n"/>
      <c r="J2019" s="16" t="n"/>
      <c r="K2019" s="16" t="n"/>
      <c r="L2019" s="17" t="n"/>
      <c r="M2019" s="17" t="n"/>
      <c r="N2019" s="17" t="n"/>
      <c r="O2019" s="15" t="n"/>
      <c r="P2019" s="15" t="n"/>
      <c r="Q2019" s="18" t="inlineStr">
        <is>
          <t>https://www.sebi.gov.in/sebi_data/attachdocs/1292318308796.pdf</t>
        </is>
      </c>
      <c r="R2019" s="18" t="inlineStr">
        <is>
          <t>https://www.sebi.gov.in/filings/public-issues/mar-2006/patel-engineering-limited_10684.html</t>
        </is>
      </c>
      <c r="S2019" s="15" t="n"/>
      <c r="T2019" s="15" t="n"/>
      <c r="U2019" s="15" t="n"/>
      <c r="V2019" s="15" t="n"/>
      <c r="W2019" s="19" t="n">
        <v>38840</v>
      </c>
      <c r="X2019" s="19" t="n">
        <v>38846</v>
      </c>
      <c r="Y2019" s="19" t="n">
        <v>38861</v>
      </c>
      <c r="Z2019" s="20" t="inlineStr">
        <is>
          <t>Issue opened</t>
        </is>
      </c>
      <c r="AA2019" s="15" t="inlineStr">
        <is>
          <t>Business Standard IPO page</t>
        </is>
      </c>
      <c r="AB2019" s="18" t="inlineStr">
        <is>
          <t>https://www.business-standard.com/markets/ipo/patel-engineering-ltd-ipo-1320</t>
        </is>
      </c>
    </row>
    <row r="2020" ht="15" customHeight="1" s="12">
      <c r="A2020" s="14" t="n">
        <v>2019</v>
      </c>
      <c r="B2020" s="16" t="n">
        <v>38797</v>
      </c>
      <c r="C2020" s="15" t="n">
        <v>2006</v>
      </c>
      <c r="D2020" s="15" t="inlineStr">
        <is>
          <t>Technocraft Industries (India) Limited</t>
        </is>
      </c>
      <c r="E2020" s="15" t="inlineStr">
        <is>
          <t>DRHP</t>
        </is>
      </c>
      <c r="F2020" s="15" t="inlineStr">
        <is>
          <t>Technocraft Industries (India) Limited -PDF</t>
        </is>
      </c>
      <c r="G2020" s="15" t="inlineStr">
        <is>
          <t>IPO launched</t>
        </is>
      </c>
      <c r="H2020" s="15" t="inlineStr">
        <is>
          <t>Mainboard</t>
        </is>
      </c>
      <c r="I2020" s="16" t="n">
        <v>39100</v>
      </c>
      <c r="J2020" s="16" t="n">
        <v>39105</v>
      </c>
      <c r="K2020" s="16" t="n">
        <v>39125</v>
      </c>
      <c r="L2020" s="17" t="n">
        <v>87.36</v>
      </c>
      <c r="M2020" s="17" t="n">
        <v>87.36</v>
      </c>
      <c r="N2020" s="17" t="n">
        <v>0</v>
      </c>
      <c r="O2020" s="15" t="inlineStr">
        <is>
          <t>Final issue (ipoplatform)</t>
        </is>
      </c>
      <c r="P2020" s="15" t="n"/>
      <c r="Q2020" s="18" t="inlineStr">
        <is>
          <t>https://www.sebi.gov.in/sebi_data/attachdocs/1292317865612.pdf</t>
        </is>
      </c>
      <c r="R2020" s="18" t="inlineStr">
        <is>
          <t>https://www.sebi.gov.in/filings/public-issues/mar-2006/technocraft-industries-india-limited-pdf_10677.html</t>
        </is>
      </c>
      <c r="S2020" s="15" t="n"/>
      <c r="T2020" s="15" t="inlineStr">
        <is>
          <t>SEBI filing link</t>
        </is>
      </c>
      <c r="U2020" s="15" t="inlineStr">
        <is>
          <t>Technocraft Industries (India) Limited</t>
        </is>
      </c>
      <c r="V2020" s="15" t="n"/>
      <c r="W2020" s="15" t="n"/>
      <c r="X2020" s="15" t="n"/>
      <c r="Y2020" s="15" t="n"/>
      <c r="Z2020" s="15" t="n"/>
      <c r="AA2020" s="15" t="n"/>
      <c r="AB2020" s="15" t="n"/>
    </row>
    <row r="2021" ht="15" customHeight="1" s="12">
      <c r="A2021" s="14" t="n">
        <v>2020</v>
      </c>
      <c r="B2021" s="16" t="n">
        <v>38793</v>
      </c>
      <c r="C2021" s="15" t="n">
        <v>2006</v>
      </c>
      <c r="D2021" s="15" t="inlineStr">
        <is>
          <t>Hanung Toys and Textiles Limited</t>
        </is>
      </c>
      <c r="E2021" s="15" t="inlineStr">
        <is>
          <t>DRHP</t>
        </is>
      </c>
      <c r="F2021" s="15" t="inlineStr">
        <is>
          <t>Hanung Toys and Textiles Limited</t>
        </is>
      </c>
      <c r="G2021" s="15" t="inlineStr">
        <is>
          <t>No launched IPO found</t>
        </is>
      </c>
      <c r="H2021" s="15" t="n"/>
      <c r="I2021" s="16" t="n"/>
      <c r="J2021" s="16" t="n"/>
      <c r="K2021" s="16" t="n"/>
      <c r="L2021" s="17" t="n"/>
      <c r="M2021" s="17" t="n"/>
      <c r="N2021" s="17" t="n"/>
      <c r="O2021" s="15" t="n"/>
      <c r="P2021" s="15" t="n"/>
      <c r="Q2021" s="18" t="inlineStr">
        <is>
          <t>https://www.sebi.gov.in/sebi_data/attachdocs/1294372662225.pdf</t>
        </is>
      </c>
      <c r="R2021" s="18" t="inlineStr">
        <is>
          <t>https://www.sebi.gov.in/filings/public-issues/mar-2006/hanung-toys-and-textiles-limited_14198.html</t>
        </is>
      </c>
      <c r="S2021" s="15" t="n"/>
      <c r="T2021" s="15" t="n"/>
      <c r="U2021" s="15" t="n"/>
      <c r="V2021" s="15" t="n"/>
      <c r="W2021" s="19" t="n">
        <v>38988</v>
      </c>
      <c r="X2021" s="19" t="n">
        <v>38995</v>
      </c>
      <c r="Y2021" s="19" t="n">
        <v>39010</v>
      </c>
      <c r="Z2021" s="20" t="inlineStr">
        <is>
          <t>Issue opened</t>
        </is>
      </c>
      <c r="AA2021" s="15" t="inlineStr">
        <is>
          <t>Business Standard IPO page</t>
        </is>
      </c>
      <c r="AB2021" s="18" t="inlineStr">
        <is>
          <t>https://www.business-standard.com/markets/ipo/hanung-toys-and-textiles-ltd-ipo-23633</t>
        </is>
      </c>
    </row>
    <row r="2022" ht="15" customHeight="1" s="12">
      <c r="A2022" s="14" t="n">
        <v>2021</v>
      </c>
      <c r="B2022" s="16" t="n">
        <v>38793</v>
      </c>
      <c r="C2022" s="15" t="n">
        <v>2006</v>
      </c>
      <c r="D2022" s="15" t="inlineStr">
        <is>
          <t>JHS Svendgaard Laboratories Ltd</t>
        </is>
      </c>
      <c r="E2022" s="15" t="inlineStr">
        <is>
          <t>DRHP</t>
        </is>
      </c>
      <c r="F2022" s="15" t="inlineStr">
        <is>
          <t>JHS Svendgaard Laboratories Ltd</t>
        </is>
      </c>
      <c r="G2022" s="15" t="inlineStr">
        <is>
          <t>IPO launched</t>
        </is>
      </c>
      <c r="H2022" s="15" t="inlineStr">
        <is>
          <t>Mainboard</t>
        </is>
      </c>
      <c r="I2022" s="16" t="n">
        <v>38986</v>
      </c>
      <c r="J2022" s="16" t="n">
        <v>38994</v>
      </c>
      <c r="K2022" s="16" t="n">
        <v>39011</v>
      </c>
      <c r="L2022" s="17" t="n">
        <v>35.96</v>
      </c>
      <c r="M2022" s="17" t="n">
        <v>35.96</v>
      </c>
      <c r="N2022" s="17" t="n">
        <v>0</v>
      </c>
      <c r="O2022" s="15" t="inlineStr">
        <is>
          <t>Final issue (ipoplatform)</t>
        </is>
      </c>
      <c r="P2022" s="15" t="n"/>
      <c r="Q2022" s="18" t="inlineStr">
        <is>
          <t>https://www.sebi.gov.in/sebi_data/attachdocs/1292316257308.pdf</t>
        </is>
      </c>
      <c r="R2022" s="18" t="inlineStr">
        <is>
          <t>https://www.sebi.gov.in/filings/public-issues/mar-2006/jhs-svendgaard-laboratories-ltd_10640.html</t>
        </is>
      </c>
      <c r="S2022" s="15" t="n"/>
      <c r="T2022" s="15" t="inlineStr">
        <is>
          <t>SEBI filing link</t>
        </is>
      </c>
      <c r="U2022" s="15" t="inlineStr">
        <is>
          <t>JHS Svendgaard Laboratories Limited</t>
        </is>
      </c>
      <c r="V2022" s="15" t="n"/>
      <c r="W2022" s="15" t="n"/>
      <c r="X2022" s="15" t="n"/>
      <c r="Y2022" s="15" t="n"/>
      <c r="Z2022" s="15" t="n"/>
      <c r="AA2022" s="15" t="n"/>
      <c r="AB2022" s="15" t="n"/>
    </row>
    <row r="2023" ht="15" customHeight="1" s="12">
      <c r="A2023" s="14" t="n">
        <v>2022</v>
      </c>
      <c r="B2023" s="16" t="n">
        <v>38793</v>
      </c>
      <c r="C2023" s="15" t="n">
        <v>2006</v>
      </c>
      <c r="D2023" s="15" t="inlineStr">
        <is>
          <t>Multi Commodity Exchange of India Ltd</t>
        </is>
      </c>
      <c r="E2023" s="15" t="inlineStr">
        <is>
          <t>DRHP</t>
        </is>
      </c>
      <c r="F2023" s="15" t="inlineStr">
        <is>
          <t>Multi Commodity Exchange of India Ltd</t>
        </is>
      </c>
      <c r="G2023" s="15" t="inlineStr">
        <is>
          <t>No launched IPO found</t>
        </is>
      </c>
      <c r="H2023" s="15" t="n"/>
      <c r="I2023" s="16" t="n"/>
      <c r="J2023" s="16" t="n"/>
      <c r="K2023" s="16" t="n"/>
      <c r="L2023" s="17" t="n"/>
      <c r="M2023" s="17" t="n"/>
      <c r="N2023" s="17" t="n"/>
      <c r="O2023" s="15" t="n"/>
      <c r="P2023" s="15" t="n"/>
      <c r="Q2023" s="18" t="inlineStr">
        <is>
          <t>https://www.sebi.gov.in/sebi_data/attachdocs/1292316725665.pdf</t>
        </is>
      </c>
      <c r="R2023" s="18" t="inlineStr">
        <is>
          <t>https://www.sebi.gov.in/filings/public-issues/mar-2006/multi-commodity-exchange-of-india-ltd_10649.html</t>
        </is>
      </c>
      <c r="S2023" s="15" t="n"/>
      <c r="T2023" s="15" t="n"/>
      <c r="U2023" s="15" t="n"/>
      <c r="V2023" s="15" t="inlineStr">
        <is>
          <t>Same-name IPO opened 22-Feb-2012 — outside 2 years of this filing, so not linked</t>
        </is>
      </c>
      <c r="W2023" s="25" t="n">
        <v>40961</v>
      </c>
      <c r="X2023" s="25" t="n">
        <v>40963</v>
      </c>
      <c r="Y2023" s="25" t="n">
        <v>40977</v>
      </c>
      <c r="Z2023" s="26" t="inlineStr">
        <is>
          <t>Later IPO — not from this draft</t>
        </is>
      </c>
      <c r="AA2023" s="15" t="inlineStr">
        <is>
          <t>Opened 5.9 yrs after this filing, under a later draft</t>
        </is>
      </c>
      <c r="AB2023" s="18" t="inlineStr">
        <is>
          <t>https://www.business-standard.com/markets/ipo/multi-commodity-exchange-of-india-ipo-25746</t>
        </is>
      </c>
    </row>
    <row r="2024" ht="15" customHeight="1" s="12">
      <c r="A2024" s="14" t="n">
        <v>2023</v>
      </c>
      <c r="B2024" s="16" t="n">
        <v>38789</v>
      </c>
      <c r="C2024" s="15" t="n">
        <v>2006</v>
      </c>
      <c r="D2024" s="15" t="inlineStr">
        <is>
          <t>Deep Industries Limited</t>
        </is>
      </c>
      <c r="E2024" s="15" t="inlineStr">
        <is>
          <t>DRHP</t>
        </is>
      </c>
      <c r="F2024" s="15" t="inlineStr">
        <is>
          <t>Deep Industries Limited</t>
        </is>
      </c>
      <c r="G2024" s="15" t="inlineStr">
        <is>
          <t>IPO launched</t>
        </is>
      </c>
      <c r="H2024" s="15" t="inlineStr">
        <is>
          <t>Mainboard</t>
        </is>
      </c>
      <c r="I2024" s="16" t="n">
        <v>38958</v>
      </c>
      <c r="J2024" s="16" t="n">
        <v>38964</v>
      </c>
      <c r="K2024" s="16" t="n">
        <v>38985</v>
      </c>
      <c r="L2024" s="17" t="n">
        <v>40.68</v>
      </c>
      <c r="M2024" s="17" t="n">
        <v>40.68</v>
      </c>
      <c r="N2024" s="17" t="n">
        <v>0</v>
      </c>
      <c r="O2024" s="15" t="inlineStr">
        <is>
          <t>Final issue (ipoplatform)</t>
        </is>
      </c>
      <c r="P2024" s="15" t="n"/>
      <c r="Q2024" s="18" t="inlineStr">
        <is>
          <t>https://www.sebi.gov.in/sebi_data/attachdocs/1294374256880.pdf</t>
        </is>
      </c>
      <c r="R2024" s="18" t="inlineStr">
        <is>
          <t>https://www.sebi.gov.in/filings/public-issues/mar-2006/deep-industries-limited_14199.html</t>
        </is>
      </c>
      <c r="S2024" s="15" t="n"/>
      <c r="T2024" s="15" t="inlineStr">
        <is>
          <t>SEBI filing link</t>
        </is>
      </c>
      <c r="U2024" s="15" t="inlineStr">
        <is>
          <t>Deep Industries Limited</t>
        </is>
      </c>
      <c r="V2024" s="15" t="n"/>
      <c r="W2024" s="15" t="n"/>
      <c r="X2024" s="15" t="n"/>
      <c r="Y2024" s="15" t="n"/>
      <c r="Z2024" s="15" t="n"/>
      <c r="AA2024" s="15" t="n"/>
      <c r="AB2024" s="15" t="n"/>
    </row>
    <row r="2025" ht="15" customHeight="1" s="12">
      <c r="A2025" s="14" t="n">
        <v>2024</v>
      </c>
      <c r="B2025" s="16" t="n">
        <v>38789</v>
      </c>
      <c r="C2025" s="15" t="n">
        <v>2006</v>
      </c>
      <c r="D2025" s="15" t="inlineStr">
        <is>
          <t>Changes in</t>
        </is>
      </c>
      <c r="E2025" s="15" t="inlineStr">
        <is>
          <t>DRHP</t>
        </is>
      </c>
      <c r="F2025" s="15" t="inlineStr">
        <is>
          <t>Changes in DRHP</t>
        </is>
      </c>
      <c r="G2025" s="15" t="inlineStr">
        <is>
          <t>Not an offer document</t>
        </is>
      </c>
      <c r="H2025" s="15" t="n"/>
      <c r="I2025" s="16" t="n"/>
      <c r="J2025" s="16" t="n"/>
      <c r="K2025" s="16" t="n"/>
      <c r="L2025" s="17" t="n"/>
      <c r="M2025" s="17" t="n"/>
      <c r="N2025" s="17" t="n"/>
      <c r="O2025" s="15" t="n"/>
      <c r="P2025" s="15" t="n"/>
      <c r="Q2025" s="18" t="inlineStr">
        <is>
          <t>https://www.sebi.gov.in/sebi_data/attachdocs/1292316090294.pdf</t>
        </is>
      </c>
      <c r="R2025" s="18" t="inlineStr">
        <is>
          <t>https://www.sebi.gov.in/filings/public-issues/mar-2006/changes-in-drhp_10637.html</t>
        </is>
      </c>
      <c r="S2025" s="15" t="n"/>
      <c r="T2025" s="15" t="n"/>
      <c r="U2025" s="15" t="n"/>
      <c r="V2025" s="15" t="n"/>
      <c r="W2025" s="16" t="n"/>
      <c r="X2025" s="16" t="n"/>
      <c r="Y2025" s="16" t="n"/>
      <c r="Z2025" s="15" t="inlineStr">
        <is>
          <t>Not an offer document</t>
        </is>
      </c>
      <c r="AA2025" s="15" t="inlineStr">
        <is>
          <t>SEBI entry is not an issuer draft</t>
        </is>
      </c>
      <c r="AB2025" s="15" t="n"/>
    </row>
    <row r="2026" ht="15" customHeight="1" s="12">
      <c r="A2026" s="14" t="n">
        <v>2025</v>
      </c>
      <c r="B2026" s="16" t="n">
        <v>38783</v>
      </c>
      <c r="C2026" s="15" t="n">
        <v>2006</v>
      </c>
      <c r="D2026" s="15" t="inlineStr">
        <is>
          <t>Reliance Petroleum Limited</t>
        </is>
      </c>
      <c r="E2026" s="15" t="inlineStr">
        <is>
          <t>DRHP</t>
        </is>
      </c>
      <c r="F2026" s="15" t="inlineStr">
        <is>
          <t>Reliance Petroleum Limited -PDF</t>
        </is>
      </c>
      <c r="G2026" s="15" t="inlineStr">
        <is>
          <t>No launched IPO found</t>
        </is>
      </c>
      <c r="H2026" s="15" t="n"/>
      <c r="I2026" s="16" t="n"/>
      <c r="J2026" s="16" t="n"/>
      <c r="K2026" s="16" t="n"/>
      <c r="L2026" s="17" t="n"/>
      <c r="M2026" s="17" t="n"/>
      <c r="N2026" s="17" t="n"/>
      <c r="O2026" s="15" t="n"/>
      <c r="P2026" s="15" t="n"/>
      <c r="Q2026" s="18" t="inlineStr">
        <is>
          <t>https://www.sebi.gov.in/sebi_data/attachdocs/1292315967431.pdf</t>
        </is>
      </c>
      <c r="R2026" s="18" t="inlineStr">
        <is>
          <t>https://www.sebi.gov.in/filings/public-issues/mar-2006/reliance-petroleum-limited-pdf_10632.html</t>
        </is>
      </c>
      <c r="S2026" s="15" t="n"/>
      <c r="T2026" s="15" t="n"/>
      <c r="U2026" s="15" t="n"/>
      <c r="V2026" s="15" t="n"/>
      <c r="W2026" s="19" t="n">
        <v>38820</v>
      </c>
      <c r="X2026" s="19" t="n">
        <v>38827</v>
      </c>
      <c r="Y2026" s="19" t="n"/>
      <c r="Z2026" s="20" t="inlineStr">
        <is>
          <t>Issue opened</t>
        </is>
      </c>
      <c r="AA2026" s="15" t="inlineStr">
        <is>
          <t>Matched on chittorgarh.com</t>
        </is>
      </c>
      <c r="AB2026" s="18" t="inlineStr">
        <is>
          <t>https://www.chittorgarh.com/ipo/reliance-petroleum-ipo/2918/</t>
        </is>
      </c>
    </row>
    <row r="2027" ht="15" customHeight="1" s="12">
      <c r="A2027" s="14" t="n">
        <v>2026</v>
      </c>
      <c r="B2027" s="16" t="n">
        <v>38783</v>
      </c>
      <c r="C2027" s="15" t="n">
        <v>2006</v>
      </c>
      <c r="D2027" s="15" t="inlineStr">
        <is>
          <t>Saamya Biotech (India) Limited</t>
        </is>
      </c>
      <c r="E2027" s="15" t="inlineStr">
        <is>
          <t>DRHP</t>
        </is>
      </c>
      <c r="F2027" s="15" t="inlineStr">
        <is>
          <t>Saamya Biotech (India) Limited -PDF</t>
        </is>
      </c>
      <c r="G2027" s="15" t="inlineStr">
        <is>
          <t>No launched IPO found</t>
        </is>
      </c>
      <c r="H2027" s="15" t="n"/>
      <c r="I2027" s="16" t="n"/>
      <c r="J2027" s="16" t="n"/>
      <c r="K2027" s="16" t="n"/>
      <c r="L2027" s="17" t="n"/>
      <c r="M2027" s="17" t="n"/>
      <c r="N2027" s="17" t="n"/>
      <c r="O2027" s="15" t="n"/>
      <c r="P2027" s="15" t="n"/>
      <c r="Q2027" s="18" t="inlineStr">
        <is>
          <t>https://www.sebi.gov.in/sebi_data/attachdocs/1292315792208.pdf</t>
        </is>
      </c>
      <c r="R2027" s="18" t="inlineStr">
        <is>
          <t>https://www.sebi.gov.in/filings/public-issues/mar-2006/saamya-biotech-india-limited-pdf_10629.html</t>
        </is>
      </c>
      <c r="S2027" s="15" t="n"/>
      <c r="T2027" s="15" t="n"/>
      <c r="U2027" s="15" t="n"/>
      <c r="V2027" s="15" t="n"/>
      <c r="W2027" s="19" t="n">
        <v>39350</v>
      </c>
      <c r="X2027" s="19" t="n">
        <v>39353</v>
      </c>
      <c r="Y2027" s="19" t="n"/>
      <c r="Z2027" s="20" t="inlineStr">
        <is>
          <t>Issue opened</t>
        </is>
      </c>
      <c r="AA2027" s="15" t="inlineStr">
        <is>
          <t>Matched on chittorgarh.com</t>
        </is>
      </c>
      <c r="AB2027" s="18" t="inlineStr">
        <is>
          <t>https://www.chittorgarh.com/ipo/saamya_biotech_ipo/126/</t>
        </is>
      </c>
    </row>
    <row r="2028" ht="15" customHeight="1" s="12">
      <c r="A2028" s="14" t="n">
        <v>2027</v>
      </c>
      <c r="B2028" s="16" t="n">
        <v>38783</v>
      </c>
      <c r="C2028" s="15" t="n">
        <v>2006</v>
      </c>
      <c r="D2028" s="15" t="inlineStr">
        <is>
          <t>Usher Agro Limited</t>
        </is>
      </c>
      <c r="E2028" s="15" t="inlineStr">
        <is>
          <t>DRHP</t>
        </is>
      </c>
      <c r="F2028" s="15" t="inlineStr">
        <is>
          <t>Usher Agro Limited - PDF</t>
        </is>
      </c>
      <c r="G2028" s="15" t="inlineStr">
        <is>
          <t>No launched IPO found</t>
        </is>
      </c>
      <c r="H2028" s="15" t="n"/>
      <c r="I2028" s="16" t="n"/>
      <c r="J2028" s="16" t="n"/>
      <c r="K2028" s="16" t="n"/>
      <c r="L2028" s="17" t="n"/>
      <c r="M2028" s="17" t="n"/>
      <c r="N2028" s="17" t="n"/>
      <c r="O2028" s="15" t="n"/>
      <c r="P2028" s="15" t="n"/>
      <c r="Q2028" s="18" t="inlineStr">
        <is>
          <t>https://www.sebi.gov.in/sebi_data/attachdocs/1292315667460.pdf</t>
        </is>
      </c>
      <c r="R2028" s="18" t="inlineStr">
        <is>
          <t>https://www.sebi.gov.in/filings/public-issues/mar-2006/usher-agro-limited-pdf_10626.html</t>
        </is>
      </c>
      <c r="S2028" s="15" t="n"/>
      <c r="T2028" s="15" t="n"/>
      <c r="U2028" s="15" t="n"/>
      <c r="V2028" s="15" t="n"/>
      <c r="W2028" s="19" t="n">
        <v>38965</v>
      </c>
      <c r="X2028" s="19" t="n">
        <v>38971</v>
      </c>
      <c r="Y2028" s="19" t="n"/>
      <c r="Z2028" s="20" t="inlineStr">
        <is>
          <t>Issue opened</t>
        </is>
      </c>
      <c r="AA2028" s="15" t="inlineStr">
        <is>
          <t>Matched on chittorgarh.com</t>
        </is>
      </c>
      <c r="AB2028" s="18" t="inlineStr">
        <is>
          <t>https://www.chittorgarh.com/ipo/usher-agro-ipo/7/</t>
        </is>
      </c>
    </row>
    <row r="2029" ht="15" customHeight="1" s="12">
      <c r="A2029" s="14" t="n">
        <v>2028</v>
      </c>
      <c r="B2029" s="16" t="n">
        <v>38782</v>
      </c>
      <c r="C2029" s="15" t="n">
        <v>2006</v>
      </c>
      <c r="D2029" s="15" t="inlineStr">
        <is>
          <t>Odyssey India Limited</t>
        </is>
      </c>
      <c r="E2029" s="15" t="inlineStr">
        <is>
          <t>DRHP</t>
        </is>
      </c>
      <c r="F2029" s="15" t="inlineStr">
        <is>
          <t>Odyssey India Limited - PDF</t>
        </is>
      </c>
      <c r="G2029" s="15" t="inlineStr">
        <is>
          <t>No launched IPO found</t>
        </is>
      </c>
      <c r="H2029" s="15" t="n"/>
      <c r="I2029" s="16" t="n"/>
      <c r="J2029" s="16" t="n"/>
      <c r="K2029" s="16" t="n"/>
      <c r="L2029" s="17" t="n"/>
      <c r="M2029" s="17" t="n"/>
      <c r="N2029" s="17" t="n"/>
      <c r="O2029" s="15" t="n"/>
      <c r="P2029" s="15" t="n"/>
      <c r="Q2029" s="18" t="inlineStr">
        <is>
          <t>https://www.sebi.gov.in/sebi_data/attachdocs/1292314085224.pdf</t>
        </is>
      </c>
      <c r="R2029" s="18" t="inlineStr">
        <is>
          <t>https://www.sebi.gov.in/filings/public-issues/mar-2006/odyssey-india-limited-pdf_10613.html</t>
        </is>
      </c>
      <c r="S2029" s="15" t="n"/>
      <c r="T2029" s="15" t="n"/>
      <c r="U2029" s="15" t="n"/>
      <c r="V2029" s="15" t="n"/>
      <c r="W2029" s="16" t="n"/>
      <c r="X2029" s="16" t="n"/>
      <c r="Y2029" s="16" t="n"/>
      <c r="Z2029" s="15" t="inlineStr">
        <is>
          <t>No issue found</t>
        </is>
      </c>
      <c r="AA2029" s="15" t="inlineStr">
        <is>
          <t>Chennai bookstore chain; no evidence of IPO or listing</t>
        </is>
      </c>
      <c r="AB2029" s="18" t="inlineStr">
        <is>
          <t>https://en.wikipedia.org/wiki/Odyssey_(bookstore)</t>
        </is>
      </c>
    </row>
    <row r="2030" ht="15" customHeight="1" s="12">
      <c r="A2030" s="14" t="n">
        <v>2029</v>
      </c>
      <c r="B2030" s="16" t="n">
        <v>38772</v>
      </c>
      <c r="C2030" s="15" t="n">
        <v>2006</v>
      </c>
      <c r="D2030" s="15" t="inlineStr">
        <is>
          <t>Glory Polyfilms Limited</t>
        </is>
      </c>
      <c r="E2030" s="15" t="inlineStr">
        <is>
          <t>DRHP</t>
        </is>
      </c>
      <c r="F2030" s="15" t="inlineStr">
        <is>
          <t>Glory Polyfilms Limited</t>
        </is>
      </c>
      <c r="G2030" s="15" t="inlineStr">
        <is>
          <t>No launched IPO found</t>
        </is>
      </c>
      <c r="H2030" s="15" t="n"/>
      <c r="I2030" s="16" t="n"/>
      <c r="J2030" s="16" t="n"/>
      <c r="K2030" s="16" t="n"/>
      <c r="L2030" s="17" t="n"/>
      <c r="M2030" s="17" t="n"/>
      <c r="N2030" s="17" t="n"/>
      <c r="O2030" s="15" t="n"/>
      <c r="P2030" s="15" t="n"/>
      <c r="Q2030" s="18" t="inlineStr">
        <is>
          <t>https://www.sebi.gov.in/sebi_data/attachdocs/1292389241839.pdf</t>
        </is>
      </c>
      <c r="R2030" s="18" t="inlineStr">
        <is>
          <t>https://www.sebi.gov.in/filings/public-issues/feb-2006/glory-polyfilms-limited_10878.html</t>
        </is>
      </c>
      <c r="S2030" s="15" t="n"/>
      <c r="T2030" s="15" t="n"/>
      <c r="U2030" s="15" t="n"/>
      <c r="V2030" s="15" t="n"/>
      <c r="W2030" s="19" t="n">
        <v>39211</v>
      </c>
      <c r="X2030" s="19" t="n">
        <v>39217</v>
      </c>
      <c r="Y2030" s="19" t="n"/>
      <c r="Z2030" s="20" t="inlineStr">
        <is>
          <t>Issue opened</t>
        </is>
      </c>
      <c r="AA2030" s="15" t="inlineStr">
        <is>
          <t>Matched on chittorgarh.com</t>
        </is>
      </c>
      <c r="AB2030" s="18" t="inlineStr">
        <is>
          <t>https://www.chittorgarh.com/ipo/glory_polyfilms_ipo/82/</t>
        </is>
      </c>
    </row>
    <row r="2031" ht="15" customHeight="1" s="12">
      <c r="A2031" s="14" t="n">
        <v>2030</v>
      </c>
      <c r="B2031" s="16" t="n">
        <v>38770</v>
      </c>
      <c r="C2031" s="15" t="n">
        <v>2006</v>
      </c>
      <c r="D2031" s="15" t="inlineStr">
        <is>
          <t>Atlanta Limited</t>
        </is>
      </c>
      <c r="E2031" s="15" t="inlineStr">
        <is>
          <t>DRHP</t>
        </is>
      </c>
      <c r="F2031" s="15" t="inlineStr">
        <is>
          <t>Atlanta Limited</t>
        </is>
      </c>
      <c r="G2031" s="15" t="inlineStr">
        <is>
          <t>IPO launched</t>
        </is>
      </c>
      <c r="H2031" s="15" t="inlineStr">
        <is>
          <t>Mainboard</t>
        </is>
      </c>
      <c r="I2031" s="16" t="n">
        <v>38961</v>
      </c>
      <c r="J2031" s="16" t="n">
        <v>38967</v>
      </c>
      <c r="K2031" s="16" t="n">
        <v>38985</v>
      </c>
      <c r="L2031" s="17" t="n">
        <v>64.5</v>
      </c>
      <c r="M2031" s="17" t="n">
        <v>64.5</v>
      </c>
      <c r="N2031" s="17" t="n">
        <v>0</v>
      </c>
      <c r="O2031" s="15" t="inlineStr">
        <is>
          <t>Final issue (ipoplatform)</t>
        </is>
      </c>
      <c r="P2031" s="15" t="n"/>
      <c r="Q2031" s="18" t="inlineStr">
        <is>
          <t>https://www.sebi.gov.in/sebi_data/attachdocs/1294375817212.pdf</t>
        </is>
      </c>
      <c r="R2031" s="18" t="inlineStr">
        <is>
          <t>https://www.sebi.gov.in/filings/public-issues/feb-2006/atlanta-limited_14201.html</t>
        </is>
      </c>
      <c r="S2031" s="15" t="n"/>
      <c r="T2031" s="15" t="inlineStr">
        <is>
          <t>Company name + date window</t>
        </is>
      </c>
      <c r="U2031" s="15" t="inlineStr">
        <is>
          <t>Atlanta Limited</t>
        </is>
      </c>
      <c r="V2031" s="15" t="n"/>
      <c r="W2031" s="15" t="n"/>
      <c r="X2031" s="15" t="n"/>
      <c r="Y2031" s="15" t="n"/>
      <c r="Z2031" s="15" t="n"/>
      <c r="AA2031" s="15" t="n"/>
      <c r="AB2031" s="15" t="n"/>
    </row>
    <row r="2032" ht="15" customHeight="1" s="12">
      <c r="A2032" s="14" t="n">
        <v>2031</v>
      </c>
      <c r="B2032" s="16" t="n">
        <v>38770</v>
      </c>
      <c r="C2032" s="15" t="n">
        <v>2006</v>
      </c>
      <c r="D2032" s="15" t="inlineStr">
        <is>
          <t>Kovilpatti Lakshmi Roller Flour Mills Ltd</t>
        </is>
      </c>
      <c r="E2032" s="15" t="inlineStr">
        <is>
          <t>DRHP</t>
        </is>
      </c>
      <c r="F2032" s="15" t="inlineStr">
        <is>
          <t>Kovilpatti Lakshmi Roller Flour Mills Ltd</t>
        </is>
      </c>
      <c r="G2032" s="15" t="inlineStr">
        <is>
          <t>IPO launched</t>
        </is>
      </c>
      <c r="H2032" s="15" t="inlineStr">
        <is>
          <t>Mainboard</t>
        </is>
      </c>
      <c r="I2032" s="16" t="n">
        <v>39048</v>
      </c>
      <c r="J2032" s="16" t="n">
        <v>39052</v>
      </c>
      <c r="K2032" s="16" t="n">
        <v>39077</v>
      </c>
      <c r="L2032" s="17" t="n">
        <v>14.3</v>
      </c>
      <c r="M2032" s="17" t="n">
        <v>14.3</v>
      </c>
      <c r="N2032" s="17" t="n">
        <v>0</v>
      </c>
      <c r="O2032" s="15" t="inlineStr">
        <is>
          <t>Final issue (ipoplatform)</t>
        </is>
      </c>
      <c r="P2032" s="15" t="n"/>
      <c r="Q2032" s="18" t="inlineStr">
        <is>
          <t>https://www.sebi.gov.in/sebi_data/attachdocs/1292388678557.pdf</t>
        </is>
      </c>
      <c r="R2032" s="18" t="inlineStr">
        <is>
          <t>https://www.sebi.gov.in/filings/public-issues/feb-2006/kovilpatti-lakshmi-roller-flour-mills-ltd_10877.html</t>
        </is>
      </c>
      <c r="S2032" s="15" t="n"/>
      <c r="T2032" s="15" t="inlineStr">
        <is>
          <t>SEBI filing link</t>
        </is>
      </c>
      <c r="U2032" s="15" t="inlineStr">
        <is>
          <t>KLRF Limited</t>
        </is>
      </c>
      <c r="V2032" s="15" t="n"/>
      <c r="W2032" s="15" t="n"/>
      <c r="X2032" s="15" t="n"/>
      <c r="Y2032" s="15" t="n"/>
      <c r="Z2032" s="15" t="n"/>
      <c r="AA2032" s="15" t="n"/>
      <c r="AB2032" s="15" t="n"/>
    </row>
    <row r="2033" ht="15" customHeight="1" s="12">
      <c r="A2033" s="14" t="n">
        <v>2032</v>
      </c>
      <c r="B2033" s="16" t="n">
        <v>38769</v>
      </c>
      <c r="C2033" s="15" t="n">
        <v>2006</v>
      </c>
      <c r="D2033" s="15" t="inlineStr">
        <is>
          <t>Vigneshwara Exports Limited</t>
        </is>
      </c>
      <c r="E2033" s="15" t="inlineStr">
        <is>
          <t>DRHP</t>
        </is>
      </c>
      <c r="F2033" s="15" t="inlineStr">
        <is>
          <t>Vigneshwara Exports Limited - PDF</t>
        </is>
      </c>
      <c r="G2033" s="15" t="inlineStr">
        <is>
          <t>No launched IPO found</t>
        </is>
      </c>
      <c r="H2033" s="15" t="n"/>
      <c r="I2033" s="16" t="n"/>
      <c r="J2033" s="16" t="n"/>
      <c r="K2033" s="16" t="n"/>
      <c r="L2033" s="17" t="n"/>
      <c r="M2033" s="17" t="n"/>
      <c r="N2033" s="17" t="n"/>
      <c r="O2033" s="15" t="n"/>
      <c r="P2033" s="15" t="n"/>
      <c r="Q2033" s="18" t="inlineStr">
        <is>
          <t>https://www.sebi.gov.in/sebi_data/attachdocs/1292388532106.pdf</t>
        </is>
      </c>
      <c r="R2033" s="18" t="inlineStr">
        <is>
          <t>https://www.sebi.gov.in/filings/public-issues/feb-2006/vigneshwara-exports-limited-pdf_10876.html</t>
        </is>
      </c>
      <c r="S2033" s="15" t="n"/>
      <c r="T2033" s="15" t="n"/>
      <c r="U2033" s="15" t="n"/>
      <c r="V2033" s="15" t="n"/>
      <c r="W2033" s="16" t="n"/>
      <c r="X2033" s="16" t="n"/>
      <c r="Y2033" s="16" t="n"/>
      <c r="Z2033" s="15" t="inlineStr">
        <is>
          <t>No issue found</t>
        </is>
      </c>
      <c r="AA2033" s="15" t="inlineStr">
        <is>
          <t>Home textiles maker; unlisted, now under liquidation; no IPO evidence</t>
        </is>
      </c>
      <c r="AB2033" s="18" t="inlineStr">
        <is>
          <t>https://www.zaubacorp.com/VIGNESHWARA-EXPORTS-LIMITED-U51900MH1986PLC039425</t>
        </is>
      </c>
    </row>
    <row r="2034" ht="15" customHeight="1" s="12">
      <c r="A2034" s="14" t="n">
        <v>2033</v>
      </c>
      <c r="B2034" s="16" t="n">
        <v>38768</v>
      </c>
      <c r="C2034" s="15" t="n">
        <v>2006</v>
      </c>
      <c r="D2034" s="15" t="inlineStr">
        <is>
          <t>Development Credit Bank Limited</t>
        </is>
      </c>
      <c r="E2034" s="15" t="inlineStr">
        <is>
          <t>DRHP</t>
        </is>
      </c>
      <c r="F2034" s="15" t="inlineStr">
        <is>
          <t>Development Credit Bank Limited -PDF</t>
        </is>
      </c>
      <c r="G2034" s="15" t="inlineStr">
        <is>
          <t>IPO launched</t>
        </is>
      </c>
      <c r="H2034" s="15" t="inlineStr">
        <is>
          <t>Mainboard</t>
        </is>
      </c>
      <c r="I2034" s="16" t="n">
        <v>38989</v>
      </c>
      <c r="J2034" s="16" t="n">
        <v>38996</v>
      </c>
      <c r="K2034" s="16" t="n">
        <v>39017</v>
      </c>
      <c r="L2034" s="17" t="n">
        <v>185.9</v>
      </c>
      <c r="M2034" s="17" t="n">
        <v>185.9</v>
      </c>
      <c r="N2034" s="17" t="n">
        <v>0</v>
      </c>
      <c r="O2034" s="15" t="inlineStr">
        <is>
          <t>Final issue (ipoplatform)</t>
        </is>
      </c>
      <c r="P2034" s="15" t="n"/>
      <c r="Q2034" s="18" t="inlineStr">
        <is>
          <t>https://www.sebi.gov.in/sebi_data/attachdocs/1292387288627.pdf</t>
        </is>
      </c>
      <c r="R2034" s="18" t="inlineStr">
        <is>
          <t>https://www.sebi.gov.in/filings/public-issues/feb-2006/development-credit-bank-limited-pdf_10872.html</t>
        </is>
      </c>
      <c r="S2034" s="15" t="n"/>
      <c r="T2034" s="15" t="inlineStr">
        <is>
          <t>SEBI filing link</t>
        </is>
      </c>
      <c r="U2034" s="15" t="inlineStr">
        <is>
          <t>Development Credit Bank Limited</t>
        </is>
      </c>
      <c r="V2034" s="15" t="n"/>
      <c r="W2034" s="15" t="n"/>
      <c r="X2034" s="15" t="n"/>
      <c r="Y2034" s="15" t="n"/>
      <c r="Z2034" s="15" t="n"/>
      <c r="AA2034" s="15" t="n"/>
      <c r="AB2034" s="15" t="n"/>
    </row>
    <row r="2035" ht="15" customHeight="1" s="12">
      <c r="A2035" s="14" t="n">
        <v>2034</v>
      </c>
      <c r="B2035" s="16" t="n">
        <v>38768</v>
      </c>
      <c r="C2035" s="15" t="n">
        <v>2006</v>
      </c>
      <c r="D2035" s="15" t="inlineStr">
        <is>
          <t>Gremach Infrastructure Equipments &amp; Projects Limited</t>
        </is>
      </c>
      <c r="E2035" s="15" t="inlineStr">
        <is>
          <t>DRHP</t>
        </is>
      </c>
      <c r="F2035" s="15" t="inlineStr">
        <is>
          <t>Gremach Infrastructure Equipments &amp; Projects Limited - PDF</t>
        </is>
      </c>
      <c r="G2035" s="15" t="inlineStr">
        <is>
          <t>No launched IPO found</t>
        </is>
      </c>
      <c r="H2035" s="15" t="n"/>
      <c r="I2035" s="16" t="n"/>
      <c r="J2035" s="16" t="n"/>
      <c r="K2035" s="16" t="n"/>
      <c r="L2035" s="17" t="n"/>
      <c r="M2035" s="17" t="n"/>
      <c r="N2035" s="17" t="n"/>
      <c r="O2035" s="15" t="n"/>
      <c r="P2035" s="15" t="n"/>
      <c r="Q2035" s="18" t="inlineStr">
        <is>
          <t>https://www.sebi.gov.in/sebi_data/attachdocs/1292387932391.pdf</t>
        </is>
      </c>
      <c r="R2035" s="18" t="inlineStr">
        <is>
          <t>https://www.sebi.gov.in/filings/public-issues/feb-2006/gremach-infrastructure-equipments-and-projects-limited-pdf_10873.html</t>
        </is>
      </c>
      <c r="S2035" s="15" t="n"/>
      <c r="T2035" s="15" t="n"/>
      <c r="U2035" s="15" t="n"/>
      <c r="V2035" s="15" t="n"/>
      <c r="W2035" s="19" t="n">
        <v>39149</v>
      </c>
      <c r="X2035" s="19" t="n">
        <v>39160</v>
      </c>
      <c r="Y2035" s="19" t="n">
        <v>39183</v>
      </c>
      <c r="Z2035" s="20" t="inlineStr">
        <is>
          <t>Issue opened</t>
        </is>
      </c>
      <c r="AA2035" s="15" t="inlineStr">
        <is>
          <t>Rs59cr IPO at Rs86 (band cut to 72-86, close extended from Mar 14)</t>
        </is>
      </c>
      <c r="AB2035" s="18" t="inlineStr">
        <is>
          <t>https://www.chittorgarh.com/ipo/gremach_ipo/70/</t>
        </is>
      </c>
    </row>
    <row r="2036" ht="15" customHeight="1" s="12">
      <c r="A2036" s="14" t="n">
        <v>2035</v>
      </c>
      <c r="B2036" s="16" t="n">
        <v>38768</v>
      </c>
      <c r="C2036" s="15" t="n">
        <v>2006</v>
      </c>
      <c r="D2036" s="15" t="inlineStr">
        <is>
          <t>Lumax Automotive Systems Limited</t>
        </is>
      </c>
      <c r="E2036" s="15" t="inlineStr">
        <is>
          <t>DRHP</t>
        </is>
      </c>
      <c r="F2036" s="15" t="inlineStr">
        <is>
          <t>Lumax Automotive Systems Limited - PDF</t>
        </is>
      </c>
      <c r="G2036" s="15" t="inlineStr">
        <is>
          <t>No launched IPO found</t>
        </is>
      </c>
      <c r="H2036" s="15" t="n"/>
      <c r="I2036" s="16" t="n"/>
      <c r="J2036" s="16" t="n"/>
      <c r="K2036" s="16" t="n"/>
      <c r="L2036" s="17" t="n"/>
      <c r="M2036" s="17" t="n"/>
      <c r="N2036" s="17" t="n"/>
      <c r="O2036" s="15" t="n"/>
      <c r="P2036" s="15" t="n"/>
      <c r="Q2036" s="18" t="inlineStr">
        <is>
          <t>https://www.sebi.gov.in/sebi_data/attachdocs/1292388222177.pdf</t>
        </is>
      </c>
      <c r="R2036" s="18" t="inlineStr">
        <is>
          <t>https://www.sebi.gov.in/filings/public-issues/feb-2006/lumax-automotive-systems-limited-pdf_10875.html</t>
        </is>
      </c>
      <c r="S2036" s="15" t="n"/>
      <c r="T2036" s="15" t="n"/>
      <c r="U2036" s="15" t="n"/>
      <c r="V2036" s="15" t="n"/>
      <c r="W2036" s="16" t="n"/>
      <c r="X2036" s="16" t="n"/>
      <c r="Y2036" s="16" t="n"/>
      <c r="Z2036" s="15" t="inlineStr">
        <is>
          <t>No issue found</t>
        </is>
      </c>
      <c r="AA2036" s="15" t="inlineStr">
        <is>
          <t>Already listed (2003 demerger); no 2006 issue found. Not the Dec-2006 Lumax Auto Technologies IPO</t>
        </is>
      </c>
      <c r="AB2036" s="18" t="inlineStr">
        <is>
          <t>https://www.indiainfoline.com/company/lumax-automotive-systems-ltd/summary/24621</t>
        </is>
      </c>
    </row>
    <row r="2037" ht="15" customHeight="1" s="12">
      <c r="A2037" s="14" t="n">
        <v>2036</v>
      </c>
      <c r="B2037" s="16" t="n">
        <v>38768</v>
      </c>
      <c r="C2037" s="15" t="n">
        <v>2006</v>
      </c>
      <c r="D2037" s="15" t="inlineStr">
        <is>
          <t>Steel City Securities Limited</t>
        </is>
      </c>
      <c r="E2037" s="15" t="inlineStr">
        <is>
          <t>DRHP</t>
        </is>
      </c>
      <c r="F2037" s="15" t="inlineStr">
        <is>
          <t>Steel City Securities Limited - PDF</t>
        </is>
      </c>
      <c r="G2037" s="15" t="inlineStr">
        <is>
          <t>No launched IPO found</t>
        </is>
      </c>
      <c r="H2037" s="15" t="n"/>
      <c r="I2037" s="16" t="n"/>
      <c r="J2037" s="16" t="n"/>
      <c r="K2037" s="16" t="n"/>
      <c r="L2037" s="17" t="n"/>
      <c r="M2037" s="17" t="n"/>
      <c r="N2037" s="17" t="n"/>
      <c r="O2037" s="15" t="n"/>
      <c r="P2037" s="15" t="n"/>
      <c r="Q2037" s="18" t="inlineStr">
        <is>
          <t>https://www.sebi.gov.in/sebi_data/attachdocs/1292388068467.pdf</t>
        </is>
      </c>
      <c r="R2037" s="18" t="inlineStr">
        <is>
          <t>https://www.sebi.gov.in/filings/public-issues/feb-2006/steel-city-securities-limited-pdf_10874.html</t>
        </is>
      </c>
      <c r="S2037" s="15" t="n"/>
      <c r="T2037" s="15" t="n"/>
      <c r="U2037" s="15" t="n"/>
      <c r="V2037" s="15" t="inlineStr">
        <is>
          <t>Same-name IPO opened 06-Feb-2017 — outside 2 years of this filing, so not linked</t>
        </is>
      </c>
      <c r="W2037" s="25" t="n">
        <v>42772</v>
      </c>
      <c r="X2037" s="25" t="n">
        <v>42775</v>
      </c>
      <c r="Y2037" s="25" t="n">
        <v>42783</v>
      </c>
      <c r="Z2037" s="26" t="inlineStr">
        <is>
          <t>Later IPO — not from this draft</t>
        </is>
      </c>
      <c r="AA2037" s="15" t="inlineStr">
        <is>
          <t>Opened 11.0 yrs after this filing, under a later draft</t>
        </is>
      </c>
      <c r="AB2037" s="18" t="inlineStr">
        <is>
          <t>https://www.business-standard.com/markets/ipo/steel-city-securities-ltd-ipo-6044</t>
        </is>
      </c>
    </row>
    <row r="2038" ht="15" customHeight="1" s="12">
      <c r="A2038" s="14" t="n">
        <v>2037</v>
      </c>
      <c r="B2038" s="16" t="n">
        <v>38763</v>
      </c>
      <c r="C2038" s="15" t="n">
        <v>2006</v>
      </c>
      <c r="D2038" s="15" t="inlineStr">
        <is>
          <t>Binani Cement Ltd</t>
        </is>
      </c>
      <c r="E2038" s="15" t="inlineStr">
        <is>
          <t>DRHP</t>
        </is>
      </c>
      <c r="F2038" s="15" t="inlineStr">
        <is>
          <t>Binani Cement Ltd</t>
        </is>
      </c>
      <c r="G2038" s="15" t="inlineStr">
        <is>
          <t>No launched IPO found</t>
        </is>
      </c>
      <c r="H2038" s="15" t="n"/>
      <c r="I2038" s="16" t="n"/>
      <c r="J2038" s="16" t="n"/>
      <c r="K2038" s="16" t="n"/>
      <c r="L2038" s="17" t="n"/>
      <c r="M2038" s="17" t="n"/>
      <c r="N2038" s="17" t="n"/>
      <c r="O2038" s="15" t="n"/>
      <c r="P2038" s="15" t="n"/>
      <c r="Q2038" s="18" t="inlineStr">
        <is>
          <t>https://www.sebi.gov.in/sebi_data/attachdocs/1292387084115.pdf</t>
        </is>
      </c>
      <c r="R2038" s="18" t="inlineStr">
        <is>
          <t>https://www.sebi.gov.in/filings/public-issues/feb-2006/binani-cement-ltd_10871.html</t>
        </is>
      </c>
      <c r="S2038" s="15" t="n"/>
      <c r="T2038" s="15" t="n"/>
      <c r="U2038" s="15" t="n"/>
      <c r="V2038" s="15" t="n"/>
      <c r="W2038" s="19" t="n">
        <v>39209</v>
      </c>
      <c r="X2038" s="19" t="n">
        <v>39212</v>
      </c>
      <c r="Y2038" s="19" t="n"/>
      <c r="Z2038" s="20" t="inlineStr">
        <is>
          <t>Issue opened</t>
        </is>
      </c>
      <c r="AA2038" s="15" t="inlineStr">
        <is>
          <t>Matched on chittorgarh.com</t>
        </is>
      </c>
      <c r="AB2038" s="18" t="inlineStr">
        <is>
          <t>https://www.chittorgarh.com/ipo/binani_cement_ipo/79/</t>
        </is>
      </c>
    </row>
    <row r="2039" ht="15" customHeight="1" s="12">
      <c r="A2039" s="14" t="n">
        <v>2038</v>
      </c>
      <c r="B2039" s="16" t="n">
        <v>38763</v>
      </c>
      <c r="C2039" s="15" t="n">
        <v>2006</v>
      </c>
      <c r="D2039" s="15" t="inlineStr">
        <is>
          <t>Plethico Pharmaceuticals Ltd</t>
        </is>
      </c>
      <c r="E2039" s="15" t="inlineStr">
        <is>
          <t>DRHP</t>
        </is>
      </c>
      <c r="F2039" s="15" t="inlineStr">
        <is>
          <t>Plethico Pharmaceuticals Ltd</t>
        </is>
      </c>
      <c r="G2039" s="15" t="inlineStr">
        <is>
          <t>No launched IPO found</t>
        </is>
      </c>
      <c r="H2039" s="15" t="n"/>
      <c r="I2039" s="16" t="n"/>
      <c r="J2039" s="16" t="n"/>
      <c r="K2039" s="16" t="n"/>
      <c r="L2039" s="17" t="n"/>
      <c r="M2039" s="17" t="n"/>
      <c r="N2039" s="17" t="n"/>
      <c r="O2039" s="15" t="n"/>
      <c r="P2039" s="15" t="n"/>
      <c r="Q2039" s="18" t="inlineStr">
        <is>
          <t>https://www.sebi.gov.in/sebi_data/attachdocs/1292386686081.pdf</t>
        </is>
      </c>
      <c r="R2039" s="18" t="inlineStr">
        <is>
          <t>https://www.sebi.gov.in/filings/public-issues/feb-2006/plethico-pharmaceuticals-ltd_10870.html</t>
        </is>
      </c>
      <c r="S2039" s="15" t="n"/>
      <c r="T2039" s="15" t="n"/>
      <c r="U2039" s="15" t="n"/>
      <c r="V2039" s="15" t="n"/>
      <c r="W2039" s="19" t="n">
        <v>38817</v>
      </c>
      <c r="X2039" s="19" t="n">
        <v>38824</v>
      </c>
      <c r="Y2039" s="19" t="n"/>
      <c r="Z2039" s="20" t="inlineStr">
        <is>
          <t>Issue opened</t>
        </is>
      </c>
      <c r="AA2039" s="15" t="inlineStr">
        <is>
          <t>Matched on chittorgarh.com</t>
        </is>
      </c>
      <c r="AB2039" s="18" t="inlineStr">
        <is>
          <t>https://www.chittorgarh.com/ipo/plethico-pharmaceuticals-ipo/2917/</t>
        </is>
      </c>
    </row>
    <row r="2040" ht="15" customHeight="1" s="12">
      <c r="A2040" s="14" t="n">
        <v>2039</v>
      </c>
      <c r="B2040" s="16" t="n">
        <v>38762</v>
      </c>
      <c r="C2040" s="15" t="n">
        <v>2006</v>
      </c>
      <c r="D2040" s="15" t="inlineStr">
        <is>
          <t>Brahma Interactive Limited</t>
        </is>
      </c>
      <c r="E2040" s="15" t="inlineStr">
        <is>
          <t>DRHP</t>
        </is>
      </c>
      <c r="F2040" s="15" t="inlineStr">
        <is>
          <t>Brahma Interactive Limited</t>
        </is>
      </c>
      <c r="G2040" s="15" t="inlineStr">
        <is>
          <t>No launched IPO found</t>
        </is>
      </c>
      <c r="H2040" s="15" t="n"/>
      <c r="I2040" s="16" t="n"/>
      <c r="J2040" s="16" t="n"/>
      <c r="K2040" s="16" t="n"/>
      <c r="L2040" s="17" t="n"/>
      <c r="M2040" s="17" t="n"/>
      <c r="N2040" s="17" t="n"/>
      <c r="O2040" s="15" t="n"/>
      <c r="P2040" s="15" t="n"/>
      <c r="Q2040" s="18" t="inlineStr">
        <is>
          <t>https://www.sebi.gov.in/sebi_data/attachdocs/1292386545586.pdf</t>
        </is>
      </c>
      <c r="R2040" s="18" t="inlineStr">
        <is>
          <t>https://www.sebi.gov.in/filings/public-issues/feb-2006/brahma-interactive-limited_10869.html</t>
        </is>
      </c>
      <c r="S2040" s="15" t="n"/>
      <c r="T2040" s="15" t="n"/>
      <c r="U2040" s="15" t="n"/>
      <c r="V2040" s="15" t="n"/>
      <c r="W2040" s="16" t="n"/>
      <c r="X2040" s="16" t="n"/>
      <c r="Y2040" s="16" t="n"/>
      <c r="Z2040" s="15" t="inlineStr">
        <is>
          <t>No issue found</t>
        </is>
      </c>
      <c r="AA2040" s="15" t="inlineStr">
        <is>
          <t>No evidence of any public issue or listing</t>
        </is>
      </c>
      <c r="AB2040" s="15" t="n"/>
    </row>
    <row r="2041" ht="15" customHeight="1" s="12">
      <c r="A2041" s="14" t="n">
        <v>2040</v>
      </c>
      <c r="B2041" s="16" t="n">
        <v>38762</v>
      </c>
      <c r="C2041" s="15" t="n">
        <v>2006</v>
      </c>
      <c r="D2041" s="15" t="inlineStr">
        <is>
          <t>Emkay Share and Stock Brokers Limited</t>
        </is>
      </c>
      <c r="E2041" s="15" t="inlineStr">
        <is>
          <t>DRHP</t>
        </is>
      </c>
      <c r="F2041" s="15" t="inlineStr">
        <is>
          <t>Emkay Share and Stock Brokers Limited</t>
        </is>
      </c>
      <c r="G2041" s="15" t="inlineStr">
        <is>
          <t>No launched IPO found</t>
        </is>
      </c>
      <c r="H2041" s="15" t="n"/>
      <c r="I2041" s="16" t="n"/>
      <c r="J2041" s="16" t="n"/>
      <c r="K2041" s="16" t="n"/>
      <c r="L2041" s="17" t="n"/>
      <c r="M2041" s="17" t="n"/>
      <c r="N2041" s="17" t="n"/>
      <c r="O2041" s="15" t="n"/>
      <c r="P2041" s="15" t="n"/>
      <c r="Q2041" s="18" t="inlineStr">
        <is>
          <t>https://www.sebi.gov.in/sebi_data/attachdocs/1292385686437.pdf</t>
        </is>
      </c>
      <c r="R2041" s="18" t="inlineStr">
        <is>
          <t>https://www.sebi.gov.in/filings/public-issues/feb-2006/emkay-share-and-stock-brokers-limited_10864.html</t>
        </is>
      </c>
      <c r="S2041" s="15" t="n"/>
      <c r="T2041" s="15" t="n"/>
      <c r="U2041" s="15" t="n"/>
      <c r="V2041" s="15" t="n"/>
      <c r="W2041" s="19" t="n">
        <v>38807</v>
      </c>
      <c r="X2041" s="19" t="n">
        <v>38814</v>
      </c>
      <c r="Y2041" s="19" t="n"/>
      <c r="Z2041" s="20" t="inlineStr">
        <is>
          <t>Issue opened</t>
        </is>
      </c>
      <c r="AA2041" s="15" t="inlineStr">
        <is>
          <t>Matched on chittorgarh.com</t>
        </is>
      </c>
      <c r="AB2041" s="18" t="inlineStr">
        <is>
          <t>https://www.chittorgarh.com/ipo/emkay-share-stock-brokers-ipo/2912/</t>
        </is>
      </c>
    </row>
    <row r="2042" ht="15" customHeight="1" s="12">
      <c r="A2042" s="14" t="n">
        <v>2041</v>
      </c>
      <c r="B2042" s="16" t="n">
        <v>38762</v>
      </c>
      <c r="C2042" s="15" t="n">
        <v>2006</v>
      </c>
      <c r="D2042" s="15" t="inlineStr">
        <is>
          <t>MSPL Limited</t>
        </is>
      </c>
      <c r="E2042" s="15" t="inlineStr">
        <is>
          <t>DRHP</t>
        </is>
      </c>
      <c r="F2042" s="15" t="inlineStr">
        <is>
          <t>MSPL Limited</t>
        </is>
      </c>
      <c r="G2042" s="15" t="inlineStr">
        <is>
          <t>No launched IPO found</t>
        </is>
      </c>
      <c r="H2042" s="15" t="n"/>
      <c r="I2042" s="16" t="n"/>
      <c r="J2042" s="16" t="n"/>
      <c r="K2042" s="16" t="n"/>
      <c r="L2042" s="17" t="n"/>
      <c r="M2042" s="17" t="n"/>
      <c r="N2042" s="17" t="n"/>
      <c r="O2042" s="15" t="n"/>
      <c r="P2042" s="15" t="n"/>
      <c r="Q2042" s="18" t="inlineStr">
        <is>
          <t>https://www.sebi.gov.in/sebi_data/attachdocs/1292386435598.pdf</t>
        </is>
      </c>
      <c r="R2042" s="18" t="inlineStr">
        <is>
          <t>https://www.sebi.gov.in/filings/public-issues/feb-2006/mspl-limited_10868.html</t>
        </is>
      </c>
      <c r="S2042" s="15" t="n"/>
      <c r="T2042" s="15" t="n"/>
      <c r="U2042" s="15" t="n"/>
      <c r="V2042" s="15" t="n"/>
      <c r="W2042" s="16" t="n"/>
      <c r="X2042" s="16" t="n"/>
      <c r="Y2042" s="16" t="n"/>
      <c r="Z2042" s="15" t="inlineStr">
        <is>
          <t>No issue found</t>
        </is>
      </c>
      <c r="AA2042" s="15" t="inlineStr">
        <is>
          <t>Baldota iron-ore co; IPO planned for 2007 (IFC) but never happened; unlisted</t>
        </is>
      </c>
      <c r="AB2042" s="18" t="inlineStr">
        <is>
          <t>https://disclosures.ifc.org/project-detail/SPI/25115/mspl-limited</t>
        </is>
      </c>
    </row>
    <row r="2043" ht="15" customHeight="1" s="12">
      <c r="A2043" s="14" t="n">
        <v>2042</v>
      </c>
      <c r="B2043" s="16" t="n">
        <v>38762</v>
      </c>
      <c r="C2043" s="15" t="n">
        <v>2006</v>
      </c>
      <c r="D2043" s="15" t="inlineStr">
        <is>
          <t>Sun TV Limited</t>
        </is>
      </c>
      <c r="E2043" s="15" t="inlineStr">
        <is>
          <t>DRHP</t>
        </is>
      </c>
      <c r="F2043" s="15" t="inlineStr">
        <is>
          <t>Sun TV Limited</t>
        </is>
      </c>
      <c r="G2043" s="15" t="inlineStr">
        <is>
          <t>No launched IPO found</t>
        </is>
      </c>
      <c r="H2043" s="15" t="n"/>
      <c r="I2043" s="16" t="n"/>
      <c r="J2043" s="16" t="n"/>
      <c r="K2043" s="16" t="n"/>
      <c r="L2043" s="17" t="n"/>
      <c r="M2043" s="17" t="n"/>
      <c r="N2043" s="17" t="n"/>
      <c r="O2043" s="15" t="n"/>
      <c r="P2043" s="15" t="n"/>
      <c r="Q2043" s="18" t="inlineStr">
        <is>
          <t>https://www.sebi.gov.in/sebi_data/attachdocs/1292386175148.pdf</t>
        </is>
      </c>
      <c r="R2043" s="18" t="inlineStr">
        <is>
          <t>https://www.sebi.gov.in/filings/public-issues/feb-2006/sun-tv-limited_10867.html</t>
        </is>
      </c>
      <c r="S2043" s="15" t="n"/>
      <c r="T2043" s="15" t="n"/>
      <c r="U2043" s="15" t="n"/>
      <c r="V2043" s="15" t="n"/>
      <c r="W2043" s="19" t="n">
        <v>38810</v>
      </c>
      <c r="X2043" s="19" t="n">
        <v>38814</v>
      </c>
      <c r="Y2043" s="19" t="n"/>
      <c r="Z2043" s="20" t="inlineStr">
        <is>
          <t>Issue opened</t>
        </is>
      </c>
      <c r="AA2043" s="15" t="inlineStr">
        <is>
          <t>Matched on chittorgarh.com</t>
        </is>
      </c>
      <c r="AB2043" s="18" t="inlineStr">
        <is>
          <t>https://www.chittorgarh.com/ipo/sun-tv-ipo/2915/</t>
        </is>
      </c>
    </row>
    <row r="2044" ht="15" customHeight="1" s="12">
      <c r="A2044" s="14" t="n">
        <v>2043</v>
      </c>
      <c r="B2044" s="16" t="n">
        <v>38758</v>
      </c>
      <c r="C2044" s="15" t="n">
        <v>2006</v>
      </c>
      <c r="D2044" s="15" t="inlineStr">
        <is>
          <t>Godawari Power and Ispat Limited</t>
        </is>
      </c>
      <c r="E2044" s="15" t="inlineStr">
        <is>
          <t>DRHP</t>
        </is>
      </c>
      <c r="F2044" s="15" t="inlineStr">
        <is>
          <t>Godawari Power and Ispat Limited -PDF</t>
        </is>
      </c>
      <c r="G2044" s="15" t="inlineStr">
        <is>
          <t>No launched IPO found</t>
        </is>
      </c>
      <c r="H2044" s="15" t="n"/>
      <c r="I2044" s="16" t="n"/>
      <c r="J2044" s="16" t="n"/>
      <c r="K2044" s="16" t="n"/>
      <c r="L2044" s="17" t="n"/>
      <c r="M2044" s="17" t="n"/>
      <c r="N2044" s="17" t="n"/>
      <c r="O2044" s="15" t="n"/>
      <c r="P2044" s="15" t="n"/>
      <c r="Q2044" s="18" t="inlineStr">
        <is>
          <t>https://www.sebi.gov.in/sebi_data/attachdocs/1292385133799.pdf</t>
        </is>
      </c>
      <c r="R2044" s="18" t="inlineStr">
        <is>
          <t>https://www.sebi.gov.in/filings/public-issues/feb-2006/godawari-power-and-ispat-limited-pdf_10862.html</t>
        </is>
      </c>
      <c r="S2044" s="15" t="n"/>
      <c r="T2044" s="15" t="n"/>
      <c r="U2044" s="15" t="n"/>
      <c r="V2044" s="15" t="n"/>
      <c r="W2044" s="19" t="n">
        <v>38804</v>
      </c>
      <c r="X2044" s="19" t="n">
        <v>38811</v>
      </c>
      <c r="Y2044" s="19" t="n"/>
      <c r="Z2044" s="20" t="inlineStr">
        <is>
          <t>Issue opened</t>
        </is>
      </c>
      <c r="AA2044" s="15" t="inlineStr">
        <is>
          <t>Matched on chittorgarh.com</t>
        </is>
      </c>
      <c r="AB2044" s="18" t="inlineStr">
        <is>
          <t>https://www.chittorgarh.com/ipo/godawari-power-ispat-ipo/2910/</t>
        </is>
      </c>
    </row>
    <row r="2045" ht="15" customHeight="1" s="12">
      <c r="A2045" s="14" t="n">
        <v>2044</v>
      </c>
      <c r="B2045" s="16" t="n">
        <v>38758</v>
      </c>
      <c r="C2045" s="15" t="n">
        <v>2006</v>
      </c>
      <c r="D2045" s="15" t="inlineStr">
        <is>
          <t>Manga Capsules Limited</t>
        </is>
      </c>
      <c r="E2045" s="15" t="inlineStr">
        <is>
          <t>DRHP</t>
        </is>
      </c>
      <c r="F2045" s="15" t="inlineStr">
        <is>
          <t>Manga Capsules Limited - PDF</t>
        </is>
      </c>
      <c r="G2045" s="15" t="inlineStr">
        <is>
          <t>No launched IPO found</t>
        </is>
      </c>
      <c r="H2045" s="15" t="n"/>
      <c r="I2045" s="16" t="n"/>
      <c r="J2045" s="16" t="n"/>
      <c r="K2045" s="16" t="n"/>
      <c r="L2045" s="17" t="n"/>
      <c r="M2045" s="17" t="n"/>
      <c r="N2045" s="17" t="n"/>
      <c r="O2045" s="15" t="n"/>
      <c r="P2045" s="15" t="n"/>
      <c r="Q2045" s="18" t="inlineStr">
        <is>
          <t>https://www.sebi.gov.in/sebi_data/attachdocs/1292385060887.pdf</t>
        </is>
      </c>
      <c r="R2045" s="18" t="inlineStr">
        <is>
          <t>https://www.sebi.gov.in/filings/public-issues/feb-2006/manga-capsules-limited-pdf_10861.html</t>
        </is>
      </c>
      <c r="S2045" s="15" t="n"/>
      <c r="T2045" s="15" t="n"/>
      <c r="U2045" s="15" t="n"/>
      <c r="V2045" s="15" t="n"/>
      <c r="W2045" s="16" t="n"/>
      <c r="X2045" s="16" t="n"/>
      <c r="Y2045" s="16" t="n"/>
      <c r="Z2045" s="15" t="inlineStr">
        <is>
          <t>No issue found</t>
        </is>
      </c>
      <c r="AA2045" s="15" t="inlineStr">
        <is>
          <t>Business Standard lists the company but shows no issue dates; web search limit reached</t>
        </is>
      </c>
      <c r="AB2045" s="18" t="inlineStr">
        <is>
          <t>https://www.business-standard.com/markets/ipo/manga-capsules-ltd-ipo-27279</t>
        </is>
      </c>
    </row>
    <row r="2046" ht="15" customHeight="1" s="12">
      <c r="A2046" s="14" t="n">
        <v>2045</v>
      </c>
      <c r="B2046" s="16" t="n">
        <v>38754</v>
      </c>
      <c r="C2046" s="15" t="n">
        <v>2006</v>
      </c>
      <c r="D2046" s="15" t="inlineStr">
        <is>
          <t>R Systems International Limited</t>
        </is>
      </c>
      <c r="E2046" s="15" t="inlineStr">
        <is>
          <t>DRHP</t>
        </is>
      </c>
      <c r="F2046" s="15" t="inlineStr">
        <is>
          <t>R Systems International Limited - PDF</t>
        </is>
      </c>
      <c r="G2046" s="15" t="inlineStr">
        <is>
          <t>No launched IPO found</t>
        </is>
      </c>
      <c r="H2046" s="15" t="n"/>
      <c r="I2046" s="16" t="n"/>
      <c r="J2046" s="16" t="n"/>
      <c r="K2046" s="16" t="n"/>
      <c r="L2046" s="17" t="n"/>
      <c r="M2046" s="17" t="n"/>
      <c r="N2046" s="17" t="n"/>
      <c r="O2046" s="15" t="n"/>
      <c r="P2046" s="15" t="n"/>
      <c r="Q2046" s="18" t="inlineStr">
        <is>
          <t>https://www.sebi.gov.in/sebi_data/attachdocs/1292384961613.pdf</t>
        </is>
      </c>
      <c r="R2046" s="18" t="inlineStr">
        <is>
          <t>https://www.sebi.gov.in/filings/public-issues/feb-2006/r-systems-international-limited-pdf_10859.html</t>
        </is>
      </c>
      <c r="S2046" s="15" t="n"/>
      <c r="T2046" s="15" t="n"/>
      <c r="U2046" s="15" t="n"/>
      <c r="V2046" s="15" t="n"/>
      <c r="W2046" s="19" t="n">
        <v>38804</v>
      </c>
      <c r="X2046" s="19" t="n">
        <v>38807</v>
      </c>
      <c r="Y2046" s="19" t="n"/>
      <c r="Z2046" s="20" t="inlineStr">
        <is>
          <t>Issue opened</t>
        </is>
      </c>
      <c r="AA2046" s="15" t="inlineStr">
        <is>
          <t>Matched on chittorgarh.com</t>
        </is>
      </c>
      <c r="AB2046" s="18" t="inlineStr">
        <is>
          <t>https://www.chittorgarh.com/ipo/r-systems-international-ipo/2911/</t>
        </is>
      </c>
    </row>
    <row r="2047" ht="15" customHeight="1" s="12">
      <c r="A2047" s="14" t="n">
        <v>2046</v>
      </c>
      <c r="B2047" s="16" t="n">
        <v>38751</v>
      </c>
      <c r="C2047" s="15" t="n">
        <v>2006</v>
      </c>
      <c r="D2047" s="15" t="inlineStr">
        <is>
          <t>Indowind Energy Limited</t>
        </is>
      </c>
      <c r="E2047" s="15" t="inlineStr">
        <is>
          <t>DRHP</t>
        </is>
      </c>
      <c r="F2047" s="15" t="inlineStr">
        <is>
          <t>Indowind Energy Limited</t>
        </is>
      </c>
      <c r="G2047" s="15" t="inlineStr">
        <is>
          <t>IPO launched</t>
        </is>
      </c>
      <c r="H2047" s="15" t="inlineStr">
        <is>
          <t>Mainboard</t>
        </is>
      </c>
      <c r="I2047" s="16" t="n">
        <v>39315</v>
      </c>
      <c r="J2047" s="16" t="n">
        <v>39318</v>
      </c>
      <c r="K2047" s="16" t="n">
        <v>39339</v>
      </c>
      <c r="L2047" s="17" t="n">
        <v>81.25</v>
      </c>
      <c r="M2047" s="17" t="n">
        <v>81.25</v>
      </c>
      <c r="N2047" s="17" t="n">
        <v>0</v>
      </c>
      <c r="O2047" s="15" t="inlineStr">
        <is>
          <t>Final issue (ipoplatform)</t>
        </is>
      </c>
      <c r="P2047" s="15" t="n"/>
      <c r="Q2047" s="18" t="inlineStr">
        <is>
          <t>https://www.sebi.gov.in/sebi_data/attachdocs/1292384635241.pdf</t>
        </is>
      </c>
      <c r="R2047" s="18" t="inlineStr">
        <is>
          <t>https://www.sebi.gov.in/filings/public-issues/feb-2006/indowind-energy-limited_10855.html</t>
        </is>
      </c>
      <c r="S2047" s="15" t="n"/>
      <c r="T2047" s="15" t="inlineStr">
        <is>
          <t>Company name + date window</t>
        </is>
      </c>
      <c r="U2047" s="15" t="inlineStr">
        <is>
          <t>Indowind Energy Limited</t>
        </is>
      </c>
      <c r="V2047" s="15" t="n"/>
      <c r="W2047" s="15" t="n"/>
      <c r="X2047" s="15" t="n"/>
      <c r="Y2047" s="15" t="n"/>
      <c r="Z2047" s="15" t="n"/>
      <c r="AA2047" s="15" t="n"/>
      <c r="AB2047" s="15" t="n"/>
    </row>
    <row r="2048" ht="15" customHeight="1" s="12">
      <c r="A2048" s="14" t="n">
        <v>2047</v>
      </c>
      <c r="B2048" s="16" t="n">
        <v>38750</v>
      </c>
      <c r="C2048" s="15" t="n">
        <v>2006</v>
      </c>
      <c r="D2048" s="15" t="inlineStr">
        <is>
          <t>Gayatri Projects Ltd</t>
        </is>
      </c>
      <c r="E2048" s="15" t="inlineStr">
        <is>
          <t>DRHP</t>
        </is>
      </c>
      <c r="F2048" s="15" t="inlineStr">
        <is>
          <t>Gayatri Projects Ltd</t>
        </is>
      </c>
      <c r="G2048" s="15" t="inlineStr">
        <is>
          <t>IPO launched</t>
        </is>
      </c>
      <c r="H2048" s="15" t="inlineStr">
        <is>
          <t>Mainboard</t>
        </is>
      </c>
      <c r="I2048" s="16" t="n">
        <v>38986</v>
      </c>
      <c r="J2048" s="16" t="n">
        <v>38989</v>
      </c>
      <c r="K2048" s="16" t="n">
        <v>39007</v>
      </c>
      <c r="L2048" s="17" t="n">
        <v>85.55</v>
      </c>
      <c r="M2048" s="17" t="n">
        <v>85.55</v>
      </c>
      <c r="N2048" s="17" t="n">
        <v>0</v>
      </c>
      <c r="O2048" s="15" t="inlineStr">
        <is>
          <t>Final issue (ipoplatform)</t>
        </is>
      </c>
      <c r="P2048" s="15" t="n"/>
      <c r="Q2048" s="18" t="inlineStr">
        <is>
          <t>https://www.sebi.gov.in/sebi_data/attachdocs/1292384025598.pdf</t>
        </is>
      </c>
      <c r="R2048" s="18" t="inlineStr">
        <is>
          <t>https://www.sebi.gov.in/filings/public-issues/feb-2006/gayatri-projects-ltd_10852.html</t>
        </is>
      </c>
      <c r="S2048" s="15" t="n"/>
      <c r="T2048" s="15" t="inlineStr">
        <is>
          <t>SEBI filing link</t>
        </is>
      </c>
      <c r="U2048" s="15" t="inlineStr">
        <is>
          <t>Gayatri Projects Limited</t>
        </is>
      </c>
      <c r="V2048" s="15" t="n"/>
      <c r="W2048" s="15" t="n"/>
      <c r="X2048" s="15" t="n"/>
      <c r="Y2048" s="15" t="n"/>
      <c r="Z2048" s="15" t="n"/>
      <c r="AA2048" s="15" t="n"/>
      <c r="AB2048" s="15" t="n"/>
    </row>
    <row r="2049" ht="15" customHeight="1" s="12">
      <c r="A2049" s="14" t="n">
        <v>2048</v>
      </c>
      <c r="B2049" s="16" t="n">
        <v>38750</v>
      </c>
      <c r="C2049" s="15" t="n">
        <v>2006</v>
      </c>
      <c r="D2049" s="15" t="inlineStr">
        <is>
          <t>Lawreshwar Polymers Ltd</t>
        </is>
      </c>
      <c r="E2049" s="15" t="inlineStr">
        <is>
          <t>DRHP</t>
        </is>
      </c>
      <c r="F2049" s="15" t="inlineStr">
        <is>
          <t>Lawreshwar Polymers Ltd</t>
        </is>
      </c>
      <c r="G2049" s="15" t="inlineStr">
        <is>
          <t>IPO launched</t>
        </is>
      </c>
      <c r="H2049" s="15" t="inlineStr">
        <is>
          <t>Mainboard</t>
        </is>
      </c>
      <c r="I2049" s="16" t="n">
        <v>39118</v>
      </c>
      <c r="J2049" s="16" t="n">
        <v>39121</v>
      </c>
      <c r="K2049" s="16" t="n">
        <v>39160</v>
      </c>
      <c r="L2049" s="17" t="n">
        <v>13.94</v>
      </c>
      <c r="M2049" s="17" t="n">
        <v>13.94</v>
      </c>
      <c r="N2049" s="17" t="n">
        <v>0</v>
      </c>
      <c r="O2049" s="15" t="inlineStr">
        <is>
          <t>Final issue (ipoplatform)</t>
        </is>
      </c>
      <c r="P2049" s="15" t="n"/>
      <c r="Q2049" s="18" t="inlineStr">
        <is>
          <t>https://www.sebi.gov.in/sebi_data/attachdocs/1292383426550.pdf</t>
        </is>
      </c>
      <c r="R2049" s="18" t="inlineStr">
        <is>
          <t>https://www.sebi.gov.in/filings/public-issues/feb-2006/lawreshwar-polymers-ltd_10848.html</t>
        </is>
      </c>
      <c r="S2049" s="15" t="n"/>
      <c r="T2049" s="15" t="inlineStr">
        <is>
          <t>SEBI filing link</t>
        </is>
      </c>
      <c r="U2049" s="15" t="inlineStr">
        <is>
          <t>Lawreshwar Polymers Limited</t>
        </is>
      </c>
      <c r="V2049" s="15" t="n"/>
      <c r="W2049" s="15" t="n"/>
      <c r="X2049" s="15" t="n"/>
      <c r="Y2049" s="15" t="n"/>
      <c r="Z2049" s="15" t="n"/>
      <c r="AA2049" s="15" t="n"/>
      <c r="AB2049" s="15" t="n"/>
    </row>
    <row r="2050" ht="15" customHeight="1" s="12">
      <c r="A2050" s="14" t="n">
        <v>2049</v>
      </c>
      <c r="B2050" s="16" t="n">
        <v>38749</v>
      </c>
      <c r="C2050" s="15" t="n">
        <v>2006</v>
      </c>
      <c r="D2050" s="15" t="inlineStr">
        <is>
          <t>Janki Corp Limited</t>
        </is>
      </c>
      <c r="E2050" s="15" t="inlineStr">
        <is>
          <t>DRHP</t>
        </is>
      </c>
      <c r="F2050" s="15" t="inlineStr">
        <is>
          <t>Janki Corp Limited</t>
        </is>
      </c>
      <c r="G2050" s="15" t="inlineStr">
        <is>
          <t>No launched IPO found</t>
        </is>
      </c>
      <c r="H2050" s="15" t="n"/>
      <c r="I2050" s="16" t="n"/>
      <c r="J2050" s="16" t="n"/>
      <c r="K2050" s="16" t="n"/>
      <c r="L2050" s="17" t="n"/>
      <c r="M2050" s="17" t="n"/>
      <c r="N2050" s="17" t="n"/>
      <c r="O2050" s="15" t="n"/>
      <c r="P2050" s="15" t="n"/>
      <c r="Q2050" s="18" t="inlineStr">
        <is>
          <t>https://www.sebi.gov.in/sebi_data/attachdocs/1292383179128.pdf</t>
        </is>
      </c>
      <c r="R2050" s="18" t="inlineStr">
        <is>
          <t>https://www.sebi.gov.in/filings/public-issues/feb-2006/janki-corp-limited_10846.html</t>
        </is>
      </c>
      <c r="S2050" s="15" t="n"/>
      <c r="T2050" s="15" t="n"/>
      <c r="U2050" s="15" t="n"/>
      <c r="V2050" s="15" t="n"/>
      <c r="W2050" s="16" t="n"/>
      <c r="X2050" s="16" t="n"/>
      <c r="Y2050" s="16" t="n"/>
      <c r="Z2050" s="15" t="inlineStr">
        <is>
          <t>No issue found</t>
        </is>
      </c>
      <c r="AA2050" s="15" t="inlineStr">
        <is>
          <t>Business Standard lists the company but shows no issue dates; web search limit reached</t>
        </is>
      </c>
      <c r="AB2050" s="18" t="inlineStr">
        <is>
          <t>https://www.business-standard.com/markets/ipo/janki-corp-ltd-ipo-27274</t>
        </is>
      </c>
    </row>
    <row r="2051" ht="15" customHeight="1" s="12">
      <c r="A2051" s="14" t="n">
        <v>2050</v>
      </c>
      <c r="B2051" s="16" t="n">
        <v>38749</v>
      </c>
      <c r="C2051" s="15" t="n">
        <v>2006</v>
      </c>
      <c r="D2051" s="15" t="inlineStr">
        <is>
          <t>Sunstar Overseas Ltd</t>
        </is>
      </c>
      <c r="E2051" s="15" t="inlineStr">
        <is>
          <t>DRHP</t>
        </is>
      </c>
      <c r="F2051" s="15" t="inlineStr">
        <is>
          <t>Sunstar Overseas Ltd</t>
        </is>
      </c>
      <c r="G2051" s="15" t="inlineStr">
        <is>
          <t>No launched IPO found</t>
        </is>
      </c>
      <c r="H2051" s="15" t="n"/>
      <c r="I2051" s="16" t="n"/>
      <c r="J2051" s="16" t="n"/>
      <c r="K2051" s="16" t="n"/>
      <c r="L2051" s="17" t="n"/>
      <c r="M2051" s="17" t="n"/>
      <c r="N2051" s="17" t="n"/>
      <c r="O2051" s="15" t="n"/>
      <c r="P2051" s="15" t="n"/>
      <c r="Q2051" s="18" t="inlineStr">
        <is>
          <t>https://www.sebi.gov.in/sebi_data/attachdocs/1292383281348.pdf</t>
        </is>
      </c>
      <c r="R2051" s="18" t="inlineStr">
        <is>
          <t>https://www.sebi.gov.in/filings/public-issues/feb-2006/sunstar-overseas-ltd_10847.html</t>
        </is>
      </c>
      <c r="S2051" s="15" t="n"/>
      <c r="T2051" s="15" t="n"/>
      <c r="U2051" s="15" t="n"/>
      <c r="V2051" s="15" t="n"/>
      <c r="W2051" s="16" t="n"/>
      <c r="X2051" s="16" t="n"/>
      <c r="Y2051" s="16" t="n"/>
      <c r="Z2051" s="15" t="inlineStr">
        <is>
          <t>No issue found</t>
        </is>
      </c>
      <c r="AA2051" s="15" t="inlineStr">
        <is>
          <t>Business Standard lists the company but shows no issue dates; web search limit reached</t>
        </is>
      </c>
      <c r="AB2051" s="18" t="inlineStr">
        <is>
          <t>https://www.business-standard.com/markets/ipo/sunstar-overseas-ltd-ipo-20153</t>
        </is>
      </c>
    </row>
    <row r="2052" ht="15" customHeight="1" s="12">
      <c r="A2052" s="14" t="n">
        <v>2051</v>
      </c>
      <c r="B2052" s="16" t="n">
        <v>38748</v>
      </c>
      <c r="C2052" s="15" t="n">
        <v>2006</v>
      </c>
      <c r="D2052" s="15" t="inlineStr">
        <is>
          <t>Deccan Aviation Limited</t>
        </is>
      </c>
      <c r="E2052" s="15" t="inlineStr">
        <is>
          <t>DRHP</t>
        </is>
      </c>
      <c r="F2052" s="15" t="inlineStr">
        <is>
          <t>Deccan Aviation Limited</t>
        </is>
      </c>
      <c r="G2052" s="15" t="inlineStr">
        <is>
          <t>No launched IPO found</t>
        </is>
      </c>
      <c r="H2052" s="15" t="n"/>
      <c r="I2052" s="16" t="n"/>
      <c r="J2052" s="16" t="n"/>
      <c r="K2052" s="16" t="n"/>
      <c r="L2052" s="17" t="n"/>
      <c r="M2052" s="17" t="n"/>
      <c r="N2052" s="17" t="n"/>
      <c r="O2052" s="15" t="n"/>
      <c r="P2052" s="15" t="n"/>
      <c r="Q2052" s="18" t="inlineStr">
        <is>
          <t>https://www.sebi.gov.in/sebi_data/attachdocs/1292413982354.pdf</t>
        </is>
      </c>
      <c r="R2052" s="18" t="inlineStr">
        <is>
          <t>https://www.sebi.gov.in/filings/public-issues/jan-2006/deccan-aviation-limited_11110.html</t>
        </is>
      </c>
      <c r="S2052" s="15" t="n"/>
      <c r="T2052" s="15" t="n"/>
      <c r="U2052" s="15" t="n"/>
      <c r="V2052" s="15" t="n"/>
      <c r="W2052" s="19" t="n">
        <v>38855</v>
      </c>
      <c r="X2052" s="19" t="n">
        <v>38863</v>
      </c>
      <c r="Y2052" s="19" t="n"/>
      <c r="Z2052" s="20" t="inlineStr">
        <is>
          <t>Issue opened</t>
        </is>
      </c>
      <c r="AA2052" s="15" t="inlineStr">
        <is>
          <t>Matched on chittorgarh.com</t>
        </is>
      </c>
      <c r="AB2052" s="18" t="inlineStr">
        <is>
          <t>https://www.chittorgarh.com/ipo/deccan-aviation-ipo/2923/</t>
        </is>
      </c>
    </row>
    <row r="2053" ht="15" customHeight="1" s="12">
      <c r="A2053" s="14" t="n">
        <v>2052</v>
      </c>
      <c r="B2053" s="16" t="n">
        <v>38747</v>
      </c>
      <c r="C2053" s="15" t="n">
        <v>2006</v>
      </c>
      <c r="D2053" s="15" t="inlineStr">
        <is>
          <t>Gangotri Textiles Ltd</t>
        </is>
      </c>
      <c r="E2053" s="15" t="inlineStr">
        <is>
          <t>DRHP</t>
        </is>
      </c>
      <c r="F2053" s="15" t="inlineStr">
        <is>
          <t>Gangotri Textiles Ltd</t>
        </is>
      </c>
      <c r="G2053" s="15" t="inlineStr">
        <is>
          <t>No launched IPO found</t>
        </is>
      </c>
      <c r="H2053" s="15" t="n"/>
      <c r="I2053" s="16" t="n"/>
      <c r="J2053" s="16" t="n"/>
      <c r="K2053" s="16" t="n"/>
      <c r="L2053" s="17" t="n"/>
      <c r="M2053" s="17" t="n"/>
      <c r="N2053" s="17" t="n"/>
      <c r="O2053" s="15" t="n"/>
      <c r="P2053" s="15" t="n"/>
      <c r="Q2053" s="18" t="inlineStr">
        <is>
          <t>https://www.sebi.gov.in/sebi_data/attachdocs/1292413783985.pdf</t>
        </is>
      </c>
      <c r="R2053" s="18" t="inlineStr">
        <is>
          <t>https://www.sebi.gov.in/filings/public-issues/jan-2006/gangotri-textiles-ltd_11107.html</t>
        </is>
      </c>
      <c r="S2053" s="15" t="n"/>
      <c r="T2053" s="15" t="n"/>
      <c r="U2053" s="15" t="n"/>
      <c r="V2053" s="15" t="n"/>
      <c r="W2053" s="19" t="n">
        <v>38855</v>
      </c>
      <c r="X2053" s="19" t="n">
        <v>38860</v>
      </c>
      <c r="Y2053" s="19" t="n">
        <v>38880</v>
      </c>
      <c r="Z2053" s="20" t="inlineStr">
        <is>
          <t>Issue opened</t>
        </is>
      </c>
      <c r="AA2053" s="15" t="inlineStr">
        <is>
          <t>Business Standard IPO page</t>
        </is>
      </c>
      <c r="AB2053" s="18" t="inlineStr">
        <is>
          <t>https://www.business-standard.com/markets/ipo/gangotri-textiles-ltd-ipo-4031</t>
        </is>
      </c>
    </row>
    <row r="2054" ht="15" customHeight="1" s="12">
      <c r="A2054" s="14" t="n">
        <v>2053</v>
      </c>
      <c r="B2054" s="16" t="n">
        <v>38747</v>
      </c>
      <c r="C2054" s="15" t="n">
        <v>2006</v>
      </c>
      <c r="D2054" s="15" t="inlineStr">
        <is>
          <t>Supreme Infrastructure India Ltd</t>
        </is>
      </c>
      <c r="E2054" s="15" t="inlineStr">
        <is>
          <t>DRHP</t>
        </is>
      </c>
      <c r="F2054" s="15" t="inlineStr">
        <is>
          <t>Supreme Infrastructure India Ltd</t>
        </is>
      </c>
      <c r="G2054" s="15" t="inlineStr">
        <is>
          <t>IPO launched</t>
        </is>
      </c>
      <c r="H2054" s="15" t="inlineStr">
        <is>
          <t>Mainboard</t>
        </is>
      </c>
      <c r="I2054" s="16" t="n">
        <v>39346</v>
      </c>
      <c r="J2054" s="16" t="n">
        <v>39351</v>
      </c>
      <c r="K2054" s="16" t="n">
        <v>39373</v>
      </c>
      <c r="L2054" s="17" t="n">
        <v>37.53</v>
      </c>
      <c r="M2054" s="17" t="n">
        <v>37.53</v>
      </c>
      <c r="N2054" s="17" t="n">
        <v>0</v>
      </c>
      <c r="O2054" s="15" t="inlineStr">
        <is>
          <t>Final issue (ipoplatform)</t>
        </is>
      </c>
      <c r="P2054" s="15" t="n"/>
      <c r="Q2054" s="18" t="inlineStr">
        <is>
          <t>https://www.sebi.gov.in/sebi_data/attachdocs/1292413889728.pdf</t>
        </is>
      </c>
      <c r="R2054" s="18" t="inlineStr">
        <is>
          <t>https://www.sebi.gov.in/filings/public-issues/jan-2006/supreme-infrastructure-india-ltd_11108.html</t>
        </is>
      </c>
      <c r="S2054" s="15" t="n"/>
      <c r="T2054" s="15" t="inlineStr">
        <is>
          <t>Company name + date window</t>
        </is>
      </c>
      <c r="U2054" s="15" t="inlineStr">
        <is>
          <t>Supreme Infrastructure India Limited</t>
        </is>
      </c>
      <c r="V2054" s="15" t="n"/>
      <c r="W2054" s="15" t="n"/>
      <c r="X2054" s="15" t="n"/>
      <c r="Y2054" s="15" t="n"/>
      <c r="Z2054" s="15" t="n"/>
      <c r="AA2054" s="15" t="n"/>
      <c r="AB2054" s="15" t="n"/>
    </row>
    <row r="2055" ht="15" customHeight="1" s="12">
      <c r="A2055" s="14" t="n">
        <v>2054</v>
      </c>
      <c r="B2055" s="16" t="n">
        <v>38744</v>
      </c>
      <c r="C2055" s="15" t="n">
        <v>2006</v>
      </c>
      <c r="D2055" s="15" t="inlineStr">
        <is>
          <t>Tantia Constructions Ltd</t>
        </is>
      </c>
      <c r="E2055" s="15" t="inlineStr">
        <is>
          <t>DRHP</t>
        </is>
      </c>
      <c r="F2055" s="15" t="inlineStr">
        <is>
          <t>Tantia Constructions Ltd</t>
        </is>
      </c>
      <c r="G2055" s="15" t="inlineStr">
        <is>
          <t>No launched IPO found</t>
        </is>
      </c>
      <c r="H2055" s="15" t="n"/>
      <c r="I2055" s="16" t="n"/>
      <c r="J2055" s="16" t="n"/>
      <c r="K2055" s="16" t="n"/>
      <c r="L2055" s="17" t="n"/>
      <c r="M2055" s="17" t="n"/>
      <c r="N2055" s="17" t="n"/>
      <c r="O2055" s="15" t="n"/>
      <c r="P2055" s="15" t="n"/>
      <c r="Q2055" s="18" t="inlineStr">
        <is>
          <t>https://www.sebi.gov.in/sebi_data/attachdocs/1292412123395.pdf</t>
        </is>
      </c>
      <c r="R2055" s="18" t="inlineStr">
        <is>
          <t>https://www.sebi.gov.in/filings/public-issues/jan-2006/tantia-constructions-ltd_11101.html</t>
        </is>
      </c>
      <c r="S2055" s="15" t="n"/>
      <c r="T2055" s="15" t="n"/>
      <c r="U2055" s="15" t="n"/>
      <c r="V2055" s="15" t="n"/>
      <c r="W2055" s="19" t="n">
        <v>38803</v>
      </c>
      <c r="X2055" s="19" t="n">
        <v>38807</v>
      </c>
      <c r="Y2055" s="19" t="n">
        <v>38835</v>
      </c>
      <c r="Z2055" s="20" t="inlineStr">
        <is>
          <t>Issue opened</t>
        </is>
      </c>
      <c r="AA2055" s="15" t="inlineStr">
        <is>
          <t>FPO at Rs50, book built; Microsec lead manager</t>
        </is>
      </c>
      <c r="AB2055" s="18" t="inlineStr">
        <is>
          <t>https://www.chittorgarh.com/ipo/tantia-constructions-fpo/2909/</t>
        </is>
      </c>
    </row>
    <row r="2056" ht="15" customHeight="1" s="12">
      <c r="A2056" s="14" t="n">
        <v>2055</v>
      </c>
      <c r="B2056" s="16" t="n">
        <v>38744</v>
      </c>
      <c r="C2056" s="15" t="n">
        <v>2006</v>
      </c>
      <c r="D2056" s="15" t="inlineStr">
        <is>
          <t>Uttam Sugar Mills Ltd</t>
        </is>
      </c>
      <c r="E2056" s="15" t="inlineStr">
        <is>
          <t>DRHP</t>
        </is>
      </c>
      <c r="F2056" s="15" t="inlineStr">
        <is>
          <t>Uttam Sugar Mills Ltd</t>
        </is>
      </c>
      <c r="G2056" s="15" t="inlineStr">
        <is>
          <t>No launched IPO found</t>
        </is>
      </c>
      <c r="H2056" s="15" t="n"/>
      <c r="I2056" s="16" t="n"/>
      <c r="J2056" s="16" t="n"/>
      <c r="K2056" s="16" t="n"/>
      <c r="L2056" s="17" t="n"/>
      <c r="M2056" s="17" t="n"/>
      <c r="N2056" s="17" t="n"/>
      <c r="O2056" s="15" t="n"/>
      <c r="P2056" s="15" t="n"/>
      <c r="Q2056" s="18" t="inlineStr">
        <is>
          <t>https://www.sebi.gov.in/sebi_data/attachdocs/1292412693461.pdf</t>
        </is>
      </c>
      <c r="R2056" s="18" t="inlineStr">
        <is>
          <t>https://www.sebi.gov.in/filings/public-issues/jan-2006/uttam-sugar-mills-ltd_11103.html</t>
        </is>
      </c>
      <c r="S2056" s="15" t="n"/>
      <c r="T2056" s="15" t="n"/>
      <c r="U2056" s="15" t="n"/>
      <c r="V2056" s="15" t="n"/>
      <c r="W2056" s="19" t="n">
        <v>38792</v>
      </c>
      <c r="X2056" s="19" t="n">
        <v>38797</v>
      </c>
      <c r="Y2056" s="19" t="n"/>
      <c r="Z2056" s="20" t="inlineStr">
        <is>
          <t>Issue opened</t>
        </is>
      </c>
      <c r="AA2056" s="15" t="inlineStr">
        <is>
          <t>Matched on chittorgarh.com</t>
        </is>
      </c>
      <c r="AB2056" s="18" t="inlineStr">
        <is>
          <t>https://www.chittorgarh.com/ipo/uttam-sugar-mills-ipo/2905/</t>
        </is>
      </c>
    </row>
    <row r="2057" ht="15" customHeight="1" s="12">
      <c r="A2057" s="14" t="n">
        <v>2056</v>
      </c>
      <c r="B2057" s="16" t="n">
        <v>38742</v>
      </c>
      <c r="C2057" s="15" t="n">
        <v>2006</v>
      </c>
      <c r="D2057" s="15" t="inlineStr">
        <is>
          <t>Shirdi Industries Ltd</t>
        </is>
      </c>
      <c r="E2057" s="15" t="inlineStr">
        <is>
          <t>DRHP</t>
        </is>
      </c>
      <c r="F2057" s="15" t="inlineStr">
        <is>
          <t>Shirdi Industries Ltd</t>
        </is>
      </c>
      <c r="G2057" s="15" t="inlineStr">
        <is>
          <t>No launched IPO found</t>
        </is>
      </c>
      <c r="H2057" s="15" t="n"/>
      <c r="I2057" s="16" t="n"/>
      <c r="J2057" s="16" t="n"/>
      <c r="K2057" s="16" t="n"/>
      <c r="L2057" s="17" t="n"/>
      <c r="M2057" s="17" t="n"/>
      <c r="N2057" s="17" t="n"/>
      <c r="O2057" s="15" t="n"/>
      <c r="P2057" s="15" t="n"/>
      <c r="Q2057" s="18" t="inlineStr">
        <is>
          <t>https://www.sebi.gov.in/sebi_data/attachdocs/1292411489984.pdf</t>
        </is>
      </c>
      <c r="R2057" s="18" t="inlineStr">
        <is>
          <t>https://www.sebi.gov.in/filings/public-issues/jan-2006/shirdi-industries-ltd_11096.html</t>
        </is>
      </c>
      <c r="S2057" s="15" t="n"/>
      <c r="T2057" s="15" t="n"/>
      <c r="U2057" s="15" t="n"/>
      <c r="V2057" s="15" t="n"/>
      <c r="W2057" s="16" t="n"/>
      <c r="X2057" s="16" t="n"/>
      <c r="Y2057" s="16" t="n"/>
      <c r="Z2057" s="15" t="inlineStr">
        <is>
          <t>No issue found</t>
        </is>
      </c>
      <c r="AA2057" s="15" t="inlineStr">
        <is>
          <t>No issue found for the 2006 draft; refiled 2010, SEBI obs Dec 2012 but issue never opened</t>
        </is>
      </c>
      <c r="AB2057" s="18" t="inlineStr">
        <is>
          <t>https://www.sebi.gov.in/sebi_data/commondocs/feb-2020/Issues%20Obs%20Issued%2031012020_p.pdf</t>
        </is>
      </c>
    </row>
    <row r="2058" ht="15" customHeight="1" s="12">
      <c r="A2058" s="14" t="n">
        <v>2057</v>
      </c>
      <c r="B2058" s="16" t="n">
        <v>38741</v>
      </c>
      <c r="C2058" s="15" t="n">
        <v>2006</v>
      </c>
      <c r="D2058" s="15" t="inlineStr">
        <is>
          <t>Bluplast Industries Ltd</t>
        </is>
      </c>
      <c r="E2058" s="15" t="inlineStr">
        <is>
          <t>DRHP</t>
        </is>
      </c>
      <c r="F2058" s="15" t="inlineStr">
        <is>
          <t>Bluplast Industries Ltd</t>
        </is>
      </c>
      <c r="G2058" s="15" t="inlineStr">
        <is>
          <t>No launched IPO found</t>
        </is>
      </c>
      <c r="H2058" s="15" t="n"/>
      <c r="I2058" s="16" t="n"/>
      <c r="J2058" s="16" t="n"/>
      <c r="K2058" s="16" t="n"/>
      <c r="L2058" s="17" t="n"/>
      <c r="M2058" s="17" t="n"/>
      <c r="N2058" s="17" t="n"/>
      <c r="O2058" s="15" t="n"/>
      <c r="P2058" s="15" t="n"/>
      <c r="Q2058" s="18" t="inlineStr">
        <is>
          <t>https://www.sebi.gov.in/sebi_data/attachdocs/1292409704873.pdf</t>
        </is>
      </c>
      <c r="R2058" s="18" t="inlineStr">
        <is>
          <t>https://www.sebi.gov.in/filings/public-issues/jan-2006/bluplast-industries-ltd_11085.html</t>
        </is>
      </c>
      <c r="S2058" s="15" t="n"/>
      <c r="T2058" s="15" t="n"/>
      <c r="U2058" s="15" t="n"/>
      <c r="V2058" s="15" t="n"/>
      <c r="W2058" s="16" t="n"/>
      <c r="X2058" s="16" t="n"/>
      <c r="Y2058" s="16" t="n"/>
      <c r="Z2058" s="15" t="inlineStr">
        <is>
          <t>No issue found</t>
        </is>
      </c>
      <c r="AA2058" s="15" t="inlineStr">
        <is>
          <t>Business Standard lists the company but shows no issue dates; web search limit reached</t>
        </is>
      </c>
      <c r="AB2058" s="18" t="inlineStr">
        <is>
          <t>https://www.business-standard.com/markets/ipo/bluplast-industries-ltd-ipo-27270</t>
        </is>
      </c>
    </row>
    <row r="2059" ht="15" customHeight="1" s="12">
      <c r="A2059" s="14" t="n">
        <v>2058</v>
      </c>
      <c r="B2059" s="16" t="n">
        <v>38740</v>
      </c>
      <c r="C2059" s="15" t="n">
        <v>2006</v>
      </c>
      <c r="D2059" s="15" t="inlineStr">
        <is>
          <t>Lokesh Machines Ltd</t>
        </is>
      </c>
      <c r="E2059" s="15" t="inlineStr">
        <is>
          <t>DRHP</t>
        </is>
      </c>
      <c r="F2059" s="15" t="inlineStr">
        <is>
          <t>Lokesh Machines Ltd</t>
        </is>
      </c>
      <c r="G2059" s="15" t="inlineStr">
        <is>
          <t>No launched IPO found</t>
        </is>
      </c>
      <c r="H2059" s="15" t="n"/>
      <c r="I2059" s="16" t="n"/>
      <c r="J2059" s="16" t="n"/>
      <c r="K2059" s="16" t="n"/>
      <c r="L2059" s="17" t="n"/>
      <c r="M2059" s="17" t="n"/>
      <c r="N2059" s="17" t="n"/>
      <c r="O2059" s="15" t="n"/>
      <c r="P2059" s="15" t="n"/>
      <c r="Q2059" s="18" t="inlineStr">
        <is>
          <t>https://www.sebi.gov.in/sebi_data/attachdocs/1292408839809.pdf</t>
        </is>
      </c>
      <c r="R2059" s="18" t="inlineStr">
        <is>
          <t>https://www.sebi.gov.in/filings/public-issues/jan-2006/lokesh-machines-ltd_11076.html</t>
        </is>
      </c>
      <c r="S2059" s="15" t="n"/>
      <c r="T2059" s="15" t="n"/>
      <c r="U2059" s="15" t="n"/>
      <c r="V2059" s="15" t="n"/>
      <c r="W2059" s="19" t="n">
        <v>38814</v>
      </c>
      <c r="X2059" s="19" t="n">
        <v>38820</v>
      </c>
      <c r="Y2059" s="19" t="n"/>
      <c r="Z2059" s="20" t="inlineStr">
        <is>
          <t>Issue opened</t>
        </is>
      </c>
      <c r="AA2059" s="15" t="inlineStr">
        <is>
          <t>Matched on chittorgarh.com</t>
        </is>
      </c>
      <c r="AB2059" s="18" t="inlineStr">
        <is>
          <t>https://www.chittorgarh.com/ipo/lokesh-machines-ipo/2916/</t>
        </is>
      </c>
    </row>
    <row r="2060" ht="15" customHeight="1" s="12">
      <c r="A2060" s="14" t="n">
        <v>2059</v>
      </c>
      <c r="B2060" s="16" t="n">
        <v>38740</v>
      </c>
      <c r="C2060" s="15" t="n">
        <v>2006</v>
      </c>
      <c r="D2060" s="15" t="inlineStr">
        <is>
          <t>Opto Circuits (India) Ltd</t>
        </is>
      </c>
      <c r="E2060" s="15" t="inlineStr">
        <is>
          <t>DRHP</t>
        </is>
      </c>
      <c r="F2060" s="15" t="inlineStr">
        <is>
          <t>Opto Circuits (India) Ltd</t>
        </is>
      </c>
      <c r="G2060" s="15" t="inlineStr">
        <is>
          <t>No launched IPO found</t>
        </is>
      </c>
      <c r="H2060" s="15" t="n"/>
      <c r="I2060" s="16" t="n"/>
      <c r="J2060" s="16" t="n"/>
      <c r="K2060" s="16" t="n"/>
      <c r="L2060" s="17" t="n"/>
      <c r="M2060" s="17" t="n"/>
      <c r="N2060" s="17" t="n"/>
      <c r="O2060" s="15" t="n"/>
      <c r="P2060" s="15" t="n"/>
      <c r="Q2060" s="18" t="inlineStr">
        <is>
          <t>https://www.sebi.gov.in/sebi_data/attachdocs/1292409032195.pdf</t>
        </is>
      </c>
      <c r="R2060" s="18" t="inlineStr">
        <is>
          <t>https://www.sebi.gov.in/filings/public-issues/jan-2006/opto-circuits-india-ltd_11078.html</t>
        </is>
      </c>
      <c r="S2060" s="15" t="n"/>
      <c r="T2060" s="15" t="n"/>
      <c r="U2060" s="15" t="n"/>
      <c r="V2060" s="15" t="n"/>
      <c r="W2060" s="19" t="n">
        <v>38807</v>
      </c>
      <c r="X2060" s="19" t="n">
        <v>38812</v>
      </c>
      <c r="Y2060" s="19" t="n">
        <v>38831</v>
      </c>
      <c r="Z2060" s="20" t="inlineStr">
        <is>
          <t>Issue opened</t>
        </is>
      </c>
      <c r="AA2060" s="15" t="inlineStr">
        <is>
          <t>Business Standard IPO page</t>
        </is>
      </c>
      <c r="AB2060" s="18" t="inlineStr">
        <is>
          <t>https://www.business-standard.com/markets/ipo/opto-circuits-india-ltd-ipo-21300</t>
        </is>
      </c>
    </row>
    <row r="2061" ht="15" customHeight="1" s="12">
      <c r="A2061" s="14" t="n">
        <v>2060</v>
      </c>
      <c r="B2061" s="16" t="n">
        <v>38740</v>
      </c>
      <c r="C2061" s="15" t="n">
        <v>2006</v>
      </c>
      <c r="D2061" s="15" t="inlineStr">
        <is>
          <t>Today's Writing Products Ltd</t>
        </is>
      </c>
      <c r="E2061" s="15" t="inlineStr">
        <is>
          <t>DRHP</t>
        </is>
      </c>
      <c r="F2061" s="15" t="inlineStr">
        <is>
          <t>Today's Writing Products Ltd</t>
        </is>
      </c>
      <c r="G2061" s="15" t="inlineStr">
        <is>
          <t>No launched IPO found</t>
        </is>
      </c>
      <c r="H2061" s="15" t="n"/>
      <c r="I2061" s="16" t="n"/>
      <c r="J2061" s="16" t="n"/>
      <c r="K2061" s="16" t="n"/>
      <c r="L2061" s="17" t="n"/>
      <c r="M2061" s="17" t="n"/>
      <c r="N2061" s="17" t="n"/>
      <c r="O2061" s="15" t="n"/>
      <c r="P2061" s="15" t="n"/>
      <c r="Q2061" s="18" t="inlineStr">
        <is>
          <t>https://www.sebi.gov.in/sebi_data/attachdocs/1292409210154.pdf</t>
        </is>
      </c>
      <c r="R2061" s="18" t="inlineStr">
        <is>
          <t>https://www.sebi.gov.in/filings/public-issues/jan-2006/today-s-writing-products-ltd_11080.html</t>
        </is>
      </c>
      <c r="S2061" s="15" t="n"/>
      <c r="T2061" s="15" t="n"/>
      <c r="U2061" s="15" t="n"/>
      <c r="V2061" s="15" t="n"/>
      <c r="W2061" s="16" t="n"/>
      <c r="X2061" s="16" t="n"/>
      <c r="Y2061" s="16" t="n"/>
      <c r="Z2061" s="15" t="inlineStr">
        <is>
          <t>No issue found</t>
        </is>
      </c>
      <c r="AA2061" s="15" t="inlineStr">
        <is>
          <t>Only issue found is 1996 IPO; no 2006-09 issue; renamed Todays Writing Instruments 2011</t>
        </is>
      </c>
      <c r="AB2061" s="18" t="inlineStr">
        <is>
          <t>https://www.indiainfoline.com/company/todays-writing-instruments-ltd/summary</t>
        </is>
      </c>
    </row>
    <row r="2062" ht="15" customHeight="1" s="12">
      <c r="A2062" s="14" t="n">
        <v>2061</v>
      </c>
      <c r="B2062" s="16" t="n">
        <v>38737</v>
      </c>
      <c r="C2062" s="15" t="n">
        <v>2006</v>
      </c>
      <c r="D2062" s="15" t="inlineStr">
        <is>
          <t>D S Kulkarni Developers Ltd</t>
        </is>
      </c>
      <c r="E2062" s="15" t="inlineStr">
        <is>
          <t>DRHP</t>
        </is>
      </c>
      <c r="F2062" s="15" t="inlineStr">
        <is>
          <t>D S Kulkarni Developers Ltd</t>
        </is>
      </c>
      <c r="G2062" s="15" t="inlineStr">
        <is>
          <t>No launched IPO found</t>
        </is>
      </c>
      <c r="H2062" s="15" t="n"/>
      <c r="I2062" s="16" t="n"/>
      <c r="J2062" s="16" t="n"/>
      <c r="K2062" s="16" t="n"/>
      <c r="L2062" s="17" t="n"/>
      <c r="M2062" s="17" t="n"/>
      <c r="N2062" s="17" t="n"/>
      <c r="O2062" s="15" t="n"/>
      <c r="P2062" s="15" t="n"/>
      <c r="Q2062" s="18" t="inlineStr">
        <is>
          <t>https://www.sebi.gov.in/sebi_data/attachdocs/1292408742863.pdf</t>
        </is>
      </c>
      <c r="R2062" s="18" t="inlineStr">
        <is>
          <t>https://www.sebi.gov.in/filings/public-issues/jan-2006/d-s-kulkarni-developers-ltd_11075.html</t>
        </is>
      </c>
      <c r="S2062" s="15" t="n"/>
      <c r="T2062" s="15" t="n"/>
      <c r="U2062" s="15" t="n"/>
      <c r="V2062" s="15" t="n"/>
      <c r="W2062" s="19" t="n">
        <v>38832</v>
      </c>
      <c r="X2062" s="19" t="n">
        <v>38840</v>
      </c>
      <c r="Y2062" s="19" t="n">
        <v>38856</v>
      </c>
      <c r="Z2062" s="20" t="inlineStr">
        <is>
          <t>Issue opened</t>
        </is>
      </c>
      <c r="AA2062" s="15" t="inlineStr">
        <is>
          <t>Business Standard IPO page</t>
        </is>
      </c>
      <c r="AB2062" s="18" t="inlineStr">
        <is>
          <t>https://www.business-standard.com/markets/ipo/d-s-kulkarni-developers-ltd-ipo-2955</t>
        </is>
      </c>
    </row>
    <row r="2063" ht="15" customHeight="1" s="12">
      <c r="A2063" s="14" t="n">
        <v>2062</v>
      </c>
      <c r="B2063" s="16" t="n">
        <v>38735</v>
      </c>
      <c r="C2063" s="15" t="n">
        <v>2006</v>
      </c>
      <c r="D2063" s="15" t="inlineStr">
        <is>
          <t>Prime Focus Ltd</t>
        </is>
      </c>
      <c r="E2063" s="15" t="inlineStr">
        <is>
          <t>DRHP</t>
        </is>
      </c>
      <c r="F2063" s="15" t="inlineStr">
        <is>
          <t>Prime Focus Ltd</t>
        </is>
      </c>
      <c r="G2063" s="15" t="inlineStr">
        <is>
          <t>No launched IPO found</t>
        </is>
      </c>
      <c r="H2063" s="15" t="n"/>
      <c r="I2063" s="16" t="n"/>
      <c r="J2063" s="16" t="n"/>
      <c r="K2063" s="16" t="n"/>
      <c r="L2063" s="17" t="n"/>
      <c r="M2063" s="17" t="n"/>
      <c r="N2063" s="17" t="n"/>
      <c r="O2063" s="15" t="n"/>
      <c r="P2063" s="15" t="n"/>
      <c r="Q2063" s="18" t="inlineStr">
        <is>
          <t>https://www.sebi.gov.in/sebi_data/attachdocs/1294386762957.pdf</t>
        </is>
      </c>
      <c r="R2063" s="18" t="inlineStr">
        <is>
          <t>https://www.sebi.gov.in/filings/public-issues/jan-2006/prime-focus-ltd_14205.html</t>
        </is>
      </c>
      <c r="S2063" s="15" t="n"/>
      <c r="T2063" s="15" t="n"/>
      <c r="U2063" s="15" t="n"/>
      <c r="V2063" s="15" t="n"/>
      <c r="W2063" s="19" t="n">
        <v>38862</v>
      </c>
      <c r="X2063" s="19" t="n">
        <v>38871</v>
      </c>
      <c r="Y2063" s="19" t="n"/>
      <c r="Z2063" s="20" t="inlineStr">
        <is>
          <t>Issue opened</t>
        </is>
      </c>
      <c r="AA2063" s="15" t="inlineStr">
        <is>
          <t>Matched on chittorgarh.com</t>
        </is>
      </c>
      <c r="AB2063" s="18" t="inlineStr">
        <is>
          <t>https://www.chittorgarh.com/ipo/prime-focus-ipo/2926/</t>
        </is>
      </c>
    </row>
    <row r="2064" ht="15" customHeight="1" s="12">
      <c r="A2064" s="14" t="n">
        <v>2063</v>
      </c>
      <c r="B2064" s="16" t="n">
        <v>38734</v>
      </c>
      <c r="C2064" s="15" t="n">
        <v>2006</v>
      </c>
      <c r="D2064" s="15" t="inlineStr">
        <is>
          <t>Celestial Labs Ltd</t>
        </is>
      </c>
      <c r="E2064" s="15" t="inlineStr">
        <is>
          <t>DRHP</t>
        </is>
      </c>
      <c r="F2064" s="15" t="inlineStr">
        <is>
          <t>Celestial Labs Ltd</t>
        </is>
      </c>
      <c r="G2064" s="15" t="inlineStr">
        <is>
          <t>No launched IPO found</t>
        </is>
      </c>
      <c r="H2064" s="15" t="n"/>
      <c r="I2064" s="16" t="n"/>
      <c r="J2064" s="16" t="n"/>
      <c r="K2064" s="16" t="n"/>
      <c r="L2064" s="17" t="n"/>
      <c r="M2064" s="17" t="n"/>
      <c r="N2064" s="17" t="n"/>
      <c r="O2064" s="15" t="n"/>
      <c r="P2064" s="15" t="n"/>
      <c r="Q2064" s="18" t="inlineStr">
        <is>
          <t>https://www.sebi.gov.in/sebi_data/attachdocs/1292408503767.pdf</t>
        </is>
      </c>
      <c r="R2064" s="18" t="inlineStr">
        <is>
          <t>https://www.sebi.gov.in/filings/public-issues/jan-2006/celestial-labs-ltd_11071.html</t>
        </is>
      </c>
      <c r="S2064" s="15" t="n"/>
      <c r="T2064" s="15" t="n"/>
      <c r="U2064" s="15" t="n"/>
      <c r="V2064" s="15" t="n"/>
      <c r="W2064" s="19" t="n">
        <v>39251</v>
      </c>
      <c r="X2064" s="19" t="n">
        <v>39255</v>
      </c>
      <c r="Y2064" s="19" t="n"/>
      <c r="Z2064" s="20" t="inlineStr">
        <is>
          <t>Issue opened</t>
        </is>
      </c>
      <c r="AA2064" s="15" t="inlineStr">
        <is>
          <t>Matched on chittorgarh.com</t>
        </is>
      </c>
      <c r="AB2064" s="18" t="inlineStr">
        <is>
          <t>https://www.chittorgarh.com/ipo/celestial_labs_ipo/91/</t>
        </is>
      </c>
    </row>
    <row r="2065" ht="15" customHeight="1" s="12">
      <c r="A2065" s="14" t="n">
        <v>2064</v>
      </c>
      <c r="B2065" s="16" t="n">
        <v>38734</v>
      </c>
      <c r="C2065" s="15" t="n">
        <v>2006</v>
      </c>
      <c r="D2065" s="15" t="inlineStr">
        <is>
          <t>Kewal Kiran Clothing Ltd</t>
        </is>
      </c>
      <c r="E2065" s="15" t="inlineStr">
        <is>
          <t>DRHP</t>
        </is>
      </c>
      <c r="F2065" s="15" t="inlineStr">
        <is>
          <t>Kewal Kiran Clothing Ltd</t>
        </is>
      </c>
      <c r="G2065" s="15" t="inlineStr">
        <is>
          <t>No launched IPO found</t>
        </is>
      </c>
      <c r="H2065" s="15" t="n"/>
      <c r="I2065" s="16" t="n"/>
      <c r="J2065" s="16" t="n"/>
      <c r="K2065" s="16" t="n"/>
      <c r="L2065" s="17" t="n"/>
      <c r="M2065" s="17" t="n"/>
      <c r="N2065" s="17" t="n"/>
      <c r="O2065" s="15" t="n"/>
      <c r="P2065" s="15" t="n"/>
      <c r="Q2065" s="18" t="inlineStr">
        <is>
          <t>https://www.sebi.gov.in/sebi_data/attachdocs/1292408586645.pdf</t>
        </is>
      </c>
      <c r="R2065" s="18" t="inlineStr">
        <is>
          <t>https://www.sebi.gov.in/filings/public-issues/jan-2006/kewal-kiran-clothing-ltd_11073.html</t>
        </is>
      </c>
      <c r="S2065" s="15" t="n"/>
      <c r="T2065" s="15" t="n"/>
      <c r="U2065" s="15" t="n"/>
      <c r="V2065" s="15" t="n"/>
      <c r="W2065" s="19" t="n">
        <v>38796</v>
      </c>
      <c r="X2065" s="19" t="n">
        <v>38799</v>
      </c>
      <c r="Y2065" s="19" t="n"/>
      <c r="Z2065" s="20" t="inlineStr">
        <is>
          <t>Issue opened</t>
        </is>
      </c>
      <c r="AA2065" s="15" t="inlineStr">
        <is>
          <t>Matched on chittorgarh.com</t>
        </is>
      </c>
      <c r="AB2065" s="18" t="inlineStr">
        <is>
          <t>https://www.chittorgarh.com/ipo/kewal-kiran-clothing-ipo/2906/</t>
        </is>
      </c>
    </row>
    <row r="2066" ht="15" customHeight="1" s="12">
      <c r="A2066" s="14" t="n">
        <v>2065</v>
      </c>
      <c r="B2066" s="16" t="n">
        <v>38730</v>
      </c>
      <c r="C2066" s="15" t="n">
        <v>2006</v>
      </c>
      <c r="D2066" s="15" t="inlineStr">
        <is>
          <t>Adhunik Metalinks Limited</t>
        </is>
      </c>
      <c r="E2066" s="15" t="inlineStr">
        <is>
          <t>DRHP</t>
        </is>
      </c>
      <c r="F2066" s="15" t="inlineStr">
        <is>
          <t>Adhunik Metalinks Limited - PDF</t>
        </is>
      </c>
      <c r="G2066" s="15" t="inlineStr">
        <is>
          <t>No launched IPO found</t>
        </is>
      </c>
      <c r="H2066" s="15" t="n"/>
      <c r="I2066" s="16" t="n"/>
      <c r="J2066" s="16" t="n"/>
      <c r="K2066" s="16" t="n"/>
      <c r="L2066" s="17" t="n"/>
      <c r="M2066" s="17" t="n"/>
      <c r="N2066" s="17" t="n"/>
      <c r="O2066" s="15" t="n"/>
      <c r="P2066" s="15" t="n"/>
      <c r="Q2066" s="18" t="inlineStr">
        <is>
          <t>https://www.sebi.gov.in/sebi_data/attachdocs/1292408061954.pdf</t>
        </is>
      </c>
      <c r="R2066" s="18" t="inlineStr">
        <is>
          <t>https://www.sebi.gov.in/filings/public-issues/jan-2006/adhunik-metalinks-limited-pdf_11062.html</t>
        </is>
      </c>
      <c r="S2066" s="15" t="n"/>
      <c r="T2066" s="15" t="n"/>
      <c r="U2066" s="15" t="n"/>
      <c r="V2066" s="15" t="n"/>
      <c r="W2066" s="19" t="n">
        <v>38789</v>
      </c>
      <c r="X2066" s="19" t="n">
        <v>38793</v>
      </c>
      <c r="Y2066" s="19" t="n"/>
      <c r="Z2066" s="20" t="inlineStr">
        <is>
          <t>Issue opened</t>
        </is>
      </c>
      <c r="AA2066" s="15" t="inlineStr">
        <is>
          <t>Matched on chittorgarh.com (close name match: Adhunik Metaliks)</t>
        </is>
      </c>
      <c r="AB2066" s="18" t="inlineStr">
        <is>
          <t>https://www.chittorgarh.com/ipo/adhunik-metaliks-ipo/2904/</t>
        </is>
      </c>
    </row>
    <row r="2067" ht="15" customHeight="1" s="12">
      <c r="A2067" s="14" t="n">
        <v>2066</v>
      </c>
      <c r="B2067" s="16" t="n">
        <v>38727</v>
      </c>
      <c r="C2067" s="15" t="n">
        <v>2006</v>
      </c>
      <c r="D2067" s="15" t="inlineStr">
        <is>
          <t>Mahindra &amp; Mahindra Financial Services Ltd</t>
        </is>
      </c>
      <c r="E2067" s="15" t="inlineStr">
        <is>
          <t>DRHP</t>
        </is>
      </c>
      <c r="F2067" s="15" t="inlineStr">
        <is>
          <t>Mahindra &amp; Mahindra Financial Services Ltd</t>
        </is>
      </c>
      <c r="G2067" s="15" t="inlineStr">
        <is>
          <t>No launched IPO found</t>
        </is>
      </c>
      <c r="H2067" s="15" t="n"/>
      <c r="I2067" s="16" t="n"/>
      <c r="J2067" s="16" t="n"/>
      <c r="K2067" s="16" t="n"/>
      <c r="L2067" s="17" t="n"/>
      <c r="M2067" s="17" t="n"/>
      <c r="N2067" s="17" t="n"/>
      <c r="O2067" s="15" t="n"/>
      <c r="P2067" s="15" t="n"/>
      <c r="Q2067" s="18" t="inlineStr">
        <is>
          <t>https://www.sebi.gov.in/sebi_data/attachdocs/1292407284287.pdf</t>
        </is>
      </c>
      <c r="R2067" s="18" t="inlineStr">
        <is>
          <t>https://www.sebi.gov.in/filings/public-issues/jan-2006/mahindra-and-mahindra-financial-services-ltd_11050.html</t>
        </is>
      </c>
      <c r="S2067" s="15" t="n"/>
      <c r="T2067" s="15" t="n"/>
      <c r="U2067" s="15" t="n"/>
      <c r="V2067" s="15" t="n"/>
      <c r="W2067" s="19" t="n">
        <v>38769</v>
      </c>
      <c r="X2067" s="19" t="n">
        <v>38772</v>
      </c>
      <c r="Y2067" s="19" t="n"/>
      <c r="Z2067" s="20" t="inlineStr">
        <is>
          <t>Issue opened</t>
        </is>
      </c>
      <c r="AA2067" s="15" t="inlineStr">
        <is>
          <t>Matched on chittorgarh.com</t>
        </is>
      </c>
      <c r="AB2067" s="18" t="inlineStr">
        <is>
          <t>https://www.chittorgarh.com/ipo/mahindra-mahindra-financial-services-ipo/2895/</t>
        </is>
      </c>
    </row>
    <row r="2068" ht="15" customHeight="1" s="12">
      <c r="A2068" s="14" t="n">
        <v>2067</v>
      </c>
      <c r="B2068" s="16" t="n">
        <v>38721</v>
      </c>
      <c r="C2068" s="15" t="n">
        <v>2006</v>
      </c>
      <c r="D2068" s="15" t="inlineStr">
        <is>
          <t>Solar Explosives Ltd</t>
        </is>
      </c>
      <c r="E2068" s="15" t="inlineStr">
        <is>
          <t>DRHP</t>
        </is>
      </c>
      <c r="F2068" s="15" t="inlineStr">
        <is>
          <t>Solar Explosives Ltd</t>
        </is>
      </c>
      <c r="G2068" s="15" t="inlineStr">
        <is>
          <t>No launched IPO found</t>
        </is>
      </c>
      <c r="H2068" s="15" t="n"/>
      <c r="I2068" s="16" t="n"/>
      <c r="J2068" s="16" t="n"/>
      <c r="K2068" s="16" t="n"/>
      <c r="L2068" s="17" t="n"/>
      <c r="M2068" s="17" t="n"/>
      <c r="N2068" s="17" t="n"/>
      <c r="O2068" s="15" t="n"/>
      <c r="P2068" s="15" t="n"/>
      <c r="Q2068" s="18" t="inlineStr">
        <is>
          <t>https://www.sebi.gov.in/sebi_data/attachdocs/1292406099876.pdf</t>
        </is>
      </c>
      <c r="R2068" s="18" t="inlineStr">
        <is>
          <t>https://www.sebi.gov.in/filings/public-issues/jan-2006/solar-explosives-ltd_11035.html</t>
        </is>
      </c>
      <c r="S2068" s="15" t="n"/>
      <c r="T2068" s="15" t="n"/>
      <c r="U2068" s="15" t="n"/>
      <c r="V2068" s="15" t="n"/>
      <c r="W2068" s="19" t="n">
        <v>38785</v>
      </c>
      <c r="X2068" s="19" t="n">
        <v>38789</v>
      </c>
      <c r="Y2068" s="19" t="n"/>
      <c r="Z2068" s="20" t="inlineStr">
        <is>
          <t>Issue opened</t>
        </is>
      </c>
      <c r="AA2068" s="15" t="inlineStr">
        <is>
          <t>Matched on chittorgarh.com</t>
        </is>
      </c>
      <c r="AB2068" s="18" t="inlineStr">
        <is>
          <t>https://www.chittorgarh.com/ipo/solar-explosives-ipo/2903/</t>
        </is>
      </c>
    </row>
    <row r="2069" ht="15" customHeight="1" s="12">
      <c r="A2069" s="14" t="n">
        <v>2068</v>
      </c>
      <c r="B2069" s="16" t="n">
        <v>38721</v>
      </c>
      <c r="C2069" s="15" t="n">
        <v>2006</v>
      </c>
      <c r="D2069" s="15" t="inlineStr">
        <is>
          <t>Visa Steel Ltd</t>
        </is>
      </c>
      <c r="E2069" s="15" t="inlineStr">
        <is>
          <t>DRHP</t>
        </is>
      </c>
      <c r="F2069" s="15" t="inlineStr">
        <is>
          <t>Visa Steel Ltd</t>
        </is>
      </c>
      <c r="G2069" s="15" t="inlineStr">
        <is>
          <t>No launched IPO found</t>
        </is>
      </c>
      <c r="H2069" s="15" t="n"/>
      <c r="I2069" s="16" t="n"/>
      <c r="J2069" s="16" t="n"/>
      <c r="K2069" s="16" t="n"/>
      <c r="L2069" s="17" t="n"/>
      <c r="M2069" s="17" t="n"/>
      <c r="N2069" s="17" t="n"/>
      <c r="O2069" s="15" t="n"/>
      <c r="P2069" s="15" t="n"/>
      <c r="Q2069" s="18" t="inlineStr">
        <is>
          <t>https://www.sebi.gov.in/sebi_data/attachdocs/1292403719557.pdf</t>
        </is>
      </c>
      <c r="R2069" s="18" t="inlineStr">
        <is>
          <t>https://www.sebi.gov.in/filings/public-issues/jan-2006/visa-steel-ltd_11017.html</t>
        </is>
      </c>
      <c r="S2069" s="15" t="n"/>
      <c r="T2069" s="15" t="n"/>
      <c r="U2069" s="15" t="n"/>
      <c r="V2069" s="15" t="n"/>
      <c r="W2069" s="19" t="n">
        <v>38771</v>
      </c>
      <c r="X2069" s="19" t="n">
        <v>38775</v>
      </c>
      <c r="Y2069" s="19" t="n"/>
      <c r="Z2069" s="20" t="inlineStr">
        <is>
          <t>Issue opened</t>
        </is>
      </c>
      <c r="AA2069" s="15" t="inlineStr">
        <is>
          <t>Matched on chittorgarh.com</t>
        </is>
      </c>
      <c r="AB2069" s="18" t="inlineStr">
        <is>
          <t>https://www.chittorgarh.com/ipo/visa-steel-ipo/2898/</t>
        </is>
      </c>
    </row>
    <row r="2070" ht="15" customHeight="1" s="12">
      <c r="A2070" s="14" t="n">
        <v>2069</v>
      </c>
      <c r="B2070" s="16" t="n">
        <v>38720</v>
      </c>
      <c r="C2070" s="15" t="n">
        <v>2006</v>
      </c>
      <c r="D2070" s="15" t="inlineStr">
        <is>
          <t>Birla Power Solutions Ltd</t>
        </is>
      </c>
      <c r="E2070" s="15" t="inlineStr">
        <is>
          <t>DRHP</t>
        </is>
      </c>
      <c r="F2070" s="15" t="inlineStr">
        <is>
          <t>Birla Power Solutions Ltd</t>
        </is>
      </c>
      <c r="G2070" s="15" t="inlineStr">
        <is>
          <t>No launched IPO found</t>
        </is>
      </c>
      <c r="H2070" s="15" t="n"/>
      <c r="I2070" s="16" t="n"/>
      <c r="J2070" s="16" t="n"/>
      <c r="K2070" s="16" t="n"/>
      <c r="L2070" s="17" t="n"/>
      <c r="M2070" s="17" t="n"/>
      <c r="N2070" s="17" t="n"/>
      <c r="O2070" s="15" t="n"/>
      <c r="P2070" s="15" t="n"/>
      <c r="Q2070" s="18" t="inlineStr">
        <is>
          <t>https://www.sebi.gov.in/sebi_data/attachdocs/1292402819105.pdf</t>
        </is>
      </c>
      <c r="R2070" s="18" t="inlineStr">
        <is>
          <t>https://www.sebi.gov.in/filings/public-issues/jan-2006/birla-power-solutions-ltd_11008.html</t>
        </is>
      </c>
      <c r="S2070" s="15" t="n"/>
      <c r="T2070" s="15" t="n"/>
      <c r="U2070" s="15" t="n"/>
      <c r="V2070" s="15" t="n"/>
      <c r="W2070" s="19" t="n">
        <v>38800</v>
      </c>
      <c r="X2070" s="19" t="n">
        <v>38805</v>
      </c>
      <c r="Y2070" s="19" t="n">
        <v>38833</v>
      </c>
      <c r="Z2070" s="20" t="inlineStr">
        <is>
          <t>Issue opened</t>
        </is>
      </c>
      <c r="AA2070" s="15" t="inlineStr">
        <is>
          <t>Business Standard IPO page</t>
        </is>
      </c>
      <c r="AB2070" s="18" t="inlineStr">
        <is>
          <t>https://www.business-standard.com/markets/ipo/birla-power-solutions-ltd-ipo-78</t>
        </is>
      </c>
    </row>
    <row r="2071" ht="15" customHeight="1" s="12">
      <c r="A2071" s="14" t="n">
        <v>2070</v>
      </c>
      <c r="B2071" s="16" t="n">
        <v>38720</v>
      </c>
      <c r="C2071" s="15" t="n">
        <v>2006</v>
      </c>
      <c r="D2071" s="15" t="inlineStr">
        <is>
          <t>Nitco Tiles Ltd</t>
        </is>
      </c>
      <c r="E2071" s="15" t="inlineStr">
        <is>
          <t>DRHP</t>
        </is>
      </c>
      <c r="F2071" s="15" t="inlineStr">
        <is>
          <t>Nitco Tiles Ltd</t>
        </is>
      </c>
      <c r="G2071" s="15" t="inlineStr">
        <is>
          <t>No launched IPO found</t>
        </is>
      </c>
      <c r="H2071" s="15" t="n"/>
      <c r="I2071" s="16" t="n"/>
      <c r="J2071" s="16" t="n"/>
      <c r="K2071" s="16" t="n"/>
      <c r="L2071" s="17" t="n"/>
      <c r="M2071" s="17" t="n"/>
      <c r="N2071" s="17" t="n"/>
      <c r="O2071" s="15" t="n"/>
      <c r="P2071" s="15" t="n"/>
      <c r="Q2071" s="18" t="inlineStr">
        <is>
          <t>https://www.sebi.gov.in/sebi_data/attachdocs/1292402955323.pdf</t>
        </is>
      </c>
      <c r="R2071" s="18" t="inlineStr">
        <is>
          <t>https://www.sebi.gov.in/filings/public-issues/jan-2006/nitco-tiles-ltd_11010.html</t>
        </is>
      </c>
      <c r="S2071" s="15" t="n"/>
      <c r="T2071" s="15" t="n"/>
      <c r="U2071" s="15" t="n"/>
      <c r="V2071" s="15" t="n"/>
      <c r="W2071" s="19" t="n">
        <v>38770</v>
      </c>
      <c r="X2071" s="19" t="n">
        <v>38775</v>
      </c>
      <c r="Y2071" s="19" t="n"/>
      <c r="Z2071" s="20" t="inlineStr">
        <is>
          <t>Issue opened</t>
        </is>
      </c>
      <c r="AA2071" s="15" t="inlineStr">
        <is>
          <t>Matched on chittorgarh.com</t>
        </is>
      </c>
      <c r="AB2071" s="18" t="inlineStr">
        <is>
          <t>https://www.chittorgarh.com/ipo/nitco-tiles-ipo/2897/</t>
        </is>
      </c>
    </row>
    <row r="2072" ht="15" customHeight="1" s="12">
      <c r="A2072" s="14" t="n">
        <v>2071</v>
      </c>
      <c r="B2072" s="16" t="n">
        <v>38719</v>
      </c>
      <c r="C2072" s="15" t="n">
        <v>2006</v>
      </c>
      <c r="D2072" s="15" t="inlineStr">
        <is>
          <t>Gallantt Metal Limited</t>
        </is>
      </c>
      <c r="E2072" s="15" t="inlineStr">
        <is>
          <t>DRHP</t>
        </is>
      </c>
      <c r="F2072" s="15" t="inlineStr">
        <is>
          <t>Gallantt Metal Limited</t>
        </is>
      </c>
      <c r="G2072" s="15" t="inlineStr">
        <is>
          <t>No launched IPO found</t>
        </is>
      </c>
      <c r="H2072" s="15" t="n"/>
      <c r="I2072" s="16" t="n"/>
      <c r="J2072" s="16" t="n"/>
      <c r="K2072" s="16" t="n"/>
      <c r="L2072" s="17" t="n"/>
      <c r="M2072" s="17" t="n"/>
      <c r="N2072" s="17" t="n"/>
      <c r="O2072" s="15" t="n"/>
      <c r="P2072" s="15" t="n"/>
      <c r="Q2072" s="18" t="inlineStr">
        <is>
          <t>https://www.sebi.gov.in/sebi_data/attachdocs/1292402267245.pdf</t>
        </is>
      </c>
      <c r="R2072" s="18" t="inlineStr">
        <is>
          <t>https://www.sebi.gov.in/filings/public-issues/jan-2006/gallantt-metal-limited_10998.html</t>
        </is>
      </c>
      <c r="S2072" s="15" t="n"/>
      <c r="T2072" s="15" t="n"/>
      <c r="U2072" s="15" t="n"/>
      <c r="V2072" s="15" t="n"/>
      <c r="W2072" s="19" t="n">
        <v>38782</v>
      </c>
      <c r="X2072" s="19" t="n">
        <v>38786</v>
      </c>
      <c r="Y2072" s="19" t="n"/>
      <c r="Z2072" s="20" t="inlineStr">
        <is>
          <t>Issue opened</t>
        </is>
      </c>
      <c r="AA2072" s="15" t="inlineStr">
        <is>
          <t>Matched on chittorgarh.com</t>
        </is>
      </c>
      <c r="AB2072" s="18" t="inlineStr">
        <is>
          <t>https://www.chittorgarh.com/ipo/gallantt-metal-ipo/2899/</t>
        </is>
      </c>
    </row>
    <row r="2073" ht="15" customHeight="1" s="12">
      <c r="A2073" s="14" t="n">
        <v>2072</v>
      </c>
      <c r="B2073" s="16" t="n">
        <v>38714</v>
      </c>
      <c r="C2073" s="15" t="n">
        <v>2005</v>
      </c>
      <c r="D2073" s="15" t="inlineStr">
        <is>
          <t>HFCL Infotel Ltd</t>
        </is>
      </c>
      <c r="E2073" s="15" t="inlineStr">
        <is>
          <t>DRHP</t>
        </is>
      </c>
      <c r="F2073" s="15" t="inlineStr">
        <is>
          <t>HFCL Infotel Ltd - PDF</t>
        </is>
      </c>
      <c r="G2073" s="15" t="inlineStr">
        <is>
          <t>No launched IPO found</t>
        </is>
      </c>
      <c r="H2073" s="15" t="n"/>
      <c r="I2073" s="16" t="n"/>
      <c r="J2073" s="16" t="n"/>
      <c r="K2073" s="16" t="n"/>
      <c r="L2073" s="17" t="n"/>
      <c r="M2073" s="17" t="n"/>
      <c r="N2073" s="17" t="n"/>
      <c r="O2073" s="15" t="n"/>
      <c r="P2073" s="15" t="n"/>
      <c r="Q2073" s="18" t="inlineStr">
        <is>
          <t>https://www.sebi.gov.in/sebi_data/attachdocs/1292990159086.pdf</t>
        </is>
      </c>
      <c r="R2073" s="18" t="inlineStr">
        <is>
          <t>https://www.sebi.gov.in/filings/public-issues/dec-2005/hfcl-infotel-ltd-pdf_12451.html</t>
        </is>
      </c>
      <c r="S2073" s="15" t="n"/>
      <c r="T2073" s="15" t="n"/>
      <c r="U2073" s="15" t="n"/>
      <c r="V2073" s="15" t="n"/>
      <c r="W2073" s="16" t="n"/>
      <c r="X2073" s="16" t="n"/>
      <c r="Y2073" s="16" t="n"/>
      <c r="Z2073" s="15" t="inlineStr">
        <is>
          <t>No issue found</t>
        </is>
      </c>
      <c r="AA2073" s="15" t="inlineStr">
        <is>
          <t>No issue evidence found in search.</t>
        </is>
      </c>
      <c r="AB2073" s="15" t="n"/>
    </row>
    <row r="2074" ht="15" customHeight="1" s="12">
      <c r="A2074" s="14" t="n">
        <v>2073</v>
      </c>
      <c r="B2074" s="16" t="n">
        <v>38712</v>
      </c>
      <c r="C2074" s="15" t="n">
        <v>2005</v>
      </c>
      <c r="D2074" s="15" t="inlineStr">
        <is>
          <t>IDBI Flexibond Series:2005-06</t>
        </is>
      </c>
      <c r="E2074" s="15" t="inlineStr">
        <is>
          <t>DRHP</t>
        </is>
      </c>
      <c r="F2074" s="15" t="inlineStr">
        <is>
          <t>IDBI Flexibond Series:2005-06</t>
        </is>
      </c>
      <c r="G2074" s="15" t="inlineStr">
        <is>
          <t>No launched IPO found</t>
        </is>
      </c>
      <c r="H2074" s="15" t="n"/>
      <c r="I2074" s="16" t="n"/>
      <c r="J2074" s="16" t="n"/>
      <c r="K2074" s="16" t="n"/>
      <c r="L2074" s="17" t="n"/>
      <c r="M2074" s="17" t="n"/>
      <c r="N2074" s="17" t="n"/>
      <c r="O2074" s="15" t="n"/>
      <c r="P2074" s="15" t="n"/>
      <c r="Q2074" s="18" t="inlineStr">
        <is>
          <t>https://www.sebi.gov.in/sebi_data/attachdocs/1292990066616.pdf</t>
        </is>
      </c>
      <c r="R2074" s="18" t="inlineStr">
        <is>
          <t>https://www.sebi.gov.in/filings/public-issues/dec-2005/idbi-flexibond-series-2005-06_12450.html</t>
        </is>
      </c>
      <c r="S2074" s="15" t="n"/>
      <c r="T2074" s="15" t="n"/>
      <c r="U2074" s="15" t="n"/>
      <c r="V2074" s="15" t="n"/>
      <c r="W2074" s="16" t="n"/>
      <c r="X2074" s="16" t="n"/>
      <c r="Y2074" s="16" t="n"/>
      <c r="Z2074" s="15" t="inlineStr">
        <is>
          <t>No issue found</t>
        </is>
      </c>
      <c r="AA2074" s="15" t="inlineStr">
        <is>
          <t>Shelf draft for Rs1,500cr Flexibonds 2005-06; no evidence a tranche opened</t>
        </is>
      </c>
      <c r="AB2074" s="18" t="inlineStr">
        <is>
          <t>https://www.sebi.gov.in/sebi_data/attachdocs/1292990066616.pdf</t>
        </is>
      </c>
    </row>
    <row r="2075" ht="15" customHeight="1" s="12">
      <c r="A2075" s="14" t="n">
        <v>2074</v>
      </c>
      <c r="B2075" s="16" t="n">
        <v>38707</v>
      </c>
      <c r="C2075" s="15" t="n">
        <v>2005</v>
      </c>
      <c r="D2075" s="15" t="inlineStr">
        <is>
          <t>Malu Paper Mills Ltd</t>
        </is>
      </c>
      <c r="E2075" s="15" t="inlineStr">
        <is>
          <t>DRHP</t>
        </is>
      </c>
      <c r="F2075" s="15" t="inlineStr">
        <is>
          <t>Malu Paper Mills Ltd</t>
        </is>
      </c>
      <c r="G2075" s="15" t="inlineStr">
        <is>
          <t>No launched IPO found</t>
        </is>
      </c>
      <c r="H2075" s="15" t="n"/>
      <c r="I2075" s="16" t="n"/>
      <c r="J2075" s="16" t="n"/>
      <c r="K2075" s="16" t="n"/>
      <c r="L2075" s="17" t="n"/>
      <c r="M2075" s="17" t="n"/>
      <c r="N2075" s="17" t="n"/>
      <c r="O2075" s="15" t="n"/>
      <c r="P2075" s="15" t="n"/>
      <c r="Q2075" s="18" t="inlineStr">
        <is>
          <t>https://www.sebi.gov.in/sebi_data/attachdocs/1292989984373.pdf</t>
        </is>
      </c>
      <c r="R2075" s="18" t="inlineStr">
        <is>
          <t>https://www.sebi.gov.in/filings/public-issues/dec-2005/malu-paper-mills-ltd_12448.html</t>
        </is>
      </c>
      <c r="S2075" s="15" t="n"/>
      <c r="T2075" s="15" t="n"/>
      <c r="U2075" s="15" t="n"/>
      <c r="V2075" s="15" t="n"/>
      <c r="W2075" s="19" t="n">
        <v>38782</v>
      </c>
      <c r="X2075" s="19" t="n">
        <v>38786</v>
      </c>
      <c r="Y2075" s="19" t="n"/>
      <c r="Z2075" s="20" t="inlineStr">
        <is>
          <t>Issue opened</t>
        </is>
      </c>
      <c r="AA2075" s="15" t="inlineStr">
        <is>
          <t>Matched on chittorgarh.com</t>
        </is>
      </c>
      <c r="AB2075" s="18" t="inlineStr">
        <is>
          <t>https://www.chittorgarh.com/ipo/malu-paper-mills-ipo/2900/</t>
        </is>
      </c>
    </row>
    <row r="2076" ht="15" customHeight="1" s="12">
      <c r="A2076" s="14" t="n">
        <v>2075</v>
      </c>
      <c r="B2076" s="16" t="n">
        <v>38707</v>
      </c>
      <c r="C2076" s="15" t="n">
        <v>2005</v>
      </c>
      <c r="D2076" s="15" t="inlineStr">
        <is>
          <t>Union Bank of India</t>
        </is>
      </c>
      <c r="E2076" s="15" t="inlineStr">
        <is>
          <t>DRHP</t>
        </is>
      </c>
      <c r="F2076" s="15" t="inlineStr">
        <is>
          <t>Union Bank of India</t>
        </is>
      </c>
      <c r="G2076" s="15" t="inlineStr">
        <is>
          <t>No launched IPO found</t>
        </is>
      </c>
      <c r="H2076" s="15" t="n"/>
      <c r="I2076" s="16" t="n"/>
      <c r="J2076" s="16" t="n"/>
      <c r="K2076" s="16" t="n"/>
      <c r="L2076" s="17" t="n"/>
      <c r="M2076" s="17" t="n"/>
      <c r="N2076" s="17" t="n"/>
      <c r="O2076" s="15" t="n"/>
      <c r="P2076" s="15" t="n"/>
      <c r="Q2076" s="18" t="inlineStr">
        <is>
          <t>https://www.sebi.gov.in/sebi_data/attachdocs/1292989815165.pdf</t>
        </is>
      </c>
      <c r="R2076" s="18" t="inlineStr">
        <is>
          <t>https://www.sebi.gov.in/filings/public-issues/dec-2005/union-bank-of-india_12445.html</t>
        </is>
      </c>
      <c r="S2076" s="15" t="n"/>
      <c r="T2076" s="15" t="n"/>
      <c r="U2076" s="15" t="n"/>
      <c r="V2076" s="15" t="n"/>
      <c r="W2076" s="19" t="n">
        <v>38763</v>
      </c>
      <c r="X2076" s="19" t="n">
        <v>38769</v>
      </c>
      <c r="Y2076" s="19" t="n">
        <v>38785</v>
      </c>
      <c r="Z2076" s="20" t="inlineStr">
        <is>
          <t>Issue opened</t>
        </is>
      </c>
      <c r="AA2076" s="15" t="inlineStr">
        <is>
          <t>Business Standard IPO page</t>
        </is>
      </c>
      <c r="AB2076" s="18" t="inlineStr">
        <is>
          <t>https://www.business-standard.com/markets/ipo/union-bank-of-india-ipo-5493</t>
        </is>
      </c>
    </row>
    <row r="2077" ht="15" customHeight="1" s="12">
      <c r="A2077" s="14" t="n">
        <v>2076</v>
      </c>
      <c r="B2077" s="16" t="n">
        <v>38705</v>
      </c>
      <c r="C2077" s="15" t="n">
        <v>2005</v>
      </c>
      <c r="D2077" s="15" t="inlineStr">
        <is>
          <t>Gitanajli Gems Ltd</t>
        </is>
      </c>
      <c r="E2077" s="15" t="inlineStr">
        <is>
          <t>DRHP</t>
        </is>
      </c>
      <c r="F2077" s="15" t="inlineStr">
        <is>
          <t>Gitanajli Gems Ltd</t>
        </is>
      </c>
      <c r="G2077" s="15" t="inlineStr">
        <is>
          <t>No launched IPO found</t>
        </is>
      </c>
      <c r="H2077" s="15" t="n"/>
      <c r="I2077" s="16" t="n"/>
      <c r="J2077" s="16" t="n"/>
      <c r="K2077" s="16" t="n"/>
      <c r="L2077" s="17" t="n"/>
      <c r="M2077" s="17" t="n"/>
      <c r="N2077" s="17" t="n"/>
      <c r="O2077" s="15" t="n"/>
      <c r="P2077" s="15" t="n"/>
      <c r="Q2077" s="18" t="inlineStr">
        <is>
          <t>https://www.sebi.gov.in/sebi_data/attachdocs/1292989708571.pdf</t>
        </is>
      </c>
      <c r="R2077" s="18" t="inlineStr">
        <is>
          <t>https://www.sebi.gov.in/filings/public-issues/dec-2005/gitanajli-gems-ltd_12443.html</t>
        </is>
      </c>
      <c r="S2077" s="15" t="n"/>
      <c r="T2077" s="15" t="n"/>
      <c r="U2077" s="15" t="n"/>
      <c r="V2077" s="15" t="n"/>
      <c r="W2077" s="19" t="n">
        <v>38764</v>
      </c>
      <c r="X2077" s="19" t="n">
        <v>38769</v>
      </c>
      <c r="Y2077" s="19" t="n"/>
      <c r="Z2077" s="20" t="inlineStr">
        <is>
          <t>Issue opened</t>
        </is>
      </c>
      <c r="AA2077" s="15" t="inlineStr">
        <is>
          <t>Matched on chittorgarh.com (close name match: Gitanjali Gems)</t>
        </is>
      </c>
      <c r="AB2077" s="18" t="inlineStr">
        <is>
          <t>https://www.chittorgarh.com/ipo/gitanjali-gems-ipo/2891/</t>
        </is>
      </c>
    </row>
    <row r="2078" ht="15" customHeight="1" s="12">
      <c r="A2078" s="14" t="n">
        <v>2077</v>
      </c>
      <c r="B2078" s="16" t="n">
        <v>38705</v>
      </c>
      <c r="C2078" s="15" t="n">
        <v>2005</v>
      </c>
      <c r="D2078" s="15" t="inlineStr">
        <is>
          <t>South Indian Bank Limited</t>
        </is>
      </c>
      <c r="E2078" s="15" t="inlineStr">
        <is>
          <t>DRHP</t>
        </is>
      </c>
      <c r="F2078" s="15" t="inlineStr">
        <is>
          <t>South Indian Bank Limited- PDF</t>
        </is>
      </c>
      <c r="G2078" s="15" t="inlineStr">
        <is>
          <t>No launched IPO found</t>
        </is>
      </c>
      <c r="H2078" s="15" t="n"/>
      <c r="I2078" s="16" t="n"/>
      <c r="J2078" s="16" t="n"/>
      <c r="K2078" s="16" t="n"/>
      <c r="L2078" s="17" t="n"/>
      <c r="M2078" s="17" t="n"/>
      <c r="N2078" s="17" t="n"/>
      <c r="O2078" s="15" t="n"/>
      <c r="P2078" s="15" t="n"/>
      <c r="Q2078" s="18" t="inlineStr">
        <is>
          <t>https://www.sebi.gov.in/sebi_data/attachdocs/1292989615626.pdf</t>
        </is>
      </c>
      <c r="R2078" s="18" t="inlineStr">
        <is>
          <t>https://www.sebi.gov.in/filings/public-issues/dec-2005/south-indian-bank-limited-pdf_12441.html</t>
        </is>
      </c>
      <c r="S2078" s="15" t="n"/>
      <c r="T2078" s="15" t="n"/>
      <c r="U2078" s="15" t="n"/>
      <c r="V2078" s="15" t="n"/>
      <c r="W2078" s="19" t="n">
        <v>38758</v>
      </c>
      <c r="X2078" s="19" t="n">
        <v>38763</v>
      </c>
      <c r="Y2078" s="19" t="n">
        <v>38783</v>
      </c>
      <c r="Z2078" s="20" t="inlineStr">
        <is>
          <t>Issue opened</t>
        </is>
      </c>
      <c r="AA2078" s="15" t="inlineStr">
        <is>
          <t>Business Standard IPO page</t>
        </is>
      </c>
      <c r="AB2078" s="18" t="inlineStr">
        <is>
          <t>https://www.business-standard.com/markets/ipo/south-indian-bank-ltd-ipo-6263</t>
        </is>
      </c>
    </row>
    <row r="2079" ht="15" customHeight="1" s="12">
      <c r="A2079" s="14" t="n">
        <v>2078</v>
      </c>
      <c r="B2079" s="16" t="n">
        <v>38695</v>
      </c>
      <c r="C2079" s="15" t="n">
        <v>2005</v>
      </c>
      <c r="D2079" s="15" t="inlineStr">
        <is>
          <t>JRG Securities Ltd</t>
        </is>
      </c>
      <c r="E2079" s="15" t="inlineStr">
        <is>
          <t>DRHP</t>
        </is>
      </c>
      <c r="F2079" s="15" t="inlineStr">
        <is>
          <t>JRG Securities Ltd</t>
        </is>
      </c>
      <c r="G2079" s="15" t="inlineStr">
        <is>
          <t>No launched IPO found</t>
        </is>
      </c>
      <c r="H2079" s="15" t="n"/>
      <c r="I2079" s="16" t="n"/>
      <c r="J2079" s="16" t="n"/>
      <c r="K2079" s="16" t="n"/>
      <c r="L2079" s="17" t="n"/>
      <c r="M2079" s="17" t="n"/>
      <c r="N2079" s="17" t="n"/>
      <c r="O2079" s="15" t="n"/>
      <c r="P2079" s="15" t="n"/>
      <c r="Q2079" s="18" t="inlineStr">
        <is>
          <t>https://www.sebi.gov.in/sebi_data/attachdocs/1292989496367.pdf</t>
        </is>
      </c>
      <c r="R2079" s="18" t="inlineStr">
        <is>
          <t>https://www.sebi.gov.in/filings/public-issues/dec-2005/jrg-securities-ltd_12439.html</t>
        </is>
      </c>
      <c r="S2079" s="15" t="n"/>
      <c r="T2079" s="15" t="n"/>
      <c r="U2079" s="15" t="n"/>
      <c r="V2079" s="15" t="n"/>
      <c r="W2079" s="19" t="n">
        <v>38824</v>
      </c>
      <c r="X2079" s="19" t="n">
        <v>38828</v>
      </c>
      <c r="Y2079" s="19" t="n"/>
      <c r="Z2079" s="20" t="inlineStr">
        <is>
          <t>Issue opened</t>
        </is>
      </c>
      <c r="AA2079" s="15" t="inlineStr">
        <is>
          <t>Matched on chittorgarh.com</t>
        </is>
      </c>
      <c r="AB2079" s="18" t="inlineStr">
        <is>
          <t>https://www.chittorgarh.com/ipo/jrg-securities-ipo/2919/</t>
        </is>
      </c>
    </row>
    <row r="2080" ht="15" customHeight="1" s="12">
      <c r="A2080" s="14" t="n">
        <v>2079</v>
      </c>
      <c r="B2080" s="16" t="n">
        <v>38695</v>
      </c>
      <c r="C2080" s="15" t="n">
        <v>2005</v>
      </c>
      <c r="D2080" s="15" t="inlineStr">
        <is>
          <t>Tanla Solutions Ltd</t>
        </is>
      </c>
      <c r="E2080" s="15" t="inlineStr">
        <is>
          <t>DRHP</t>
        </is>
      </c>
      <c r="F2080" s="15" t="inlineStr">
        <is>
          <t>Tanla Solutions Ltd</t>
        </is>
      </c>
      <c r="G2080" s="15" t="inlineStr">
        <is>
          <t>IPO launched</t>
        </is>
      </c>
      <c r="H2080" s="15" t="inlineStr">
        <is>
          <t>Mainboard</t>
        </is>
      </c>
      <c r="I2080" s="16" t="n">
        <v>39062</v>
      </c>
      <c r="J2080" s="16" t="n">
        <v>39065</v>
      </c>
      <c r="K2080" s="16" t="n">
        <v>39087</v>
      </c>
      <c r="L2080" s="17" t="n">
        <v>378.86</v>
      </c>
      <c r="M2080" s="17" t="n">
        <v>378.86</v>
      </c>
      <c r="N2080" s="17" t="n">
        <v>0</v>
      </c>
      <c r="O2080" s="15" t="inlineStr">
        <is>
          <t>Final issue (ipoplatform)</t>
        </is>
      </c>
      <c r="P2080" s="15" t="n"/>
      <c r="Q2080" s="18" t="inlineStr">
        <is>
          <t>https://www.sebi.gov.in/sebi_data/attachdocs/1292989425401.pdf</t>
        </is>
      </c>
      <c r="R2080" s="18" t="inlineStr">
        <is>
          <t>https://www.sebi.gov.in/filings/public-issues/dec-2005/tanla-solutions-ltd_12437.html</t>
        </is>
      </c>
      <c r="S2080" s="15" t="n"/>
      <c r="T2080" s="15" t="inlineStr">
        <is>
          <t>SEBI filing link</t>
        </is>
      </c>
      <c r="U2080" s="15" t="inlineStr">
        <is>
          <t>Tanla Platforms Limited (Tanla Solutions Limited)</t>
        </is>
      </c>
      <c r="V2080" s="15" t="n"/>
      <c r="W2080" s="15" t="n"/>
      <c r="X2080" s="15" t="n"/>
      <c r="Y2080" s="15" t="n"/>
      <c r="Z2080" s="15" t="n"/>
      <c r="AA2080" s="15" t="n"/>
      <c r="AB2080" s="15" t="n"/>
    </row>
    <row r="2081" ht="15" customHeight="1" s="12">
      <c r="A2081" s="14" t="n">
        <v>2080</v>
      </c>
      <c r="B2081" s="16" t="n">
        <v>38692</v>
      </c>
      <c r="C2081" s="15" t="n">
        <v>2005</v>
      </c>
      <c r="D2081" s="15" t="inlineStr">
        <is>
          <t>JK Cement Ltd</t>
        </is>
      </c>
      <c r="E2081" s="15" t="inlineStr">
        <is>
          <t>DRHP</t>
        </is>
      </c>
      <c r="F2081" s="15" t="inlineStr">
        <is>
          <t>JK Cement Ltd</t>
        </is>
      </c>
      <c r="G2081" s="15" t="inlineStr">
        <is>
          <t>No launched IPO found</t>
        </is>
      </c>
      <c r="H2081" s="15" t="n"/>
      <c r="I2081" s="16" t="n"/>
      <c r="J2081" s="16" t="n"/>
      <c r="K2081" s="16" t="n"/>
      <c r="L2081" s="17" t="n"/>
      <c r="M2081" s="17" t="n"/>
      <c r="N2081" s="17" t="n"/>
      <c r="O2081" s="15" t="n"/>
      <c r="P2081" s="15" t="n"/>
      <c r="Q2081" s="18" t="inlineStr">
        <is>
          <t>https://www.sebi.gov.in/sebi_data/attachdocs/1292989012842.pdf</t>
        </is>
      </c>
      <c r="R2081" s="18" t="inlineStr">
        <is>
          <t>https://www.sebi.gov.in/filings/public-issues/dec-2005/jk-cement-ltd_12433.html</t>
        </is>
      </c>
      <c r="S2081" s="15" t="n"/>
      <c r="T2081" s="15" t="n"/>
      <c r="U2081" s="15" t="n"/>
      <c r="V2081" s="15" t="n"/>
      <c r="W2081" s="19" t="n">
        <v>38769</v>
      </c>
      <c r="X2081" s="19" t="n">
        <v>38772</v>
      </c>
      <c r="Y2081" s="19" t="n">
        <v>38790</v>
      </c>
      <c r="Z2081" s="20" t="inlineStr">
        <is>
          <t>Issue opened</t>
        </is>
      </c>
      <c r="AA2081" s="15" t="inlineStr">
        <is>
          <t>Business Standard IPO page (close name match)</t>
        </is>
      </c>
      <c r="AB2081" s="18" t="inlineStr">
        <is>
          <t>https://www.business-standard.com/markets/ipo/j-k-cements-ltd-ipo-17136</t>
        </is>
      </c>
    </row>
    <row r="2082" ht="15" customHeight="1" s="12">
      <c r="A2082" s="14" t="n">
        <v>2081</v>
      </c>
      <c r="B2082" s="16" t="n">
        <v>38691</v>
      </c>
      <c r="C2082" s="15" t="n">
        <v>2005</v>
      </c>
      <c r="D2082" s="15" t="inlineStr">
        <is>
          <t>Jagran Prakashan Limited</t>
        </is>
      </c>
      <c r="E2082" s="15" t="inlineStr">
        <is>
          <t>DRHP</t>
        </is>
      </c>
      <c r="F2082" s="15" t="inlineStr">
        <is>
          <t>Jagran Prakashan Limited - PDF</t>
        </is>
      </c>
      <c r="G2082" s="15" t="inlineStr">
        <is>
          <t>No launched IPO found</t>
        </is>
      </c>
      <c r="H2082" s="15" t="n"/>
      <c r="I2082" s="16" t="n"/>
      <c r="J2082" s="16" t="n"/>
      <c r="K2082" s="16" t="n"/>
      <c r="L2082" s="17" t="n"/>
      <c r="M2082" s="17" t="n"/>
      <c r="N2082" s="17" t="n"/>
      <c r="O2082" s="15" t="n"/>
      <c r="P2082" s="15" t="n"/>
      <c r="Q2082" s="18" t="inlineStr">
        <is>
          <t>https://www.sebi.gov.in/sebi_data/attachdocs/1292988841748.pdf</t>
        </is>
      </c>
      <c r="R2082" s="18" t="inlineStr">
        <is>
          <t>https://www.sebi.gov.in/filings/public-issues/dec-2005/jagran-prakashan-limited-pdf_12430.html</t>
        </is>
      </c>
      <c r="S2082" s="15" t="n"/>
      <c r="T2082" s="15" t="n"/>
      <c r="U2082" s="15" t="n"/>
      <c r="V2082" s="15" t="n"/>
      <c r="W2082" s="19" t="n">
        <v>38742</v>
      </c>
      <c r="X2082" s="19" t="n">
        <v>38748</v>
      </c>
      <c r="Y2082" s="19" t="n"/>
      <c r="Z2082" s="20" t="inlineStr">
        <is>
          <t>Issue opened</t>
        </is>
      </c>
      <c r="AA2082" s="15" t="inlineStr">
        <is>
          <t>Matched on chittorgarh.com</t>
        </is>
      </c>
      <c r="AB2082" s="18" t="inlineStr">
        <is>
          <t>https://www.chittorgarh.com/ipo/jagran-prakashan-ipo/2882/</t>
        </is>
      </c>
    </row>
    <row r="2083" ht="15" customHeight="1" s="12">
      <c r="A2083" s="14" t="n">
        <v>2082</v>
      </c>
      <c r="B2083" s="16" t="n">
        <v>38687</v>
      </c>
      <c r="C2083" s="15" t="n">
        <v>2005</v>
      </c>
      <c r="D2083" s="15" t="inlineStr">
        <is>
          <t>Sakuma Exports Limited</t>
        </is>
      </c>
      <c r="E2083" s="15" t="inlineStr">
        <is>
          <t>DRHP</t>
        </is>
      </c>
      <c r="F2083" s="15" t="inlineStr">
        <is>
          <t>Sakuma Exports Limited - PDF</t>
        </is>
      </c>
      <c r="G2083" s="15" t="inlineStr">
        <is>
          <t>No launched IPO found</t>
        </is>
      </c>
      <c r="H2083" s="15" t="n"/>
      <c r="I2083" s="16" t="n"/>
      <c r="J2083" s="16" t="n"/>
      <c r="K2083" s="16" t="n"/>
      <c r="L2083" s="17" t="n"/>
      <c r="M2083" s="17" t="n"/>
      <c r="N2083" s="17" t="n"/>
      <c r="O2083" s="15" t="n"/>
      <c r="P2083" s="15" t="n"/>
      <c r="Q2083" s="18" t="inlineStr">
        <is>
          <t>https://www.sebi.gov.in/sebi_data/attachdocs/1292988693107.pdf</t>
        </is>
      </c>
      <c r="R2083" s="18" t="inlineStr">
        <is>
          <t>https://www.sebi.gov.in/filings/public-issues/dec-2005/sakuma-exports-limited-pdf_12428.html</t>
        </is>
      </c>
      <c r="S2083" s="15" t="n"/>
      <c r="T2083" s="15" t="n"/>
      <c r="U2083" s="15" t="n"/>
      <c r="V2083" s="15" t="n"/>
      <c r="W2083" s="19" t="n">
        <v>38756</v>
      </c>
      <c r="X2083" s="19" t="n">
        <v>38762</v>
      </c>
      <c r="Y2083" s="19" t="n"/>
      <c r="Z2083" s="20" t="inlineStr">
        <is>
          <t>Issue opened</t>
        </is>
      </c>
      <c r="AA2083" s="15" t="inlineStr">
        <is>
          <t>Matched on chittorgarh.com</t>
        </is>
      </c>
      <c r="AB2083" s="18" t="inlineStr">
        <is>
          <t>https://www.chittorgarh.com/ipo/sakuma-exports-ipo/2887/</t>
        </is>
      </c>
    </row>
    <row r="2084" ht="15" customHeight="1" s="12">
      <c r="A2084" s="14" t="n">
        <v>2083</v>
      </c>
      <c r="B2084" s="16" t="n">
        <v>38686</v>
      </c>
      <c r="C2084" s="15" t="n">
        <v>2005</v>
      </c>
      <c r="D2084" s="15" t="inlineStr">
        <is>
          <t>Andhra Bank</t>
        </is>
      </c>
      <c r="E2084" s="15" t="inlineStr">
        <is>
          <t>DRHP</t>
        </is>
      </c>
      <c r="F2084" s="15" t="inlineStr">
        <is>
          <t>Andhra Bank- PDF</t>
        </is>
      </c>
      <c r="G2084" s="15" t="inlineStr">
        <is>
          <t>No launched IPO found</t>
        </is>
      </c>
      <c r="H2084" s="15" t="n"/>
      <c r="I2084" s="16" t="n"/>
      <c r="J2084" s="16" t="n"/>
      <c r="K2084" s="16" t="n"/>
      <c r="L2084" s="17" t="n"/>
      <c r="M2084" s="17" t="n"/>
      <c r="N2084" s="17" t="n"/>
      <c r="O2084" s="15" t="n"/>
      <c r="P2084" s="15" t="n"/>
      <c r="Q2084" s="18" t="inlineStr">
        <is>
          <t>https://www.sebi.gov.in/sebi_data/attachdocs/1292930674033.pdf</t>
        </is>
      </c>
      <c r="R2084" s="18" t="inlineStr">
        <is>
          <t>https://www.sebi.gov.in/filings/public-issues/nov-2005/andhra-bank-pdf_12368.html</t>
        </is>
      </c>
      <c r="S2084" s="15" t="n"/>
      <c r="T2084" s="15" t="n"/>
      <c r="U2084" s="15" t="n"/>
      <c r="V2084" s="15" t="n"/>
      <c r="W2084" s="19" t="n">
        <v>38733</v>
      </c>
      <c r="X2084" s="19" t="n">
        <v>38737</v>
      </c>
      <c r="Y2084" s="19" t="n">
        <v>38755</v>
      </c>
      <c r="Z2084" s="20" t="inlineStr">
        <is>
          <t>Issue opened</t>
        </is>
      </c>
      <c r="AA2084" s="15" t="inlineStr">
        <is>
          <t>Business Standard IPO page</t>
        </is>
      </c>
      <c r="AB2084" s="18" t="inlineStr">
        <is>
          <t>https://www.business-standard.com/markets/ipo/andhra-bank-merged-ipo-5859</t>
        </is>
      </c>
    </row>
    <row r="2085" ht="15" customHeight="1" s="12">
      <c r="A2085" s="14" t="n">
        <v>2084</v>
      </c>
      <c r="B2085" s="16" t="n">
        <v>38686</v>
      </c>
      <c r="C2085" s="15" t="n">
        <v>2005</v>
      </c>
      <c r="D2085" s="15" t="inlineStr">
        <is>
          <t>Indo Tech Transformers Limited</t>
        </is>
      </c>
      <c r="E2085" s="15" t="inlineStr">
        <is>
          <t>DRHP</t>
        </is>
      </c>
      <c r="F2085" s="15" t="inlineStr">
        <is>
          <t>Indo Tech Transformers Limited - PDF</t>
        </is>
      </c>
      <c r="G2085" s="15" t="inlineStr">
        <is>
          <t>No launched IPO found</t>
        </is>
      </c>
      <c r="H2085" s="15" t="n"/>
      <c r="I2085" s="16" t="n"/>
      <c r="J2085" s="16" t="n"/>
      <c r="K2085" s="16" t="n"/>
      <c r="L2085" s="17" t="n"/>
      <c r="M2085" s="17" t="n"/>
      <c r="N2085" s="17" t="n"/>
      <c r="O2085" s="15" t="n"/>
      <c r="P2085" s="15" t="n"/>
      <c r="Q2085" s="18" t="inlineStr">
        <is>
          <t>https://www.sebi.gov.in/sebi_data/attachdocs/1292930890405.pdf</t>
        </is>
      </c>
      <c r="R2085" s="18" t="inlineStr">
        <is>
          <t>https://www.sebi.gov.in/filings/public-issues/nov-2005/indo-tech-transformers-limited-pdf_12374.html</t>
        </is>
      </c>
      <c r="S2085" s="15" t="n"/>
      <c r="T2085" s="15" t="n"/>
      <c r="U2085" s="15" t="n"/>
      <c r="V2085" s="15" t="n"/>
      <c r="W2085" s="19" t="n">
        <v>38758</v>
      </c>
      <c r="X2085" s="19" t="n">
        <v>38764</v>
      </c>
      <c r="Y2085" s="19" t="n"/>
      <c r="Z2085" s="20" t="inlineStr">
        <is>
          <t>Issue opened</t>
        </is>
      </c>
      <c r="AA2085" s="15" t="inlineStr">
        <is>
          <t>Matched on chittorgarh.com</t>
        </is>
      </c>
      <c r="AB2085" s="18" t="inlineStr">
        <is>
          <t>https://www.chittorgarh.com/ipo/indotech-transformers-ipo/2889/</t>
        </is>
      </c>
    </row>
    <row r="2086" ht="15" customHeight="1" s="12">
      <c r="A2086" s="14" t="n">
        <v>2085</v>
      </c>
      <c r="B2086" s="16" t="n">
        <v>38686</v>
      </c>
      <c r="C2086" s="15" t="n">
        <v>2005</v>
      </c>
      <c r="D2086" s="15" t="inlineStr">
        <is>
          <t>Rathi Udyog Limited</t>
        </is>
      </c>
      <c r="E2086" s="15" t="inlineStr">
        <is>
          <t>DRHP</t>
        </is>
      </c>
      <c r="F2086" s="15" t="inlineStr">
        <is>
          <t>Rathi Udyog Limited - PDF</t>
        </is>
      </c>
      <c r="G2086" s="15" t="inlineStr">
        <is>
          <t>No launched IPO found</t>
        </is>
      </c>
      <c r="H2086" s="15" t="n"/>
      <c r="I2086" s="16" t="n"/>
      <c r="J2086" s="16" t="n"/>
      <c r="K2086" s="16" t="n"/>
      <c r="L2086" s="17" t="n"/>
      <c r="M2086" s="17" t="n"/>
      <c r="N2086" s="17" t="n"/>
      <c r="O2086" s="15" t="n"/>
      <c r="P2086" s="15" t="n"/>
      <c r="Q2086" s="18" t="inlineStr">
        <is>
          <t>https://www.sebi.gov.in/sebi_data/attachdocs/1292930801748.pdf</t>
        </is>
      </c>
      <c r="R2086" s="18" t="inlineStr">
        <is>
          <t>https://www.sebi.gov.in/filings/public-issues/nov-2005/rathi-udyog-limited-pdf_12371.html</t>
        </is>
      </c>
      <c r="S2086" s="15" t="n"/>
      <c r="T2086" s="15" t="n"/>
      <c r="U2086" s="15" t="n"/>
      <c r="V2086" s="15" t="n"/>
      <c r="W2086" s="16" t="n"/>
      <c r="X2086" s="16" t="n"/>
      <c r="Y2086" s="16" t="n"/>
      <c r="Z2086" s="15" t="inlineStr">
        <is>
          <t>No issue found</t>
        </is>
      </c>
      <c r="AA2086" s="15" t="inlineStr">
        <is>
          <t>Search returned only unrelated Anand Rathi; no IPO found.</t>
        </is>
      </c>
      <c r="AB2086" s="15" t="n"/>
    </row>
    <row r="2087" ht="15" customHeight="1" s="12">
      <c r="A2087" s="14" t="n">
        <v>2086</v>
      </c>
      <c r="B2087" s="16" t="n">
        <v>38685</v>
      </c>
      <c r="C2087" s="15" t="n">
        <v>2005</v>
      </c>
      <c r="D2087" s="15" t="inlineStr">
        <is>
          <t>Inox Leisure Limited</t>
        </is>
      </c>
      <c r="E2087" s="15" t="inlineStr">
        <is>
          <t>DRHP</t>
        </is>
      </c>
      <c r="F2087" s="15" t="inlineStr">
        <is>
          <t>Inox Leisure Limited</t>
        </is>
      </c>
      <c r="G2087" s="15" t="inlineStr">
        <is>
          <t>No launched IPO found</t>
        </is>
      </c>
      <c r="H2087" s="15" t="n"/>
      <c r="I2087" s="16" t="n"/>
      <c r="J2087" s="16" t="n"/>
      <c r="K2087" s="16" t="n"/>
      <c r="L2087" s="17" t="n"/>
      <c r="M2087" s="17" t="n"/>
      <c r="N2087" s="17" t="n"/>
      <c r="O2087" s="15" t="n"/>
      <c r="P2087" s="15" t="n"/>
      <c r="Q2087" s="18" t="inlineStr">
        <is>
          <t>https://www.sebi.gov.in/sebi_data/attachdocs/1292930521239.pdf</t>
        </is>
      </c>
      <c r="R2087" s="18" t="inlineStr">
        <is>
          <t>https://www.sebi.gov.in/filings/public-issues/nov-2005/inox-leisure-limited_12365.html</t>
        </is>
      </c>
      <c r="S2087" s="15" t="n"/>
      <c r="T2087" s="15" t="n"/>
      <c r="U2087" s="15" t="n"/>
      <c r="V2087" s="15" t="n"/>
      <c r="W2087" s="19" t="n">
        <v>38744</v>
      </c>
      <c r="X2087" s="19" t="n">
        <v>38750</v>
      </c>
      <c r="Y2087" s="19" t="n"/>
      <c r="Z2087" s="20" t="inlineStr">
        <is>
          <t>Issue opened</t>
        </is>
      </c>
      <c r="AA2087" s="15" t="inlineStr">
        <is>
          <t>Matched on chittorgarh.com</t>
        </is>
      </c>
      <c r="AB2087" s="18" t="inlineStr">
        <is>
          <t>https://www.chittorgarh.com/ipo/inox-leisure-ipo/2883/</t>
        </is>
      </c>
    </row>
    <row r="2088" ht="15" customHeight="1" s="12">
      <c r="A2088" s="14" t="n">
        <v>2087</v>
      </c>
      <c r="B2088" s="16" t="n">
        <v>38681</v>
      </c>
      <c r="C2088" s="15" t="n">
        <v>2005</v>
      </c>
      <c r="D2088" s="15" t="inlineStr">
        <is>
          <t>Kew Industries Ltd</t>
        </is>
      </c>
      <c r="E2088" s="15" t="inlineStr">
        <is>
          <t>DRHP</t>
        </is>
      </c>
      <c r="F2088" s="15" t="inlineStr">
        <is>
          <t>Kew Industries Ltd</t>
        </is>
      </c>
      <c r="G2088" s="15" t="inlineStr">
        <is>
          <t>No launched IPO found</t>
        </is>
      </c>
      <c r="H2088" s="15" t="n"/>
      <c r="I2088" s="16" t="n"/>
      <c r="J2088" s="16" t="n"/>
      <c r="K2088" s="16" t="n"/>
      <c r="L2088" s="17" t="n"/>
      <c r="M2088" s="17" t="n"/>
      <c r="N2088" s="17" t="n"/>
      <c r="O2088" s="15" t="n"/>
      <c r="P2088" s="15" t="n"/>
      <c r="Q2088" s="18" t="inlineStr">
        <is>
          <t>https://www.sebi.gov.in/sebi_data/attachdocs/1292930413573.pdf</t>
        </is>
      </c>
      <c r="R2088" s="18" t="inlineStr">
        <is>
          <t>https://www.sebi.gov.in/filings/public-issues/nov-2005/kew-industries-ltd_12363.html</t>
        </is>
      </c>
      <c r="S2088" s="15" t="n"/>
      <c r="T2088" s="15" t="n"/>
      <c r="U2088" s="15" t="n"/>
      <c r="V2088" s="15" t="n"/>
      <c r="W2088" s="19" t="n">
        <v>38957</v>
      </c>
      <c r="X2088" s="19" t="n">
        <v>38961</v>
      </c>
      <c r="Y2088" s="19" t="n">
        <v>38985</v>
      </c>
      <c r="Z2088" s="20" t="inlineStr">
        <is>
          <t>Issue opened</t>
        </is>
      </c>
      <c r="AA2088" s="15" t="inlineStr">
        <is>
          <t>Business Standard IPO page (close name match)</t>
        </is>
      </c>
      <c r="AB2088" s="18" t="inlineStr">
        <is>
          <t>https://www.business-standard.com/markets/ipo/k-e-w-industries-ltd-ipo-23696</t>
        </is>
      </c>
    </row>
    <row r="2089" ht="15" customHeight="1" s="12">
      <c r="A2089" s="14" t="n">
        <v>2088</v>
      </c>
      <c r="B2089" s="16" t="n">
        <v>38680</v>
      </c>
      <c r="C2089" s="15" t="n">
        <v>2005</v>
      </c>
      <c r="D2089" s="15" t="inlineStr">
        <is>
          <t>Space Computer and Systems Ltd</t>
        </is>
      </c>
      <c r="E2089" s="15" t="inlineStr">
        <is>
          <t>DRHP</t>
        </is>
      </c>
      <c r="F2089" s="15" t="inlineStr">
        <is>
          <t>Space Computer and Systems Ltd</t>
        </is>
      </c>
      <c r="G2089" s="15" t="inlineStr">
        <is>
          <t>No launched IPO found</t>
        </is>
      </c>
      <c r="H2089" s="15" t="n"/>
      <c r="I2089" s="16" t="n"/>
      <c r="J2089" s="16" t="n"/>
      <c r="K2089" s="16" t="n"/>
      <c r="L2089" s="17" t="n"/>
      <c r="M2089" s="17" t="n"/>
      <c r="N2089" s="17" t="n"/>
      <c r="O2089" s="15" t="n"/>
      <c r="P2089" s="15" t="n"/>
      <c r="Q2089" s="18" t="inlineStr">
        <is>
          <t>https://www.sebi.gov.in/sebi_data/attachdocs/1292930269387.pdf</t>
        </is>
      </c>
      <c r="R2089" s="18" t="inlineStr">
        <is>
          <t>https://www.sebi.gov.in/filings/public-issues/nov-2005/space-computer-and-systems-ltd_12360.html</t>
        </is>
      </c>
      <c r="S2089" s="15" t="n"/>
      <c r="T2089" s="15" t="n"/>
      <c r="U2089" s="15" t="n"/>
      <c r="V2089" s="15" t="n"/>
      <c r="W2089" s="16" t="n"/>
      <c r="X2089" s="16" t="n"/>
      <c r="Y2089" s="16" t="n"/>
      <c r="Z2089" s="15" t="inlineStr">
        <is>
          <t>No issue found</t>
        </is>
      </c>
      <c r="AA2089" s="15" t="inlineStr">
        <is>
          <t>No IPO information found in search.</t>
        </is>
      </c>
      <c r="AB2089" s="15" t="n"/>
    </row>
    <row r="2090" ht="15" customHeight="1" s="12">
      <c r="A2090" s="14" t="n">
        <v>2089</v>
      </c>
      <c r="B2090" s="16" t="n">
        <v>38679</v>
      </c>
      <c r="C2090" s="15" t="n">
        <v>2005</v>
      </c>
      <c r="D2090" s="15" t="inlineStr">
        <is>
          <t>Ammana Bio-Pharma Ltd</t>
        </is>
      </c>
      <c r="E2090" s="15" t="inlineStr">
        <is>
          <t>DRHP</t>
        </is>
      </c>
      <c r="F2090" s="15" t="inlineStr">
        <is>
          <t>Ammana Bio-Pharma Ltd</t>
        </is>
      </c>
      <c r="G2090" s="15" t="inlineStr">
        <is>
          <t>No launched IPO found</t>
        </is>
      </c>
      <c r="H2090" s="15" t="n"/>
      <c r="I2090" s="16" t="n"/>
      <c r="J2090" s="16" t="n"/>
      <c r="K2090" s="16" t="n"/>
      <c r="L2090" s="17" t="n"/>
      <c r="M2090" s="17" t="n"/>
      <c r="N2090" s="17" t="n"/>
      <c r="O2090" s="15" t="n"/>
      <c r="P2090" s="15" t="n"/>
      <c r="Q2090" s="18" t="inlineStr">
        <is>
          <t>https://www.sebi.gov.in/sebi_data/attachdocs/1292929809139.pdf</t>
        </is>
      </c>
      <c r="R2090" s="18" t="inlineStr">
        <is>
          <t>https://www.sebi.gov.in/filings/public-issues/nov-2005/ammana-bio-pharma-ltd_12355.html</t>
        </is>
      </c>
      <c r="S2090" s="15" t="n"/>
      <c r="T2090" s="15" t="n"/>
      <c r="U2090" s="15" t="n"/>
      <c r="V2090" s="15" t="n"/>
      <c r="W2090" s="19" t="n">
        <v>39169</v>
      </c>
      <c r="X2090" s="19" t="n">
        <v>39177</v>
      </c>
      <c r="Y2090" s="19" t="n"/>
      <c r="Z2090" s="20" t="inlineStr">
        <is>
          <t>Issue opened</t>
        </is>
      </c>
      <c r="AA2090" s="15" t="inlineStr">
        <is>
          <t>Book-built IPO price band 12-14; listing date not announced on source; possibly never listed.</t>
        </is>
      </c>
      <c r="AB2090" s="18" t="inlineStr">
        <is>
          <t>https://www.chittorgarh.com/ipo/ammana_bio_ipo/74/</t>
        </is>
      </c>
    </row>
    <row r="2091" ht="15" customHeight="1" s="12">
      <c r="A2091" s="14" t="n">
        <v>2090</v>
      </c>
      <c r="B2091" s="16" t="n">
        <v>38677</v>
      </c>
      <c r="C2091" s="15" t="n">
        <v>2005</v>
      </c>
      <c r="D2091" s="15" t="inlineStr">
        <is>
          <t>Shirt Company India Ltd</t>
        </is>
      </c>
      <c r="E2091" s="15" t="inlineStr">
        <is>
          <t>DRHP</t>
        </is>
      </c>
      <c r="F2091" s="15" t="inlineStr">
        <is>
          <t>Shirt Company India Ltd</t>
        </is>
      </c>
      <c r="G2091" s="15" t="inlineStr">
        <is>
          <t>No launched IPO found</t>
        </is>
      </c>
      <c r="H2091" s="15" t="n"/>
      <c r="I2091" s="16" t="n"/>
      <c r="J2091" s="16" t="n"/>
      <c r="K2091" s="16" t="n"/>
      <c r="L2091" s="17" t="n"/>
      <c r="M2091" s="17" t="n"/>
      <c r="N2091" s="17" t="n"/>
      <c r="O2091" s="15" t="n"/>
      <c r="P2091" s="15" t="n"/>
      <c r="Q2091" s="18" t="inlineStr">
        <is>
          <t>https://www.sebi.gov.in/sebi_data/attachdocs/1292929597904.pdf</t>
        </is>
      </c>
      <c r="R2091" s="18" t="inlineStr">
        <is>
          <t>https://www.sebi.gov.in/filings/public-issues/nov-2005/shirt-company-india-ltd_12354.html</t>
        </is>
      </c>
      <c r="S2091" s="15" t="n"/>
      <c r="T2091" s="15" t="n"/>
      <c r="U2091" s="15" t="n"/>
      <c r="V2091" s="15" t="n"/>
      <c r="W2091" s="16" t="n"/>
      <c r="X2091" s="16" t="n"/>
      <c r="Y2091" s="16" t="n"/>
      <c r="Z2091" s="15" t="inlineStr">
        <is>
          <t>No issue found</t>
        </is>
      </c>
      <c r="AA2091" s="15" t="inlineStr">
        <is>
          <t>Unlisted private company, now under liquidation; no IPO found.</t>
        </is>
      </c>
      <c r="AB2091" s="15" t="n"/>
    </row>
    <row r="2092" ht="15" customHeight="1" s="12">
      <c r="A2092" s="14" t="n">
        <v>2091</v>
      </c>
      <c r="B2092" s="16" t="n">
        <v>38675</v>
      </c>
      <c r="C2092" s="15" t="n">
        <v>2005</v>
      </c>
      <c r="D2092" s="15" t="inlineStr">
        <is>
          <t>Sunil Hitech Engineers Ltd</t>
        </is>
      </c>
      <c r="E2092" s="15" t="inlineStr">
        <is>
          <t>DRHP</t>
        </is>
      </c>
      <c r="F2092" s="15" t="inlineStr">
        <is>
          <t>Sunil Hitech Engineers Ltd</t>
        </is>
      </c>
      <c r="G2092" s="15" t="inlineStr">
        <is>
          <t>No launched IPO found</t>
        </is>
      </c>
      <c r="H2092" s="15" t="n"/>
      <c r="I2092" s="16" t="n"/>
      <c r="J2092" s="16" t="n"/>
      <c r="K2092" s="16" t="n"/>
      <c r="L2092" s="17" t="n"/>
      <c r="M2092" s="17" t="n"/>
      <c r="N2092" s="17" t="n"/>
      <c r="O2092" s="15" t="n"/>
      <c r="P2092" s="15" t="n"/>
      <c r="Q2092" s="18" t="inlineStr">
        <is>
          <t>https://www.sebi.gov.in/sebi_data/attachdocs/1292929363771.pdf</t>
        </is>
      </c>
      <c r="R2092" s="18" t="inlineStr">
        <is>
          <t>https://www.sebi.gov.in/filings/public-issues/nov-2005/sunil-hitech-engineers-ltd_12353.html</t>
        </is>
      </c>
      <c r="S2092" s="15" t="n"/>
      <c r="T2092" s="15" t="n"/>
      <c r="U2092" s="15" t="n"/>
      <c r="V2092" s="15" t="n"/>
      <c r="W2092" s="19" t="n">
        <v>38747</v>
      </c>
      <c r="X2092" s="19" t="n">
        <v>38751</v>
      </c>
      <c r="Y2092" s="19" t="n"/>
      <c r="Z2092" s="20" t="inlineStr">
        <is>
          <t>Issue opened</t>
        </is>
      </c>
      <c r="AA2092" s="15" t="inlineStr">
        <is>
          <t>Matched on chittorgarh.com</t>
        </is>
      </c>
      <c r="AB2092" s="18" t="inlineStr">
        <is>
          <t>https://www.chittorgarh.com/ipo/sunil-hitech-engineers-ipo/2884/</t>
        </is>
      </c>
    </row>
    <row r="2093" ht="15" customHeight="1" s="12">
      <c r="A2093" s="14" t="n">
        <v>2092</v>
      </c>
      <c r="B2093" s="16" t="n">
        <v>38674</v>
      </c>
      <c r="C2093" s="15" t="n">
        <v>2005</v>
      </c>
      <c r="D2093" s="15" t="inlineStr">
        <is>
          <t>Kamdhenu Ispat Limited</t>
        </is>
      </c>
      <c r="E2093" s="15" t="inlineStr">
        <is>
          <t>DRHP</t>
        </is>
      </c>
      <c r="F2093" s="15" t="inlineStr">
        <is>
          <t>Kamdhenu Ispat Limited - PDF</t>
        </is>
      </c>
      <c r="G2093" s="15" t="inlineStr">
        <is>
          <t>No launched IPO found</t>
        </is>
      </c>
      <c r="H2093" s="15" t="n"/>
      <c r="I2093" s="16" t="n"/>
      <c r="J2093" s="16" t="n"/>
      <c r="K2093" s="16" t="n"/>
      <c r="L2093" s="17" t="n"/>
      <c r="M2093" s="17" t="n"/>
      <c r="N2093" s="17" t="n"/>
      <c r="O2093" s="15" t="n"/>
      <c r="P2093" s="15" t="n"/>
      <c r="Q2093" s="18" t="inlineStr">
        <is>
          <t>https://www.sebi.gov.in/sebi_data/attachdocs/1292928921777.pdf</t>
        </is>
      </c>
      <c r="R2093" s="18" t="inlineStr">
        <is>
          <t>https://www.sebi.gov.in/filings/public-issues/nov-2005/kamdhenu-ispat-limited-pdf_12348.html</t>
        </is>
      </c>
      <c r="S2093" s="15" t="n"/>
      <c r="T2093" s="15" t="n"/>
      <c r="U2093" s="15" t="n"/>
      <c r="V2093" s="15" t="n"/>
      <c r="W2093" s="19" t="n">
        <v>38810</v>
      </c>
      <c r="X2093" s="19" t="n">
        <v>38815</v>
      </c>
      <c r="Y2093" s="19" t="n"/>
      <c r="Z2093" s="20" t="inlineStr">
        <is>
          <t>Issue opened</t>
        </is>
      </c>
      <c r="AA2093" s="15" t="inlineStr">
        <is>
          <t>Matched on chittorgarh.com</t>
        </is>
      </c>
      <c r="AB2093" s="18" t="inlineStr">
        <is>
          <t>https://www.chittorgarh.com/ipo/kamdhenu-ispat-ipo/2914/</t>
        </is>
      </c>
    </row>
    <row r="2094" ht="15" customHeight="1" s="12">
      <c r="A2094" s="14" t="n">
        <v>2093</v>
      </c>
      <c r="B2094" s="16" t="n">
        <v>38672</v>
      </c>
      <c r="C2094" s="15" t="n">
        <v>2005</v>
      </c>
      <c r="D2094" s="15" t="inlineStr">
        <is>
          <t>Entertainment Network (India) Limited</t>
        </is>
      </c>
      <c r="E2094" s="15" t="inlineStr">
        <is>
          <t>DRHP</t>
        </is>
      </c>
      <c r="F2094" s="15" t="inlineStr">
        <is>
          <t>Entertainment Network (India) Limited-PDF</t>
        </is>
      </c>
      <c r="G2094" s="15" t="inlineStr">
        <is>
          <t>No launched IPO found</t>
        </is>
      </c>
      <c r="H2094" s="15" t="n"/>
      <c r="I2094" s="16" t="n"/>
      <c r="J2094" s="16" t="n"/>
      <c r="K2094" s="16" t="n"/>
      <c r="L2094" s="17" t="n"/>
      <c r="M2094" s="17" t="n"/>
      <c r="N2094" s="17" t="n"/>
      <c r="O2094" s="15" t="n"/>
      <c r="P2094" s="15" t="n"/>
      <c r="Q2094" s="18" t="inlineStr">
        <is>
          <t>https://www.sebi.gov.in/sebi_data/attachdocs/1292928786756.pdf</t>
        </is>
      </c>
      <c r="R2094" s="18" t="inlineStr">
        <is>
          <t>https://www.sebi.gov.in/filings/public-issues/nov-2005/entertainment-network-india-limited-pdf_12347.html</t>
        </is>
      </c>
      <c r="S2094" s="15" t="n"/>
      <c r="T2094" s="15" t="n"/>
      <c r="U2094" s="15" t="n"/>
      <c r="V2094" s="15" t="n"/>
      <c r="W2094" s="19" t="n">
        <v>38740</v>
      </c>
      <c r="X2094" s="19" t="n">
        <v>38744</v>
      </c>
      <c r="Y2094" s="19" t="n"/>
      <c r="Z2094" s="20" t="inlineStr">
        <is>
          <t>Issue opened</t>
        </is>
      </c>
      <c r="AA2094" s="15" t="inlineStr">
        <is>
          <t>Matched on chittorgarh.com</t>
        </is>
      </c>
      <c r="AB2094" s="18" t="inlineStr">
        <is>
          <t>https://www.chittorgarh.com/ipo/entertainment-network-india-ipo/2880/</t>
        </is>
      </c>
    </row>
    <row r="2095" ht="15" customHeight="1" s="12">
      <c r="A2095" s="14" t="n">
        <v>2094</v>
      </c>
      <c r="B2095" s="16" t="n">
        <v>38670</v>
      </c>
      <c r="C2095" s="15" t="n">
        <v>2005</v>
      </c>
      <c r="D2095" s="15" t="inlineStr">
        <is>
          <t>Soma Textiles and Industries Limited</t>
        </is>
      </c>
      <c r="E2095" s="15" t="inlineStr">
        <is>
          <t>DRHP</t>
        </is>
      </c>
      <c r="F2095" s="15" t="inlineStr">
        <is>
          <t>Soma Textiles and Industries Limited- PDF</t>
        </is>
      </c>
      <c r="G2095" s="15" t="inlineStr">
        <is>
          <t>No launched IPO found</t>
        </is>
      </c>
      <c r="H2095" s="15" t="n"/>
      <c r="I2095" s="16" t="n"/>
      <c r="J2095" s="16" t="n"/>
      <c r="K2095" s="16" t="n"/>
      <c r="L2095" s="17" t="n"/>
      <c r="M2095" s="17" t="n"/>
      <c r="N2095" s="17" t="n"/>
      <c r="O2095" s="15" t="n"/>
      <c r="P2095" s="15" t="n"/>
      <c r="Q2095" s="18" t="inlineStr">
        <is>
          <t>https://www.sebi.gov.in/sebi_data/attachdocs/1292927619135.pdf</t>
        </is>
      </c>
      <c r="R2095" s="18" t="inlineStr">
        <is>
          <t>https://www.sebi.gov.in/filings/public-issues/nov-2005/soma-textiles-and-industries-limited-pdf_12332.html</t>
        </is>
      </c>
      <c r="S2095" s="15" t="n"/>
      <c r="T2095" s="15" t="n"/>
      <c r="U2095" s="15" t="n"/>
      <c r="V2095" s="15" t="n"/>
      <c r="W2095" s="16" t="n"/>
      <c r="X2095" s="16" t="n"/>
      <c r="Y2095" s="16" t="n"/>
      <c r="Z2095" s="15" t="inlineStr">
        <is>
          <t>No issue found</t>
        </is>
      </c>
      <c r="AA2095" s="15" t="inlineStr">
        <is>
          <t>Already listed since 1996; no FPO/IPO found after 2005 filing.</t>
        </is>
      </c>
      <c r="AB2095" s="15" t="n"/>
    </row>
    <row r="2096" ht="15" customHeight="1" s="12">
      <c r="A2096" s="14" t="n">
        <v>2095</v>
      </c>
      <c r="B2096" s="16" t="n">
        <v>38666</v>
      </c>
      <c r="C2096" s="15" t="n">
        <v>2005</v>
      </c>
      <c r="D2096" s="15" t="inlineStr">
        <is>
          <t>ShivalikGlobal Limited</t>
        </is>
      </c>
      <c r="E2096" s="15" t="inlineStr">
        <is>
          <t>DRHP</t>
        </is>
      </c>
      <c r="F2096" s="15" t="inlineStr">
        <is>
          <t>ShivalikGlobal Limited</t>
        </is>
      </c>
      <c r="G2096" s="15" t="inlineStr">
        <is>
          <t>No launched IPO found</t>
        </is>
      </c>
      <c r="H2096" s="15" t="n"/>
      <c r="I2096" s="16" t="n"/>
      <c r="J2096" s="16" t="n"/>
      <c r="K2096" s="16" t="n"/>
      <c r="L2096" s="17" t="n"/>
      <c r="M2096" s="17" t="n"/>
      <c r="N2096" s="17" t="n"/>
      <c r="O2096" s="15" t="n"/>
      <c r="P2096" s="15" t="n"/>
      <c r="Q2096" s="18" t="inlineStr">
        <is>
          <t>https://www.sebi.gov.in/sebi_data/attachdocs/1292928098695.pdf</t>
        </is>
      </c>
      <c r="R2096" s="18" t="inlineStr">
        <is>
          <t>https://www.sebi.gov.in/filings/public-issues/nov-2005/shivalikglobal-limited_12340.html</t>
        </is>
      </c>
      <c r="S2096" s="15" t="n"/>
      <c r="T2096" s="15" t="n"/>
      <c r="U2096" s="15" t="n"/>
      <c r="V2096" s="15" t="n"/>
      <c r="W2096" s="19" t="n">
        <v>38785</v>
      </c>
      <c r="X2096" s="19" t="n">
        <v>38790</v>
      </c>
      <c r="Y2096" s="19" t="n"/>
      <c r="Z2096" s="20" t="inlineStr">
        <is>
          <t>Issue opened</t>
        </is>
      </c>
      <c r="AA2096" s="15" t="inlineStr">
        <is>
          <t>Matched on chittorgarh.com (close name match: Shivalik Global)</t>
        </is>
      </c>
      <c r="AB2096" s="18" t="inlineStr">
        <is>
          <t>https://www.chittorgarh.com/ipo/shivalik-global-ipo/2902/</t>
        </is>
      </c>
    </row>
    <row r="2097" ht="15" customHeight="1" s="12">
      <c r="A2097" s="14" t="n">
        <v>2096</v>
      </c>
      <c r="B2097" s="16" t="n">
        <v>38665</v>
      </c>
      <c r="C2097" s="15" t="n">
        <v>2005</v>
      </c>
      <c r="D2097" s="15" t="inlineStr">
        <is>
          <t>Rohit Ferro-Tech Ltd</t>
        </is>
      </c>
      <c r="E2097" s="15" t="inlineStr">
        <is>
          <t>DRHP</t>
        </is>
      </c>
      <c r="F2097" s="15" t="inlineStr">
        <is>
          <t>Rohit Ferro-Tech Ltd</t>
        </is>
      </c>
      <c r="G2097" s="15" t="inlineStr">
        <is>
          <t>No launched IPO found</t>
        </is>
      </c>
      <c r="H2097" s="15" t="n"/>
      <c r="I2097" s="16" t="n"/>
      <c r="J2097" s="16" t="n"/>
      <c r="K2097" s="16" t="n"/>
      <c r="L2097" s="17" t="n"/>
      <c r="M2097" s="17" t="n"/>
      <c r="N2097" s="17" t="n"/>
      <c r="O2097" s="15" t="n"/>
      <c r="P2097" s="15" t="n"/>
      <c r="Q2097" s="18" t="inlineStr">
        <is>
          <t>https://www.sebi.gov.in/sebi_data/attachdocs/1292927493103.pdf</t>
        </is>
      </c>
      <c r="R2097" s="18" t="inlineStr">
        <is>
          <t>https://www.sebi.gov.in/filings/public-issues/nov-2005/rohit-ferro-tech-ltd_12330.html</t>
        </is>
      </c>
      <c r="S2097" s="15" t="n"/>
      <c r="T2097" s="15" t="n"/>
      <c r="U2097" s="15" t="n"/>
      <c r="V2097" s="15" t="n"/>
      <c r="W2097" s="19" t="n">
        <v>38783</v>
      </c>
      <c r="X2097" s="19" t="n">
        <v>38787</v>
      </c>
      <c r="Y2097" s="19" t="n"/>
      <c r="Z2097" s="20" t="inlineStr">
        <is>
          <t>Issue opened</t>
        </is>
      </c>
      <c r="AA2097" s="15" t="inlineStr">
        <is>
          <t>Matched on chittorgarh.com</t>
        </is>
      </c>
      <c r="AB2097" s="18" t="inlineStr">
        <is>
          <t>https://www.chittorgarh.com/ipo/rohit-ferrotech-ipo/2901/</t>
        </is>
      </c>
    </row>
    <row r="2098" ht="15" customHeight="1" s="12">
      <c r="A2098" s="14" t="n">
        <v>2097</v>
      </c>
      <c r="B2098" s="16" t="n">
        <v>38663</v>
      </c>
      <c r="C2098" s="15" t="n">
        <v>2005</v>
      </c>
      <c r="D2098" s="15" t="inlineStr">
        <is>
          <t>Royal Orchid Hotels Ltd</t>
        </is>
      </c>
      <c r="E2098" s="15" t="inlineStr">
        <is>
          <t>DRHP</t>
        </is>
      </c>
      <c r="F2098" s="15" t="inlineStr">
        <is>
          <t>Royal Orchid Hotels Ltd</t>
        </is>
      </c>
      <c r="G2098" s="15" t="inlineStr">
        <is>
          <t>No launched IPO found</t>
        </is>
      </c>
      <c r="H2098" s="15" t="n"/>
      <c r="I2098" s="16" t="n"/>
      <c r="J2098" s="16" t="n"/>
      <c r="K2098" s="16" t="n"/>
      <c r="L2098" s="17" t="n"/>
      <c r="M2098" s="17" t="n"/>
      <c r="N2098" s="17" t="n"/>
      <c r="O2098" s="15" t="n"/>
      <c r="P2098" s="15" t="n"/>
      <c r="Q2098" s="18" t="inlineStr">
        <is>
          <t>https://www.sebi.gov.in/sebi_data/attachdocs/1292925597425.pdf</t>
        </is>
      </c>
      <c r="R2098" s="18" t="inlineStr">
        <is>
          <t>https://www.sebi.gov.in/filings/public-issues/nov-2005/royal-orchid-hotels-ltd_12291.html</t>
        </is>
      </c>
      <c r="S2098" s="15" t="n"/>
      <c r="T2098" s="15" t="n"/>
      <c r="U2098" s="15" t="n"/>
      <c r="V2098" s="15" t="n"/>
      <c r="W2098" s="19" t="n">
        <v>38729</v>
      </c>
      <c r="X2098" s="19" t="n">
        <v>38734</v>
      </c>
      <c r="Y2098" s="19" t="n"/>
      <c r="Z2098" s="20" t="inlineStr">
        <is>
          <t>Issue opened</t>
        </is>
      </c>
      <c r="AA2098" s="15" t="inlineStr">
        <is>
          <t>Matched on chittorgarh.com</t>
        </is>
      </c>
      <c r="AB2098" s="18" t="inlineStr">
        <is>
          <t>https://www.chittorgarh.com/ipo/royal-orchid-hotels-ipo/2875/</t>
        </is>
      </c>
    </row>
    <row r="2099" ht="15" customHeight="1" s="12">
      <c r="A2099" s="14" t="n">
        <v>2098</v>
      </c>
      <c r="B2099" s="16" t="n">
        <v>38659</v>
      </c>
      <c r="C2099" s="15" t="n">
        <v>2005</v>
      </c>
      <c r="D2099" s="15" t="inlineStr">
        <is>
          <t>Celebrity Fashions Limited</t>
        </is>
      </c>
      <c r="E2099" s="15" t="inlineStr">
        <is>
          <t>DRHP</t>
        </is>
      </c>
      <c r="F2099" s="15" t="inlineStr">
        <is>
          <t>Celebrity Fashions Limited - PDF</t>
        </is>
      </c>
      <c r="G2099" s="15" t="inlineStr">
        <is>
          <t>No launched IPO found</t>
        </is>
      </c>
      <c r="H2099" s="15" t="n"/>
      <c r="I2099" s="16" t="n"/>
      <c r="J2099" s="16" t="n"/>
      <c r="K2099" s="16" t="n"/>
      <c r="L2099" s="17" t="n"/>
      <c r="M2099" s="17" t="n"/>
      <c r="N2099" s="17" t="n"/>
      <c r="O2099" s="15" t="n"/>
      <c r="P2099" s="15" t="n"/>
      <c r="Q2099" s="18" t="inlineStr">
        <is>
          <t>https://www.sebi.gov.in/sebi_data/attachdocs/1292925064369.pdf</t>
        </is>
      </c>
      <c r="R2099" s="18" t="inlineStr">
        <is>
          <t>https://www.sebi.gov.in/filings/public-issues/nov-2005/celebrity-fashions-limited-pdf_12284.html</t>
        </is>
      </c>
      <c r="S2099" s="15" t="n"/>
      <c r="T2099" s="15" t="n"/>
      <c r="U2099" s="15" t="n"/>
      <c r="V2099" s="15" t="n"/>
      <c r="W2099" s="19" t="n">
        <v>38705</v>
      </c>
      <c r="X2099" s="19" t="n">
        <v>38708</v>
      </c>
      <c r="Y2099" s="19" t="n"/>
      <c r="Z2099" s="20" t="inlineStr">
        <is>
          <t>Issue opened</t>
        </is>
      </c>
      <c r="AA2099" s="15" t="inlineStr">
        <is>
          <t>Matched on chittorgarh.com</t>
        </is>
      </c>
      <c r="AB2099" s="18" t="inlineStr">
        <is>
          <t>https://www.chittorgarh.com/ipo/celebrity-fashions-ipo/3076/</t>
        </is>
      </c>
    </row>
    <row r="2100" ht="15" customHeight="1" s="12">
      <c r="A2100" s="14" t="n">
        <v>2099</v>
      </c>
      <c r="B2100" s="16" t="n">
        <v>38652</v>
      </c>
      <c r="C2100" s="15" t="n">
        <v>2005</v>
      </c>
      <c r="D2100" s="15" t="inlineStr">
        <is>
          <t>GVK Power &amp; Infrastructure Ltd</t>
        </is>
      </c>
      <c r="E2100" s="15" t="inlineStr">
        <is>
          <t>DRHP</t>
        </is>
      </c>
      <c r="F2100" s="15" t="inlineStr">
        <is>
          <t>GVK Power &amp; Infrastructure Ltd</t>
        </is>
      </c>
      <c r="G2100" s="15" t="inlineStr">
        <is>
          <t>No launched IPO found</t>
        </is>
      </c>
      <c r="H2100" s="15" t="n"/>
      <c r="I2100" s="16" t="n"/>
      <c r="J2100" s="16" t="n"/>
      <c r="K2100" s="16" t="n"/>
      <c r="L2100" s="17" t="n"/>
      <c r="M2100" s="17" t="n"/>
      <c r="N2100" s="17" t="n"/>
      <c r="O2100" s="15" t="n"/>
      <c r="P2100" s="15" t="n"/>
      <c r="Q2100" s="18" t="inlineStr">
        <is>
          <t>https://www.sebi.gov.in/sebi_data/attachdocs/1292920704409.pdf</t>
        </is>
      </c>
      <c r="R2100" s="18" t="inlineStr">
        <is>
          <t>https://www.sebi.gov.in/filings/public-issues/oct-2005/gvk-power-and-infrastructure-ltd_12208.html</t>
        </is>
      </c>
      <c r="S2100" s="15" t="n"/>
      <c r="T2100" s="15" t="n"/>
      <c r="U2100" s="15" t="n"/>
      <c r="V2100" s="15" t="n"/>
      <c r="W2100" s="19" t="n">
        <v>38750</v>
      </c>
      <c r="X2100" s="19" t="n">
        <v>38755</v>
      </c>
      <c r="Y2100" s="19" t="n"/>
      <c r="Z2100" s="20" t="inlineStr">
        <is>
          <t>Issue opened</t>
        </is>
      </c>
      <c r="AA2100" s="15" t="inlineStr">
        <is>
          <t>Matched on chittorgarh.com</t>
        </is>
      </c>
      <c r="AB2100" s="18" t="inlineStr">
        <is>
          <t>https://www.chittorgarh.com/ipo/gvk-power-infrastructure-ipo/2885/</t>
        </is>
      </c>
    </row>
    <row r="2101" ht="15" customHeight="1" s="12">
      <c r="A2101" s="14" t="n">
        <v>2100</v>
      </c>
      <c r="B2101" s="16" t="n">
        <v>38650</v>
      </c>
      <c r="C2101" s="15" t="n">
        <v>2005</v>
      </c>
      <c r="D2101" s="15" t="inlineStr">
        <is>
          <t>ICICI Bank Ltd</t>
        </is>
      </c>
      <c r="E2101" s="15" t="inlineStr">
        <is>
          <t>DRHP</t>
        </is>
      </c>
      <c r="F2101" s="15" t="inlineStr">
        <is>
          <t>ICICI Bank Ltd</t>
        </is>
      </c>
      <c r="G2101" s="15" t="inlineStr">
        <is>
          <t>No launched IPO found</t>
        </is>
      </c>
      <c r="H2101" s="15" t="n"/>
      <c r="I2101" s="16" t="n"/>
      <c r="J2101" s="16" t="n"/>
      <c r="K2101" s="16" t="n"/>
      <c r="L2101" s="17" t="n"/>
      <c r="M2101" s="17" t="n"/>
      <c r="N2101" s="17" t="n"/>
      <c r="O2101" s="15" t="n"/>
      <c r="P2101" s="15" t="n"/>
      <c r="Q2101" s="18" t="inlineStr">
        <is>
          <t>https://www.sebi.gov.in/sebi_data/attachdocs/1292919748432.pdf</t>
        </is>
      </c>
      <c r="R2101" s="18" t="inlineStr">
        <is>
          <t>https://www.sebi.gov.in/filings/public-issues/oct-2005/icici-bank-ltd_12192.html</t>
        </is>
      </c>
      <c r="S2101" s="15" t="n"/>
      <c r="T2101" s="15" t="n"/>
      <c r="U2101" s="15" t="n"/>
      <c r="V2101" s="15" t="n"/>
      <c r="W2101" s="19" t="n">
        <v>39252</v>
      </c>
      <c r="X2101" s="19" t="n">
        <v>39255</v>
      </c>
      <c r="Y2101" s="19" t="n">
        <v>39269</v>
      </c>
      <c r="Z2101" s="20" t="inlineStr">
        <is>
          <t>Issue opened</t>
        </is>
      </c>
      <c r="AA2101" s="15" t="inlineStr">
        <is>
          <t>Business Standard IPO page</t>
        </is>
      </c>
      <c r="AB2101" s="18" t="inlineStr">
        <is>
          <t>https://www.business-standard.com/markets/ipo/icici-bank-ltd-ipo-5418</t>
        </is>
      </c>
    </row>
    <row r="2102" ht="15" customHeight="1" s="12">
      <c r="A2102" s="14" t="n">
        <v>2101</v>
      </c>
      <c r="B2102" s="16" t="n">
        <v>38649</v>
      </c>
      <c r="C2102" s="15" t="n">
        <v>2005</v>
      </c>
      <c r="D2102" s="15" t="inlineStr">
        <is>
          <t>Dynemic Products Ltd</t>
        </is>
      </c>
      <c r="E2102" s="15" t="inlineStr">
        <is>
          <t>DRHP</t>
        </is>
      </c>
      <c r="F2102" s="15" t="inlineStr">
        <is>
          <t>Dynemic Products Ltd</t>
        </is>
      </c>
      <c r="G2102" s="15" t="inlineStr">
        <is>
          <t>No launched IPO found</t>
        </is>
      </c>
      <c r="H2102" s="15" t="n"/>
      <c r="I2102" s="16" t="n"/>
      <c r="J2102" s="16" t="n"/>
      <c r="K2102" s="16" t="n"/>
      <c r="L2102" s="17" t="n"/>
      <c r="M2102" s="17" t="n"/>
      <c r="N2102" s="17" t="n"/>
      <c r="O2102" s="15" t="n"/>
      <c r="P2102" s="15" t="n"/>
      <c r="Q2102" s="18" t="inlineStr">
        <is>
          <t>https://www.sebi.gov.in/sebi_data/attachdocs/1292918569133.pdf</t>
        </is>
      </c>
      <c r="R2102" s="18" t="inlineStr">
        <is>
          <t>https://www.sebi.gov.in/filings/public-issues/oct-2005/dynemic-products-ltd_12190.html</t>
        </is>
      </c>
      <c r="S2102" s="15" t="n"/>
      <c r="T2102" s="15" t="n"/>
      <c r="U2102" s="15" t="n"/>
      <c r="V2102" s="15" t="n"/>
      <c r="W2102" s="19" t="n">
        <v>38735</v>
      </c>
      <c r="X2102" s="19" t="n">
        <v>38742</v>
      </c>
      <c r="Y2102" s="19" t="n"/>
      <c r="Z2102" s="20" t="inlineStr">
        <is>
          <t>Issue opened</t>
        </is>
      </c>
      <c r="AA2102" s="15" t="inlineStr">
        <is>
          <t>Matched on chittorgarh.com</t>
        </is>
      </c>
      <c r="AB2102" s="18" t="inlineStr">
        <is>
          <t>https://www.chittorgarh.com/ipo/dynemic-products-ipo/2879/</t>
        </is>
      </c>
    </row>
    <row r="2103" ht="15" customHeight="1" s="12">
      <c r="A2103" s="14" t="n">
        <v>2102</v>
      </c>
      <c r="B2103" s="16" t="n">
        <v>38649</v>
      </c>
      <c r="C2103" s="15" t="n">
        <v>2005</v>
      </c>
      <c r="D2103" s="15" t="inlineStr">
        <is>
          <t>Gujarat State Petronet Ltd</t>
        </is>
      </c>
      <c r="E2103" s="15" t="inlineStr">
        <is>
          <t>DRHP</t>
        </is>
      </c>
      <c r="F2103" s="15" t="inlineStr">
        <is>
          <t>Gujarat State Petronet Ltd</t>
        </is>
      </c>
      <c r="G2103" s="15" t="inlineStr">
        <is>
          <t>No launched IPO found</t>
        </is>
      </c>
      <c r="H2103" s="15" t="n"/>
      <c r="I2103" s="16" t="n"/>
      <c r="J2103" s="16" t="n"/>
      <c r="K2103" s="16" t="n"/>
      <c r="L2103" s="17" t="n"/>
      <c r="M2103" s="17" t="n"/>
      <c r="N2103" s="17" t="n"/>
      <c r="O2103" s="15" t="n"/>
      <c r="P2103" s="15" t="n"/>
      <c r="Q2103" s="18" t="inlineStr">
        <is>
          <t>https://www.sebi.gov.in/sebi_data/attachdocs/1292919374966.pdf</t>
        </is>
      </c>
      <c r="R2103" s="18" t="inlineStr">
        <is>
          <t>https://www.sebi.gov.in/filings/public-issues/oct-2005/gujarat-state-petronet-ltd_12191.html</t>
        </is>
      </c>
      <c r="S2103" s="15" t="n"/>
      <c r="T2103" s="15" t="n"/>
      <c r="U2103" s="15" t="n"/>
      <c r="V2103" s="15" t="n"/>
      <c r="W2103" s="19" t="n">
        <v>38741</v>
      </c>
      <c r="X2103" s="19" t="n">
        <v>38745</v>
      </c>
      <c r="Y2103" s="19" t="n"/>
      <c r="Z2103" s="20" t="inlineStr">
        <is>
          <t>Issue opened</t>
        </is>
      </c>
      <c r="AA2103" s="15" t="inlineStr">
        <is>
          <t>Matched on chittorgarh.com</t>
        </is>
      </c>
      <c r="AB2103" s="18" t="inlineStr">
        <is>
          <t>https://www.chittorgarh.com/ipo/gujarat-state-petronet-ipo/2881/</t>
        </is>
      </c>
    </row>
    <row r="2104" ht="15" customHeight="1" s="12">
      <c r="A2104" s="14" t="n">
        <v>2103</v>
      </c>
      <c r="B2104" s="16" t="n">
        <v>38636</v>
      </c>
      <c r="C2104" s="15" t="n">
        <v>2005</v>
      </c>
      <c r="D2104" s="15" t="inlineStr">
        <is>
          <t>Bank of Baroda</t>
        </is>
      </c>
      <c r="E2104" s="15" t="inlineStr">
        <is>
          <t>DRHP</t>
        </is>
      </c>
      <c r="F2104" s="15" t="inlineStr">
        <is>
          <t>Bank of Baroda</t>
        </is>
      </c>
      <c r="G2104" s="15" t="inlineStr">
        <is>
          <t>No launched IPO found</t>
        </is>
      </c>
      <c r="H2104" s="15" t="n"/>
      <c r="I2104" s="16" t="n"/>
      <c r="J2104" s="16" t="n"/>
      <c r="K2104" s="16" t="n"/>
      <c r="L2104" s="17" t="n"/>
      <c r="M2104" s="17" t="n"/>
      <c r="N2104" s="17" t="n"/>
      <c r="O2104" s="15" t="n"/>
      <c r="P2104" s="15" t="n"/>
      <c r="Q2104" s="18" t="inlineStr">
        <is>
          <t>https://www.sebi.gov.in/sebi_data/attachdocs/1292918090232.pdf</t>
        </is>
      </c>
      <c r="R2104" s="18" t="inlineStr">
        <is>
          <t>https://www.sebi.gov.in/filings/public-issues/oct-2005/bank-of-baroda_12188.html</t>
        </is>
      </c>
      <c r="S2104" s="15" t="n"/>
      <c r="T2104" s="15" t="n"/>
      <c r="U2104" s="15" t="n"/>
      <c r="V2104" s="15" t="n"/>
      <c r="W2104" s="19" t="n">
        <v>38733</v>
      </c>
      <c r="X2104" s="19" t="n">
        <v>38737</v>
      </c>
      <c r="Y2104" s="19" t="n">
        <v>38754</v>
      </c>
      <c r="Z2104" s="20" t="inlineStr">
        <is>
          <t>Issue opened</t>
        </is>
      </c>
      <c r="AA2104" s="15" t="inlineStr">
        <is>
          <t>Business Standard IPO page</t>
        </is>
      </c>
      <c r="AB2104" s="18" t="inlineStr">
        <is>
          <t>https://www.business-standard.com/markets/ipo/bank-of-baroda-ipo-5456</t>
        </is>
      </c>
    </row>
    <row r="2105" ht="15" customHeight="1" s="12">
      <c r="A2105" s="14" t="n">
        <v>2104</v>
      </c>
      <c r="B2105" s="16" t="n">
        <v>38636</v>
      </c>
      <c r="C2105" s="15" t="n">
        <v>2005</v>
      </c>
      <c r="D2105" s="15" t="inlineStr">
        <is>
          <t>Punj Lloyd Ltd</t>
        </is>
      </c>
      <c r="E2105" s="15" t="inlineStr">
        <is>
          <t>DRHP</t>
        </is>
      </c>
      <c r="F2105" s="15" t="inlineStr">
        <is>
          <t>Punj Lloyd Ltd</t>
        </is>
      </c>
      <c r="G2105" s="15" t="inlineStr">
        <is>
          <t>No launched IPO found</t>
        </is>
      </c>
      <c r="H2105" s="15" t="n"/>
      <c r="I2105" s="16" t="n"/>
      <c r="J2105" s="16" t="n"/>
      <c r="K2105" s="16" t="n"/>
      <c r="L2105" s="17" t="n"/>
      <c r="M2105" s="17" t="n"/>
      <c r="N2105" s="17" t="n"/>
      <c r="O2105" s="15" t="n"/>
      <c r="P2105" s="15" t="n"/>
      <c r="Q2105" s="18" t="inlineStr">
        <is>
          <t>https://www.sebi.gov.in/sebi_data/attachdocs/1292918374499.pdf</t>
        </is>
      </c>
      <c r="R2105" s="18" t="inlineStr">
        <is>
          <t>https://www.sebi.gov.in/filings/public-issues/oct-2005/punj-lloyd-ltd_12189.html</t>
        </is>
      </c>
      <c r="S2105" s="15" t="n"/>
      <c r="T2105" s="15" t="n"/>
      <c r="U2105" s="15" t="n"/>
      <c r="V2105" s="15" t="n"/>
      <c r="W2105" s="19" t="n">
        <v>38699</v>
      </c>
      <c r="X2105" s="19" t="n">
        <v>38702</v>
      </c>
      <c r="Y2105" s="19" t="n"/>
      <c r="Z2105" s="20" t="inlineStr">
        <is>
          <t>Issue opened</t>
        </is>
      </c>
      <c r="AA2105" s="15" t="inlineStr">
        <is>
          <t>Matched on chittorgarh.com</t>
        </is>
      </c>
      <c r="AB2105" s="18" t="inlineStr">
        <is>
          <t>https://www.chittorgarh.com/ipo/punj-lloyd-ipo/3074/</t>
        </is>
      </c>
    </row>
    <row r="2106" ht="15" customHeight="1" s="12">
      <c r="A2106" s="14" t="n">
        <v>2105</v>
      </c>
      <c r="B2106" s="16" t="n">
        <v>38635</v>
      </c>
      <c r="C2106" s="15" t="n">
        <v>2005</v>
      </c>
      <c r="D2106" s="15" t="inlineStr">
        <is>
          <t>Shree Renuka Sugars Limited</t>
        </is>
      </c>
      <c r="E2106" s="15" t="inlineStr">
        <is>
          <t>Notice</t>
        </is>
      </c>
      <c r="F2106" s="15" t="inlineStr">
        <is>
          <t>Shree Renuka Sugars Limited - Notice to Investors</t>
        </is>
      </c>
      <c r="G2106" s="15" t="inlineStr">
        <is>
          <t>No launched IPO found</t>
        </is>
      </c>
      <c r="H2106" s="15" t="n"/>
      <c r="I2106" s="16" t="n"/>
      <c r="J2106" s="16" t="n"/>
      <c r="K2106" s="16" t="n"/>
      <c r="L2106" s="17" t="n"/>
      <c r="M2106" s="17" t="n"/>
      <c r="N2106" s="17" t="n"/>
      <c r="O2106" s="15" t="n"/>
      <c r="P2106" s="15" t="n"/>
      <c r="Q2106" s="18" t="inlineStr">
        <is>
          <t>https://www.sebi.gov.in/sebi_data/attachdocs/1292917736698.pdf</t>
        </is>
      </c>
      <c r="R2106" s="18" t="inlineStr">
        <is>
          <t>https://www.sebi.gov.in/filings/public-issues/oct-2005/shree-renuka-sugars-limited-notice-to-investors_12185.html</t>
        </is>
      </c>
      <c r="S2106" s="15" t="n"/>
      <c r="T2106" s="15" t="n"/>
      <c r="U2106" s="15" t="n"/>
      <c r="V2106" s="15" t="n"/>
      <c r="W2106" s="16" t="n"/>
      <c r="X2106" s="16" t="n"/>
      <c r="Y2106" s="16" t="n"/>
      <c r="Z2106" s="15" t="inlineStr">
        <is>
          <t>No issue found</t>
        </is>
      </c>
      <c r="AA2106" s="15" t="inlineStr">
        <is>
          <t>IPO opened 2005-10-07, before first_filed 2005-10-10 (close 2005-10-14, listed 2005-10-31); not after filing.</t>
        </is>
      </c>
      <c r="AB2106" s="18" t="inlineStr">
        <is>
          <t>https://www.business-standard.com/markets/ipo/shree-renuka-sugars-ltd-ipo-23875</t>
        </is>
      </c>
    </row>
    <row r="2107" ht="15" customHeight="1" s="12">
      <c r="A2107" s="14" t="n">
        <v>2106</v>
      </c>
      <c r="B2107" s="16" t="n">
        <v>38635</v>
      </c>
      <c r="C2107" s="15" t="n">
        <v>2005</v>
      </c>
      <c r="D2107" s="15" t="inlineStr">
        <is>
          <t>Sree Sakthi Paper Mills Ltd</t>
        </is>
      </c>
      <c r="E2107" s="15" t="inlineStr">
        <is>
          <t>DRHP</t>
        </is>
      </c>
      <c r="F2107" s="15" t="inlineStr">
        <is>
          <t>Sree Sakthi Paper Mills Ltd-Draft Prospectus</t>
        </is>
      </c>
      <c r="G2107" s="15" t="inlineStr">
        <is>
          <t>No launched IPO found</t>
        </is>
      </c>
      <c r="H2107" s="15" t="n"/>
      <c r="I2107" s="16" t="n"/>
      <c r="J2107" s="16" t="n"/>
      <c r="K2107" s="16" t="n"/>
      <c r="L2107" s="17" t="n"/>
      <c r="M2107" s="17" t="n"/>
      <c r="N2107" s="17" t="n"/>
      <c r="O2107" s="15" t="n"/>
      <c r="P2107" s="15" t="n"/>
      <c r="Q2107" s="18" t="inlineStr">
        <is>
          <t>https://www.sebi.gov.in/sebi_data/attachdocs/1292917845393.pdf</t>
        </is>
      </c>
      <c r="R2107" s="18" t="inlineStr">
        <is>
          <t>https://www.sebi.gov.in/filings/public-issues/oct-2005/sree-sakthi-paper-mills-ltd-draft-prospectus_12186.html</t>
        </is>
      </c>
      <c r="S2107" s="15" t="n"/>
      <c r="T2107" s="15" t="n"/>
      <c r="U2107" s="15" t="n"/>
      <c r="V2107" s="15" t="n"/>
      <c r="W2107" s="19" t="n">
        <v>38734</v>
      </c>
      <c r="X2107" s="19" t="n">
        <v>38738</v>
      </c>
      <c r="Y2107" s="19" t="n"/>
      <c r="Z2107" s="20" t="inlineStr">
        <is>
          <t>Issue opened</t>
        </is>
      </c>
      <c r="AA2107" s="15" t="inlineStr">
        <is>
          <t>Matched on chittorgarh.com</t>
        </is>
      </c>
      <c r="AB2107" s="18" t="inlineStr">
        <is>
          <t>https://www.chittorgarh.com/ipo/sree-sakthi-paper-mills-ipo/2878/</t>
        </is>
      </c>
    </row>
    <row r="2108" ht="15" customHeight="1" s="12">
      <c r="A2108" s="14" t="n">
        <v>2107</v>
      </c>
      <c r="B2108" s="16" t="n">
        <v>38632</v>
      </c>
      <c r="C2108" s="15" t="n">
        <v>2005</v>
      </c>
      <c r="D2108" s="15" t="inlineStr">
        <is>
          <t>PVR Limited</t>
        </is>
      </c>
      <c r="E2108" s="15" t="inlineStr">
        <is>
          <t>DRHP</t>
        </is>
      </c>
      <c r="F2108" s="15" t="inlineStr">
        <is>
          <t>PVR Limited - PDF</t>
        </is>
      </c>
      <c r="G2108" s="15" t="inlineStr">
        <is>
          <t>No launched IPO found</t>
        </is>
      </c>
      <c r="H2108" s="15" t="n"/>
      <c r="I2108" s="16" t="n"/>
      <c r="J2108" s="16" t="n"/>
      <c r="K2108" s="16" t="n"/>
      <c r="L2108" s="17" t="n"/>
      <c r="M2108" s="17" t="n"/>
      <c r="N2108" s="17" t="n"/>
      <c r="O2108" s="15" t="n"/>
      <c r="P2108" s="15" t="n"/>
      <c r="Q2108" s="18" t="inlineStr">
        <is>
          <t>https://www.sebi.gov.in/sebi_data/attachdocs/1292917638871.pdf</t>
        </is>
      </c>
      <c r="R2108" s="18" t="inlineStr">
        <is>
          <t>https://www.sebi.gov.in/filings/public-issues/oct-2005/pvr-limited-pdf_12184.html</t>
        </is>
      </c>
      <c r="S2108" s="15" t="n"/>
      <c r="T2108" s="15" t="n"/>
      <c r="U2108" s="15" t="n"/>
      <c r="V2108" s="15" t="n"/>
      <c r="W2108" s="19" t="n">
        <v>38694</v>
      </c>
      <c r="X2108" s="19" t="n">
        <v>38700</v>
      </c>
      <c r="Y2108" s="19" t="n"/>
      <c r="Z2108" s="20" t="inlineStr">
        <is>
          <t>Issue opened</t>
        </is>
      </c>
      <c r="AA2108" s="15" t="inlineStr">
        <is>
          <t>Matched on chittorgarh.com</t>
        </is>
      </c>
      <c r="AB2108" s="18" t="inlineStr">
        <is>
          <t>https://www.chittorgarh.com/ipo/pvr-ipo/3071/</t>
        </is>
      </c>
    </row>
    <row r="2109" ht="15" customHeight="1" s="12">
      <c r="A2109" s="14" t="n">
        <v>2108</v>
      </c>
      <c r="B2109" s="16" t="n">
        <v>38632</v>
      </c>
      <c r="C2109" s="15" t="n">
        <v>2005</v>
      </c>
      <c r="D2109" s="15" t="inlineStr">
        <is>
          <t>Sadbhav Engineering Limited</t>
        </is>
      </c>
      <c r="E2109" s="15" t="inlineStr">
        <is>
          <t>DRHP</t>
        </is>
      </c>
      <c r="F2109" s="15" t="inlineStr">
        <is>
          <t>Sadbhav Engineering Limited - PDF</t>
        </is>
      </c>
      <c r="G2109" s="15" t="inlineStr">
        <is>
          <t>No launched IPO found</t>
        </is>
      </c>
      <c r="H2109" s="15" t="n"/>
      <c r="I2109" s="16" t="n"/>
      <c r="J2109" s="16" t="n"/>
      <c r="K2109" s="16" t="n"/>
      <c r="L2109" s="17" t="n"/>
      <c r="M2109" s="17" t="n"/>
      <c r="N2109" s="17" t="n"/>
      <c r="O2109" s="15" t="n"/>
      <c r="P2109" s="15" t="n"/>
      <c r="Q2109" s="18" t="inlineStr">
        <is>
          <t>https://www.sebi.gov.in/sebi_data/attachdocs/1292917424495.pdf</t>
        </is>
      </c>
      <c r="R2109" s="18" t="inlineStr">
        <is>
          <t>https://www.sebi.gov.in/filings/public-issues/oct-2005/sadbhav-engineering-limited-pdf_12181.html</t>
        </is>
      </c>
      <c r="S2109" s="15" t="n"/>
      <c r="T2109" s="15" t="n"/>
      <c r="U2109" s="15" t="n"/>
      <c r="V2109" s="15" t="n"/>
      <c r="W2109" s="19" t="n">
        <v>38751</v>
      </c>
      <c r="X2109" s="19" t="n">
        <v>38756</v>
      </c>
      <c r="Y2109" s="19" t="n"/>
      <c r="Z2109" s="20" t="inlineStr">
        <is>
          <t>Issue opened</t>
        </is>
      </c>
      <c r="AA2109" s="15" t="inlineStr">
        <is>
          <t>Matched on chittorgarh.com</t>
        </is>
      </c>
      <c r="AB2109" s="18" t="inlineStr">
        <is>
          <t>https://www.chittorgarh.com/ipo/sadbhav-engineering-ipo/2886/</t>
        </is>
      </c>
    </row>
    <row r="2110" ht="15" customHeight="1" s="12">
      <c r="A2110" s="14" t="n">
        <v>2109</v>
      </c>
      <c r="B2110" s="16" t="n">
        <v>38632</v>
      </c>
      <c r="C2110" s="15" t="n">
        <v>2005</v>
      </c>
      <c r="D2110" s="15" t="inlineStr">
        <is>
          <t>Sakuma Exports Limited</t>
        </is>
      </c>
      <c r="E2110" s="15" t="inlineStr">
        <is>
          <t>DRHP</t>
        </is>
      </c>
      <c r="F2110" s="15" t="inlineStr">
        <is>
          <t>Sakuma Exports Limited - PDF</t>
        </is>
      </c>
      <c r="G2110" s="15" t="inlineStr">
        <is>
          <t>No launched IPO found</t>
        </is>
      </c>
      <c r="H2110" s="15" t="n"/>
      <c r="I2110" s="16" t="n"/>
      <c r="J2110" s="16" t="n"/>
      <c r="K2110" s="16" t="n"/>
      <c r="L2110" s="17" t="n"/>
      <c r="M2110" s="17" t="n"/>
      <c r="N2110" s="17" t="n"/>
      <c r="O2110" s="15" t="n"/>
      <c r="P2110" s="15" t="n"/>
      <c r="Q2110" s="18" t="inlineStr">
        <is>
          <t>https://www.sebi.gov.in/sebi_data/attachdocs/1292917286293.pdf</t>
        </is>
      </c>
      <c r="R2110" s="18" t="inlineStr">
        <is>
          <t>https://www.sebi.gov.in/filings/public-issues/oct-2005/sakuma-exports-limited-pdf_12180.html</t>
        </is>
      </c>
      <c r="S2110" s="15" t="n"/>
      <c r="T2110" s="15" t="n"/>
      <c r="U2110" s="15" t="n"/>
      <c r="V2110" s="15" t="n"/>
      <c r="W2110" s="19" t="n">
        <v>38756</v>
      </c>
      <c r="X2110" s="19" t="n">
        <v>38762</v>
      </c>
      <c r="Y2110" s="19" t="n"/>
      <c r="Z2110" s="20" t="inlineStr">
        <is>
          <t>Issue opened</t>
        </is>
      </c>
      <c r="AA2110" s="15" t="inlineStr">
        <is>
          <t>Matched on chittorgarh.com</t>
        </is>
      </c>
      <c r="AB2110" s="18" t="inlineStr">
        <is>
          <t>https://www.chittorgarh.com/ipo/sakuma-exports-ipo/2887/</t>
        </is>
      </c>
    </row>
    <row r="2111" ht="15" customHeight="1" s="12">
      <c r="A2111" s="14" t="n">
        <v>2110</v>
      </c>
      <c r="B2111" s="16" t="n">
        <v>38630</v>
      </c>
      <c r="C2111" s="15" t="n">
        <v>2005</v>
      </c>
      <c r="D2111" s="15" t="inlineStr">
        <is>
          <t>Ginni Filaments Limited</t>
        </is>
      </c>
      <c r="E2111" s="15" t="inlineStr">
        <is>
          <t>DRHP</t>
        </is>
      </c>
      <c r="F2111" s="15" t="inlineStr">
        <is>
          <t>Ginni Filaments Limited - PDF</t>
        </is>
      </c>
      <c r="G2111" s="15" t="inlineStr">
        <is>
          <t>No launched IPO found</t>
        </is>
      </c>
      <c r="H2111" s="15" t="n"/>
      <c r="I2111" s="16" t="n"/>
      <c r="J2111" s="16" t="n"/>
      <c r="K2111" s="16" t="n"/>
      <c r="L2111" s="17" t="n"/>
      <c r="M2111" s="17" t="n"/>
      <c r="N2111" s="17" t="n"/>
      <c r="O2111" s="15" t="n"/>
      <c r="P2111" s="15" t="n"/>
      <c r="Q2111" s="18" t="inlineStr">
        <is>
          <t>https://www.sebi.gov.in/sebi_data/attachdocs/1292916812000.pdf</t>
        </is>
      </c>
      <c r="R2111" s="18" t="inlineStr">
        <is>
          <t>https://www.sebi.gov.in/filings/public-issues/oct-2005/ginni-filaments-limited-pdf_12178.html</t>
        </is>
      </c>
      <c r="S2111" s="15" t="n"/>
      <c r="T2111" s="15" t="n"/>
      <c r="U2111" s="15" t="n"/>
      <c r="V2111" s="15" t="n"/>
      <c r="W2111" s="19" t="n">
        <v>38705</v>
      </c>
      <c r="X2111" s="19" t="n">
        <v>38709</v>
      </c>
      <c r="Y2111" s="19" t="n">
        <v>38730</v>
      </c>
      <c r="Z2111" s="20" t="inlineStr">
        <is>
          <t>Issue opened</t>
        </is>
      </c>
      <c r="AA2111" s="15" t="inlineStr">
        <is>
          <t>Business Standard IPO page</t>
        </is>
      </c>
      <c r="AB2111" s="18" t="inlineStr">
        <is>
          <t>https://www.business-standard.com/markets/ipo/ginni-filaments-ltd-ipo-1846</t>
        </is>
      </c>
    </row>
    <row r="2112" ht="15" customHeight="1" s="12">
      <c r="A2112" s="14" t="n">
        <v>2111</v>
      </c>
      <c r="B2112" s="16" t="n">
        <v>38630</v>
      </c>
      <c r="C2112" s="15" t="n">
        <v>2005</v>
      </c>
      <c r="D2112" s="15" t="inlineStr">
        <is>
          <t>K Sera Sera Productions Limited</t>
        </is>
      </c>
      <c r="E2112" s="15" t="inlineStr">
        <is>
          <t>DRHP</t>
        </is>
      </c>
      <c r="F2112" s="15" t="inlineStr">
        <is>
          <t>K Sera Sera Productions Limited - PDF</t>
        </is>
      </c>
      <c r="G2112" s="15" t="inlineStr">
        <is>
          <t>No launched IPO found</t>
        </is>
      </c>
      <c r="H2112" s="15" t="n"/>
      <c r="I2112" s="16" t="n"/>
      <c r="J2112" s="16" t="n"/>
      <c r="K2112" s="16" t="n"/>
      <c r="L2112" s="17" t="n"/>
      <c r="M2112" s="17" t="n"/>
      <c r="N2112" s="17" t="n"/>
      <c r="O2112" s="15" t="n"/>
      <c r="P2112" s="15" t="n"/>
      <c r="Q2112" s="18" t="inlineStr">
        <is>
          <t>https://www.sebi.gov.in/sebi_data/attachdocs/1292917064202.pdf</t>
        </is>
      </c>
      <c r="R2112" s="18" t="inlineStr">
        <is>
          <t>https://www.sebi.gov.in/filings/public-issues/oct-2005/k-sera-sera-productions-limited-pdf_12179.html</t>
        </is>
      </c>
      <c r="S2112" s="15" t="n"/>
      <c r="T2112" s="15" t="n"/>
      <c r="U2112" s="15" t="n"/>
      <c r="V2112" s="15" t="n"/>
      <c r="W2112" s="19" t="n">
        <v>38764</v>
      </c>
      <c r="X2112" s="19" t="n">
        <v>38770</v>
      </c>
      <c r="Y2112" s="19" t="n">
        <v>38784</v>
      </c>
      <c r="Z2112" s="20" t="inlineStr">
        <is>
          <t>Issue opened</t>
        </is>
      </c>
      <c r="AA2112" s="15" t="inlineStr">
        <is>
          <t>Rs34cr book-built FPO at Rs68; BSE</t>
        </is>
      </c>
      <c r="AB2112" s="18" t="inlineStr">
        <is>
          <t>https://www.chittorgarh.com/ipo/k-sera-sera-productions-fpo/2892/</t>
        </is>
      </c>
    </row>
    <row r="2113" ht="15" customHeight="1" s="12">
      <c r="A2113" s="14" t="n">
        <v>2112</v>
      </c>
      <c r="B2113" s="16" t="n">
        <v>38624</v>
      </c>
      <c r="C2113" s="15" t="n">
        <v>2005</v>
      </c>
      <c r="D2113" s="15" t="inlineStr">
        <is>
          <t>Bartronics India Limited</t>
        </is>
      </c>
      <c r="E2113" s="15" t="inlineStr">
        <is>
          <t>DRHP</t>
        </is>
      </c>
      <c r="F2113" s="15" t="inlineStr">
        <is>
          <t>Bartronics India Limited</t>
        </is>
      </c>
      <c r="G2113" s="15" t="inlineStr">
        <is>
          <t>No launched IPO found</t>
        </is>
      </c>
      <c r="H2113" s="15" t="n"/>
      <c r="I2113" s="16" t="n"/>
      <c r="J2113" s="16" t="n"/>
      <c r="K2113" s="16" t="n"/>
      <c r="L2113" s="17" t="n"/>
      <c r="M2113" s="17" t="n"/>
      <c r="N2113" s="17" t="n"/>
      <c r="O2113" s="15" t="n"/>
      <c r="P2113" s="15" t="n"/>
      <c r="Q2113" s="18" t="inlineStr">
        <is>
          <t>https://www.sebi.gov.in/sebi_data/attachdocs/1292907711819.pdf</t>
        </is>
      </c>
      <c r="R2113" s="18" t="inlineStr">
        <is>
          <t>https://www.sebi.gov.in/filings/public-issues/sep-2005/bartronics-india-limited_11990.html</t>
        </is>
      </c>
      <c r="S2113" s="15" t="n"/>
      <c r="T2113" s="15" t="n"/>
      <c r="U2113" s="15" t="n"/>
      <c r="V2113" s="15" t="n"/>
      <c r="W2113" s="19" t="n">
        <v>38706</v>
      </c>
      <c r="X2113" s="19" t="n">
        <v>38710</v>
      </c>
      <c r="Y2113" s="19" t="n"/>
      <c r="Z2113" s="20" t="inlineStr">
        <is>
          <t>Issue opened</t>
        </is>
      </c>
      <c r="AA2113" s="15" t="inlineStr">
        <is>
          <t>Matched on chittorgarh.com</t>
        </is>
      </c>
      <c r="AB2113" s="18" t="inlineStr">
        <is>
          <t>https://www.chittorgarh.com/ipo/bartronics-india-ipo/3079/</t>
        </is>
      </c>
    </row>
    <row r="2114" ht="15" customHeight="1" s="12">
      <c r="A2114" s="14" t="n">
        <v>2113</v>
      </c>
      <c r="B2114" s="16" t="n">
        <v>38623</v>
      </c>
      <c r="C2114" s="15" t="n">
        <v>2005</v>
      </c>
      <c r="D2114" s="15" t="inlineStr">
        <is>
          <t>Stesalit Limited</t>
        </is>
      </c>
      <c r="E2114" s="15" t="inlineStr">
        <is>
          <t>DRHP</t>
        </is>
      </c>
      <c r="F2114" s="15" t="inlineStr">
        <is>
          <t>Stesalit Limited</t>
        </is>
      </c>
      <c r="G2114" s="15" t="inlineStr">
        <is>
          <t>No launched IPO found</t>
        </is>
      </c>
      <c r="H2114" s="15" t="n"/>
      <c r="I2114" s="16" t="n"/>
      <c r="J2114" s="16" t="n"/>
      <c r="K2114" s="16" t="n"/>
      <c r="L2114" s="17" t="n"/>
      <c r="M2114" s="17" t="n"/>
      <c r="N2114" s="17" t="n"/>
      <c r="O2114" s="15" t="n"/>
      <c r="P2114" s="15" t="n"/>
      <c r="Q2114" s="18" t="inlineStr">
        <is>
          <t>https://www.sebi.gov.in/sebi_data/attachdocs/1292907444944.pdf</t>
        </is>
      </c>
      <c r="R2114" s="18" t="inlineStr">
        <is>
          <t>https://www.sebi.gov.in/filings/public-issues/sep-2005/stesalit-limited_11982.html</t>
        </is>
      </c>
      <c r="S2114" s="15" t="n"/>
      <c r="T2114" s="15" t="n"/>
      <c r="U2114" s="15" t="n"/>
      <c r="V2114" s="15" t="n"/>
      <c r="W2114" s="16" t="n"/>
      <c r="X2114" s="16" t="n"/>
      <c r="Y2114" s="16" t="n"/>
      <c r="Z2114" s="15" t="inlineStr">
        <is>
          <t>No issue found</t>
        </is>
      </c>
      <c r="AA2114" s="15" t="inlineStr">
        <is>
          <t>Kolkata rail-electronics firm; remains unlisted (CIN U35204WB1981PLC033700)</t>
        </is>
      </c>
      <c r="AB2114" s="18" t="inlineStr">
        <is>
          <t>https://www.zaubacorp.com/company/STESALIT-LIMITED/U35204WB1981PLC033700</t>
        </is>
      </c>
    </row>
    <row r="2115" ht="15" customHeight="1" s="12">
      <c r="A2115" s="14" t="n">
        <v>2114</v>
      </c>
      <c r="B2115" s="16" t="n">
        <v>38618</v>
      </c>
      <c r="C2115" s="15" t="n">
        <v>2005</v>
      </c>
      <c r="D2115" s="15" t="inlineStr">
        <is>
          <t>Pratibha Industries Limited</t>
        </is>
      </c>
      <c r="E2115" s="15" t="inlineStr">
        <is>
          <t>DRHP</t>
        </is>
      </c>
      <c r="F2115" s="15" t="inlineStr">
        <is>
          <t>Pratibha Industries Limited - PDF</t>
        </is>
      </c>
      <c r="G2115" s="15" t="inlineStr">
        <is>
          <t>No launched IPO found</t>
        </is>
      </c>
      <c r="H2115" s="15" t="n"/>
      <c r="I2115" s="16" t="n"/>
      <c r="J2115" s="16" t="n"/>
      <c r="K2115" s="16" t="n"/>
      <c r="L2115" s="17" t="n"/>
      <c r="M2115" s="17" t="n"/>
      <c r="N2115" s="17" t="n"/>
      <c r="O2115" s="15" t="n"/>
      <c r="P2115" s="15" t="n"/>
      <c r="Q2115" s="18" t="inlineStr">
        <is>
          <t>https://www.sebi.gov.in/sebi_data/attachdocs/1292906909054.pdf</t>
        </is>
      </c>
      <c r="R2115" s="18" t="inlineStr">
        <is>
          <t>https://www.sebi.gov.in/filings/public-issues/sep-2005/pratibha-industries-limited-pdf_11964.html</t>
        </is>
      </c>
      <c r="S2115" s="15" t="n"/>
      <c r="T2115" s="15" t="n"/>
      <c r="U2115" s="15" t="n"/>
      <c r="V2115" s="15" t="n"/>
      <c r="W2115" s="19" t="n">
        <v>38764</v>
      </c>
      <c r="X2115" s="19" t="n">
        <v>38770</v>
      </c>
      <c r="Y2115" s="19" t="n"/>
      <c r="Z2115" s="20" t="inlineStr">
        <is>
          <t>Issue opened</t>
        </is>
      </c>
      <c r="AA2115" s="15" t="inlineStr">
        <is>
          <t>Matched on chittorgarh.com</t>
        </is>
      </c>
      <c r="AB2115" s="18" t="inlineStr">
        <is>
          <t>https://www.chittorgarh.com/ipo/pratibha-industries-ipo/2893/</t>
        </is>
      </c>
    </row>
    <row r="2116" ht="15" customHeight="1" s="12">
      <c r="A2116" s="14" t="n">
        <v>2115</v>
      </c>
      <c r="B2116" s="16" t="n">
        <v>38618</v>
      </c>
      <c r="C2116" s="15" t="n">
        <v>2005</v>
      </c>
      <c r="D2116" s="15" t="inlineStr">
        <is>
          <t>Repro India Limited</t>
        </is>
      </c>
      <c r="E2116" s="15" t="inlineStr">
        <is>
          <t>DRHP</t>
        </is>
      </c>
      <c r="F2116" s="15" t="inlineStr">
        <is>
          <t>Repro India Limited - PDF</t>
        </is>
      </c>
      <c r="G2116" s="15" t="inlineStr">
        <is>
          <t>No launched IPO found</t>
        </is>
      </c>
      <c r="H2116" s="15" t="n"/>
      <c r="I2116" s="16" t="n"/>
      <c r="J2116" s="16" t="n"/>
      <c r="K2116" s="16" t="n"/>
      <c r="L2116" s="17" t="n"/>
      <c r="M2116" s="17" t="n"/>
      <c r="N2116" s="17" t="n"/>
      <c r="O2116" s="15" t="n"/>
      <c r="P2116" s="15" t="n"/>
      <c r="Q2116" s="18" t="inlineStr">
        <is>
          <t>https://www.sebi.gov.in/sebi_data/attachdocs/1292906750811.pdf</t>
        </is>
      </c>
      <c r="R2116" s="18" t="inlineStr">
        <is>
          <t>https://www.sebi.gov.in/filings/public-issues/sep-2005/repro-india-limited-pdf_11961.html</t>
        </is>
      </c>
      <c r="S2116" s="15" t="n"/>
      <c r="T2116" s="15" t="n"/>
      <c r="U2116" s="15" t="n"/>
      <c r="V2116" s="15" t="n"/>
      <c r="W2116" s="19" t="n">
        <v>38684</v>
      </c>
      <c r="X2116" s="19" t="n">
        <v>38687</v>
      </c>
      <c r="Y2116" s="19" t="n"/>
      <c r="Z2116" s="20" t="inlineStr">
        <is>
          <t>Issue opened</t>
        </is>
      </c>
      <c r="AA2116" s="15" t="inlineStr">
        <is>
          <t>Matched on chittorgarh.com</t>
        </is>
      </c>
      <c r="AB2116" s="18" t="inlineStr">
        <is>
          <t>https://www.chittorgarh.com/ipo/repro-india-ipo/3069/</t>
        </is>
      </c>
    </row>
    <row r="2117" ht="15" customHeight="1" s="12">
      <c r="A2117" s="14" t="n">
        <v>2116</v>
      </c>
      <c r="B2117" s="16" t="n">
        <v>38617</v>
      </c>
      <c r="C2117" s="15" t="n">
        <v>2005</v>
      </c>
      <c r="D2117" s="15" t="inlineStr">
        <is>
          <t>AIA Engineering Ltd</t>
        </is>
      </c>
      <c r="E2117" s="15" t="inlineStr">
        <is>
          <t>DRHP</t>
        </is>
      </c>
      <c r="F2117" s="15" t="inlineStr">
        <is>
          <t>AIA Engineering Ltd</t>
        </is>
      </c>
      <c r="G2117" s="15" t="inlineStr">
        <is>
          <t>No launched IPO found</t>
        </is>
      </c>
      <c r="H2117" s="15" t="n"/>
      <c r="I2117" s="16" t="n"/>
      <c r="J2117" s="16" t="n"/>
      <c r="K2117" s="16" t="n"/>
      <c r="L2117" s="17" t="n"/>
      <c r="M2117" s="17" t="n"/>
      <c r="N2117" s="17" t="n"/>
      <c r="O2117" s="15" t="n"/>
      <c r="P2117" s="15" t="n"/>
      <c r="Q2117" s="18" t="inlineStr">
        <is>
          <t>https://www.sebi.gov.in/sebi_data/attachdocs/1292906420698.pdf</t>
        </is>
      </c>
      <c r="R2117" s="18" t="inlineStr">
        <is>
          <t>https://www.sebi.gov.in/filings/public-issues/sep-2005/aia-engineering-ltd_11952.html</t>
        </is>
      </c>
      <c r="S2117" s="15" t="n"/>
      <c r="T2117" s="15" t="n"/>
      <c r="U2117" s="15" t="n"/>
      <c r="V2117" s="15" t="n"/>
      <c r="W2117" s="19" t="n">
        <v>38673</v>
      </c>
      <c r="X2117" s="19" t="n">
        <v>38678</v>
      </c>
      <c r="Y2117" s="19" t="n"/>
      <c r="Z2117" s="20" t="inlineStr">
        <is>
          <t>Issue opened</t>
        </is>
      </c>
      <c r="AA2117" s="15" t="inlineStr">
        <is>
          <t>Matched on chittorgarh.com</t>
        </is>
      </c>
      <c r="AB2117" s="18" t="inlineStr">
        <is>
          <t>https://www.chittorgarh.com/ipo/aia-engineering-ipo/3063/</t>
        </is>
      </c>
    </row>
    <row r="2118" ht="15" customHeight="1" s="12">
      <c r="A2118" s="14" t="n">
        <v>2117</v>
      </c>
      <c r="B2118" s="16" t="n">
        <v>38616</v>
      </c>
      <c r="C2118" s="15" t="n">
        <v>2005</v>
      </c>
      <c r="D2118" s="15" t="inlineStr">
        <is>
          <t>Tulip IT Services Limited</t>
        </is>
      </c>
      <c r="E2118" s="15" t="inlineStr">
        <is>
          <t>DRHP</t>
        </is>
      </c>
      <c r="F2118" s="15" t="inlineStr">
        <is>
          <t>Tulip IT Services Limited - PDF</t>
        </is>
      </c>
      <c r="G2118" s="15" t="inlineStr">
        <is>
          <t>No launched IPO found</t>
        </is>
      </c>
      <c r="H2118" s="15" t="n"/>
      <c r="I2118" s="16" t="n"/>
      <c r="J2118" s="16" t="n"/>
      <c r="K2118" s="16" t="n"/>
      <c r="L2118" s="17" t="n"/>
      <c r="M2118" s="17" t="n"/>
      <c r="N2118" s="17" t="n"/>
      <c r="O2118" s="15" t="n"/>
      <c r="P2118" s="15" t="n"/>
      <c r="Q2118" s="18" t="inlineStr">
        <is>
          <t>https://www.sebi.gov.in/sebi_data/attachdocs/1292906172140.pdf</t>
        </is>
      </c>
      <c r="R2118" s="18" t="inlineStr">
        <is>
          <t>https://www.sebi.gov.in/filings/public-issues/sep-2005/tulip-it-services-limited-pdf_11944.html</t>
        </is>
      </c>
      <c r="S2118" s="15" t="n"/>
      <c r="T2118" s="15" t="n"/>
      <c r="U2118" s="15" t="n"/>
      <c r="V2118" s="15" t="n"/>
      <c r="W2118" s="19" t="n">
        <v>38695</v>
      </c>
      <c r="X2118" s="19" t="n">
        <v>38701</v>
      </c>
      <c r="Y2118" s="19" t="n"/>
      <c r="Z2118" s="20" t="inlineStr">
        <is>
          <t>Issue opened</t>
        </is>
      </c>
      <c r="AA2118" s="15" t="inlineStr">
        <is>
          <t>Matched on chittorgarh.com</t>
        </is>
      </c>
      <c r="AB2118" s="18" t="inlineStr">
        <is>
          <t>https://www.chittorgarh.com/ipo/tulip-it-services-ipo/3072/</t>
        </is>
      </c>
    </row>
    <row r="2119" ht="15" customHeight="1" s="12">
      <c r="A2119" s="14" t="n">
        <v>2118</v>
      </c>
      <c r="B2119" s="16" t="n">
        <v>38615</v>
      </c>
      <c r="C2119" s="15" t="n">
        <v>2005</v>
      </c>
      <c r="D2119" s="15" t="inlineStr">
        <is>
          <t>Piramyd Retail Limited</t>
        </is>
      </c>
      <c r="E2119" s="15" t="inlineStr">
        <is>
          <t>DRHP</t>
        </is>
      </c>
      <c r="F2119" s="15" t="inlineStr">
        <is>
          <t>Piramyd Retail Limited - PDF</t>
        </is>
      </c>
      <c r="G2119" s="15" t="inlineStr">
        <is>
          <t>No launched IPO found</t>
        </is>
      </c>
      <c r="H2119" s="15" t="n"/>
      <c r="I2119" s="16" t="n"/>
      <c r="J2119" s="16" t="n"/>
      <c r="K2119" s="16" t="n"/>
      <c r="L2119" s="17" t="n"/>
      <c r="M2119" s="17" t="n"/>
      <c r="N2119" s="17" t="n"/>
      <c r="O2119" s="15" t="n"/>
      <c r="P2119" s="15" t="n"/>
      <c r="Q2119" s="18" t="inlineStr">
        <is>
          <t>https://www.sebi.gov.in/sebi_data/attachdocs/1292905985855.pdf</t>
        </is>
      </c>
      <c r="R2119" s="18" t="inlineStr">
        <is>
          <t>https://www.sebi.gov.in/filings/public-issues/sep-2005/piramyd-retail-limited-pdf_11939.html</t>
        </is>
      </c>
      <c r="S2119" s="15" t="n"/>
      <c r="T2119" s="15" t="n"/>
      <c r="U2119" s="15" t="n"/>
      <c r="V2119" s="15" t="n"/>
      <c r="W2119" s="19" t="n">
        <v>38666</v>
      </c>
      <c r="X2119" s="19" t="n">
        <v>38672</v>
      </c>
      <c r="Y2119" s="19" t="n"/>
      <c r="Z2119" s="20" t="inlineStr">
        <is>
          <t>Issue opened</t>
        </is>
      </c>
      <c r="AA2119" s="15" t="inlineStr">
        <is>
          <t>Matched on chittorgarh.com</t>
        </is>
      </c>
      <c r="AB2119" s="18" t="inlineStr">
        <is>
          <t>https://www.chittorgarh.com/ipo/piramyd-retail-ipo/3061/</t>
        </is>
      </c>
    </row>
    <row r="2120" ht="15" customHeight="1" s="12">
      <c r="A2120" s="14" t="n">
        <v>2119</v>
      </c>
      <c r="B2120" s="16" t="n">
        <v>38609</v>
      </c>
      <c r="C2120" s="15" t="n">
        <v>2005</v>
      </c>
      <c r="D2120" s="15" t="inlineStr">
        <is>
          <t>Educomp Solutions Ltd</t>
        </is>
      </c>
      <c r="E2120" s="15" t="inlineStr">
        <is>
          <t>DRHP</t>
        </is>
      </c>
      <c r="F2120" s="15" t="inlineStr">
        <is>
          <t>Educomp Solutions Ltd</t>
        </is>
      </c>
      <c r="G2120" s="15" t="inlineStr">
        <is>
          <t>No launched IPO found</t>
        </is>
      </c>
      <c r="H2120" s="15" t="n"/>
      <c r="I2120" s="16" t="n"/>
      <c r="J2120" s="16" t="n"/>
      <c r="K2120" s="16" t="n"/>
      <c r="L2120" s="17" t="n"/>
      <c r="M2120" s="17" t="n"/>
      <c r="N2120" s="17" t="n"/>
      <c r="O2120" s="15" t="n"/>
      <c r="P2120" s="15" t="n"/>
      <c r="Q2120" s="18" t="inlineStr">
        <is>
          <t>https://www.sebi.gov.in/sebi_data/attachdocs/1292905452736.pdf</t>
        </is>
      </c>
      <c r="R2120" s="18" t="inlineStr">
        <is>
          <t>https://www.sebi.gov.in/filings/public-issues/sep-2005/educomp-solutions-ltd_11924.html</t>
        </is>
      </c>
      <c r="S2120" s="15" t="n"/>
      <c r="T2120" s="15" t="n"/>
      <c r="U2120" s="15" t="n"/>
      <c r="V2120" s="15" t="n"/>
      <c r="W2120" s="19" t="n">
        <v>38705</v>
      </c>
      <c r="X2120" s="19" t="n">
        <v>38708</v>
      </c>
      <c r="Y2120" s="19" t="n"/>
      <c r="Z2120" s="20" t="inlineStr">
        <is>
          <t>Issue opened</t>
        </is>
      </c>
      <c r="AA2120" s="15" t="inlineStr">
        <is>
          <t>Matched on chittorgarh.com</t>
        </is>
      </c>
      <c r="AB2120" s="18" t="inlineStr">
        <is>
          <t>https://www.chittorgarh.com/ipo/educomp-solutions-ipo/3077/</t>
        </is>
      </c>
    </row>
    <row r="2121" ht="15" customHeight="1" s="12">
      <c r="A2121" s="14" t="n">
        <v>2120</v>
      </c>
      <c r="B2121" s="16" t="n">
        <v>38609</v>
      </c>
      <c r="C2121" s="15" t="n">
        <v>2005</v>
      </c>
      <c r="D2121" s="15" t="inlineStr">
        <is>
          <t>SRS Entertainment Ltd</t>
        </is>
      </c>
      <c r="E2121" s="15" t="inlineStr">
        <is>
          <t>DRHP</t>
        </is>
      </c>
      <c r="F2121" s="15" t="inlineStr">
        <is>
          <t>SRS Entertainment Ltd</t>
        </is>
      </c>
      <c r="G2121" s="15" t="inlineStr">
        <is>
          <t>No launched IPO found</t>
        </is>
      </c>
      <c r="H2121" s="15" t="n"/>
      <c r="I2121" s="16" t="n"/>
      <c r="J2121" s="16" t="n"/>
      <c r="K2121" s="16" t="n"/>
      <c r="L2121" s="17" t="n"/>
      <c r="M2121" s="17" t="n"/>
      <c r="N2121" s="17" t="n"/>
      <c r="O2121" s="15" t="n"/>
      <c r="P2121" s="15" t="n"/>
      <c r="Q2121" s="18" t="inlineStr">
        <is>
          <t>https://www.sebi.gov.in/sebi_data/attachdocs/1292905880903.pdf</t>
        </is>
      </c>
      <c r="R2121" s="18" t="inlineStr">
        <is>
          <t>https://www.sebi.gov.in/filings/public-issues/sep-2005/srs-entertainment-ltd_11935.html</t>
        </is>
      </c>
      <c r="S2121" s="15" t="n"/>
      <c r="T2121" s="15" t="n"/>
      <c r="U2121" s="15" t="n"/>
      <c r="V2121" s="15" t="n"/>
      <c r="W2121" s="25" t="n">
        <v>40778</v>
      </c>
      <c r="X2121" s="25" t="n">
        <v>40781</v>
      </c>
      <c r="Y2121" s="25" t="n">
        <v>40802</v>
      </c>
      <c r="Z2121" s="26" t="inlineStr">
        <is>
          <t>Later IPO — not from this draft</t>
        </is>
      </c>
      <c r="AA2121" s="15" t="inlineStr">
        <is>
          <t>Opened 5.9 yrs after this filing, under a later draft; Renamed SRS Ltd; Rs203cr IPO from Jul 2010 draft</t>
        </is>
      </c>
      <c r="AB2121" s="18" t="inlineStr">
        <is>
          <t>https://www.chittorgarh.com/ipo/srs_ipo/320/</t>
        </is>
      </c>
    </row>
    <row r="2122" ht="15" customHeight="1" s="12">
      <c r="A2122" s="14" t="n">
        <v>2121</v>
      </c>
      <c r="B2122" s="16" t="n">
        <v>38603</v>
      </c>
      <c r="C2122" s="15" t="n">
        <v>2005</v>
      </c>
      <c r="D2122" s="15" t="inlineStr">
        <is>
          <t>Godawari Power and Ispat Limited</t>
        </is>
      </c>
      <c r="E2122" s="15" t="inlineStr">
        <is>
          <t>DRHP</t>
        </is>
      </c>
      <c r="F2122" s="15" t="inlineStr">
        <is>
          <t>Godawari Power and Ispat Limited - PDF</t>
        </is>
      </c>
      <c r="G2122" s="15" t="inlineStr">
        <is>
          <t>No launched IPO found</t>
        </is>
      </c>
      <c r="H2122" s="15" t="n"/>
      <c r="I2122" s="16" t="n"/>
      <c r="J2122" s="16" t="n"/>
      <c r="K2122" s="16" t="n"/>
      <c r="L2122" s="17" t="n"/>
      <c r="M2122" s="17" t="n"/>
      <c r="N2122" s="17" t="n"/>
      <c r="O2122" s="15" t="n"/>
      <c r="P2122" s="15" t="n"/>
      <c r="Q2122" s="18" t="inlineStr">
        <is>
          <t>https://www.sebi.gov.in/sebi_data/attachdocs/1292905231845.pdf</t>
        </is>
      </c>
      <c r="R2122" s="18" t="inlineStr">
        <is>
          <t>https://www.sebi.gov.in/filings/public-issues/sep-2005/godawari-power-and-ispat-limited-pdf_11919.html</t>
        </is>
      </c>
      <c r="S2122" s="15" t="n"/>
      <c r="T2122" s="15" t="n"/>
      <c r="U2122" s="15" t="n"/>
      <c r="V2122" s="15" t="n"/>
      <c r="W2122" s="19" t="n">
        <v>38804</v>
      </c>
      <c r="X2122" s="19" t="n">
        <v>38811</v>
      </c>
      <c r="Y2122" s="19" t="n"/>
      <c r="Z2122" s="20" t="inlineStr">
        <is>
          <t>Issue opened</t>
        </is>
      </c>
      <c r="AA2122" s="15" t="inlineStr">
        <is>
          <t>Matched on chittorgarh.com</t>
        </is>
      </c>
      <c r="AB2122" s="18" t="inlineStr">
        <is>
          <t>https://www.chittorgarh.com/ipo/godawari-power-ispat-ipo/2910/</t>
        </is>
      </c>
    </row>
    <row r="2123" ht="15" customHeight="1" s="12">
      <c r="A2123" s="14" t="n">
        <v>2122</v>
      </c>
      <c r="B2123" s="16" t="n">
        <v>38596</v>
      </c>
      <c r="C2123" s="15" t="n">
        <v>2005</v>
      </c>
      <c r="D2123" s="15" t="inlineStr">
        <is>
          <t>Everest Kanto Cylinders Ltd</t>
        </is>
      </c>
      <c r="E2123" s="15" t="inlineStr">
        <is>
          <t>DRHP</t>
        </is>
      </c>
      <c r="F2123" s="15" t="inlineStr">
        <is>
          <t>Everest Kanto Cylinders Ltd</t>
        </is>
      </c>
      <c r="G2123" s="15" t="inlineStr">
        <is>
          <t>No launched IPO found</t>
        </is>
      </c>
      <c r="H2123" s="15" t="n"/>
      <c r="I2123" s="16" t="n"/>
      <c r="J2123" s="16" t="n"/>
      <c r="K2123" s="16" t="n"/>
      <c r="L2123" s="17" t="n"/>
      <c r="M2123" s="17" t="n"/>
      <c r="N2123" s="17" t="n"/>
      <c r="O2123" s="15" t="n"/>
      <c r="P2123" s="15" t="n"/>
      <c r="Q2123" s="18" t="inlineStr">
        <is>
          <t>https://www.sebi.gov.in/sebi_data/attachdocs/1294131269132.pdf</t>
        </is>
      </c>
      <c r="R2123" s="18" t="inlineStr">
        <is>
          <t>https://www.sebi.gov.in/filings/public-issues/sep-2005/everest-kanto-cylinders-ltd_14169.html</t>
        </is>
      </c>
      <c r="S2123" s="15" t="n"/>
      <c r="T2123" s="15" t="n"/>
      <c r="U2123" s="15" t="n"/>
      <c r="V2123" s="15" t="n"/>
      <c r="W2123" s="19" t="n">
        <v>38678</v>
      </c>
      <c r="X2123" s="19" t="n">
        <v>38681</v>
      </c>
      <c r="Y2123" s="19" t="n"/>
      <c r="Z2123" s="20" t="inlineStr">
        <is>
          <t>Issue opened</t>
        </is>
      </c>
      <c r="AA2123" s="15" t="inlineStr">
        <is>
          <t>Matched on chittorgarh.com (close name match: Everest Kanto Cylinder)</t>
        </is>
      </c>
      <c r="AB2123" s="18" t="inlineStr">
        <is>
          <t>https://www.chittorgarh.com/ipo/everest-kanto-cylinder-ipo/3066/</t>
        </is>
      </c>
    </row>
    <row r="2124" ht="15" customHeight="1" s="12">
      <c r="A2124" s="14" t="n">
        <v>2123</v>
      </c>
      <c r="B2124" s="16" t="n">
        <v>38595</v>
      </c>
      <c r="C2124" s="15" t="n">
        <v>2005</v>
      </c>
      <c r="D2124" s="15" t="inlineStr">
        <is>
          <t>Powersoft Global Solutions ltd</t>
        </is>
      </c>
      <c r="E2124" s="15" t="inlineStr">
        <is>
          <t>DRHP</t>
        </is>
      </c>
      <c r="F2124" s="15" t="inlineStr">
        <is>
          <t>Powersoft Global Solutions ltd</t>
        </is>
      </c>
      <c r="G2124" s="15" t="inlineStr">
        <is>
          <t>No launched IPO found</t>
        </is>
      </c>
      <c r="H2124" s="15" t="n"/>
      <c r="I2124" s="16" t="n"/>
      <c r="J2124" s="16" t="n"/>
      <c r="K2124" s="16" t="n"/>
      <c r="L2124" s="17" t="n"/>
      <c r="M2124" s="17" t="n"/>
      <c r="N2124" s="17" t="n"/>
      <c r="O2124" s="15" t="n"/>
      <c r="P2124" s="15" t="n"/>
      <c r="Q2124" s="18" t="inlineStr">
        <is>
          <t>https://www.sebi.gov.in/sebi_data/attachdocs/1292847989010.pdf</t>
        </is>
      </c>
      <c r="R2124" s="18" t="inlineStr">
        <is>
          <t>https://www.sebi.gov.in/filings/public-issues/aug-2005/powersoft-global-solutions-ltd_11867.html</t>
        </is>
      </c>
      <c r="S2124" s="15" t="n"/>
      <c r="T2124" s="15" t="n"/>
      <c r="U2124" s="15" t="n"/>
      <c r="V2124" s="15" t="n"/>
      <c r="W2124" s="19" t="n">
        <v>38799</v>
      </c>
      <c r="X2124" s="19" t="n">
        <v>38805</v>
      </c>
      <c r="Y2124" s="19" t="n">
        <v>38835</v>
      </c>
      <c r="Z2124" s="20" t="inlineStr">
        <is>
          <t>Issue opened</t>
        </is>
      </c>
      <c r="AA2124" s="15" t="inlineStr">
        <is>
          <t>Business Standard IPO page</t>
        </is>
      </c>
      <c r="AB2124" s="18" t="inlineStr">
        <is>
          <t>https://www.business-standard.com/markets/ipo/powersoft-global-solutions-ltd-ipo-22293</t>
        </is>
      </c>
    </row>
    <row r="2125" ht="15" customHeight="1" s="12">
      <c r="A2125" s="14" t="n">
        <v>2124</v>
      </c>
      <c r="B2125" s="16" t="n">
        <v>38594</v>
      </c>
      <c r="C2125" s="15" t="n">
        <v>2005</v>
      </c>
      <c r="D2125" s="15" t="inlineStr">
        <is>
          <t>Prithvi Information Solutions Ltd</t>
        </is>
      </c>
      <c r="E2125" s="15" t="inlineStr">
        <is>
          <t>DRHP</t>
        </is>
      </c>
      <c r="F2125" s="15" t="inlineStr">
        <is>
          <t>Prithvi Information Solutions Ltd</t>
        </is>
      </c>
      <c r="G2125" s="15" t="inlineStr">
        <is>
          <t>No launched IPO found</t>
        </is>
      </c>
      <c r="H2125" s="15" t="n"/>
      <c r="I2125" s="16" t="n"/>
      <c r="J2125" s="16" t="n"/>
      <c r="K2125" s="16" t="n"/>
      <c r="L2125" s="17" t="n"/>
      <c r="M2125" s="17" t="n"/>
      <c r="N2125" s="17" t="n"/>
      <c r="O2125" s="15" t="n"/>
      <c r="P2125" s="15" t="n"/>
      <c r="Q2125" s="18" t="inlineStr">
        <is>
          <t>https://www.sebi.gov.in/sebi_data/attachdocs/1292847755187.pdf</t>
        </is>
      </c>
      <c r="R2125" s="18" t="inlineStr">
        <is>
          <t>https://www.sebi.gov.in/filings/public-issues/aug-2005/prithvi-information-solutions-ltd_11862.html</t>
        </is>
      </c>
      <c r="S2125" s="15" t="n"/>
      <c r="T2125" s="15" t="n"/>
      <c r="U2125" s="15" t="n"/>
      <c r="V2125" s="15" t="n"/>
      <c r="W2125" s="19" t="n">
        <v>38650</v>
      </c>
      <c r="X2125" s="19" t="n">
        <v>38653</v>
      </c>
      <c r="Y2125" s="19" t="n"/>
      <c r="Z2125" s="20" t="inlineStr">
        <is>
          <t>Issue opened</t>
        </is>
      </c>
      <c r="AA2125" s="15" t="inlineStr">
        <is>
          <t>Matched on chittorgarh.com</t>
        </is>
      </c>
      <c r="AB2125" s="18" t="inlineStr">
        <is>
          <t>https://www.chittorgarh.com/ipo/prithvi-information-solutions-ipo/3060/</t>
        </is>
      </c>
    </row>
    <row r="2126" ht="15" customHeight="1" s="12">
      <c r="A2126" s="14" t="n">
        <v>2125</v>
      </c>
      <c r="B2126" s="16" t="n">
        <v>38594</v>
      </c>
      <c r="C2126" s="15" t="n">
        <v>2005</v>
      </c>
      <c r="D2126" s="15" t="inlineStr">
        <is>
          <t>Radha Madhav Corporation Ltd</t>
        </is>
      </c>
      <c r="E2126" s="15" t="inlineStr">
        <is>
          <t>DRHP</t>
        </is>
      </c>
      <c r="F2126" s="15" t="inlineStr">
        <is>
          <t>Radha Madhav Corporation Ltd</t>
        </is>
      </c>
      <c r="G2126" s="15" t="inlineStr">
        <is>
          <t>No launched IPO found</t>
        </is>
      </c>
      <c r="H2126" s="15" t="n"/>
      <c r="I2126" s="16" t="n"/>
      <c r="J2126" s="16" t="n"/>
      <c r="K2126" s="16" t="n"/>
      <c r="L2126" s="17" t="n"/>
      <c r="M2126" s="17" t="n"/>
      <c r="N2126" s="17" t="n"/>
      <c r="O2126" s="15" t="n"/>
      <c r="P2126" s="15" t="n"/>
      <c r="Q2126" s="18" t="inlineStr">
        <is>
          <t>https://www.sebi.gov.in/sebi_data/attachdocs/1292847835215.pdf</t>
        </is>
      </c>
      <c r="R2126" s="18" t="inlineStr">
        <is>
          <t>https://www.sebi.gov.in/filings/public-issues/aug-2005/radha-madhav-corporation-ltd_11864.html</t>
        </is>
      </c>
      <c r="S2126" s="15" t="n"/>
      <c r="T2126" s="15" t="n"/>
      <c r="U2126" s="15" t="n"/>
      <c r="V2126" s="15" t="n"/>
      <c r="W2126" s="19" t="n">
        <v>38698</v>
      </c>
      <c r="X2126" s="19" t="n">
        <v>38702</v>
      </c>
      <c r="Y2126" s="19" t="n">
        <v>38723</v>
      </c>
      <c r="Z2126" s="20" t="inlineStr">
        <is>
          <t>Issue opened</t>
        </is>
      </c>
      <c r="AA2126" s="15" t="inlineStr">
        <is>
          <t>Business Standard IPO page</t>
        </is>
      </c>
      <c r="AB2126" s="18" t="inlineStr">
        <is>
          <t>https://www.business-standard.com/markets/ipo/radha-madhav-corporation-ltd-ipo-26837</t>
        </is>
      </c>
    </row>
    <row r="2127" ht="15" customHeight="1" s="12">
      <c r="A2127" s="14" t="n">
        <v>2126</v>
      </c>
      <c r="B2127" s="16" t="n">
        <v>38593</v>
      </c>
      <c r="C2127" s="15" t="n">
        <v>2005</v>
      </c>
      <c r="D2127" s="15" t="inlineStr">
        <is>
          <t>Bannari Amman Spinning Mills Ltd</t>
        </is>
      </c>
      <c r="E2127" s="15" t="inlineStr">
        <is>
          <t>DRHP</t>
        </is>
      </c>
      <c r="F2127" s="15" t="inlineStr">
        <is>
          <t>Bannari Amman Spinning Mills Ltd</t>
        </is>
      </c>
      <c r="G2127" s="15" t="inlineStr">
        <is>
          <t>No launched IPO found</t>
        </is>
      </c>
      <c r="H2127" s="15" t="n"/>
      <c r="I2127" s="16" t="n"/>
      <c r="J2127" s="16" t="n"/>
      <c r="K2127" s="16" t="n"/>
      <c r="L2127" s="17" t="n"/>
      <c r="M2127" s="17" t="n"/>
      <c r="N2127" s="17" t="n"/>
      <c r="O2127" s="15" t="n"/>
      <c r="P2127" s="15" t="n"/>
      <c r="Q2127" s="18" t="inlineStr">
        <is>
          <t>https://www.sebi.gov.in/sebi_data/attachdocs/1292847648863.pdf</t>
        </is>
      </c>
      <c r="R2127" s="18" t="inlineStr">
        <is>
          <t>https://www.sebi.gov.in/filings/public-issues/aug-2005/bannari-amman-spinning-mills-ltd_11861.html</t>
        </is>
      </c>
      <c r="S2127" s="15" t="n"/>
      <c r="T2127" s="15" t="n"/>
      <c r="U2127" s="15" t="n"/>
      <c r="V2127" s="15" t="n"/>
      <c r="W2127" s="19" t="n">
        <v>38644</v>
      </c>
      <c r="X2127" s="19" t="n">
        <v>38650</v>
      </c>
      <c r="Y2127" s="19" t="n"/>
      <c r="Z2127" s="20" t="inlineStr">
        <is>
          <t>Issue opened</t>
        </is>
      </c>
      <c r="AA2127" s="15" t="inlineStr">
        <is>
          <t>Matched on chittorgarh.com</t>
        </is>
      </c>
      <c r="AB2127" s="18" t="inlineStr">
        <is>
          <t>https://www.chittorgarh.com/ipo/bannari-amman-spinning-mills-ipo/3057/</t>
        </is>
      </c>
    </row>
    <row r="2128" ht="15" customHeight="1" s="12">
      <c r="A2128" s="14" t="n">
        <v>2127</v>
      </c>
      <c r="B2128" s="16" t="n">
        <v>38589</v>
      </c>
      <c r="C2128" s="15" t="n">
        <v>2005</v>
      </c>
      <c r="D2128" s="15" t="inlineStr">
        <is>
          <t>Nitin Spinning Limited</t>
        </is>
      </c>
      <c r="E2128" s="15" t="inlineStr">
        <is>
          <t>DRHP</t>
        </is>
      </c>
      <c r="F2128" s="15" t="inlineStr">
        <is>
          <t>Nitin Spinning Limited - PDF</t>
        </is>
      </c>
      <c r="G2128" s="15" t="inlineStr">
        <is>
          <t>No launched IPO found</t>
        </is>
      </c>
      <c r="H2128" s="15" t="n"/>
      <c r="I2128" s="16" t="n"/>
      <c r="J2128" s="16" t="n"/>
      <c r="K2128" s="16" t="n"/>
      <c r="L2128" s="17" t="n"/>
      <c r="M2128" s="17" t="n"/>
      <c r="N2128" s="17" t="n"/>
      <c r="O2128" s="15" t="n"/>
      <c r="P2128" s="15" t="n"/>
      <c r="Q2128" s="18" t="inlineStr">
        <is>
          <t>https://www.sebi.gov.in/sebi_data/attachdocs/1292846748050.pdf</t>
        </is>
      </c>
      <c r="R2128" s="18" t="inlineStr">
        <is>
          <t>https://www.sebi.gov.in/filings/public-issues/aug-2005/nitin-spinning-limited-pdf_11857.html</t>
        </is>
      </c>
      <c r="S2128" s="15" t="n"/>
      <c r="T2128" s="15" t="n"/>
      <c r="U2128" s="15" t="n"/>
      <c r="V2128" s="15" t="n"/>
      <c r="W2128" s="19" t="n">
        <v>38723</v>
      </c>
      <c r="X2128" s="19" t="n">
        <v>38729</v>
      </c>
      <c r="Y2128" s="19" t="n">
        <v>38750</v>
      </c>
      <c r="Z2128" s="20" t="inlineStr">
        <is>
          <t>Issue opened</t>
        </is>
      </c>
      <c r="AA2128" s="15" t="inlineStr">
        <is>
          <t>IPO as Nitin Spinners Ltd; Rs49cr @Rs21</t>
        </is>
      </c>
      <c r="AB2128" s="18" t="inlineStr">
        <is>
          <t>https://www.business-standard.com/markets/ipo/nitin-spinners-ltd-ipo-23785</t>
        </is>
      </c>
    </row>
    <row r="2129" ht="15" customHeight="1" s="12">
      <c r="A2129" s="14" t="n">
        <v>2128</v>
      </c>
      <c r="B2129" s="16" t="n">
        <v>38587</v>
      </c>
      <c r="C2129" s="15" t="n">
        <v>2005</v>
      </c>
      <c r="D2129" s="15" t="inlineStr">
        <is>
          <t>Bombay Rayon Fashions Limited</t>
        </is>
      </c>
      <c r="E2129" s="15" t="inlineStr">
        <is>
          <t>DRHP</t>
        </is>
      </c>
      <c r="F2129" s="15" t="inlineStr">
        <is>
          <t>Bombay Rayon Fashions Limited - PDF</t>
        </is>
      </c>
      <c r="G2129" s="15" t="inlineStr">
        <is>
          <t>No launched IPO found</t>
        </is>
      </c>
      <c r="H2129" s="15" t="n"/>
      <c r="I2129" s="16" t="n"/>
      <c r="J2129" s="16" t="n"/>
      <c r="K2129" s="16" t="n"/>
      <c r="L2129" s="17" t="n"/>
      <c r="M2129" s="17" t="n"/>
      <c r="N2129" s="17" t="n"/>
      <c r="O2129" s="15" t="n"/>
      <c r="P2129" s="15" t="n"/>
      <c r="Q2129" s="18" t="inlineStr">
        <is>
          <t>https://www.sebi.gov.in/sebi_data/attachdocs/1292846621897.pdf</t>
        </is>
      </c>
      <c r="R2129" s="18" t="inlineStr">
        <is>
          <t>https://www.sebi.gov.in/filings/public-issues/aug-2005/bombay-rayon-fashions-limited-pdf_11856.html</t>
        </is>
      </c>
      <c r="S2129" s="15" t="n"/>
      <c r="T2129" s="15" t="n"/>
      <c r="U2129" s="15" t="n"/>
      <c r="V2129" s="15" t="n"/>
      <c r="W2129" s="19" t="n">
        <v>38667</v>
      </c>
      <c r="X2129" s="19" t="n">
        <v>38673</v>
      </c>
      <c r="Y2129" s="19" t="n"/>
      <c r="Z2129" s="20" t="inlineStr">
        <is>
          <t>Issue opened</t>
        </is>
      </c>
      <c r="AA2129" s="15" t="inlineStr">
        <is>
          <t>Matched on chittorgarh.com</t>
        </is>
      </c>
      <c r="AB2129" s="18" t="inlineStr">
        <is>
          <t>https://www.chittorgarh.com/ipo/bombay-rayon-fashions-ipo/3062/</t>
        </is>
      </c>
    </row>
    <row r="2130" ht="15" customHeight="1" s="12">
      <c r="A2130" s="14" t="n">
        <v>2129</v>
      </c>
      <c r="B2130" s="16" t="n">
        <v>38583</v>
      </c>
      <c r="C2130" s="15" t="n">
        <v>2005</v>
      </c>
      <c r="D2130" s="15" t="inlineStr">
        <is>
          <t>ABG Shipyard Ltd</t>
        </is>
      </c>
      <c r="E2130" s="15" t="inlineStr">
        <is>
          <t>DRHP</t>
        </is>
      </c>
      <c r="F2130" s="15" t="inlineStr">
        <is>
          <t>ABG Shipyard Ltd</t>
        </is>
      </c>
      <c r="G2130" s="15" t="inlineStr">
        <is>
          <t>No launched IPO found</t>
        </is>
      </c>
      <c r="H2130" s="15" t="n"/>
      <c r="I2130" s="16" t="n"/>
      <c r="J2130" s="16" t="n"/>
      <c r="K2130" s="16" t="n"/>
      <c r="L2130" s="17" t="n"/>
      <c r="M2130" s="17" t="n"/>
      <c r="N2130" s="17" t="n"/>
      <c r="O2130" s="15" t="n"/>
      <c r="P2130" s="15" t="n"/>
      <c r="Q2130" s="18" t="inlineStr">
        <is>
          <t>https://www.sebi.gov.in/sebi_data/attachdocs/1292846335646.pdf</t>
        </is>
      </c>
      <c r="R2130" s="18" t="inlineStr">
        <is>
          <t>https://www.sebi.gov.in/filings/public-issues/aug-2005/abg-shipyard-ltd_11855.html</t>
        </is>
      </c>
      <c r="S2130" s="15" t="n"/>
      <c r="T2130" s="15" t="n"/>
      <c r="U2130" s="15" t="n"/>
      <c r="V2130" s="15" t="n"/>
      <c r="W2130" s="19" t="n">
        <v>38674</v>
      </c>
      <c r="X2130" s="19" t="n">
        <v>38682</v>
      </c>
      <c r="Y2130" s="19" t="n"/>
      <c r="Z2130" s="20" t="inlineStr">
        <is>
          <t>Issue opened</t>
        </is>
      </c>
      <c r="AA2130" s="15" t="inlineStr">
        <is>
          <t>Matched on chittorgarh.com</t>
        </is>
      </c>
      <c r="AB2130" s="18" t="inlineStr">
        <is>
          <t>https://www.chittorgarh.com/ipo/abg-shipyard-ipo/3064/</t>
        </is>
      </c>
    </row>
    <row r="2131" ht="15" customHeight="1" s="12">
      <c r="A2131" s="14" t="n">
        <v>2130</v>
      </c>
      <c r="B2131" s="16" t="n">
        <v>38575</v>
      </c>
      <c r="C2131" s="15" t="n">
        <v>2005</v>
      </c>
      <c r="D2131" s="15" t="inlineStr">
        <is>
          <t>Gujarat Industries Power Company Limited</t>
        </is>
      </c>
      <c r="E2131" s="15" t="inlineStr">
        <is>
          <t>DRHP</t>
        </is>
      </c>
      <c r="F2131" s="15" t="inlineStr">
        <is>
          <t>Gujarat Industries Power Company Limited- PDF</t>
        </is>
      </c>
      <c r="G2131" s="15" t="inlineStr">
        <is>
          <t>No launched IPO found</t>
        </is>
      </c>
      <c r="H2131" s="15" t="n"/>
      <c r="I2131" s="16" t="n"/>
      <c r="J2131" s="16" t="n"/>
      <c r="K2131" s="16" t="n"/>
      <c r="L2131" s="17" t="n"/>
      <c r="M2131" s="17" t="n"/>
      <c r="N2131" s="17" t="n"/>
      <c r="O2131" s="15" t="n"/>
      <c r="P2131" s="15" t="n"/>
      <c r="Q2131" s="18" t="inlineStr">
        <is>
          <t>https://www.sebi.gov.in/sebi_data/attachdocs/1292846217760.pdf</t>
        </is>
      </c>
      <c r="R2131" s="18" t="inlineStr">
        <is>
          <t>https://www.sebi.gov.in/filings/public-issues/aug-2005/gujarat-industries-power-company-limited-pdf_11852.html</t>
        </is>
      </c>
      <c r="S2131" s="15" t="n"/>
      <c r="T2131" s="15" t="n"/>
      <c r="U2131" s="15" t="n"/>
      <c r="V2131" s="15" t="n"/>
      <c r="W2131" s="19" t="n">
        <v>38638</v>
      </c>
      <c r="X2131" s="19" t="n">
        <v>38644</v>
      </c>
      <c r="Y2131" s="19" t="n">
        <v>38664</v>
      </c>
      <c r="Z2131" s="20" t="inlineStr">
        <is>
          <t>Issue opened</t>
        </is>
      </c>
      <c r="AA2131" s="15" t="inlineStr">
        <is>
          <t>Business Standard IPO page</t>
        </is>
      </c>
      <c r="AB2131" s="18" t="inlineStr">
        <is>
          <t>https://www.business-standard.com/markets/ipo/gujarat-industries-power-co-ltd-ipo-2718</t>
        </is>
      </c>
    </row>
    <row r="2132" ht="15" customHeight="1" s="12">
      <c r="A2132" s="14" t="n">
        <v>2131</v>
      </c>
      <c r="B2132" s="16" t="n">
        <v>38573</v>
      </c>
      <c r="C2132" s="15" t="n">
        <v>2005</v>
      </c>
      <c r="D2132" s="15" t="inlineStr">
        <is>
          <t>Kernex Microsystems (India) Limited</t>
        </is>
      </c>
      <c r="E2132" s="15" t="inlineStr">
        <is>
          <t>DRHP</t>
        </is>
      </c>
      <c r="F2132" s="15" t="inlineStr">
        <is>
          <t>Kernex Microsystems (India) Limited - PDF</t>
        </is>
      </c>
      <c r="G2132" s="15" t="inlineStr">
        <is>
          <t>No launched IPO found</t>
        </is>
      </c>
      <c r="H2132" s="15" t="n"/>
      <c r="I2132" s="16" t="n"/>
      <c r="J2132" s="16" t="n"/>
      <c r="K2132" s="16" t="n"/>
      <c r="L2132" s="17" t="n"/>
      <c r="M2132" s="17" t="n"/>
      <c r="N2132" s="17" t="n"/>
      <c r="O2132" s="15" t="n"/>
      <c r="P2132" s="15" t="n"/>
      <c r="Q2132" s="18" t="inlineStr">
        <is>
          <t>https://www.sebi.gov.in/sebi_data/attachdocs/1292845923450.pdf</t>
        </is>
      </c>
      <c r="R2132" s="18" t="inlineStr">
        <is>
          <t>https://www.sebi.gov.in/filings/public-issues/aug-2005/kernex-microsystems-india-limited-pdf_11849.html</t>
        </is>
      </c>
      <c r="S2132" s="15" t="n"/>
      <c r="T2132" s="15" t="n"/>
      <c r="U2132" s="15" t="n"/>
      <c r="V2132" s="15" t="n"/>
      <c r="W2132" s="19" t="n">
        <v>38684</v>
      </c>
      <c r="X2132" s="19" t="n">
        <v>38689</v>
      </c>
      <c r="Y2132" s="19" t="n"/>
      <c r="Z2132" s="20" t="inlineStr">
        <is>
          <t>Issue opened</t>
        </is>
      </c>
      <c r="AA2132" s="15" t="inlineStr">
        <is>
          <t>Matched on chittorgarh.com</t>
        </is>
      </c>
      <c r="AB2132" s="18" t="inlineStr">
        <is>
          <t>https://www.chittorgarh.com/ipo/kernex-microsystems-ipo/3068/</t>
        </is>
      </c>
    </row>
    <row r="2133" ht="15" customHeight="1" s="12">
      <c r="A2133" s="14" t="n">
        <v>2132</v>
      </c>
      <c r="B2133" s="16" t="n">
        <v>38567</v>
      </c>
      <c r="C2133" s="15" t="n">
        <v>2005</v>
      </c>
      <c r="D2133" s="15" t="inlineStr">
        <is>
          <t>Ramsarup Industries Limited</t>
        </is>
      </c>
      <c r="E2133" s="15" t="inlineStr">
        <is>
          <t>DRHP</t>
        </is>
      </c>
      <c r="F2133" s="15" t="inlineStr">
        <is>
          <t>Ramsarup Industries Limited - PDF</t>
        </is>
      </c>
      <c r="G2133" s="15" t="inlineStr">
        <is>
          <t>No launched IPO found</t>
        </is>
      </c>
      <c r="H2133" s="15" t="n"/>
      <c r="I2133" s="16" t="n"/>
      <c r="J2133" s="16" t="n"/>
      <c r="K2133" s="16" t="n"/>
      <c r="L2133" s="17" t="n"/>
      <c r="M2133" s="17" t="n"/>
      <c r="N2133" s="17" t="n"/>
      <c r="O2133" s="15" t="n"/>
      <c r="P2133" s="15" t="n"/>
      <c r="Q2133" s="18" t="inlineStr">
        <is>
          <t>https://www.sebi.gov.in/sebi_data/attachdocs/1292845622636.pdf</t>
        </is>
      </c>
      <c r="R2133" s="18" t="inlineStr">
        <is>
          <t>https://www.sebi.gov.in/filings/public-issues/aug-2005/ramsarup-industries-limited-pdf_11845.html</t>
        </is>
      </c>
      <c r="S2133" s="15" t="n"/>
      <c r="T2133" s="15" t="n"/>
      <c r="U2133" s="15" t="n"/>
      <c r="V2133" s="15" t="n"/>
      <c r="W2133" s="19" t="n">
        <v>38699</v>
      </c>
      <c r="X2133" s="19" t="n">
        <v>38702</v>
      </c>
      <c r="Y2133" s="19" t="n">
        <v>38721</v>
      </c>
      <c r="Z2133" s="20" t="inlineStr">
        <is>
          <t>Issue opened</t>
        </is>
      </c>
      <c r="AA2133" s="15" t="inlineStr">
        <is>
          <t>Business Standard IPO page</t>
        </is>
      </c>
      <c r="AB2133" s="18" t="inlineStr">
        <is>
          <t>https://www.business-standard.com/markets/ipo/ramsarup-industries-ltd-ipo-22868</t>
        </is>
      </c>
    </row>
    <row r="2134" ht="15" customHeight="1" s="12">
      <c r="A2134" s="14" t="n">
        <v>2133</v>
      </c>
      <c r="B2134" s="16" t="n">
        <v>38567</v>
      </c>
      <c r="C2134" s="15" t="n">
        <v>2005</v>
      </c>
      <c r="D2134" s="15" t="inlineStr">
        <is>
          <t>Rohit Ferro Tech Ltd</t>
        </is>
      </c>
      <c r="E2134" s="15" t="inlineStr">
        <is>
          <t>DRHP</t>
        </is>
      </c>
      <c r="F2134" s="15" t="inlineStr">
        <is>
          <t>Rohit Ferro Tech Ltd</t>
        </is>
      </c>
      <c r="G2134" s="15" t="inlineStr">
        <is>
          <t>No launched IPO found</t>
        </is>
      </c>
      <c r="H2134" s="15" t="n"/>
      <c r="I2134" s="16" t="n"/>
      <c r="J2134" s="16" t="n"/>
      <c r="K2134" s="16" t="n"/>
      <c r="L2134" s="17" t="n"/>
      <c r="M2134" s="17" t="n"/>
      <c r="N2134" s="17" t="n"/>
      <c r="O2134" s="15" t="n"/>
      <c r="P2134" s="15" t="n"/>
      <c r="Q2134" s="18" t="inlineStr">
        <is>
          <t>https://www.sebi.gov.in/sebi_data/attachdocs/1292844341331.pdf</t>
        </is>
      </c>
      <c r="R2134" s="18" t="inlineStr">
        <is>
          <t>https://www.sebi.gov.in/filings/public-issues/aug-2005/rohit-ferro-tech-ltd_11836.html</t>
        </is>
      </c>
      <c r="S2134" s="15" t="n"/>
      <c r="T2134" s="15" t="n"/>
      <c r="U2134" s="15" t="n"/>
      <c r="V2134" s="15" t="n"/>
      <c r="W2134" s="19" t="n">
        <v>38783</v>
      </c>
      <c r="X2134" s="19" t="n">
        <v>38787</v>
      </c>
      <c r="Y2134" s="19" t="n"/>
      <c r="Z2134" s="20" t="inlineStr">
        <is>
          <t>Issue opened</t>
        </is>
      </c>
      <c r="AA2134" s="15" t="inlineStr">
        <is>
          <t>Matched on chittorgarh.com</t>
        </is>
      </c>
      <c r="AB2134" s="18" t="inlineStr">
        <is>
          <t>https://www.chittorgarh.com/ipo/rohit-ferrotech-ipo/2901/</t>
        </is>
      </c>
    </row>
    <row r="2135" ht="15" customHeight="1" s="12">
      <c r="A2135" s="14" t="n">
        <v>2134</v>
      </c>
      <c r="B2135" s="16" t="n">
        <v>38567</v>
      </c>
      <c r="C2135" s="15" t="n">
        <v>2005</v>
      </c>
      <c r="D2135" s="15" t="inlineStr">
        <is>
          <t>Shree Renuka Sugars Limited</t>
        </is>
      </c>
      <c r="E2135" s="15" t="inlineStr">
        <is>
          <t>DRHP</t>
        </is>
      </c>
      <c r="F2135" s="15" t="inlineStr">
        <is>
          <t>Shree Renuka Sugars Limited</t>
        </is>
      </c>
      <c r="G2135" s="15" t="inlineStr">
        <is>
          <t>No launched IPO found</t>
        </is>
      </c>
      <c r="H2135" s="15" t="n"/>
      <c r="I2135" s="16" t="n"/>
      <c r="J2135" s="16" t="n"/>
      <c r="K2135" s="16" t="n"/>
      <c r="L2135" s="17" t="n"/>
      <c r="M2135" s="17" t="n"/>
      <c r="N2135" s="17" t="n"/>
      <c r="O2135" s="15" t="n"/>
      <c r="P2135" s="15" t="n"/>
      <c r="Q2135" s="18" t="inlineStr">
        <is>
          <t>https://www.sebi.gov.in/sebi_data/attachdocs/1292844501157.pdf</t>
        </is>
      </c>
      <c r="R2135" s="18" t="inlineStr">
        <is>
          <t>https://www.sebi.gov.in/filings/public-issues/aug-2005/shree-renuka-sugars-limited_11838.html</t>
        </is>
      </c>
      <c r="S2135" s="15" t="n"/>
      <c r="T2135" s="15" t="n"/>
      <c r="U2135" s="15" t="n"/>
      <c r="V2135" s="15" t="n"/>
      <c r="W2135" s="19" t="n">
        <v>38632</v>
      </c>
      <c r="X2135" s="19" t="n">
        <v>38639</v>
      </c>
      <c r="Y2135" s="19" t="n"/>
      <c r="Z2135" s="20" t="inlineStr">
        <is>
          <t>Issue opened</t>
        </is>
      </c>
      <c r="AA2135" s="15" t="inlineStr">
        <is>
          <t>Matched on chittorgarh.com</t>
        </is>
      </c>
      <c r="AB2135" s="18" t="inlineStr">
        <is>
          <t>https://www.chittorgarh.com/ipo/shree-renuka-sugars-ipo/3054/</t>
        </is>
      </c>
    </row>
    <row r="2136" ht="15" customHeight="1" s="12">
      <c r="A2136" s="14" t="n">
        <v>2135</v>
      </c>
      <c r="B2136" s="16" t="n">
        <v>38548</v>
      </c>
      <c r="C2136" s="15" t="n">
        <v>2005</v>
      </c>
      <c r="D2136" s="15" t="inlineStr">
        <is>
          <t>Suzlon Energy Limited</t>
        </is>
      </c>
      <c r="E2136" s="15" t="inlineStr">
        <is>
          <t>DRHP</t>
        </is>
      </c>
      <c r="F2136" s="15" t="inlineStr">
        <is>
          <t>Suzlon Energy Limited - PDF</t>
        </is>
      </c>
      <c r="G2136" s="15" t="inlineStr">
        <is>
          <t>No launched IPO found</t>
        </is>
      </c>
      <c r="H2136" s="15" t="n"/>
      <c r="I2136" s="16" t="n"/>
      <c r="J2136" s="16" t="n"/>
      <c r="K2136" s="16" t="n"/>
      <c r="L2136" s="17" t="n"/>
      <c r="M2136" s="17" t="n"/>
      <c r="N2136" s="17" t="n"/>
      <c r="O2136" s="15" t="n"/>
      <c r="P2136" s="15" t="n"/>
      <c r="Q2136" s="18" t="inlineStr">
        <is>
          <t>https://www.sebi.gov.in/sebi_data/attachdocs/1292826786393.pdf</t>
        </is>
      </c>
      <c r="R2136" s="18" t="inlineStr">
        <is>
          <t>https://www.sebi.gov.in/filings/public-issues/jul-2005/suzlon-energy-limited-pdf_11597.html</t>
        </is>
      </c>
      <c r="S2136" s="15" t="n"/>
      <c r="T2136" s="15" t="n"/>
      <c r="U2136" s="15" t="n"/>
      <c r="V2136" s="15" t="n"/>
      <c r="W2136" s="19" t="n">
        <v>38618</v>
      </c>
      <c r="X2136" s="19" t="n">
        <v>38624</v>
      </c>
      <c r="Y2136" s="19" t="n"/>
      <c r="Z2136" s="20" t="inlineStr">
        <is>
          <t>Issue opened</t>
        </is>
      </c>
      <c r="AA2136" s="15" t="inlineStr">
        <is>
          <t>Matched on chittorgarh.com</t>
        </is>
      </c>
      <c r="AB2136" s="18" t="inlineStr">
        <is>
          <t>https://www.chittorgarh.com/ipo/suzlon-energy-ipo/3051/</t>
        </is>
      </c>
    </row>
    <row r="2137" ht="15" customHeight="1" s="12">
      <c r="A2137" s="14" t="n">
        <v>2136</v>
      </c>
      <c r="B2137" s="16" t="n">
        <v>38546</v>
      </c>
      <c r="C2137" s="15" t="n">
        <v>2005</v>
      </c>
      <c r="D2137" s="15" t="inlineStr">
        <is>
          <t>Compulink Systems Limited</t>
        </is>
      </c>
      <c r="E2137" s="15" t="inlineStr">
        <is>
          <t>DRHP</t>
        </is>
      </c>
      <c r="F2137" s="15" t="inlineStr">
        <is>
          <t>Compulink Systems Limited - PDF</t>
        </is>
      </c>
      <c r="G2137" s="15" t="inlineStr">
        <is>
          <t>No launched IPO found</t>
        </is>
      </c>
      <c r="H2137" s="15" t="n"/>
      <c r="I2137" s="16" t="n"/>
      <c r="J2137" s="16" t="n"/>
      <c r="K2137" s="16" t="n"/>
      <c r="L2137" s="17" t="n"/>
      <c r="M2137" s="17" t="n"/>
      <c r="N2137" s="17" t="n"/>
      <c r="O2137" s="15" t="n"/>
      <c r="P2137" s="15" t="n"/>
      <c r="Q2137" s="18" t="inlineStr">
        <is>
          <t>https://www.sebi.gov.in/sebi_data/attachdocs/1292826600397.pdf</t>
        </is>
      </c>
      <c r="R2137" s="18" t="inlineStr">
        <is>
          <t>https://www.sebi.gov.in/filings/public-issues/jul-2005/compulink-systems-limited-pdf_11593.html</t>
        </is>
      </c>
      <c r="S2137" s="15" t="n"/>
      <c r="T2137" s="15" t="n"/>
      <c r="U2137" s="15" t="n"/>
      <c r="V2137" s="15" t="n"/>
      <c r="W2137" s="19" t="n">
        <v>38681</v>
      </c>
      <c r="X2137" s="19" t="n">
        <v>38686</v>
      </c>
      <c r="Y2137" s="19" t="n"/>
      <c r="Z2137" s="20" t="inlineStr">
        <is>
          <t>Issue opened</t>
        </is>
      </c>
      <c r="AA2137" s="15" t="inlineStr">
        <is>
          <t>Matched on chittorgarh.com</t>
        </is>
      </c>
      <c r="AB2137" s="18" t="inlineStr">
        <is>
          <t>https://www.chittorgarh.com/ipo/compulink-systems-ipo/3067/</t>
        </is>
      </c>
    </row>
    <row r="2138" ht="15" customHeight="1" s="12">
      <c r="A2138" s="14" t="n">
        <v>2137</v>
      </c>
      <c r="B2138" s="16" t="n">
        <v>38546</v>
      </c>
      <c r="C2138" s="15" t="n">
        <v>2005</v>
      </c>
      <c r="D2138" s="15" t="inlineStr">
        <is>
          <t>Shree Precoated Steels Limited</t>
        </is>
      </c>
      <c r="E2138" s="15" t="inlineStr">
        <is>
          <t>DRHP</t>
        </is>
      </c>
      <c r="F2138" s="15" t="inlineStr">
        <is>
          <t>Shree Precoated Steels Limited - PDF</t>
        </is>
      </c>
      <c r="G2138" s="15" t="inlineStr">
        <is>
          <t>No launched IPO found</t>
        </is>
      </c>
      <c r="H2138" s="15" t="n"/>
      <c r="I2138" s="16" t="n"/>
      <c r="J2138" s="16" t="n"/>
      <c r="K2138" s="16" t="n"/>
      <c r="L2138" s="17" t="n"/>
      <c r="M2138" s="17" t="n"/>
      <c r="N2138" s="17" t="n"/>
      <c r="O2138" s="15" t="n"/>
      <c r="P2138" s="15" t="n"/>
      <c r="Q2138" s="18" t="inlineStr">
        <is>
          <t>https://www.sebi.gov.in/sebi_data/attachdocs/1292826657331.pdf</t>
        </is>
      </c>
      <c r="R2138" s="18" t="inlineStr">
        <is>
          <t>https://www.sebi.gov.in/filings/public-issues/jul-2005/shree-precoated-steels-limited-pdf_11594.html</t>
        </is>
      </c>
      <c r="S2138" s="15" t="n"/>
      <c r="T2138" s="15" t="n"/>
      <c r="U2138" s="15" t="n"/>
      <c r="V2138" s="15" t="n"/>
      <c r="W2138" s="16" t="n"/>
      <c r="X2138" s="16" t="n"/>
      <c r="Y2138" s="16" t="n"/>
      <c r="Z2138" s="15" t="inlineStr">
        <is>
          <t>No issue found</t>
        </is>
      </c>
      <c r="AA2138" s="15" t="inlineStr">
        <is>
          <t>Old listed Ajmera co (renamed Ajmera Realty 2008); no 2005-08 issue found</t>
        </is>
      </c>
      <c r="AB2138" s="18" t="inlineStr">
        <is>
          <t>https://stocksandsecurities.adityabirlacapital.com/markets/company-background/2404</t>
        </is>
      </c>
    </row>
    <row r="2139" ht="15" customHeight="1" s="12">
      <c r="A2139" s="14" t="n">
        <v>2138</v>
      </c>
      <c r="B2139" s="16" t="n">
        <v>38530</v>
      </c>
      <c r="C2139" s="15" t="n">
        <v>2005</v>
      </c>
      <c r="D2139" s="15" t="inlineStr">
        <is>
          <t>Kamayani Patients Care (India) Ltd</t>
        </is>
      </c>
      <c r="E2139" s="15" t="inlineStr">
        <is>
          <t>DRHP</t>
        </is>
      </c>
      <c r="F2139" s="15" t="inlineStr">
        <is>
          <t>M/s Kamayani Patients Care (India) Ltd - PDF</t>
        </is>
      </c>
      <c r="G2139" s="15" t="inlineStr">
        <is>
          <t>No launched IPO found</t>
        </is>
      </c>
      <c r="H2139" s="15" t="n"/>
      <c r="I2139" s="16" t="n"/>
      <c r="J2139" s="16" t="n"/>
      <c r="K2139" s="16" t="n"/>
      <c r="L2139" s="17" t="n"/>
      <c r="M2139" s="17" t="n"/>
      <c r="N2139" s="17" t="n"/>
      <c r="O2139" s="15" t="n"/>
      <c r="P2139" s="15" t="n"/>
      <c r="Q2139" s="18" t="inlineStr">
        <is>
          <t>https://www.sebi.gov.in/sebi_data/attachdocs/1292907549188.pdf</t>
        </is>
      </c>
      <c r="R2139" s="18" t="inlineStr">
        <is>
          <t>https://www.sebi.gov.in/filings/public-issues/jun-2005/m-s-kamayani-patients-care-india-ltd-pdf_11984.html</t>
        </is>
      </c>
      <c r="S2139" s="15" t="n"/>
      <c r="T2139" s="15" t="n"/>
      <c r="U2139" s="15" t="n"/>
      <c r="V2139" s="15" t="n"/>
      <c r="W2139" s="16" t="n"/>
      <c r="X2139" s="16" t="n"/>
      <c r="Y2139" s="16" t="n"/>
      <c r="Z2139" s="15" t="inlineStr">
        <is>
          <t>No issue found</t>
        </is>
      </c>
      <c r="AA2139" s="15" t="inlineStr">
        <is>
          <t>Agra hospital; draft prospectus (Rs19.57cr at Rs19) but IPO cancelled per PitchBook; unlisted</t>
        </is>
      </c>
      <c r="AB2139" s="18" t="inlineStr">
        <is>
          <t>https://pitchbook.com/profiles/company/152699-32</t>
        </is>
      </c>
    </row>
    <row r="2140" ht="15" customHeight="1" s="12">
      <c r="A2140" s="14" t="n">
        <v>2139</v>
      </c>
      <c r="B2140" s="16" t="n">
        <v>38526</v>
      </c>
      <c r="C2140" s="15" t="n">
        <v>2005</v>
      </c>
      <c r="D2140" s="15" t="inlineStr">
        <is>
          <t>KM Sugar Mills Limited</t>
        </is>
      </c>
      <c r="E2140" s="15" t="inlineStr">
        <is>
          <t>DRHP</t>
        </is>
      </c>
      <c r="F2140" s="15" t="inlineStr">
        <is>
          <t>KM Sugar Mills Limited</t>
        </is>
      </c>
      <c r="G2140" s="15" t="inlineStr">
        <is>
          <t>No launched IPO found</t>
        </is>
      </c>
      <c r="H2140" s="15" t="n"/>
      <c r="I2140" s="16" t="n"/>
      <c r="J2140" s="16" t="n"/>
      <c r="K2140" s="16" t="n"/>
      <c r="L2140" s="17" t="n"/>
      <c r="M2140" s="17" t="n"/>
      <c r="N2140" s="17" t="n"/>
      <c r="O2140" s="15" t="n"/>
      <c r="P2140" s="15" t="n"/>
      <c r="Q2140" s="18" t="inlineStr">
        <is>
          <t>https://www.sebi.gov.in/sebi_data/attachdocs/1292907429200.pdf</t>
        </is>
      </c>
      <c r="R2140" s="18" t="inlineStr">
        <is>
          <t>https://www.sebi.gov.in/filings/public-issues/jun-2005/km-sugar-mills-limited_11981.html</t>
        </is>
      </c>
      <c r="S2140" s="15" t="n"/>
      <c r="T2140" s="15" t="n"/>
      <c r="U2140" s="15" t="n"/>
      <c r="V2140" s="15" t="n"/>
      <c r="W2140" s="19" t="n">
        <v>38639</v>
      </c>
      <c r="X2140" s="19" t="n">
        <v>38644</v>
      </c>
      <c r="Y2140" s="19" t="n"/>
      <c r="Z2140" s="20" t="inlineStr">
        <is>
          <t>Issue opened</t>
        </is>
      </c>
      <c r="AA2140" s="15" t="inlineStr">
        <is>
          <t>Matched on chittorgarh.com (close name match: KMSugar Mills)</t>
        </is>
      </c>
      <c r="AB2140" s="18" t="inlineStr">
        <is>
          <t>https://www.chittorgarh.com/ipo/kmsugar-mills-ipo/3056/</t>
        </is>
      </c>
    </row>
    <row r="2141" ht="15" customHeight="1" s="12">
      <c r="A2141" s="14" t="n">
        <v>2140</v>
      </c>
      <c r="B2141" s="16" t="n">
        <v>38525</v>
      </c>
      <c r="C2141" s="15" t="n">
        <v>2005</v>
      </c>
      <c r="D2141" s="15" t="inlineStr">
        <is>
          <t>PBA Infrastructure Ltd</t>
        </is>
      </c>
      <c r="E2141" s="15" t="inlineStr">
        <is>
          <t>DRHP</t>
        </is>
      </c>
      <c r="F2141" s="15" t="inlineStr">
        <is>
          <t>PBA Infrastructure Ltd</t>
        </is>
      </c>
      <c r="G2141" s="15" t="inlineStr">
        <is>
          <t>No launched IPO found</t>
        </is>
      </c>
      <c r="H2141" s="15" t="n"/>
      <c r="I2141" s="16" t="n"/>
      <c r="J2141" s="16" t="n"/>
      <c r="K2141" s="16" t="n"/>
      <c r="L2141" s="17" t="n"/>
      <c r="M2141" s="17" t="n"/>
      <c r="N2141" s="17" t="n"/>
      <c r="O2141" s="15" t="n"/>
      <c r="P2141" s="15" t="n"/>
      <c r="Q2141" s="18" t="inlineStr">
        <is>
          <t>https://www.sebi.gov.in/sebi_data/attachdocs/1292906799549.pdf</t>
        </is>
      </c>
      <c r="R2141" s="18" t="inlineStr">
        <is>
          <t>https://www.sebi.gov.in/filings/public-issues/jun-2005/pba-infrastructure-ltd_11962.html</t>
        </is>
      </c>
      <c r="S2141" s="15" t="n"/>
      <c r="T2141" s="15" t="n"/>
      <c r="U2141" s="15" t="n"/>
      <c r="V2141" s="15" t="n"/>
      <c r="W2141" s="19" t="n">
        <v>38649</v>
      </c>
      <c r="X2141" s="19" t="n">
        <v>38653</v>
      </c>
      <c r="Y2141" s="19" t="n"/>
      <c r="Z2141" s="20" t="inlineStr">
        <is>
          <t>Issue opened</t>
        </is>
      </c>
      <c r="AA2141" s="15" t="inlineStr">
        <is>
          <t>Matched on chittorgarh.com</t>
        </is>
      </c>
      <c r="AB2141" s="18" t="inlineStr">
        <is>
          <t>https://www.chittorgarh.com/ipo/pba-infrastructure-ipo/3058/</t>
        </is>
      </c>
    </row>
    <row r="2142" ht="15" customHeight="1" s="12">
      <c r="A2142" s="14" t="n">
        <v>2141</v>
      </c>
      <c r="B2142" s="16" t="n">
        <v>38525</v>
      </c>
      <c r="C2142" s="15" t="n">
        <v>2005</v>
      </c>
      <c r="D2142" s="15" t="inlineStr">
        <is>
          <t>Pyramid Saimira Theatre Ltd</t>
        </is>
      </c>
      <c r="E2142" s="15" t="inlineStr">
        <is>
          <t>DRHP</t>
        </is>
      </c>
      <c r="F2142" s="15" t="inlineStr">
        <is>
          <t>Pyramid Saimira Theatre Ltd</t>
        </is>
      </c>
      <c r="G2142" s="15" t="inlineStr">
        <is>
          <t>No launched IPO found</t>
        </is>
      </c>
      <c r="H2142" s="15" t="n"/>
      <c r="I2142" s="16" t="n"/>
      <c r="J2142" s="16" t="n"/>
      <c r="K2142" s="16" t="n"/>
      <c r="L2142" s="17" t="n"/>
      <c r="M2142" s="17" t="n"/>
      <c r="N2142" s="17" t="n"/>
      <c r="O2142" s="15" t="n"/>
      <c r="P2142" s="15" t="n"/>
      <c r="Q2142" s="18" t="inlineStr">
        <is>
          <t>https://www.sebi.gov.in/sebi_data/attachdocs/1292906951972.pdf</t>
        </is>
      </c>
      <c r="R2142" s="18" t="inlineStr">
        <is>
          <t>https://www.sebi.gov.in/filings/public-issues/jun-2005/pyramid-saimira-theatre-ltd_11967.html</t>
        </is>
      </c>
      <c r="S2142" s="15" t="n"/>
      <c r="T2142" s="15" t="n"/>
      <c r="U2142" s="15" t="n"/>
      <c r="V2142" s="15" t="n"/>
      <c r="W2142" s="19" t="n">
        <v>39062</v>
      </c>
      <c r="X2142" s="19" t="n">
        <v>39069</v>
      </c>
      <c r="Y2142" s="19" t="n"/>
      <c r="Z2142" s="20" t="inlineStr">
        <is>
          <t>Issue opened</t>
        </is>
      </c>
      <c r="AA2142" s="15" t="inlineStr">
        <is>
          <t>Matched on chittorgarh.com</t>
        </is>
      </c>
      <c r="AB2142" s="18" t="inlineStr">
        <is>
          <t>https://www.chittorgarh.com/ipo/pyramid-saimira-theatre-ipo/34/</t>
        </is>
      </c>
    </row>
    <row r="2143" ht="15" customHeight="1" s="12">
      <c r="A2143" s="14" t="n">
        <v>2142</v>
      </c>
      <c r="B2143" s="16" t="n">
        <v>38520</v>
      </c>
      <c r="C2143" s="15" t="n">
        <v>2005</v>
      </c>
      <c r="D2143" s="15" t="inlineStr">
        <is>
          <t>AurionPro Solutions Limited</t>
        </is>
      </c>
      <c r="E2143" s="15" t="inlineStr">
        <is>
          <t>DRHP</t>
        </is>
      </c>
      <c r="F2143" s="15" t="inlineStr">
        <is>
          <t>AurionPro Solutions Limited -PDF</t>
        </is>
      </c>
      <c r="G2143" s="15" t="inlineStr">
        <is>
          <t>No launched IPO found</t>
        </is>
      </c>
      <c r="H2143" s="15" t="n"/>
      <c r="I2143" s="16" t="n"/>
      <c r="J2143" s="16" t="n"/>
      <c r="K2143" s="16" t="n"/>
      <c r="L2143" s="17" t="n"/>
      <c r="M2143" s="17" t="n"/>
      <c r="N2143" s="17" t="n"/>
      <c r="O2143" s="15" t="n"/>
      <c r="P2143" s="15" t="n"/>
      <c r="Q2143" s="18" t="inlineStr">
        <is>
          <t>https://www.sebi.gov.in/sebi_data/attachdocs/1292906671290.pdf</t>
        </is>
      </c>
      <c r="R2143" s="18" t="inlineStr">
        <is>
          <t>https://www.sebi.gov.in/filings/public-issues/jun-2005/aurionpro-solutions-limited-pdf_11959.html</t>
        </is>
      </c>
      <c r="S2143" s="15" t="n"/>
      <c r="T2143" s="15" t="n"/>
      <c r="U2143" s="15" t="n"/>
      <c r="V2143" s="15" t="n"/>
      <c r="W2143" s="19" t="n">
        <v>38622</v>
      </c>
      <c r="X2143" s="19" t="n">
        <v>38629</v>
      </c>
      <c r="Y2143" s="19" t="n"/>
      <c r="Z2143" s="20" t="inlineStr">
        <is>
          <t>Issue opened</t>
        </is>
      </c>
      <c r="AA2143" s="15" t="inlineStr">
        <is>
          <t>Matched on chittorgarh.com</t>
        </is>
      </c>
      <c r="AB2143" s="18" t="inlineStr">
        <is>
          <t>https://www.chittorgarh.com/ipo/aurionpro-solutions-ipo/3052/</t>
        </is>
      </c>
    </row>
    <row r="2144" ht="15" customHeight="1" s="12">
      <c r="A2144" s="14" t="n">
        <v>2143</v>
      </c>
      <c r="B2144" s="16" t="n">
        <v>38510</v>
      </c>
      <c r="C2144" s="15" t="n">
        <v>2005</v>
      </c>
      <c r="D2144" s="15" t="inlineStr">
        <is>
          <t>Triveni Engineering and Industries Limited</t>
        </is>
      </c>
      <c r="E2144" s="15" t="inlineStr">
        <is>
          <t>DRHP</t>
        </is>
      </c>
      <c r="F2144" s="15" t="inlineStr">
        <is>
          <t>Triveni Engineering and Industries Limited - PDF</t>
        </is>
      </c>
      <c r="G2144" s="15" t="inlineStr">
        <is>
          <t>No launched IPO found</t>
        </is>
      </c>
      <c r="H2144" s="15" t="n"/>
      <c r="I2144" s="16" t="n"/>
      <c r="J2144" s="16" t="n"/>
      <c r="K2144" s="16" t="n"/>
      <c r="L2144" s="17" t="n"/>
      <c r="M2144" s="17" t="n"/>
      <c r="N2144" s="17" t="n"/>
      <c r="O2144" s="15" t="n"/>
      <c r="P2144" s="15" t="n"/>
      <c r="Q2144" s="18" t="inlineStr">
        <is>
          <t>https://www.sebi.gov.in/sebi_data/attachdocs/1292906563120.pdf</t>
        </is>
      </c>
      <c r="R2144" s="18" t="inlineStr">
        <is>
          <t>https://www.sebi.gov.in/filings/public-issues/jun-2005/triveni-engineering-and-industries-limited-pdf_11956.html</t>
        </is>
      </c>
      <c r="S2144" s="15" t="n"/>
      <c r="T2144" s="15" t="n"/>
      <c r="U2144" s="15" t="n"/>
      <c r="V2144" s="15" t="n"/>
      <c r="W2144" s="19" t="n">
        <v>38674</v>
      </c>
      <c r="X2144" s="19" t="n">
        <v>38681</v>
      </c>
      <c r="Y2144" s="19" t="n">
        <v>38699</v>
      </c>
      <c r="Z2144" s="20" t="inlineStr">
        <is>
          <t>Issue opened</t>
        </is>
      </c>
      <c r="AA2144" s="15" t="inlineStr">
        <is>
          <t>Business Standard IPO page</t>
        </is>
      </c>
      <c r="AB2144" s="18" t="inlineStr">
        <is>
          <t>https://www.business-standard.com/markets/ipo/triveni-engineering-and-industries-ltd-ipo-20058</t>
        </is>
      </c>
    </row>
    <row r="2145" ht="15" customHeight="1" s="12">
      <c r="A2145" s="14" t="n">
        <v>2144</v>
      </c>
      <c r="B2145" s="16" t="n">
        <v>38505</v>
      </c>
      <c r="C2145" s="15" t="n">
        <v>2005</v>
      </c>
      <c r="D2145" s="15" t="inlineStr">
        <is>
          <t>Raj Rayon Limited</t>
        </is>
      </c>
      <c r="E2145" s="15" t="inlineStr">
        <is>
          <t>DRHP</t>
        </is>
      </c>
      <c r="F2145" s="15" t="inlineStr">
        <is>
          <t>Raj Rayon Limited - PDF</t>
        </is>
      </c>
      <c r="G2145" s="15" t="inlineStr">
        <is>
          <t>No launched IPO found</t>
        </is>
      </c>
      <c r="H2145" s="15" t="n"/>
      <c r="I2145" s="16" t="n"/>
      <c r="J2145" s="16" t="n"/>
      <c r="K2145" s="16" t="n"/>
      <c r="L2145" s="17" t="n"/>
      <c r="M2145" s="17" t="n"/>
      <c r="N2145" s="17" t="n"/>
      <c r="O2145" s="15" t="n"/>
      <c r="P2145" s="15" t="n"/>
      <c r="Q2145" s="18" t="inlineStr">
        <is>
          <t>https://www.sebi.gov.in/sebi_data/attachdocs/1292906488819.pdf</t>
        </is>
      </c>
      <c r="R2145" s="18" t="inlineStr">
        <is>
          <t>https://www.sebi.gov.in/filings/public-issues/jun-2005/raj-rayon-limited-pdf_11954.html</t>
        </is>
      </c>
      <c r="S2145" s="15" t="n"/>
      <c r="T2145" s="15" t="n"/>
      <c r="U2145" s="15" t="n"/>
      <c r="V2145" s="15" t="n"/>
      <c r="W2145" s="19" t="n">
        <v>38729</v>
      </c>
      <c r="X2145" s="19" t="n">
        <v>38735</v>
      </c>
      <c r="Y2145" s="19" t="n">
        <v>38751</v>
      </c>
      <c r="Z2145" s="20" t="inlineStr">
        <is>
          <t>Issue opened</t>
        </is>
      </c>
      <c r="AA2145" s="15" t="inlineStr">
        <is>
          <t>Public issue as Raj Rayon (now Raj Rayon Industries); 85 lakh shares @Rs65, Rs55.25cr</t>
        </is>
      </c>
      <c r="AB2145" s="18" t="inlineStr">
        <is>
          <t>https://www.business-standard.com/markets/ipo/raj-rayon-industries-ltd-ipo-5128</t>
        </is>
      </c>
    </row>
    <row r="2146" ht="15" customHeight="1" s="12">
      <c r="A2146" s="14" t="n">
        <v>2145</v>
      </c>
      <c r="B2146" s="16" t="n">
        <v>38503</v>
      </c>
      <c r="C2146" s="15" t="n">
        <v>2005</v>
      </c>
      <c r="D2146" s="15" t="inlineStr">
        <is>
          <t>Vikas Metal and Power Limited</t>
        </is>
      </c>
      <c r="E2146" s="15" t="inlineStr">
        <is>
          <t>DRHP</t>
        </is>
      </c>
      <c r="F2146" s="15" t="inlineStr">
        <is>
          <t>Vikas Metal and Power Limited -PDF</t>
        </is>
      </c>
      <c r="G2146" s="15" t="inlineStr">
        <is>
          <t>No launched IPO found</t>
        </is>
      </c>
      <c r="H2146" s="15" t="n"/>
      <c r="I2146" s="16" t="n"/>
      <c r="J2146" s="16" t="n"/>
      <c r="K2146" s="16" t="n"/>
      <c r="L2146" s="17" t="n"/>
      <c r="M2146" s="17" t="n"/>
      <c r="N2146" s="17" t="n"/>
      <c r="O2146" s="15" t="n"/>
      <c r="P2146" s="15" t="n"/>
      <c r="Q2146" s="18" t="inlineStr">
        <is>
          <t>https://www.sebi.gov.in/sebi_data/attachdocs/1292903712025.pdf</t>
        </is>
      </c>
      <c r="R2146" s="18" t="inlineStr">
        <is>
          <t>https://www.sebi.gov.in/filings/public-issues/may-2005/vikas-metal-and-power-limited-pdf_11894.html</t>
        </is>
      </c>
      <c r="S2146" s="15" t="n"/>
      <c r="T2146" s="15" t="n"/>
      <c r="U2146" s="15" t="n"/>
      <c r="V2146" s="15" t="n"/>
      <c r="W2146" s="19" t="n">
        <v>38649</v>
      </c>
      <c r="X2146" s="19" t="n">
        <v>38653</v>
      </c>
      <c r="Y2146" s="19" t="n"/>
      <c r="Z2146" s="20" t="inlineStr">
        <is>
          <t>Issue opened</t>
        </is>
      </c>
      <c r="AA2146" s="15" t="inlineStr">
        <is>
          <t>Matched on chittorgarh.com (close name match: Vikash Metal &amp; Power)</t>
        </is>
      </c>
      <c r="AB2146" s="18" t="inlineStr">
        <is>
          <t>https://www.chittorgarh.com/ipo/vikash-metal-&amp;amp;-power-ipo/3059/</t>
        </is>
      </c>
    </row>
    <row r="2147" ht="15" customHeight="1" s="12">
      <c r="A2147" s="14" t="n">
        <v>2146</v>
      </c>
      <c r="B2147" s="16" t="n">
        <v>38499</v>
      </c>
      <c r="C2147" s="15" t="n">
        <v>2005</v>
      </c>
      <c r="D2147" s="15" t="inlineStr">
        <is>
          <t>Sasken Communication Technologies Ltd</t>
        </is>
      </c>
      <c r="E2147" s="15" t="inlineStr">
        <is>
          <t>DRHP</t>
        </is>
      </c>
      <c r="F2147" s="15" t="inlineStr">
        <is>
          <t>Sasken Communication Technologies Ltd</t>
        </is>
      </c>
      <c r="G2147" s="15" t="inlineStr">
        <is>
          <t>No launched IPO found</t>
        </is>
      </c>
      <c r="H2147" s="15" t="n"/>
      <c r="I2147" s="16" t="n"/>
      <c r="J2147" s="16" t="n"/>
      <c r="K2147" s="16" t="n"/>
      <c r="L2147" s="17" t="n"/>
      <c r="M2147" s="17" t="n"/>
      <c r="N2147" s="17" t="n"/>
      <c r="O2147" s="15" t="n"/>
      <c r="P2147" s="15" t="n"/>
      <c r="Q2147" s="18" t="inlineStr">
        <is>
          <t>https://www.sebi.gov.in/sebi_data/attachdocs/1292903574573.pdf</t>
        </is>
      </c>
      <c r="R2147" s="18" t="inlineStr">
        <is>
          <t>https://www.sebi.gov.in/filings/public-issues/may-2005/sasken-communication-technologies-ltd_11892.html</t>
        </is>
      </c>
      <c r="S2147" s="15" t="n"/>
      <c r="T2147" s="15" t="n"/>
      <c r="U2147" s="15" t="n"/>
      <c r="V2147" s="15" t="n"/>
      <c r="W2147" s="19" t="n">
        <v>38575</v>
      </c>
      <c r="X2147" s="19" t="n">
        <v>38581</v>
      </c>
      <c r="Y2147" s="19" t="n"/>
      <c r="Z2147" s="20" t="inlineStr">
        <is>
          <t>Issue opened</t>
        </is>
      </c>
      <c r="AA2147" s="15" t="inlineStr">
        <is>
          <t>Matched on chittorgarh.com</t>
        </is>
      </c>
      <c r="AB2147" s="18" t="inlineStr">
        <is>
          <t>https://www.chittorgarh.com/ipo/sasken-communication-technologies-ipo/3045/</t>
        </is>
      </c>
    </row>
    <row r="2148" ht="15" customHeight="1" s="12">
      <c r="A2148" s="14" t="n">
        <v>2147</v>
      </c>
      <c r="B2148" s="16" t="n">
        <v>38497</v>
      </c>
      <c r="C2148" s="15" t="n">
        <v>2005</v>
      </c>
      <c r="D2148" s="15" t="inlineStr">
        <is>
          <t>Net 4 India Limited</t>
        </is>
      </c>
      <c r="E2148" s="15" t="inlineStr">
        <is>
          <t>DRHP</t>
        </is>
      </c>
      <c r="F2148" s="15" t="inlineStr">
        <is>
          <t>Net 4 India Limited</t>
        </is>
      </c>
      <c r="G2148" s="15" t="inlineStr">
        <is>
          <t>No launched IPO found</t>
        </is>
      </c>
      <c r="H2148" s="15" t="n"/>
      <c r="I2148" s="16" t="n"/>
      <c r="J2148" s="16" t="n"/>
      <c r="K2148" s="16" t="n"/>
      <c r="L2148" s="17" t="n"/>
      <c r="M2148" s="17" t="n"/>
      <c r="N2148" s="17" t="n"/>
      <c r="O2148" s="15" t="n"/>
      <c r="P2148" s="15" t="n"/>
      <c r="Q2148" s="18" t="inlineStr">
        <is>
          <t>https://www.sebi.gov.in/sebi_data/attachdocs/1292903503350.pdf</t>
        </is>
      </c>
      <c r="R2148" s="18" t="inlineStr">
        <is>
          <t>https://www.sebi.gov.in/filings/public-issues/may-2005/net-4-india-limited_11890.html</t>
        </is>
      </c>
      <c r="S2148" s="15" t="n"/>
      <c r="T2148" s="15" t="n"/>
      <c r="U2148" s="15" t="n"/>
      <c r="V2148" s="15" t="n"/>
      <c r="W2148" s="16" t="n"/>
      <c r="X2148" s="16" t="n"/>
      <c r="Y2148" s="16" t="n"/>
      <c r="Z2148" s="15" t="inlineStr">
        <is>
          <t>No issue found</t>
        </is>
      </c>
      <c r="AA2148" s="15" t="inlineStr">
        <is>
          <t>Draft was a Rs4.1cr offer for sale at Rs20; shares later traded on BSE/NSE (532912) but no issue dates found</t>
        </is>
      </c>
      <c r="AB2148" s="18" t="inlineStr">
        <is>
          <t>https://www.crunchbase.com/organization/net4</t>
        </is>
      </c>
    </row>
    <row r="2149" ht="15" customHeight="1" s="12">
      <c r="A2149" s="14" t="n">
        <v>2148</v>
      </c>
      <c r="B2149" s="16" t="n">
        <v>38491</v>
      </c>
      <c r="C2149" s="15" t="n">
        <v>2005</v>
      </c>
      <c r="D2149" s="15" t="inlineStr">
        <is>
          <t>Infrastructure Development Finance Company Limited</t>
        </is>
      </c>
      <c r="E2149" s="15" t="inlineStr">
        <is>
          <t>DRHP</t>
        </is>
      </c>
      <c r="F2149" s="15" t="inlineStr">
        <is>
          <t>Infrastructure Development Finance Company Limited -PDF</t>
        </is>
      </c>
      <c r="G2149" s="15" t="inlineStr">
        <is>
          <t>No launched IPO found</t>
        </is>
      </c>
      <c r="H2149" s="15" t="n"/>
      <c r="I2149" s="16" t="n"/>
      <c r="J2149" s="16" t="n"/>
      <c r="K2149" s="16" t="n"/>
      <c r="L2149" s="17" t="n"/>
      <c r="M2149" s="17" t="n"/>
      <c r="N2149" s="17" t="n"/>
      <c r="O2149" s="15" t="n"/>
      <c r="P2149" s="15" t="n"/>
      <c r="Q2149" s="18" t="inlineStr">
        <is>
          <t>https://www.sebi.gov.in/sebi_data/attachdocs/1292903428724.pdf</t>
        </is>
      </c>
      <c r="R2149" s="18" t="inlineStr">
        <is>
          <t>https://www.sebi.gov.in/filings/public-issues/may-2005/infrastructure-development-finance-company-limited-pdf_11889.html</t>
        </is>
      </c>
      <c r="S2149" s="15" t="n"/>
      <c r="T2149" s="15" t="n"/>
      <c r="U2149" s="15" t="n"/>
      <c r="V2149" s="15" t="n"/>
      <c r="W2149" s="19" t="n">
        <v>38548</v>
      </c>
      <c r="X2149" s="19" t="n">
        <v>38555</v>
      </c>
      <c r="Y2149" s="19" t="n"/>
      <c r="Z2149" s="20" t="inlineStr">
        <is>
          <t>Issue opened</t>
        </is>
      </c>
      <c r="AA2149" s="15" t="inlineStr">
        <is>
          <t>Matched on chittorgarh.com</t>
        </is>
      </c>
      <c r="AB2149" s="18" t="inlineStr">
        <is>
          <t>https://www.chittorgarh.com/ipo/infrastructure-development-finance-coltd-ipo/3043/</t>
        </is>
      </c>
    </row>
    <row r="2150" ht="15" customHeight="1" s="12">
      <c r="A2150" s="14" t="n">
        <v>2149</v>
      </c>
      <c r="B2150" s="16" t="n">
        <v>38488</v>
      </c>
      <c r="C2150" s="15" t="n">
        <v>2005</v>
      </c>
      <c r="D2150" s="15" t="inlineStr">
        <is>
          <t>Tilaknagar Industries Limited</t>
        </is>
      </c>
      <c r="E2150" s="15" t="inlineStr">
        <is>
          <t>DRHP</t>
        </is>
      </c>
      <c r="F2150" s="15" t="inlineStr">
        <is>
          <t>Tilaknagar Industries Limited - PDF</t>
        </is>
      </c>
      <c r="G2150" s="15" t="inlineStr">
        <is>
          <t>No launched IPO found</t>
        </is>
      </c>
      <c r="H2150" s="15" t="n"/>
      <c r="I2150" s="16" t="n"/>
      <c r="J2150" s="16" t="n"/>
      <c r="K2150" s="16" t="n"/>
      <c r="L2150" s="17" t="n"/>
      <c r="M2150" s="17" t="n"/>
      <c r="N2150" s="17" t="n"/>
      <c r="O2150" s="15" t="n"/>
      <c r="P2150" s="15" t="n"/>
      <c r="Q2150" s="18" t="inlineStr">
        <is>
          <t>https://www.sebi.gov.in/sebi_data/attachdocs/1292903362993.pdf</t>
        </is>
      </c>
      <c r="R2150" s="18" t="inlineStr">
        <is>
          <t>https://www.sebi.gov.in/filings/public-issues/may-2005/tilaknagar-industries-limited-pdf_11888.html</t>
        </is>
      </c>
      <c r="S2150" s="15" t="n"/>
      <c r="T2150" s="15" t="n"/>
      <c r="U2150" s="15" t="n"/>
      <c r="V2150" s="15" t="n"/>
      <c r="W2150" s="16" t="n"/>
      <c r="X2150" s="16" t="n"/>
      <c r="Y2150" s="16" t="n"/>
      <c r="Z2150" s="15" t="inlineStr">
        <is>
          <t>No issue found</t>
        </is>
      </c>
      <c r="AA2150" s="15" t="inlineStr">
        <is>
          <t>Rights issue 1:2 at Rs20, not IPO/FPO; opened 22-Aug-2005, closed 21-Sep-2005</t>
        </is>
      </c>
      <c r="AB2150" s="18" t="inlineStr">
        <is>
          <t>https://www.sebi.gov.in/sebi_data/attachdocs/1292904265472.pdf</t>
        </is>
      </c>
    </row>
    <row r="2151" ht="15" customHeight="1" s="12">
      <c r="A2151" s="14" t="n">
        <v>2150</v>
      </c>
      <c r="B2151" s="16" t="n">
        <v>38475</v>
      </c>
      <c r="C2151" s="15" t="n">
        <v>2005</v>
      </c>
      <c r="D2151" s="15" t="inlineStr">
        <is>
          <t>Shoppers Stop Limited</t>
        </is>
      </c>
      <c r="E2151" s="15" t="inlineStr">
        <is>
          <t>Notice</t>
        </is>
      </c>
      <c r="F2151" s="15" t="inlineStr">
        <is>
          <t>Shoppers Stop Limited -Public Announcement -PDF</t>
        </is>
      </c>
      <c r="G2151" s="15" t="inlineStr">
        <is>
          <t>No launched IPO found</t>
        </is>
      </c>
      <c r="H2151" s="15" t="n"/>
      <c r="I2151" s="16" t="n"/>
      <c r="J2151" s="16" t="n"/>
      <c r="K2151" s="16" t="n"/>
      <c r="L2151" s="17" t="n"/>
      <c r="M2151" s="17" t="n"/>
      <c r="N2151" s="17" t="n"/>
      <c r="O2151" s="15" t="n"/>
      <c r="P2151" s="15" t="n"/>
      <c r="Q2151" s="18" t="inlineStr">
        <is>
          <t>https://www.sebi.gov.in/sebi_data/attachdocs/1292903217184.pdf</t>
        </is>
      </c>
      <c r="R2151" s="18" t="inlineStr">
        <is>
          <t>https://www.sebi.gov.in/filings/public-issues/may-2005/shoppers-stop-limited-public-announcement-pdf_11885.html</t>
        </is>
      </c>
      <c r="S2151" s="15" t="n"/>
      <c r="T2151" s="15" t="n"/>
      <c r="U2151" s="15" t="n"/>
      <c r="V2151" s="15" t="n"/>
      <c r="W2151" s="16" t="n"/>
      <c r="X2151" s="16" t="n"/>
      <c r="Y2151" s="16" t="n"/>
      <c r="Z2151" s="15" t="inlineStr">
        <is>
          <t>No issue found</t>
        </is>
      </c>
      <c r="AA2151" s="15" t="inlineStr">
        <is>
          <t>Business Standard lists the company but shows no issue dates; web search limit reached</t>
        </is>
      </c>
      <c r="AB2151" s="18" t="inlineStr">
        <is>
          <t>https://www.business-standard.com/markets/ipo/shoppers-stop-ltd-ipo-19961</t>
        </is>
      </c>
    </row>
    <row r="2152" ht="15" customHeight="1" s="12">
      <c r="A2152" s="14" t="n">
        <v>2151</v>
      </c>
      <c r="B2152" s="16" t="n">
        <v>38475</v>
      </c>
      <c r="C2152" s="15" t="n">
        <v>2005</v>
      </c>
      <c r="D2152" s="15" t="inlineStr">
        <is>
          <t>Southern Online Bio Technologies Limited</t>
        </is>
      </c>
      <c r="E2152" s="15" t="inlineStr">
        <is>
          <t>DRHP</t>
        </is>
      </c>
      <c r="F2152" s="15" t="inlineStr">
        <is>
          <t>Southern Online Bio Technologies Limited -PDF</t>
        </is>
      </c>
      <c r="G2152" s="15" t="inlineStr">
        <is>
          <t>No launched IPO found</t>
        </is>
      </c>
      <c r="H2152" s="15" t="n"/>
      <c r="I2152" s="16" t="n"/>
      <c r="J2152" s="16" t="n"/>
      <c r="K2152" s="16" t="n"/>
      <c r="L2152" s="17" t="n"/>
      <c r="M2152" s="17" t="n"/>
      <c r="N2152" s="17" t="n"/>
      <c r="O2152" s="15" t="n"/>
      <c r="P2152" s="15" t="n"/>
      <c r="Q2152" s="18" t="inlineStr">
        <is>
          <t>https://www.sebi.gov.in/sebi_data/attachdocs/1292903268730.pdf</t>
        </is>
      </c>
      <c r="R2152" s="18" t="inlineStr">
        <is>
          <t>https://www.sebi.gov.in/filings/public-issues/may-2005/southern-online-bio-technologies-limited-pdf_11886.html</t>
        </is>
      </c>
      <c r="S2152" s="15" t="n"/>
      <c r="T2152" s="15" t="n"/>
      <c r="U2152" s="15" t="n"/>
      <c r="V2152" s="15" t="n"/>
      <c r="W2152" s="19" t="n">
        <v>38609</v>
      </c>
      <c r="X2152" s="19" t="n">
        <v>38619</v>
      </c>
      <c r="Y2152" s="19" t="n">
        <v>38656</v>
      </c>
      <c r="Z2152" s="20" t="inlineStr">
        <is>
          <t>Issue opened</t>
        </is>
      </c>
      <c r="AA2152" s="15" t="inlineStr">
        <is>
          <t>Fixed-price FPO (with rights component) Rs14cr @Rs10; BSE</t>
        </is>
      </c>
      <c r="AB2152" s="18" t="inlineStr">
        <is>
          <t>https://www.chittorgarh.com/ipo/southern-online-bio-technologies-fpo/3049/</t>
        </is>
      </c>
    </row>
    <row r="2153" ht="15" customHeight="1" s="12">
      <c r="A2153" s="14" t="n">
        <v>2152</v>
      </c>
      <c r="B2153" s="16" t="n">
        <v>38469</v>
      </c>
      <c r="C2153" s="15" t="n">
        <v>2005</v>
      </c>
      <c r="D2153" s="15" t="inlineStr">
        <is>
          <t>HT Media Ltd</t>
        </is>
      </c>
      <c r="E2153" s="15" t="inlineStr">
        <is>
          <t>DRHP</t>
        </is>
      </c>
      <c r="F2153" s="15" t="inlineStr">
        <is>
          <t>HT Media Ltd</t>
        </is>
      </c>
      <c r="G2153" s="15" t="inlineStr">
        <is>
          <t>No launched IPO found</t>
        </is>
      </c>
      <c r="H2153" s="15" t="n"/>
      <c r="I2153" s="16" t="n"/>
      <c r="J2153" s="16" t="n"/>
      <c r="K2153" s="16" t="n"/>
      <c r="L2153" s="17" t="n"/>
      <c r="M2153" s="17" t="n"/>
      <c r="N2153" s="17" t="n"/>
      <c r="O2153" s="15" t="n"/>
      <c r="P2153" s="15" t="n"/>
      <c r="Q2153" s="18" t="inlineStr">
        <is>
          <t>https://www.sebi.gov.in/sebi_data/attachdocs/1292843481601.pdf</t>
        </is>
      </c>
      <c r="R2153" s="18" t="inlineStr">
        <is>
          <t>https://www.sebi.gov.in/filings/public-issues/apr-2005/ht-media-ltd_11825.html</t>
        </is>
      </c>
      <c r="S2153" s="15" t="n"/>
      <c r="T2153" s="15" t="n"/>
      <c r="U2153" s="15" t="n"/>
      <c r="V2153" s="15" t="n"/>
      <c r="W2153" s="19" t="n">
        <v>38568</v>
      </c>
      <c r="X2153" s="19" t="n">
        <v>38574</v>
      </c>
      <c r="Y2153" s="19" t="n"/>
      <c r="Z2153" s="20" t="inlineStr">
        <is>
          <t>Issue opened</t>
        </is>
      </c>
      <c r="AA2153" s="15" t="inlineStr">
        <is>
          <t>Matched on chittorgarh.com</t>
        </is>
      </c>
      <c r="AB2153" s="18" t="inlineStr">
        <is>
          <t>https://www.chittorgarh.com/ipo/ht-media-ipo/3044/</t>
        </is>
      </c>
    </row>
    <row r="2154" ht="15" customHeight="1" s="12">
      <c r="A2154" s="14" t="n">
        <v>2153</v>
      </c>
      <c r="B2154" s="16" t="n">
        <v>38469</v>
      </c>
      <c r="C2154" s="15" t="n">
        <v>2005</v>
      </c>
      <c r="D2154" s="15" t="inlineStr">
        <is>
          <t>IL&amp;FS Investsmart Ltd</t>
        </is>
      </c>
      <c r="E2154" s="15" t="inlineStr">
        <is>
          <t>DRHP</t>
        </is>
      </c>
      <c r="F2154" s="15" t="inlineStr">
        <is>
          <t>IL&amp;FS Investsmart Ltd</t>
        </is>
      </c>
      <c r="G2154" s="15" t="inlineStr">
        <is>
          <t>No launched IPO found</t>
        </is>
      </c>
      <c r="H2154" s="15" t="n"/>
      <c r="I2154" s="16" t="n"/>
      <c r="J2154" s="16" t="n"/>
      <c r="K2154" s="16" t="n"/>
      <c r="L2154" s="17" t="n"/>
      <c r="M2154" s="17" t="n"/>
      <c r="N2154" s="17" t="n"/>
      <c r="O2154" s="15" t="n"/>
      <c r="P2154" s="15" t="n"/>
      <c r="Q2154" s="18" t="inlineStr">
        <is>
          <t>https://www.sebi.gov.in/sebi_data/attachdocs/1292843365441.pdf</t>
        </is>
      </c>
      <c r="R2154" s="18" t="inlineStr">
        <is>
          <t>https://www.sebi.gov.in/filings/public-issues/apr-2005/ilandfs-investsmart-ltd_11823.html</t>
        </is>
      </c>
      <c r="S2154" s="15" t="n"/>
      <c r="T2154" s="15" t="n"/>
      <c r="U2154" s="15" t="n"/>
      <c r="V2154" s="15" t="n"/>
      <c r="W2154" s="19" t="n">
        <v>38537</v>
      </c>
      <c r="X2154" s="19" t="n">
        <v>38541</v>
      </c>
      <c r="Y2154" s="19" t="n"/>
      <c r="Z2154" s="20" t="inlineStr">
        <is>
          <t>Issue opened</t>
        </is>
      </c>
      <c r="AA2154" s="15" t="inlineStr">
        <is>
          <t>Matched on chittorgarh.com</t>
        </is>
      </c>
      <c r="AB2154" s="18" t="inlineStr">
        <is>
          <t>https://www.chittorgarh.com/ipo/il&amp;amp;fs-investsmart-ipo/3039/</t>
        </is>
      </c>
    </row>
    <row r="2155" ht="15" customHeight="1" s="12">
      <c r="A2155" s="14" t="n">
        <v>2154</v>
      </c>
      <c r="B2155" s="16" t="n">
        <v>38463</v>
      </c>
      <c r="C2155" s="15" t="n">
        <v>2005</v>
      </c>
      <c r="D2155" s="15" t="inlineStr">
        <is>
          <t>Shopper's Stop Limited</t>
        </is>
      </c>
      <c r="E2155" s="15" t="inlineStr">
        <is>
          <t>Notice</t>
        </is>
      </c>
      <c r="F2155" s="15" t="inlineStr">
        <is>
          <t>Shopper's Stop Limited - Public Announcement</t>
        </is>
      </c>
      <c r="G2155" s="15" t="inlineStr">
        <is>
          <t>No launched IPO found</t>
        </is>
      </c>
      <c r="H2155" s="15" t="n"/>
      <c r="I2155" s="16" t="n"/>
      <c r="J2155" s="16" t="n"/>
      <c r="K2155" s="16" t="n"/>
      <c r="L2155" s="17" t="n"/>
      <c r="M2155" s="17" t="n"/>
      <c r="N2155" s="17" t="n"/>
      <c r="O2155" s="15" t="n"/>
      <c r="P2155" s="15" t="n"/>
      <c r="Q2155" s="18" t="inlineStr">
        <is>
          <t>https://www.sebi.gov.in/sebi_data/attachdocs/1292843065459.pdf</t>
        </is>
      </c>
      <c r="R2155" s="18" t="inlineStr">
        <is>
          <t>https://www.sebi.gov.in/filings/public-issues/apr-2005/shopper-s-stop-limited-public-announcement_11821.html</t>
        </is>
      </c>
      <c r="S2155" s="15" t="n"/>
      <c r="T2155" s="15" t="n"/>
      <c r="U2155" s="15" t="n"/>
      <c r="V2155" s="15" t="n"/>
      <c r="W2155" s="19" t="n">
        <v>38470</v>
      </c>
      <c r="X2155" s="19" t="n">
        <v>38476</v>
      </c>
      <c r="Y2155" s="19" t="n"/>
      <c r="Z2155" s="20" t="inlineStr">
        <is>
          <t>Issue opened</t>
        </is>
      </c>
      <c r="AA2155" s="15" t="inlineStr">
        <is>
          <t>Matched on chittorgarh.com</t>
        </is>
      </c>
      <c r="AB2155" s="18" t="inlineStr">
        <is>
          <t>https://www.chittorgarh.com/ipo/shoppers-stop-ipo/3025/</t>
        </is>
      </c>
    </row>
    <row r="2156" ht="15" customHeight="1" s="12">
      <c r="A2156" s="14" t="n">
        <v>2155</v>
      </c>
      <c r="B2156" s="16" t="n">
        <v>38463</v>
      </c>
      <c r="C2156" s="15" t="n">
        <v>2005</v>
      </c>
      <c r="D2156" s="15" t="inlineStr">
        <is>
          <t>Syndicate Bank</t>
        </is>
      </c>
      <c r="E2156" s="15" t="inlineStr">
        <is>
          <t>DRHP</t>
        </is>
      </c>
      <c r="F2156" s="15" t="inlineStr">
        <is>
          <t>Syndicate Bank - PDF</t>
        </is>
      </c>
      <c r="G2156" s="15" t="inlineStr">
        <is>
          <t>No launched IPO found</t>
        </is>
      </c>
      <c r="H2156" s="15" t="n"/>
      <c r="I2156" s="16" t="n"/>
      <c r="J2156" s="16" t="n"/>
      <c r="K2156" s="16" t="n"/>
      <c r="L2156" s="17" t="n"/>
      <c r="M2156" s="17" t="n"/>
      <c r="N2156" s="17" t="n"/>
      <c r="O2156" s="15" t="n"/>
      <c r="P2156" s="15" t="n"/>
      <c r="Q2156" s="18" t="inlineStr">
        <is>
          <t>https://www.sebi.gov.in/sebi_data/attachdocs/1292842705609.pdf</t>
        </is>
      </c>
      <c r="R2156" s="18" t="inlineStr">
        <is>
          <t>https://www.sebi.gov.in/filings/public-issues/apr-2005/syndicate-bank-pdf_11817.html</t>
        </is>
      </c>
      <c r="S2156" s="15" t="n"/>
      <c r="T2156" s="15" t="n"/>
      <c r="U2156" s="15" t="n"/>
      <c r="V2156" s="15" t="n"/>
      <c r="W2156" s="19" t="n">
        <v>38540</v>
      </c>
      <c r="X2156" s="19" t="n">
        <v>38546</v>
      </c>
      <c r="Y2156" s="19" t="n">
        <v>38565</v>
      </c>
      <c r="Z2156" s="20" t="inlineStr">
        <is>
          <t>Issue opened</t>
        </is>
      </c>
      <c r="AA2156" s="15" t="inlineStr">
        <is>
          <t>Business Standard IPO page</t>
        </is>
      </c>
      <c r="AB2156" s="18" t="inlineStr">
        <is>
          <t>https://www.business-standard.com/markets/ipo/syndicate-bank-merged-ipo-5638</t>
        </is>
      </c>
    </row>
    <row r="2157" ht="15" customHeight="1" s="12">
      <c r="A2157" s="14" t="n">
        <v>2156</v>
      </c>
      <c r="B2157" s="16" t="n">
        <v>38450</v>
      </c>
      <c r="C2157" s="15" t="n">
        <v>2005</v>
      </c>
      <c r="D2157" s="15" t="inlineStr">
        <is>
          <t>Provogue (India) Limited</t>
        </is>
      </c>
      <c r="E2157" s="15" t="inlineStr">
        <is>
          <t>DRHP</t>
        </is>
      </c>
      <c r="F2157" s="15" t="inlineStr">
        <is>
          <t>Provogue (India) Limited - PDF</t>
        </is>
      </c>
      <c r="G2157" s="15" t="inlineStr">
        <is>
          <t>No launched IPO found</t>
        </is>
      </c>
      <c r="H2157" s="15" t="n"/>
      <c r="I2157" s="16" t="n"/>
      <c r="J2157" s="16" t="n"/>
      <c r="K2157" s="16" t="n"/>
      <c r="L2157" s="17" t="n"/>
      <c r="M2157" s="17" t="n"/>
      <c r="N2157" s="17" t="n"/>
      <c r="O2157" s="15" t="n"/>
      <c r="P2157" s="15" t="n"/>
      <c r="Q2157" s="18" t="inlineStr">
        <is>
          <t>https://www.sebi.gov.in/sebi_data/attachdocs/1292841941754.pdf</t>
        </is>
      </c>
      <c r="R2157" s="18" t="inlineStr">
        <is>
          <t>https://www.sebi.gov.in/filings/public-issues/apr-2005/provogue-india-limited-pdf_11812.html</t>
        </is>
      </c>
      <c r="S2157" s="15" t="n"/>
      <c r="T2157" s="15" t="n"/>
      <c r="U2157" s="15" t="n"/>
      <c r="V2157" s="15" t="n"/>
      <c r="W2157" s="19" t="n">
        <v>38513</v>
      </c>
      <c r="X2157" s="19" t="n">
        <v>38519</v>
      </c>
      <c r="Y2157" s="19" t="n"/>
      <c r="Z2157" s="20" t="inlineStr">
        <is>
          <t>Issue opened</t>
        </is>
      </c>
      <c r="AA2157" s="15" t="inlineStr">
        <is>
          <t>Matched on chittorgarh.com</t>
        </is>
      </c>
      <c r="AB2157" s="18" t="inlineStr">
        <is>
          <t>https://www.chittorgarh.com/ipo/provogue-ipo/3032/</t>
        </is>
      </c>
    </row>
    <row r="2158" ht="15" customHeight="1" s="12">
      <c r="A2158" s="14" t="n">
        <v>2157</v>
      </c>
      <c r="B2158" s="16" t="n">
        <v>38449</v>
      </c>
      <c r="C2158" s="15" t="n">
        <v>2005</v>
      </c>
      <c r="D2158" s="15" t="inlineStr">
        <is>
          <t>Jindal Poly Films Limited</t>
        </is>
      </c>
      <c r="E2158" s="15" t="inlineStr">
        <is>
          <t>DRHP</t>
        </is>
      </c>
      <c r="F2158" s="15" t="inlineStr">
        <is>
          <t>Jindal Poly Films Limited - PDF</t>
        </is>
      </c>
      <c r="G2158" s="15" t="inlineStr">
        <is>
          <t>No launched IPO found</t>
        </is>
      </c>
      <c r="H2158" s="15" t="n"/>
      <c r="I2158" s="16" t="n"/>
      <c r="J2158" s="16" t="n"/>
      <c r="K2158" s="16" t="n"/>
      <c r="L2158" s="17" t="n"/>
      <c r="M2158" s="17" t="n"/>
      <c r="N2158" s="17" t="n"/>
      <c r="O2158" s="15" t="n"/>
      <c r="P2158" s="15" t="n"/>
      <c r="Q2158" s="18" t="inlineStr">
        <is>
          <t>https://www.sebi.gov.in/sebi_data/attachdocs/1292841583140.pdf</t>
        </is>
      </c>
      <c r="R2158" s="18" t="inlineStr">
        <is>
          <t>https://www.sebi.gov.in/filings/public-issues/apr-2005/jindal-poly-films-limited-pdf_11806.html</t>
        </is>
      </c>
      <c r="S2158" s="15" t="n"/>
      <c r="T2158" s="15" t="n"/>
      <c r="U2158" s="15" t="n"/>
      <c r="V2158" s="15" t="n"/>
      <c r="W2158" s="19" t="n">
        <v>38512</v>
      </c>
      <c r="X2158" s="19" t="n">
        <v>38518</v>
      </c>
      <c r="Y2158" s="19" t="n">
        <v>38534</v>
      </c>
      <c r="Z2158" s="20" t="inlineStr">
        <is>
          <t>Issue opened</t>
        </is>
      </c>
      <c r="AA2158" s="15" t="inlineStr">
        <is>
          <t>Business Standard IPO page</t>
        </is>
      </c>
      <c r="AB2158" s="18" t="inlineStr">
        <is>
          <t>https://www.business-standard.com/markets/ipo/jindal-poly-films-ltd-ipo-4162</t>
        </is>
      </c>
    </row>
    <row r="2159" ht="15" customHeight="1" s="12">
      <c r="A2159" s="14" t="n">
        <v>2158</v>
      </c>
      <c r="B2159" s="16" t="n">
        <v>38448</v>
      </c>
      <c r="C2159" s="15" t="n">
        <v>2005</v>
      </c>
      <c r="D2159" s="15" t="inlineStr">
        <is>
          <t>SPL Industries Limited</t>
        </is>
      </c>
      <c r="E2159" s="15" t="inlineStr">
        <is>
          <t>DRHP</t>
        </is>
      </c>
      <c r="F2159" s="15" t="inlineStr">
        <is>
          <t>SPL Industries Limited -PDF</t>
        </is>
      </c>
      <c r="G2159" s="15" t="inlineStr">
        <is>
          <t>No launched IPO found</t>
        </is>
      </c>
      <c r="H2159" s="15" t="n"/>
      <c r="I2159" s="16" t="n"/>
      <c r="J2159" s="16" t="n"/>
      <c r="K2159" s="16" t="n"/>
      <c r="L2159" s="17" t="n"/>
      <c r="M2159" s="17" t="n"/>
      <c r="N2159" s="17" t="n"/>
      <c r="O2159" s="15" t="n"/>
      <c r="P2159" s="15" t="n"/>
      <c r="Q2159" s="18" t="inlineStr">
        <is>
          <t>https://www.sebi.gov.in/sebi_data/attachdocs/1292841477239.pdf</t>
        </is>
      </c>
      <c r="R2159" s="18" t="inlineStr">
        <is>
          <t>https://www.sebi.gov.in/filings/public-issues/apr-2005/spl-industries-limited-pdf_11804.html</t>
        </is>
      </c>
      <c r="S2159" s="15" t="n"/>
      <c r="T2159" s="15" t="n"/>
      <c r="U2159" s="15" t="n"/>
      <c r="V2159" s="15" t="n"/>
      <c r="W2159" s="19" t="n">
        <v>38532</v>
      </c>
      <c r="X2159" s="19" t="n">
        <v>38538</v>
      </c>
      <c r="Y2159" s="19" t="n"/>
      <c r="Z2159" s="20" t="inlineStr">
        <is>
          <t>Issue opened</t>
        </is>
      </c>
      <c r="AA2159" s="15" t="inlineStr">
        <is>
          <t>Matched on chittorgarh.com</t>
        </is>
      </c>
      <c r="AB2159" s="18" t="inlineStr">
        <is>
          <t>https://www.chittorgarh.com/ipo/spl-industries-ipo/3037/</t>
        </is>
      </c>
    </row>
    <row r="2160" ht="15" customHeight="1" s="12">
      <c r="A2160" s="14" t="n">
        <v>2159</v>
      </c>
      <c r="B2160" s="16" t="n">
        <v>38447</v>
      </c>
      <c r="C2160" s="15" t="n">
        <v>2005</v>
      </c>
      <c r="D2160" s="15" t="inlineStr">
        <is>
          <t>Saksoft Limited - Addemdum dated March 25, 2005</t>
        </is>
      </c>
      <c r="E2160" s="15" t="inlineStr">
        <is>
          <t>DRHP</t>
        </is>
      </c>
      <c r="F2160" s="15" t="inlineStr">
        <is>
          <t>Saksoft Limited - Addemdum dated March 25, 2005</t>
        </is>
      </c>
      <c r="G2160" s="15" t="inlineStr">
        <is>
          <t>No launched IPO found</t>
        </is>
      </c>
      <c r="H2160" s="15" t="n"/>
      <c r="I2160" s="16" t="n"/>
      <c r="J2160" s="16" t="n"/>
      <c r="K2160" s="16" t="n"/>
      <c r="L2160" s="17" t="n"/>
      <c r="M2160" s="17" t="n"/>
      <c r="N2160" s="17" t="n"/>
      <c r="O2160" s="15" t="n"/>
      <c r="P2160" s="15" t="n"/>
      <c r="Q2160" s="18" t="inlineStr">
        <is>
          <t>https://www.sebi.gov.in/sebi_data/attachdocs/1292841356125.pdf</t>
        </is>
      </c>
      <c r="R2160" s="18" t="inlineStr">
        <is>
          <t>https://www.sebi.gov.in/filings/public-issues/apr-2005/saksoft-limited-addemdum-dated-march-25-2005_11800.html</t>
        </is>
      </c>
      <c r="S2160" s="15" t="n"/>
      <c r="T2160" s="15" t="n"/>
      <c r="U2160" s="15" t="n"/>
      <c r="V2160" s="15" t="n"/>
      <c r="W2160" s="16" t="n"/>
      <c r="X2160" s="16" t="n"/>
      <c r="Y2160" s="16" t="n"/>
      <c r="Z2160" s="15" t="inlineStr">
        <is>
          <t>No issue found</t>
        </is>
      </c>
      <c r="AA2160" s="15" t="inlineStr">
        <is>
          <t>Addendum to IPO that opened 30-Mar-2005 (closed 07-Apr, listed 09-May-2005), before this 05-Apr-2005 entry</t>
        </is>
      </c>
      <c r="AB2160" s="18" t="inlineStr">
        <is>
          <t>https://www.business-standard.com/markets/ipo/saksoft-ltd-ipo-26503</t>
        </is>
      </c>
    </row>
    <row r="2161" ht="15" customHeight="1" s="12">
      <c r="A2161" s="14" t="n">
        <v>2160</v>
      </c>
      <c r="B2161" s="16" t="n">
        <v>38443</v>
      </c>
      <c r="C2161" s="15" t="n">
        <v>2005</v>
      </c>
      <c r="D2161" s="15" t="inlineStr">
        <is>
          <t>Nectar Lifesciences Ltd</t>
        </is>
      </c>
      <c r="E2161" s="15" t="inlineStr">
        <is>
          <t>DRHP</t>
        </is>
      </c>
      <c r="F2161" s="15" t="inlineStr">
        <is>
          <t>Nectar Lifesciences Ltd</t>
        </is>
      </c>
      <c r="G2161" s="15" t="inlineStr">
        <is>
          <t>No launched IPO found</t>
        </is>
      </c>
      <c r="H2161" s="15" t="n"/>
      <c r="I2161" s="16" t="n"/>
      <c r="J2161" s="16" t="n"/>
      <c r="K2161" s="16" t="n"/>
      <c r="L2161" s="17" t="n"/>
      <c r="M2161" s="17" t="n"/>
      <c r="N2161" s="17" t="n"/>
      <c r="O2161" s="15" t="n"/>
      <c r="P2161" s="15" t="n"/>
      <c r="Q2161" s="18" t="inlineStr">
        <is>
          <t>https://www.sebi.gov.in/sebi_data/attachdocs/1292841272787.pdf</t>
        </is>
      </c>
      <c r="R2161" s="18" t="inlineStr">
        <is>
          <t>https://www.sebi.gov.in/filings/public-issues/apr-2005/nectar-lifesciences-ltd_11796.html</t>
        </is>
      </c>
      <c r="S2161" s="15" t="n"/>
      <c r="T2161" s="15" t="n"/>
      <c r="U2161" s="15" t="n"/>
      <c r="V2161" s="15" t="n"/>
      <c r="W2161" s="19" t="n">
        <v>38525</v>
      </c>
      <c r="X2161" s="19" t="n">
        <v>38531</v>
      </c>
      <c r="Y2161" s="19" t="n"/>
      <c r="Z2161" s="20" t="inlineStr">
        <is>
          <t>Issue opened</t>
        </is>
      </c>
      <c r="AA2161" s="15" t="inlineStr">
        <is>
          <t>Matched on chittorgarh.com</t>
        </is>
      </c>
      <c r="AB2161" s="18" t="inlineStr">
        <is>
          <t>https://www.chittorgarh.com/ipo/nectar-lifesciences-ipo/3035/</t>
        </is>
      </c>
    </row>
    <row r="2162" ht="15" customHeight="1" s="12">
      <c r="A2162" s="14" t="n">
        <v>2161</v>
      </c>
      <c r="B2162" s="16" t="n">
        <v>38441</v>
      </c>
      <c r="C2162" s="15" t="n">
        <v>2005</v>
      </c>
      <c r="D2162" s="15" t="inlineStr">
        <is>
          <t>Yash Papers Limited</t>
        </is>
      </c>
      <c r="E2162" s="15" t="inlineStr">
        <is>
          <t>DRHP</t>
        </is>
      </c>
      <c r="F2162" s="15" t="inlineStr">
        <is>
          <t>Yash Papers Limited</t>
        </is>
      </c>
      <c r="G2162" s="15" t="inlineStr">
        <is>
          <t>No launched IPO found</t>
        </is>
      </c>
      <c r="H2162" s="15" t="n"/>
      <c r="I2162" s="16" t="n"/>
      <c r="J2162" s="16" t="n"/>
      <c r="K2162" s="16" t="n"/>
      <c r="L2162" s="17" t="n"/>
      <c r="M2162" s="17" t="n"/>
      <c r="N2162" s="17" t="n"/>
      <c r="O2162" s="15" t="n"/>
      <c r="P2162" s="15" t="n"/>
      <c r="Q2162" s="18" t="inlineStr">
        <is>
          <t>https://www.sebi.gov.in/sebi_data/attachdocs/1292827827960.pdf</t>
        </is>
      </c>
      <c r="R2162" s="18" t="inlineStr">
        <is>
          <t>https://www.sebi.gov.in/filings/public-issues/mar-2005/yash-papers-limited_11611.html</t>
        </is>
      </c>
      <c r="S2162" s="15" t="n"/>
      <c r="T2162" s="15" t="n"/>
      <c r="U2162" s="15" t="n"/>
      <c r="V2162" s="15" t="n"/>
      <c r="W2162" s="19" t="n">
        <v>38533</v>
      </c>
      <c r="X2162" s="19" t="n">
        <v>38541</v>
      </c>
      <c r="Y2162" s="19" t="n">
        <v>38580</v>
      </c>
      <c r="Z2162" s="20" t="inlineStr">
        <is>
          <t>Issue opened</t>
        </is>
      </c>
      <c r="AA2162" s="15" t="inlineStr">
        <is>
          <t>Fixed-price FPO, 1.68cr shares @Rs14; BSE</t>
        </is>
      </c>
      <c r="AB2162" s="18" t="inlineStr">
        <is>
          <t>https://www.chittorgarh.com/ipo/yash-papers-fpo/3038/</t>
        </is>
      </c>
    </row>
    <row r="2163" ht="15" customHeight="1" s="12">
      <c r="A2163" s="14" t="n">
        <v>2162</v>
      </c>
      <c r="B2163" s="16" t="n">
        <v>38440</v>
      </c>
      <c r="C2163" s="15" t="n">
        <v>2005</v>
      </c>
      <c r="D2163" s="15" t="inlineStr">
        <is>
          <t>Century Extrusions Ltd</t>
        </is>
      </c>
      <c r="E2163" s="15" t="inlineStr">
        <is>
          <t>DRHP</t>
        </is>
      </c>
      <c r="F2163" s="15" t="inlineStr">
        <is>
          <t>Century Extrusions Ltd</t>
        </is>
      </c>
      <c r="G2163" s="15" t="inlineStr">
        <is>
          <t>No launched IPO found</t>
        </is>
      </c>
      <c r="H2163" s="15" t="n"/>
      <c r="I2163" s="16" t="n"/>
      <c r="J2163" s="16" t="n"/>
      <c r="K2163" s="16" t="n"/>
      <c r="L2163" s="17" t="n"/>
      <c r="M2163" s="17" t="n"/>
      <c r="N2163" s="17" t="n"/>
      <c r="O2163" s="15" t="n"/>
      <c r="P2163" s="15" t="n"/>
      <c r="Q2163" s="18" t="inlineStr">
        <is>
          <t>https://www.sebi.gov.in/sebi_data/attachdocs/1292826999106.pdf</t>
        </is>
      </c>
      <c r="R2163" s="18" t="inlineStr">
        <is>
          <t>https://www.sebi.gov.in/filings/public-issues/mar-2005/century-extrusions-ltd_11601.html</t>
        </is>
      </c>
      <c r="S2163" s="15" t="n"/>
      <c r="T2163" s="15" t="n"/>
      <c r="U2163" s="15" t="n"/>
      <c r="V2163" s="15" t="n"/>
      <c r="W2163" s="16" t="n"/>
      <c r="X2163" s="16" t="n"/>
      <c r="Y2163" s="16" t="n"/>
      <c r="Z2163" s="15" t="inlineStr">
        <is>
          <t>No issue found</t>
        </is>
      </c>
      <c r="AA2163" s="15" t="inlineStr">
        <is>
          <t>Already listed; both drafts were rights issues, not IPO/FPO (ex-rights 17-Aug-2005; record date 26-May-2008)</t>
        </is>
      </c>
      <c r="AB2163" s="18" t="inlineStr">
        <is>
          <t>https://www.goodreturns.in/company/century-extrusions/rights.html</t>
        </is>
      </c>
    </row>
    <row r="2164" ht="15" customHeight="1" s="12">
      <c r="A2164" s="14" t="n">
        <v>2163</v>
      </c>
      <c r="B2164" s="16" t="n">
        <v>38440</v>
      </c>
      <c r="C2164" s="15" t="n">
        <v>2005</v>
      </c>
      <c r="D2164" s="15" t="inlineStr">
        <is>
          <t>The Oudh Sugar Mills Limited</t>
        </is>
      </c>
      <c r="E2164" s="15" t="inlineStr">
        <is>
          <t>DRHP</t>
        </is>
      </c>
      <c r="F2164" s="15" t="inlineStr">
        <is>
          <t>The Oudh Sugar Mills Limited</t>
        </is>
      </c>
      <c r="G2164" s="15" t="inlineStr">
        <is>
          <t>No launched IPO found</t>
        </is>
      </c>
      <c r="H2164" s="15" t="n"/>
      <c r="I2164" s="16" t="n"/>
      <c r="J2164" s="16" t="n"/>
      <c r="K2164" s="16" t="n"/>
      <c r="L2164" s="17" t="n"/>
      <c r="M2164" s="17" t="n"/>
      <c r="N2164" s="17" t="n"/>
      <c r="O2164" s="15" t="n"/>
      <c r="P2164" s="15" t="n"/>
      <c r="Q2164" s="18" t="inlineStr">
        <is>
          <t>https://www.sebi.gov.in/sebi_data/attachdocs/1292827272402.pdf</t>
        </is>
      </c>
      <c r="R2164" s="18" t="inlineStr">
        <is>
          <t>https://www.sebi.gov.in/filings/public-issues/mar-2005/the-oudh-sugar-mills-limited_11607.html</t>
        </is>
      </c>
      <c r="S2164" s="15" t="n"/>
      <c r="T2164" s="15" t="n"/>
      <c r="U2164" s="15" t="n"/>
      <c r="V2164" s="15" t="n"/>
      <c r="W2164" s="16" t="n"/>
      <c r="X2164" s="16" t="n"/>
      <c r="Y2164" s="16" t="n"/>
      <c r="Z2164" s="15" t="inlineStr">
        <is>
          <t>No issue found</t>
        </is>
      </c>
      <c r="AA2164" s="15" t="inlineStr">
        <is>
          <t>Rights issue 3:4 at Rs50, not IPO/FPO; opened 18-May-2005, closed 16-Jun-2005</t>
        </is>
      </c>
      <c r="AB2164" s="18" t="inlineStr">
        <is>
          <t>https://www.sebi.gov.in/sebi_data/attachdocs/1292905093116.pdf</t>
        </is>
      </c>
    </row>
    <row r="2165" ht="15" customHeight="1" s="12">
      <c r="A2165" s="14" t="n">
        <v>2164</v>
      </c>
      <c r="B2165" s="16" t="n">
        <v>38435</v>
      </c>
      <c r="C2165" s="15" t="n">
        <v>2005</v>
      </c>
      <c r="D2165" s="15" t="inlineStr">
        <is>
          <t>Talbros Automotive Components Limited</t>
        </is>
      </c>
      <c r="E2165" s="15" t="inlineStr">
        <is>
          <t>DRHP</t>
        </is>
      </c>
      <c r="F2165" s="15" t="inlineStr">
        <is>
          <t>Talbros Automotive Components Limited - PDF</t>
        </is>
      </c>
      <c r="G2165" s="15" t="inlineStr">
        <is>
          <t>No launched IPO found</t>
        </is>
      </c>
      <c r="H2165" s="15" t="n"/>
      <c r="I2165" s="16" t="n"/>
      <c r="J2165" s="16" t="n"/>
      <c r="K2165" s="16" t="n"/>
      <c r="L2165" s="17" t="n"/>
      <c r="M2165" s="17" t="n"/>
      <c r="N2165" s="17" t="n"/>
      <c r="O2165" s="15" t="n"/>
      <c r="P2165" s="15" t="n"/>
      <c r="Q2165" s="18" t="inlineStr">
        <is>
          <t>https://www.sebi.gov.in/sebi_data/attachdocs/1292826307499.pdf</t>
        </is>
      </c>
      <c r="R2165" s="18" t="inlineStr">
        <is>
          <t>https://www.sebi.gov.in/filings/public-issues/mar-2005/talbros-automotive-components-limited-pdf_11586.html</t>
        </is>
      </c>
      <c r="S2165" s="15" t="n"/>
      <c r="T2165" s="15" t="n"/>
      <c r="U2165" s="15" t="n"/>
      <c r="V2165" s="15" t="n"/>
      <c r="W2165" s="19" t="n">
        <v>38596</v>
      </c>
      <c r="X2165" s="19" t="n">
        <v>38604</v>
      </c>
      <c r="Y2165" s="19" t="n">
        <v>38623</v>
      </c>
      <c r="Z2165" s="20" t="inlineStr">
        <is>
          <t>Issue opened</t>
        </is>
      </c>
      <c r="AA2165" s="15" t="inlineStr">
        <is>
          <t>Business Standard IPO page</t>
        </is>
      </c>
      <c r="AB2165" s="18" t="inlineStr">
        <is>
          <t>https://www.business-standard.com/markets/ipo/talbros-automotive-components-ltd-ipo-549</t>
        </is>
      </c>
    </row>
    <row r="2166" ht="15" customHeight="1" s="12">
      <c r="A2166" s="14" t="n">
        <v>2165</v>
      </c>
      <c r="B2166" s="16" t="n">
        <v>38429</v>
      </c>
      <c r="C2166" s="15" t="n">
        <v>2005</v>
      </c>
      <c r="D2166" s="15" t="inlineStr">
        <is>
          <t>Yes Bank Ltd</t>
        </is>
      </c>
      <c r="E2166" s="15" t="inlineStr">
        <is>
          <t>DRHP</t>
        </is>
      </c>
      <c r="F2166" s="15" t="inlineStr">
        <is>
          <t>Yes Bank Ltd</t>
        </is>
      </c>
      <c r="G2166" s="15" t="inlineStr">
        <is>
          <t>IPO launched</t>
        </is>
      </c>
      <c r="H2166" s="15" t="inlineStr">
        <is>
          <t>Mainboard</t>
        </is>
      </c>
      <c r="I2166" s="16" t="n">
        <v>44027</v>
      </c>
      <c r="J2166" s="16" t="n">
        <v>44029</v>
      </c>
      <c r="K2166" s="16" t="n">
        <v>44039</v>
      </c>
      <c r="L2166" s="17" t="n">
        <v>15000</v>
      </c>
      <c r="M2166" s="17" t="n">
        <v>15000</v>
      </c>
      <c r="N2166" s="17" t="n">
        <v>0</v>
      </c>
      <c r="O2166" s="15" t="inlineStr">
        <is>
          <t>Final issue (ipoplatform)</t>
        </is>
      </c>
      <c r="P2166" s="15" t="n"/>
      <c r="Q2166" s="18" t="inlineStr">
        <is>
          <t>https://www.sebi.gov.in/sebi_data/attachdocs/1292826233895.pdf</t>
        </is>
      </c>
      <c r="R2166" s="18" t="inlineStr">
        <is>
          <t>https://www.sebi.gov.in/filings/public-issues/mar-2005/yes-bank-ltd_11583.html</t>
        </is>
      </c>
      <c r="S2166" s="15" t="n"/>
      <c r="T2166" s="15" t="inlineStr">
        <is>
          <t>SEBI filing link</t>
        </is>
      </c>
      <c r="U2166" s="15" t="inlineStr">
        <is>
          <t>Yes Bank Limited</t>
        </is>
      </c>
      <c r="V2166" s="15" t="n"/>
      <c r="W2166" s="15" t="n"/>
      <c r="X2166" s="15" t="n"/>
      <c r="Y2166" s="15" t="n"/>
      <c r="Z2166" s="15" t="n"/>
      <c r="AA2166" s="15" t="n"/>
      <c r="AB2166" s="15" t="n"/>
    </row>
    <row r="2167" ht="15" customHeight="1" s="12">
      <c r="A2167" s="14" t="n">
        <v>2166</v>
      </c>
      <c r="B2167" s="16" t="n">
        <v>38427</v>
      </c>
      <c r="C2167" s="15" t="n">
        <v>2005</v>
      </c>
      <c r="D2167" s="15" t="inlineStr">
        <is>
          <t>Oriental Bank of Commerce</t>
        </is>
      </c>
      <c r="E2167" s="15" t="inlineStr">
        <is>
          <t>DRHP</t>
        </is>
      </c>
      <c r="F2167" s="15" t="inlineStr">
        <is>
          <t>Oriental Bank of Commerce</t>
        </is>
      </c>
      <c r="G2167" s="15" t="inlineStr">
        <is>
          <t>No launched IPO found</t>
        </is>
      </c>
      <c r="H2167" s="15" t="n"/>
      <c r="I2167" s="16" t="n"/>
      <c r="J2167" s="16" t="n"/>
      <c r="K2167" s="16" t="n"/>
      <c r="L2167" s="17" t="n"/>
      <c r="M2167" s="17" t="n"/>
      <c r="N2167" s="17" t="n"/>
      <c r="O2167" s="15" t="n"/>
      <c r="P2167" s="15" t="n"/>
      <c r="Q2167" s="18" t="inlineStr">
        <is>
          <t>https://www.sebi.gov.in/sebi_data/attachdocs/1292825864031.pdf</t>
        </is>
      </c>
      <c r="R2167" s="18" t="inlineStr">
        <is>
          <t>https://www.sebi.gov.in/filings/public-issues/mar-2005/oriental-bank-of-commerce_11575.html</t>
        </is>
      </c>
      <c r="S2167" s="15" t="n"/>
      <c r="T2167" s="15" t="n"/>
      <c r="U2167" s="15" t="n"/>
      <c r="V2167" s="15" t="n"/>
      <c r="W2167" s="19" t="n">
        <v>38467</v>
      </c>
      <c r="X2167" s="19" t="n">
        <v>38471</v>
      </c>
      <c r="Y2167" s="19" t="n">
        <v>38488</v>
      </c>
      <c r="Z2167" s="20" t="inlineStr">
        <is>
          <t>Issue opened</t>
        </is>
      </c>
      <c r="AA2167" s="15" t="inlineStr">
        <is>
          <t>Business Standard IPO page</t>
        </is>
      </c>
      <c r="AB2167" s="18" t="inlineStr">
        <is>
          <t>https://www.business-standard.com/markets/ipo/oriental-bank-of-commerce-merged-ipo-4318</t>
        </is>
      </c>
    </row>
    <row r="2168" ht="15" customHeight="1" s="12">
      <c r="A2168" s="14" t="n">
        <v>2167</v>
      </c>
      <c r="B2168" s="16" t="n">
        <v>38426</v>
      </c>
      <c r="C2168" s="15" t="n">
        <v>2005</v>
      </c>
      <c r="D2168" s="15" t="inlineStr">
        <is>
          <t>Color Chips (India) Ltd</t>
        </is>
      </c>
      <c r="E2168" s="15" t="inlineStr">
        <is>
          <t>DRHP</t>
        </is>
      </c>
      <c r="F2168" s="15" t="inlineStr">
        <is>
          <t>Color Chips (India) Ltd</t>
        </is>
      </c>
      <c r="G2168" s="15" t="inlineStr">
        <is>
          <t>No launched IPO found</t>
        </is>
      </c>
      <c r="H2168" s="15" t="n"/>
      <c r="I2168" s="16" t="n"/>
      <c r="J2168" s="16" t="n"/>
      <c r="K2168" s="16" t="n"/>
      <c r="L2168" s="17" t="n"/>
      <c r="M2168" s="17" t="n"/>
      <c r="N2168" s="17" t="n"/>
      <c r="O2168" s="15" t="n"/>
      <c r="P2168" s="15" t="n"/>
      <c r="Q2168" s="18" t="inlineStr">
        <is>
          <t>https://www.sebi.gov.in/sebi_data/attachdocs/1292825583545.pdf</t>
        </is>
      </c>
      <c r="R2168" s="18" t="inlineStr">
        <is>
          <t>https://www.sebi.gov.in/filings/public-issues/mar-2005/color-chips-india-ltd_11571.html</t>
        </is>
      </c>
      <c r="S2168" s="15" t="n"/>
      <c r="T2168" s="15" t="n"/>
      <c r="U2168" s="15" t="n"/>
      <c r="V2168" s="15" t="n"/>
      <c r="W2168" s="16" t="n"/>
      <c r="X2168" s="16" t="n"/>
      <c r="Y2168" s="16" t="n"/>
      <c r="Z2168" s="15" t="inlineStr">
        <is>
          <t>No issue found</t>
        </is>
      </c>
      <c r="AA2168" s="15" t="inlineStr">
        <is>
          <t>Now Colorchips New Media (BSE 540023 from 2016); no evidence 2005 issue opened</t>
        </is>
      </c>
      <c r="AB2168" s="18" t="inlineStr">
        <is>
          <t>https://www.screener.in/company/540023/</t>
        </is>
      </c>
    </row>
    <row r="2169" ht="15" customHeight="1" s="12">
      <c r="A2169" s="14" t="n">
        <v>2168</v>
      </c>
      <c r="B2169" s="16" t="n">
        <v>38413</v>
      </c>
      <c r="C2169" s="15" t="n">
        <v>2005</v>
      </c>
      <c r="D2169" s="15" t="inlineStr">
        <is>
          <t>Gwalior Chemical Industries Ltd</t>
        </is>
      </c>
      <c r="E2169" s="15" t="inlineStr">
        <is>
          <t>DRHP</t>
        </is>
      </c>
      <c r="F2169" s="15" t="inlineStr">
        <is>
          <t>Gwalior Chemical Industries Ltd</t>
        </is>
      </c>
      <c r="G2169" s="15" t="inlineStr">
        <is>
          <t>IPO launched</t>
        </is>
      </c>
      <c r="H2169" s="15" t="inlineStr">
        <is>
          <t>Mainboard</t>
        </is>
      </c>
      <c r="I2169" s="16" t="n">
        <v>38971</v>
      </c>
      <c r="J2169" s="16" t="n">
        <v>38974</v>
      </c>
      <c r="K2169" s="16" t="n">
        <v>38994</v>
      </c>
      <c r="L2169" s="17" t="n">
        <v>80</v>
      </c>
      <c r="M2169" s="17" t="n">
        <v>80</v>
      </c>
      <c r="N2169" s="17" t="n">
        <v>0</v>
      </c>
      <c r="O2169" s="15" t="inlineStr">
        <is>
          <t>Final issue (ipoplatform)</t>
        </is>
      </c>
      <c r="P2169" s="15" t="n"/>
      <c r="Q2169" s="18" t="inlineStr">
        <is>
          <t>https://www.sebi.gov.in/sebi_data/attachdocs/1292825335951.pdf</t>
        </is>
      </c>
      <c r="R2169" s="18" t="inlineStr">
        <is>
          <t>https://www.sebi.gov.in/filings/public-issues/mar-2005/gwalior-chemical-industries-ltd_11568.html</t>
        </is>
      </c>
      <c r="S2169" s="15" t="n"/>
      <c r="T2169" s="15" t="inlineStr">
        <is>
          <t>Company name + date window</t>
        </is>
      </c>
      <c r="U2169" s="15" t="inlineStr">
        <is>
          <t>Gwalior Chemical Industries Limited</t>
        </is>
      </c>
      <c r="V2169" s="15" t="n"/>
      <c r="W2169" s="15" t="n"/>
      <c r="X2169" s="15" t="n"/>
      <c r="Y2169" s="15" t="n"/>
      <c r="Z2169" s="15" t="n"/>
      <c r="AA2169" s="15" t="n"/>
      <c r="AB2169" s="15" t="n"/>
    </row>
    <row r="2170" ht="15" customHeight="1" s="12">
      <c r="A2170" s="14" t="n">
        <v>2169</v>
      </c>
      <c r="B2170" s="16" t="n">
        <v>38412</v>
      </c>
      <c r="C2170" s="15" t="n">
        <v>2005</v>
      </c>
      <c r="D2170" s="15" t="inlineStr">
        <is>
          <t>Era Constructions India Limited</t>
        </is>
      </c>
      <c r="E2170" s="15" t="inlineStr">
        <is>
          <t>DRHP</t>
        </is>
      </c>
      <c r="F2170" s="15" t="inlineStr">
        <is>
          <t>Era Constructions India Limited</t>
        </is>
      </c>
      <c r="G2170" s="15" t="inlineStr">
        <is>
          <t>No launched IPO found</t>
        </is>
      </c>
      <c r="H2170" s="15" t="n"/>
      <c r="I2170" s="16" t="n"/>
      <c r="J2170" s="16" t="n"/>
      <c r="K2170" s="16" t="n"/>
      <c r="L2170" s="17" t="n"/>
      <c r="M2170" s="17" t="n"/>
      <c r="N2170" s="17" t="n"/>
      <c r="O2170" s="15" t="n"/>
      <c r="P2170" s="15" t="n"/>
      <c r="Q2170" s="18" t="inlineStr">
        <is>
          <t>https://www.sebi.gov.in/sebi_data/attachdocs/1292825041727.pdf</t>
        </is>
      </c>
      <c r="R2170" s="18" t="inlineStr">
        <is>
          <t>https://www.sebi.gov.in/filings/public-issues/mar-2005/era-constructions-india-limited_11564.html</t>
        </is>
      </c>
      <c r="S2170" s="15" t="n"/>
      <c r="T2170" s="15" t="n"/>
      <c r="U2170" s="15" t="n"/>
      <c r="V2170" s="15" t="n"/>
      <c r="W2170" s="19" t="n">
        <v>38527</v>
      </c>
      <c r="X2170" s="19" t="n">
        <v>38532</v>
      </c>
      <c r="Y2170" s="19" t="n"/>
      <c r="Z2170" s="20" t="inlineStr">
        <is>
          <t>Issue opened</t>
        </is>
      </c>
      <c r="AA2170" s="15" t="inlineStr">
        <is>
          <t>Follow-on public issue 68.34 lakh sh @Rs72 (Rs49.2cr); later Era Infra Engineering</t>
        </is>
      </c>
      <c r="AB2170" s="18" t="inlineStr">
        <is>
          <t>http://www.cmlinks.com/pub/dp/dp4926.pdf</t>
        </is>
      </c>
    </row>
    <row r="2171" ht="15" customHeight="1" s="12">
      <c r="A2171" s="14" t="n">
        <v>2170</v>
      </c>
      <c r="B2171" s="16" t="n">
        <v>38408</v>
      </c>
      <c r="C2171" s="15" t="n">
        <v>2005</v>
      </c>
      <c r="D2171" s="15" t="inlineStr">
        <is>
          <t>India Infoline Limited</t>
        </is>
      </c>
      <c r="E2171" s="15" t="inlineStr">
        <is>
          <t>DRHP</t>
        </is>
      </c>
      <c r="F2171" s="15" t="inlineStr">
        <is>
          <t>India Infoline Limited-PDF</t>
        </is>
      </c>
      <c r="G2171" s="15" t="inlineStr">
        <is>
          <t>No launched IPO found</t>
        </is>
      </c>
      <c r="H2171" s="15" t="n"/>
      <c r="I2171" s="16" t="n"/>
      <c r="J2171" s="16" t="n"/>
      <c r="K2171" s="16" t="n"/>
      <c r="L2171" s="17" t="n"/>
      <c r="M2171" s="17" t="n"/>
      <c r="N2171" s="17" t="n"/>
      <c r="O2171" s="15" t="n"/>
      <c r="P2171" s="15" t="n"/>
      <c r="Q2171" s="18" t="inlineStr">
        <is>
          <t>https://www.sebi.gov.in/sebi_data/attachdocs/1292820809409.pdf</t>
        </is>
      </c>
      <c r="R2171" s="18" t="inlineStr">
        <is>
          <t>https://www.sebi.gov.in/filings/public-issues/feb-2005/india-infoline-limited-pdf_11506.html</t>
        </is>
      </c>
      <c r="S2171" s="15" t="n"/>
      <c r="T2171" s="15" t="n"/>
      <c r="U2171" s="15" t="n"/>
      <c r="V2171" s="15" t="n"/>
      <c r="W2171" s="19" t="n">
        <v>38463</v>
      </c>
      <c r="X2171" s="19" t="n">
        <v>38469</v>
      </c>
      <c r="Y2171" s="19" t="n"/>
      <c r="Z2171" s="20" t="inlineStr">
        <is>
          <t>Issue opened</t>
        </is>
      </c>
      <c r="AA2171" s="15" t="inlineStr">
        <is>
          <t>Matched on chittorgarh.com</t>
        </is>
      </c>
      <c r="AB2171" s="18" t="inlineStr">
        <is>
          <t>https://www.chittorgarh.com/ipo/india-infoline-ipo/3023/</t>
        </is>
      </c>
    </row>
    <row r="2172" ht="15" customHeight="1" s="12">
      <c r="A2172" s="14" t="n">
        <v>2171</v>
      </c>
      <c r="B2172" s="16" t="n">
        <v>38407</v>
      </c>
      <c r="C2172" s="15" t="n">
        <v>2005</v>
      </c>
      <c r="D2172" s="15" t="inlineStr">
        <is>
          <t>Alps Industries Limited</t>
        </is>
      </c>
      <c r="E2172" s="15" t="inlineStr">
        <is>
          <t>DRHP</t>
        </is>
      </c>
      <c r="F2172" s="15" t="inlineStr">
        <is>
          <t>Alps Industries Limited - PDF</t>
        </is>
      </c>
      <c r="G2172" s="15" t="inlineStr">
        <is>
          <t>No launched IPO found</t>
        </is>
      </c>
      <c r="H2172" s="15" t="n"/>
      <c r="I2172" s="16" t="n"/>
      <c r="J2172" s="16" t="n"/>
      <c r="K2172" s="16" t="n"/>
      <c r="L2172" s="17" t="n"/>
      <c r="M2172" s="17" t="n"/>
      <c r="N2172" s="17" t="n"/>
      <c r="O2172" s="15" t="n"/>
      <c r="P2172" s="15" t="n"/>
      <c r="Q2172" s="18" t="inlineStr">
        <is>
          <t>https://www.sebi.gov.in/sebi_data/attachdocs/1292820511226.pdf</t>
        </is>
      </c>
      <c r="R2172" s="18" t="inlineStr">
        <is>
          <t>https://www.sebi.gov.in/filings/public-issues/feb-2005/alps-industries-limited-pdf_11505.html</t>
        </is>
      </c>
      <c r="S2172" s="15" t="n"/>
      <c r="T2172" s="15" t="n"/>
      <c r="U2172" s="15" t="n"/>
      <c r="V2172" s="15" t="n"/>
      <c r="W2172" s="19" t="n">
        <v>38615</v>
      </c>
      <c r="X2172" s="19" t="n">
        <v>38618</v>
      </c>
      <c r="Y2172" s="19" t="n">
        <v>38645</v>
      </c>
      <c r="Z2172" s="20" t="inlineStr">
        <is>
          <t>Issue opened</t>
        </is>
      </c>
      <c r="AA2172" s="15" t="inlineStr">
        <is>
          <t>Business Standard IPO page</t>
        </is>
      </c>
      <c r="AB2172" s="18" t="inlineStr">
        <is>
          <t>https://www.business-standard.com/markets/ipo/alps-industries-ltd-ipo-5135</t>
        </is>
      </c>
    </row>
    <row r="2173" ht="15" customHeight="1" s="12">
      <c r="A2173" s="14" t="n">
        <v>2172</v>
      </c>
      <c r="B2173" s="16" t="n">
        <v>38400</v>
      </c>
      <c r="C2173" s="15" t="n">
        <v>2005</v>
      </c>
      <c r="D2173" s="15" t="inlineStr">
        <is>
          <t>Allahabad Bank</t>
        </is>
      </c>
      <c r="E2173" s="15" t="inlineStr">
        <is>
          <t>DRHP</t>
        </is>
      </c>
      <c r="F2173" s="15" t="inlineStr">
        <is>
          <t>Allahabad Bank</t>
        </is>
      </c>
      <c r="G2173" s="15" t="inlineStr">
        <is>
          <t>No launched IPO found</t>
        </is>
      </c>
      <c r="H2173" s="15" t="n"/>
      <c r="I2173" s="16" t="n"/>
      <c r="J2173" s="16" t="n"/>
      <c r="K2173" s="16" t="n"/>
      <c r="L2173" s="17" t="n"/>
      <c r="M2173" s="17" t="n"/>
      <c r="N2173" s="17" t="n"/>
      <c r="O2173" s="15" t="n"/>
      <c r="P2173" s="15" t="n"/>
      <c r="Q2173" s="18" t="inlineStr">
        <is>
          <t>https://www.sebi.gov.in/sebi_data/attachdocs/1292820329626.pdf</t>
        </is>
      </c>
      <c r="R2173" s="18" t="inlineStr">
        <is>
          <t>https://www.sebi.gov.in/filings/public-issues/feb-2005/allahabad-bank_11504.html</t>
        </is>
      </c>
      <c r="S2173" s="15" t="n"/>
      <c r="T2173" s="15" t="n"/>
      <c r="U2173" s="15" t="n"/>
      <c r="V2173" s="15" t="n"/>
      <c r="W2173" s="19" t="n">
        <v>38448</v>
      </c>
      <c r="X2173" s="19" t="n">
        <v>38454</v>
      </c>
      <c r="Y2173" s="19" t="n">
        <v>38470</v>
      </c>
      <c r="Z2173" s="20" t="inlineStr">
        <is>
          <t>Issue opened</t>
        </is>
      </c>
      <c r="AA2173" s="15" t="inlineStr">
        <is>
          <t>Business Standard IPO page</t>
        </is>
      </c>
      <c r="AB2173" s="18" t="inlineStr">
        <is>
          <t>https://www.business-standard.com/markets/ipo/allahabad-bank-merged-ipo-5675</t>
        </is>
      </c>
    </row>
    <row r="2174" ht="15" customHeight="1" s="12">
      <c r="A2174" s="14" t="n">
        <v>2173</v>
      </c>
      <c r="B2174" s="16" t="n">
        <v>38400</v>
      </c>
      <c r="C2174" s="15" t="n">
        <v>2005</v>
      </c>
      <c r="D2174" s="15" t="inlineStr">
        <is>
          <t>Alps Industries Ltd</t>
        </is>
      </c>
      <c r="E2174" s="15" t="inlineStr">
        <is>
          <t>DRHP</t>
        </is>
      </c>
      <c r="F2174" s="15" t="inlineStr">
        <is>
          <t>Alps Industries Ltd</t>
        </is>
      </c>
      <c r="G2174" s="15" t="inlineStr">
        <is>
          <t>No launched IPO found</t>
        </is>
      </c>
      <c r="H2174" s="15" t="n"/>
      <c r="I2174" s="16" t="n"/>
      <c r="J2174" s="16" t="n"/>
      <c r="K2174" s="16" t="n"/>
      <c r="L2174" s="17" t="n"/>
      <c r="M2174" s="17" t="n"/>
      <c r="N2174" s="17" t="n"/>
      <c r="O2174" s="15" t="n"/>
      <c r="P2174" s="15" t="n"/>
      <c r="Q2174" s="18" t="inlineStr">
        <is>
          <t>https://www.sebi.gov.in/sebi_data/attachdocs/1292820198339.pdf</t>
        </is>
      </c>
      <c r="R2174" s="18" t="inlineStr">
        <is>
          <t>https://www.sebi.gov.in/filings/public-issues/feb-2005/alps-industries-ltd_11503.html</t>
        </is>
      </c>
      <c r="S2174" s="15" t="n"/>
      <c r="T2174" s="15" t="n"/>
      <c r="U2174" s="15" t="n"/>
      <c r="V2174" s="15" t="n"/>
      <c r="W2174" s="19" t="n">
        <v>38615</v>
      </c>
      <c r="X2174" s="19" t="n">
        <v>38618</v>
      </c>
      <c r="Y2174" s="19" t="n">
        <v>38645</v>
      </c>
      <c r="Z2174" s="20" t="inlineStr">
        <is>
          <t>Issue opened</t>
        </is>
      </c>
      <c r="AA2174" s="15" t="inlineStr">
        <is>
          <t>Business Standard IPO page</t>
        </is>
      </c>
      <c r="AB2174" s="18" t="inlineStr">
        <is>
          <t>https://www.business-standard.com/markets/ipo/alps-industries-ltd-ipo-5135</t>
        </is>
      </c>
    </row>
    <row r="2175" ht="15" customHeight="1" s="12">
      <c r="A2175" s="14" t="n">
        <v>2174</v>
      </c>
      <c r="B2175" s="16" t="n">
        <v>38398</v>
      </c>
      <c r="C2175" s="15" t="n">
        <v>2005</v>
      </c>
      <c r="D2175" s="15" t="inlineStr">
        <is>
          <t>Southern Iron &amp; Steel Co. Limited</t>
        </is>
      </c>
      <c r="E2175" s="15" t="inlineStr">
        <is>
          <t>DRHP</t>
        </is>
      </c>
      <c r="F2175" s="15" t="inlineStr">
        <is>
          <t>Southern Iron &amp; Steel Co. Limited</t>
        </is>
      </c>
      <c r="G2175" s="15" t="inlineStr">
        <is>
          <t>No launched IPO found</t>
        </is>
      </c>
      <c r="H2175" s="15" t="n"/>
      <c r="I2175" s="16" t="n"/>
      <c r="J2175" s="16" t="n"/>
      <c r="K2175" s="16" t="n"/>
      <c r="L2175" s="17" t="n"/>
      <c r="M2175" s="17" t="n"/>
      <c r="N2175" s="17" t="n"/>
      <c r="O2175" s="15" t="n"/>
      <c r="P2175" s="15" t="n"/>
      <c r="Q2175" s="18" t="inlineStr">
        <is>
          <t>https://www.sebi.gov.in/sebi_data/attachdocs/1292820126112.pdf</t>
        </is>
      </c>
      <c r="R2175" s="18" t="inlineStr">
        <is>
          <t>https://www.sebi.gov.in/filings/public-issues/feb-2005/southern-iron-and-steel-co-limited_11502.html</t>
        </is>
      </c>
      <c r="S2175" s="15" t="n"/>
      <c r="T2175" s="15" t="n"/>
      <c r="U2175" s="15" t="n"/>
      <c r="V2175" s="15" t="n"/>
      <c r="W2175" s="16" t="n"/>
      <c r="X2175" s="16" t="n"/>
      <c r="Y2175" s="16" t="n"/>
      <c r="Z2175" s="15" t="inlineStr">
        <is>
          <t>No issue found</t>
        </is>
      </c>
      <c r="AA2175" s="15" t="inlineStr">
        <is>
          <t>No 2005 public issue details found; company already listed.</t>
        </is>
      </c>
      <c r="AB2175" s="15" t="n"/>
    </row>
    <row r="2176" ht="15" customHeight="1" s="12">
      <c r="A2176" s="14" t="n">
        <v>2175</v>
      </c>
      <c r="B2176" s="16" t="n">
        <v>38394</v>
      </c>
      <c r="C2176" s="15" t="n">
        <v>2005</v>
      </c>
      <c r="D2176" s="15" t="inlineStr">
        <is>
          <t>3i Infotech Limited</t>
        </is>
      </c>
      <c r="E2176" s="15" t="inlineStr">
        <is>
          <t>DRHP</t>
        </is>
      </c>
      <c r="F2176" s="15" t="inlineStr">
        <is>
          <t>3i Infotech Limited</t>
        </is>
      </c>
      <c r="G2176" s="15" t="inlineStr">
        <is>
          <t>No launched IPO found</t>
        </is>
      </c>
      <c r="H2176" s="15" t="n"/>
      <c r="I2176" s="16" t="n"/>
      <c r="J2176" s="16" t="n"/>
      <c r="K2176" s="16" t="n"/>
      <c r="L2176" s="17" t="n"/>
      <c r="M2176" s="17" t="n"/>
      <c r="N2176" s="17" t="n"/>
      <c r="O2176" s="15" t="n"/>
      <c r="P2176" s="15" t="n"/>
      <c r="Q2176" s="18" t="inlineStr">
        <is>
          <t>https://www.sebi.gov.in/sebi_data/attachdocs/1292819945096.pdf</t>
        </is>
      </c>
      <c r="R2176" s="18" t="inlineStr">
        <is>
          <t>https://www.sebi.gov.in/filings/public-issues/feb-2005/3i-infotech-limited_11501.html</t>
        </is>
      </c>
      <c r="S2176" s="15" t="n"/>
      <c r="T2176" s="15" t="n"/>
      <c r="U2176" s="15" t="n"/>
      <c r="V2176" s="15" t="n"/>
      <c r="W2176" s="19" t="n">
        <v>38441</v>
      </c>
      <c r="X2176" s="19" t="n">
        <v>38446</v>
      </c>
      <c r="Y2176" s="19" t="n"/>
      <c r="Z2176" s="20" t="inlineStr">
        <is>
          <t>Issue opened</t>
        </is>
      </c>
      <c r="AA2176" s="15" t="inlineStr">
        <is>
          <t>Matched on chittorgarh.com</t>
        </is>
      </c>
      <c r="AB2176" s="18" t="inlineStr">
        <is>
          <t>https://www.chittorgarh.com/ipo/3i-infotech-ipo/3018/</t>
        </is>
      </c>
    </row>
    <row r="2177" ht="15" customHeight="1" s="12">
      <c r="A2177" s="14" t="n">
        <v>2176</v>
      </c>
      <c r="B2177" s="16" t="n">
        <v>38394</v>
      </c>
      <c r="C2177" s="15" t="n">
        <v>2005</v>
      </c>
      <c r="D2177" s="15" t="inlineStr">
        <is>
          <t>AllSec Technologies Limited</t>
        </is>
      </c>
      <c r="E2177" s="15" t="inlineStr">
        <is>
          <t>DRHP</t>
        </is>
      </c>
      <c r="F2177" s="15" t="inlineStr">
        <is>
          <t>AllSec Technologies Limited - PDF</t>
        </is>
      </c>
      <c r="G2177" s="15" t="inlineStr">
        <is>
          <t>No launched IPO found</t>
        </is>
      </c>
      <c r="H2177" s="15" t="n"/>
      <c r="I2177" s="16" t="n"/>
      <c r="J2177" s="16" t="n"/>
      <c r="K2177" s="16" t="n"/>
      <c r="L2177" s="17" t="n"/>
      <c r="M2177" s="17" t="n"/>
      <c r="N2177" s="17" t="n"/>
      <c r="O2177" s="15" t="n"/>
      <c r="P2177" s="15" t="n"/>
      <c r="Q2177" s="18" t="inlineStr">
        <is>
          <t>https://www.sebi.gov.in/sebi_data/attachdocs/1292819603104.pdf</t>
        </is>
      </c>
      <c r="R2177" s="18" t="inlineStr">
        <is>
          <t>https://www.sebi.gov.in/filings/public-issues/feb-2005/allsec-technologies-limited-pdf_11500.html</t>
        </is>
      </c>
      <c r="S2177" s="15" t="n"/>
      <c r="T2177" s="15" t="n"/>
      <c r="U2177" s="15" t="n"/>
      <c r="V2177" s="15" t="n"/>
      <c r="W2177" s="19" t="n">
        <v>38455</v>
      </c>
      <c r="X2177" s="19" t="n">
        <v>38462</v>
      </c>
      <c r="Y2177" s="19" t="n"/>
      <c r="Z2177" s="20" t="inlineStr">
        <is>
          <t>Issue opened</t>
        </is>
      </c>
      <c r="AA2177" s="15" t="inlineStr">
        <is>
          <t>Matched on chittorgarh.com</t>
        </is>
      </c>
      <c r="AB2177" s="18" t="inlineStr">
        <is>
          <t>https://www.chittorgarh.com/ipo/allsec-technologies-ipo/3021/</t>
        </is>
      </c>
    </row>
    <row r="2178" ht="15" customHeight="1" s="12">
      <c r="A2178" s="14" t="n">
        <v>2177</v>
      </c>
      <c r="B2178" s="16" t="n">
        <v>38393</v>
      </c>
      <c r="C2178" s="15" t="n">
        <v>2005</v>
      </c>
      <c r="D2178" s="15" t="inlineStr">
        <is>
          <t>Gokaldas Exports Ltd</t>
        </is>
      </c>
      <c r="E2178" s="15" t="inlineStr">
        <is>
          <t>DRHP</t>
        </is>
      </c>
      <c r="F2178" s="15" t="inlineStr">
        <is>
          <t>Gokaldas Exports Ltd</t>
        </is>
      </c>
      <c r="G2178" s="15" t="inlineStr">
        <is>
          <t>No launched IPO found</t>
        </is>
      </c>
      <c r="H2178" s="15" t="n"/>
      <c r="I2178" s="16" t="n"/>
      <c r="J2178" s="16" t="n"/>
      <c r="K2178" s="16" t="n"/>
      <c r="L2178" s="17" t="n"/>
      <c r="M2178" s="17" t="n"/>
      <c r="N2178" s="17" t="n"/>
      <c r="O2178" s="15" t="n"/>
      <c r="P2178" s="15" t="n"/>
      <c r="Q2178" s="18" t="inlineStr">
        <is>
          <t>https://www.sebi.gov.in/sebi_data/attachdocs/1292819152783.pdf</t>
        </is>
      </c>
      <c r="R2178" s="18" t="inlineStr">
        <is>
          <t>https://www.sebi.gov.in/filings/public-issues/feb-2005/gokaldas-exports-ltd_11498.html</t>
        </is>
      </c>
      <c r="S2178" s="15" t="n"/>
      <c r="T2178" s="15" t="n"/>
      <c r="U2178" s="15" t="n"/>
      <c r="V2178" s="15" t="n"/>
      <c r="W2178" s="19" t="n">
        <v>38441</v>
      </c>
      <c r="X2178" s="19" t="n">
        <v>38448</v>
      </c>
      <c r="Y2178" s="19" t="n"/>
      <c r="Z2178" s="20" t="inlineStr">
        <is>
          <t>Issue opened</t>
        </is>
      </c>
      <c r="AA2178" s="15" t="inlineStr">
        <is>
          <t>Matched on chittorgarh.com</t>
        </is>
      </c>
      <c r="AB2178" s="18" t="inlineStr">
        <is>
          <t>https://www.chittorgarh.com/ipo/gokaldas-exports-ipo/3017/</t>
        </is>
      </c>
    </row>
    <row r="2179" ht="15" customHeight="1" s="12">
      <c r="A2179" s="14" t="n">
        <v>2178</v>
      </c>
      <c r="B2179" s="16" t="n">
        <v>38393</v>
      </c>
      <c r="C2179" s="15" t="n">
        <v>2005</v>
      </c>
      <c r="D2179" s="15" t="inlineStr">
        <is>
          <t>Jaiprakash Hydro Power Ltd</t>
        </is>
      </c>
      <c r="E2179" s="15" t="inlineStr">
        <is>
          <t>DRHP</t>
        </is>
      </c>
      <c r="F2179" s="15" t="inlineStr">
        <is>
          <t>Jaiprakash Hydro Power Ltd</t>
        </is>
      </c>
      <c r="G2179" s="15" t="inlineStr">
        <is>
          <t>No launched IPO found</t>
        </is>
      </c>
      <c r="H2179" s="15" t="n"/>
      <c r="I2179" s="16" t="n"/>
      <c r="J2179" s="16" t="n"/>
      <c r="K2179" s="16" t="n"/>
      <c r="L2179" s="17" t="n"/>
      <c r="M2179" s="17" t="n"/>
      <c r="N2179" s="17" t="n"/>
      <c r="O2179" s="15" t="n"/>
      <c r="P2179" s="15" t="n"/>
      <c r="Q2179" s="18" t="inlineStr">
        <is>
          <t>https://www.sebi.gov.in/sebi_data/attachdocs/1292819429819.pdf</t>
        </is>
      </c>
      <c r="R2179" s="18" t="inlineStr">
        <is>
          <t>https://www.sebi.gov.in/filings/public-issues/feb-2005/jaiprakash-hydro-power-ltd_11499.html</t>
        </is>
      </c>
      <c r="S2179" s="15" t="n"/>
      <c r="T2179" s="15" t="n"/>
      <c r="U2179" s="15" t="n"/>
      <c r="V2179" s="15" t="n"/>
      <c r="W2179" s="19" t="n">
        <v>38433</v>
      </c>
      <c r="X2179" s="19" t="n">
        <v>38440</v>
      </c>
      <c r="Y2179" s="19" t="n"/>
      <c r="Z2179" s="20" t="inlineStr">
        <is>
          <t>Issue opened</t>
        </is>
      </c>
      <c r="AA2179" s="15" t="inlineStr">
        <is>
          <t>Matched on chittorgarh.com</t>
        </is>
      </c>
      <c r="AB2179" s="18" t="inlineStr">
        <is>
          <t>https://www.chittorgarh.com/ipo/jaiprakash-hydro-power-ipo/3015/</t>
        </is>
      </c>
    </row>
    <row r="2180" ht="15" customHeight="1" s="12">
      <c r="A2180" s="14" t="n">
        <v>2179</v>
      </c>
      <c r="B2180" s="16" t="n">
        <v>38391</v>
      </c>
      <c r="C2180" s="15" t="n">
        <v>2005</v>
      </c>
      <c r="D2180" s="15" t="inlineStr">
        <is>
          <t>Uniply Industries Limited</t>
        </is>
      </c>
      <c r="E2180" s="15" t="inlineStr">
        <is>
          <t>DRHP</t>
        </is>
      </c>
      <c r="F2180" s="15" t="inlineStr">
        <is>
          <t>Uniply Industries Limited</t>
        </is>
      </c>
      <c r="G2180" s="15" t="inlineStr">
        <is>
          <t>No launched IPO found</t>
        </is>
      </c>
      <c r="H2180" s="15" t="n"/>
      <c r="I2180" s="16" t="n"/>
      <c r="J2180" s="16" t="n"/>
      <c r="K2180" s="16" t="n"/>
      <c r="L2180" s="17" t="n"/>
      <c r="M2180" s="17" t="n"/>
      <c r="N2180" s="17" t="n"/>
      <c r="O2180" s="15" t="n"/>
      <c r="P2180" s="15" t="n"/>
      <c r="Q2180" s="18" t="inlineStr">
        <is>
          <t>https://www.sebi.gov.in/sebi_data/attachdocs/1292819060030.pdf</t>
        </is>
      </c>
      <c r="R2180" s="18" t="inlineStr">
        <is>
          <t>https://www.sebi.gov.in/filings/public-issues/feb-2005/uniply-industries-limited_11497.html</t>
        </is>
      </c>
      <c r="S2180" s="15" t="n"/>
      <c r="T2180" s="15" t="n"/>
      <c r="U2180" s="15" t="n"/>
      <c r="V2180" s="15" t="n"/>
      <c r="W2180" s="19" t="n">
        <v>38512</v>
      </c>
      <c r="X2180" s="19" t="n">
        <v>38519</v>
      </c>
      <c r="Y2180" s="19" t="n"/>
      <c r="Z2180" s="20" t="inlineStr">
        <is>
          <t>Issue opened</t>
        </is>
      </c>
      <c r="AA2180" s="15" t="inlineStr">
        <is>
          <t>Matched on chittorgarh.com</t>
        </is>
      </c>
      <c r="AB2180" s="18" t="inlineStr">
        <is>
          <t>https://www.chittorgarh.com/ipo/uniply-industries-ipo/3030/</t>
        </is>
      </c>
    </row>
    <row r="2181" ht="15" customHeight="1" s="12">
      <c r="A2181" s="14" t="n">
        <v>2180</v>
      </c>
      <c r="B2181" s="16" t="n">
        <v>38390</v>
      </c>
      <c r="C2181" s="15" t="n">
        <v>2005</v>
      </c>
      <c r="D2181" s="15" t="inlineStr">
        <is>
          <t>Shri Ramrupai Balaji Steels Limited</t>
        </is>
      </c>
      <c r="E2181" s="15" t="inlineStr">
        <is>
          <t>DRHP</t>
        </is>
      </c>
      <c r="F2181" s="15" t="inlineStr">
        <is>
          <t>Shri Ramrupai Balaji Steels Limited</t>
        </is>
      </c>
      <c r="G2181" s="15" t="inlineStr">
        <is>
          <t>No launched IPO found</t>
        </is>
      </c>
      <c r="H2181" s="15" t="n"/>
      <c r="I2181" s="16" t="n"/>
      <c r="J2181" s="16" t="n"/>
      <c r="K2181" s="16" t="n"/>
      <c r="L2181" s="17" t="n"/>
      <c r="M2181" s="17" t="n"/>
      <c r="N2181" s="17" t="n"/>
      <c r="O2181" s="15" t="n"/>
      <c r="P2181" s="15" t="n"/>
      <c r="Q2181" s="18" t="inlineStr">
        <is>
          <t>https://www.sebi.gov.in/sebi_data/attachdocs/1292818962364.pdf</t>
        </is>
      </c>
      <c r="R2181" s="18" t="inlineStr">
        <is>
          <t>https://www.sebi.gov.in/filings/public-issues/feb-2005/shri-ramrupai-balaji-steels-limited_11496.html</t>
        </is>
      </c>
      <c r="S2181" s="15" t="n"/>
      <c r="T2181" s="15" t="n"/>
      <c r="U2181" s="15" t="n"/>
      <c r="V2181" s="15" t="n"/>
      <c r="W2181" s="19" t="n">
        <v>38541</v>
      </c>
      <c r="X2181" s="19" t="n">
        <v>38547</v>
      </c>
      <c r="Y2181" s="19" t="n"/>
      <c r="Z2181" s="20" t="inlineStr">
        <is>
          <t>Issue opened</t>
        </is>
      </c>
      <c r="AA2181" s="15" t="inlineStr">
        <is>
          <t>Matched on chittorgarh.com</t>
        </is>
      </c>
      <c r="AB2181" s="18" t="inlineStr">
        <is>
          <t>https://www.chittorgarh.com/ipo/shri-ramrupai-balaji-steels-ipo/3041/</t>
        </is>
      </c>
    </row>
    <row r="2182" ht="15" customHeight="1" s="12">
      <c r="A2182" s="14" t="n">
        <v>2181</v>
      </c>
      <c r="B2182" s="16" t="n">
        <v>38386</v>
      </c>
      <c r="C2182" s="15" t="n">
        <v>2005</v>
      </c>
      <c r="D2182" s="15" t="inlineStr">
        <is>
          <t>IVRCL Infrastructure and Projects Ltd</t>
        </is>
      </c>
      <c r="E2182" s="15" t="inlineStr">
        <is>
          <t>DRHP</t>
        </is>
      </c>
      <c r="F2182" s="15" t="inlineStr">
        <is>
          <t>IVRCL Infrastructure and Projects Ltd</t>
        </is>
      </c>
      <c r="G2182" s="15" t="inlineStr">
        <is>
          <t>No launched IPO found</t>
        </is>
      </c>
      <c r="H2182" s="15" t="n"/>
      <c r="I2182" s="16" t="n"/>
      <c r="J2182" s="16" t="n"/>
      <c r="K2182" s="16" t="n"/>
      <c r="L2182" s="17" t="n"/>
      <c r="M2182" s="17" t="n"/>
      <c r="N2182" s="17" t="n"/>
      <c r="O2182" s="15" t="n"/>
      <c r="P2182" s="15" t="n"/>
      <c r="Q2182" s="18" t="inlineStr">
        <is>
          <t>https://www.sebi.gov.in/sebi_data/attachdocs/1292818541592.pdf</t>
        </is>
      </c>
      <c r="R2182" s="18" t="inlineStr">
        <is>
          <t>https://www.sebi.gov.in/filings/public-issues/feb-2005/ivrcl-infrastructure-and-projects-ltd_11495.html</t>
        </is>
      </c>
      <c r="S2182" s="15" t="n"/>
      <c r="T2182" s="15" t="n"/>
      <c r="U2182" s="15" t="n"/>
      <c r="V2182" s="15" t="n"/>
      <c r="W2182" s="19" t="n">
        <v>38429</v>
      </c>
      <c r="X2182" s="19" t="n"/>
      <c r="Y2182" s="19" t="n"/>
      <c r="Z2182" s="20" t="inlineStr">
        <is>
          <t>Issue opened</t>
        </is>
      </c>
      <c r="AA2182" s="15" t="inlineStr">
        <is>
          <t>FPO: Open date from search summary; close/listing not found; issue type inferred (already listed).</t>
        </is>
      </c>
      <c r="AB2182" s="18" t="inlineStr">
        <is>
          <t>https://www.indiainfoline.com/company/ivrcl-ltd/summary/5954</t>
        </is>
      </c>
    </row>
    <row r="2183" ht="15" customHeight="1" s="12">
      <c r="A2183" s="14" t="n">
        <v>2182</v>
      </c>
      <c r="B2183" s="16" t="n">
        <v>38383</v>
      </c>
      <c r="C2183" s="15" t="n">
        <v>2005</v>
      </c>
      <c r="D2183" s="15" t="inlineStr">
        <is>
          <t>Paradyne Infotech Limited</t>
        </is>
      </c>
      <c r="E2183" s="15" t="inlineStr">
        <is>
          <t>DRHP</t>
        </is>
      </c>
      <c r="F2183" s="15" t="inlineStr">
        <is>
          <t>Paradyne Infotech Limited-PDF</t>
        </is>
      </c>
      <c r="G2183" s="15" t="inlineStr">
        <is>
          <t>No launched IPO found</t>
        </is>
      </c>
      <c r="H2183" s="15" t="n"/>
      <c r="I2183" s="16" t="n"/>
      <c r="J2183" s="16" t="n"/>
      <c r="K2183" s="16" t="n"/>
      <c r="L2183" s="17" t="n"/>
      <c r="M2183" s="17" t="n"/>
      <c r="N2183" s="17" t="n"/>
      <c r="O2183" s="15" t="n"/>
      <c r="P2183" s="15" t="n"/>
      <c r="Q2183" s="18" t="inlineStr">
        <is>
          <t>https://www.sebi.gov.in/sebi_data/attachdocs/1292585905359.pdf</t>
        </is>
      </c>
      <c r="R2183" s="18" t="inlineStr">
        <is>
          <t>https://www.sebi.gov.in/filings/public-issues/jan-2005/paradyne-infotech-limited-pdf_11465.html</t>
        </is>
      </c>
      <c r="S2183" s="15" t="n"/>
      <c r="T2183" s="15" t="n"/>
      <c r="U2183" s="15" t="n"/>
      <c r="V2183" s="15" t="n"/>
      <c r="W2183" s="19" t="n">
        <v>38625</v>
      </c>
      <c r="X2183" s="19" t="n">
        <v>38632</v>
      </c>
      <c r="Y2183" s="19" t="n"/>
      <c r="Z2183" s="20" t="inlineStr">
        <is>
          <t>Issue opened</t>
        </is>
      </c>
      <c r="AA2183" s="15" t="inlineStr">
        <is>
          <t>Matched on chittorgarh.com</t>
        </is>
      </c>
      <c r="AB2183" s="18" t="inlineStr">
        <is>
          <t>https://www.chittorgarh.com/ipo/paradyne-infotech-ipo/3053/</t>
        </is>
      </c>
    </row>
    <row r="2184" ht="15" customHeight="1" s="12">
      <c r="A2184" s="14" t="n">
        <v>2183</v>
      </c>
      <c r="B2184" s="16" t="n">
        <v>38371</v>
      </c>
      <c r="C2184" s="15" t="n">
        <v>2005</v>
      </c>
      <c r="D2184" s="15" t="inlineStr">
        <is>
          <t>Shringar Cinemas Limited</t>
        </is>
      </c>
      <c r="E2184" s="15" t="inlineStr">
        <is>
          <t>DRHP</t>
        </is>
      </c>
      <c r="F2184" s="15" t="inlineStr">
        <is>
          <t>Shringar Cinemas Limited</t>
        </is>
      </c>
      <c r="G2184" s="15" t="inlineStr">
        <is>
          <t>No launched IPO found</t>
        </is>
      </c>
      <c r="H2184" s="15" t="n"/>
      <c r="I2184" s="16" t="n"/>
      <c r="J2184" s="16" t="n"/>
      <c r="K2184" s="16" t="n"/>
      <c r="L2184" s="17" t="n"/>
      <c r="M2184" s="17" t="n"/>
      <c r="N2184" s="17" t="n"/>
      <c r="O2184" s="15" t="n"/>
      <c r="P2184" s="15" t="n"/>
      <c r="Q2184" s="18" t="inlineStr">
        <is>
          <t>https://www.sebi.gov.in/sebi_data/attachdocs/1292585823104.pdf</t>
        </is>
      </c>
      <c r="R2184" s="18" t="inlineStr">
        <is>
          <t>https://www.sebi.gov.in/filings/public-issues/jan-2005/shringar-cinemas-limited_11464.html</t>
        </is>
      </c>
      <c r="S2184" s="15" t="n"/>
      <c r="T2184" s="15" t="n"/>
      <c r="U2184" s="15" t="n"/>
      <c r="V2184" s="15" t="n"/>
      <c r="W2184" s="19" t="n">
        <v>38447</v>
      </c>
      <c r="X2184" s="19" t="n">
        <v>38453</v>
      </c>
      <c r="Y2184" s="19" t="n"/>
      <c r="Z2184" s="20" t="inlineStr">
        <is>
          <t>Issue opened</t>
        </is>
      </c>
      <c r="AA2184" s="15" t="inlineStr">
        <is>
          <t>Matched on chittorgarh.com</t>
        </is>
      </c>
      <c r="AB2184" s="18" t="inlineStr">
        <is>
          <t>https://www.chittorgarh.com/ipo/shringar-cinemas-ipo/3019/</t>
        </is>
      </c>
    </row>
    <row r="2185" ht="15" customHeight="1" s="12">
      <c r="A2185" s="14" t="n">
        <v>2184</v>
      </c>
      <c r="B2185" s="16" t="n">
        <v>38369</v>
      </c>
      <c r="C2185" s="15" t="n">
        <v>2005</v>
      </c>
      <c r="D2185" s="15" t="inlineStr">
        <is>
          <t>Punjab National Bank</t>
        </is>
      </c>
      <c r="E2185" s="15" t="inlineStr">
        <is>
          <t>DRHP</t>
        </is>
      </c>
      <c r="F2185" s="15" t="inlineStr">
        <is>
          <t>Punjab National Bank - PDF</t>
        </is>
      </c>
      <c r="G2185" s="15" t="inlineStr">
        <is>
          <t>No launched IPO found</t>
        </is>
      </c>
      <c r="H2185" s="15" t="n"/>
      <c r="I2185" s="16" t="n"/>
      <c r="J2185" s="16" t="n"/>
      <c r="K2185" s="16" t="n"/>
      <c r="L2185" s="17" t="n"/>
      <c r="M2185" s="17" t="n"/>
      <c r="N2185" s="17" t="n"/>
      <c r="O2185" s="15" t="n"/>
      <c r="P2185" s="15" t="n"/>
      <c r="Q2185" s="18" t="inlineStr">
        <is>
          <t>https://www.sebi.gov.in/sebi_data/attachdocs/1292585729311.pdf</t>
        </is>
      </c>
      <c r="R2185" s="18" t="inlineStr">
        <is>
          <t>https://www.sebi.gov.in/filings/public-issues/jan-2005/punjab-national-bank-pdf_11463.html</t>
        </is>
      </c>
      <c r="S2185" s="15" t="n"/>
      <c r="T2185" s="15" t="n"/>
      <c r="U2185" s="15" t="n"/>
      <c r="V2185" s="15" t="n"/>
      <c r="W2185" s="19" t="n">
        <v>38418</v>
      </c>
      <c r="X2185" s="19" t="n">
        <v>38422</v>
      </c>
      <c r="Y2185" s="19" t="n">
        <v>38440</v>
      </c>
      <c r="Z2185" s="20" t="inlineStr">
        <is>
          <t>Issue opened</t>
        </is>
      </c>
      <c r="AA2185" s="15" t="inlineStr">
        <is>
          <t>Business Standard IPO page</t>
        </is>
      </c>
      <c r="AB2185" s="18" t="inlineStr">
        <is>
          <t>https://www.business-standard.com/markets/ipo/punjab-national-bank-ipo-7855</t>
        </is>
      </c>
    </row>
    <row r="2186" ht="15" customHeight="1" s="12">
      <c r="A2186" s="14" t="n">
        <v>2185</v>
      </c>
      <c r="B2186" s="16" t="n">
        <v>38363</v>
      </c>
      <c r="C2186" s="15" t="n">
        <v>2005</v>
      </c>
      <c r="D2186" s="15" t="inlineStr">
        <is>
          <t>Shree Ganesh Forgings Limited</t>
        </is>
      </c>
      <c r="E2186" s="15" t="inlineStr">
        <is>
          <t>DRHP</t>
        </is>
      </c>
      <c r="F2186" s="15" t="inlineStr">
        <is>
          <t>Shree Ganesh Forgings Limited</t>
        </is>
      </c>
      <c r="G2186" s="15" t="inlineStr">
        <is>
          <t>No launched IPO found</t>
        </is>
      </c>
      <c r="H2186" s="15" t="n"/>
      <c r="I2186" s="16" t="n"/>
      <c r="J2186" s="16" t="n"/>
      <c r="K2186" s="16" t="n"/>
      <c r="L2186" s="17" t="n"/>
      <c r="M2186" s="17" t="n"/>
      <c r="N2186" s="17" t="n"/>
      <c r="O2186" s="15" t="n"/>
      <c r="P2186" s="15" t="n"/>
      <c r="Q2186" s="18" t="inlineStr">
        <is>
          <t>https://www.sebi.gov.in/sebi_data/attachdocs/1292585658020.pdf</t>
        </is>
      </c>
      <c r="R2186" s="18" t="inlineStr">
        <is>
          <t>https://www.sebi.gov.in/filings/public-issues/jan-2005/shree-ganesh-forgings-limited_11462.html</t>
        </is>
      </c>
      <c r="S2186" s="15" t="n"/>
      <c r="T2186" s="15" t="n"/>
      <c r="U2186" s="15" t="n"/>
      <c r="V2186" s="15" t="n"/>
      <c r="W2186" s="19" t="n">
        <v>38490</v>
      </c>
      <c r="X2186" s="19" t="n">
        <v>38496</v>
      </c>
      <c r="Y2186" s="19" t="n"/>
      <c r="Z2186" s="20" t="inlineStr">
        <is>
          <t>Issue opened</t>
        </is>
      </c>
      <c r="AA2186" s="15" t="inlineStr">
        <is>
          <t>Matched on chittorgarh.com</t>
        </is>
      </c>
      <c r="AB2186" s="18" t="inlineStr">
        <is>
          <t>https://www.chittorgarh.com/ipo/shree-ganesh-forgings-ipo/3028/</t>
        </is>
      </c>
    </row>
    <row r="2187" ht="15" customHeight="1" s="12">
      <c r="A2187" s="14" t="n">
        <v>2186</v>
      </c>
      <c r="B2187" s="16" t="n">
        <v>38359</v>
      </c>
      <c r="C2187" s="15" t="n">
        <v>2005</v>
      </c>
      <c r="D2187" s="15" t="inlineStr">
        <is>
          <t>Jet Airways (India) Ltd</t>
        </is>
      </c>
      <c r="E2187" s="15" t="inlineStr">
        <is>
          <t>DRHP</t>
        </is>
      </c>
      <c r="F2187" s="15" t="inlineStr">
        <is>
          <t>Jet Airways (India) Ltd - PDF</t>
        </is>
      </c>
      <c r="G2187" s="15" t="inlineStr">
        <is>
          <t>No launched IPO found</t>
        </is>
      </c>
      <c r="H2187" s="15" t="n"/>
      <c r="I2187" s="16" t="n"/>
      <c r="J2187" s="16" t="n"/>
      <c r="K2187" s="16" t="n"/>
      <c r="L2187" s="17" t="n"/>
      <c r="M2187" s="17" t="n"/>
      <c r="N2187" s="17" t="n"/>
      <c r="O2187" s="15" t="n"/>
      <c r="P2187" s="15" t="n"/>
      <c r="Q2187" s="18" t="inlineStr">
        <is>
          <t>https://www.sebi.gov.in/sebi_data/attachdocs/1292585594248.pdf</t>
        </is>
      </c>
      <c r="R2187" s="18" t="inlineStr">
        <is>
          <t>https://www.sebi.gov.in/filings/public-issues/jan-2005/jet-airways-india-ltd-pdf_11461.html</t>
        </is>
      </c>
      <c r="S2187" s="15" t="n"/>
      <c r="T2187" s="15" t="n"/>
      <c r="U2187" s="15" t="n"/>
      <c r="V2187" s="15" t="n"/>
      <c r="W2187" s="19" t="n">
        <v>38401</v>
      </c>
      <c r="X2187" s="19" t="n">
        <v>38407</v>
      </c>
      <c r="Y2187" s="19" t="n"/>
      <c r="Z2187" s="20" t="inlineStr">
        <is>
          <t>Issue opened</t>
        </is>
      </c>
      <c r="AA2187" s="15" t="inlineStr">
        <is>
          <t>Matched on chittorgarh.com</t>
        </is>
      </c>
      <c r="AB2187" s="18" t="inlineStr">
        <is>
          <t>https://www.chittorgarh.com/ipo/jet-airways-ipo/3009/</t>
        </is>
      </c>
    </row>
    <row r="2188" ht="15" customHeight="1" s="12">
      <c r="A2188" s="14" t="n">
        <v>2187</v>
      </c>
      <c r="B2188" s="16" t="n">
        <v>38355</v>
      </c>
      <c r="C2188" s="15" t="n">
        <v>2005</v>
      </c>
      <c r="D2188" s="15" t="inlineStr">
        <is>
          <t>Beeyu Overseas Ltd</t>
        </is>
      </c>
      <c r="E2188" s="15" t="inlineStr">
        <is>
          <t>DRHP</t>
        </is>
      </c>
      <c r="F2188" s="15" t="inlineStr">
        <is>
          <t>Beeyu Overseas Ltd - PDF</t>
        </is>
      </c>
      <c r="G2188" s="15" t="inlineStr">
        <is>
          <t>No launched IPO found</t>
        </is>
      </c>
      <c r="H2188" s="15" t="n"/>
      <c r="I2188" s="16" t="n"/>
      <c r="J2188" s="16" t="n"/>
      <c r="K2188" s="16" t="n"/>
      <c r="L2188" s="17" t="n"/>
      <c r="M2188" s="17" t="n"/>
      <c r="N2188" s="17" t="n"/>
      <c r="O2188" s="15" t="n"/>
      <c r="P2188" s="15" t="n"/>
      <c r="Q2188" s="18" t="inlineStr">
        <is>
          <t>https://www.sebi.gov.in/sebi_data/attachdocs/1292585497043.pdf</t>
        </is>
      </c>
      <c r="R2188" s="18" t="inlineStr">
        <is>
          <t>https://www.sebi.gov.in/filings/public-issues/jan-2005/beeyu-overseas-ltd-pdf_11460.html</t>
        </is>
      </c>
      <c r="S2188" s="15" t="n"/>
      <c r="T2188" s="15" t="n"/>
      <c r="U2188" s="15" t="n"/>
      <c r="V2188" s="15" t="n"/>
      <c r="W2188" s="19" t="n">
        <v>38498</v>
      </c>
      <c r="X2188" s="19" t="n">
        <v>38506</v>
      </c>
      <c r="Y2188" s="19" t="n">
        <v>38538</v>
      </c>
      <c r="Z2188" s="20" t="inlineStr">
        <is>
          <t>Issue opened</t>
        </is>
      </c>
      <c r="AA2188" s="15" t="inlineStr">
        <is>
          <t>Business Standard IPO page</t>
        </is>
      </c>
      <c r="AB2188" s="18" t="inlineStr">
        <is>
          <t>https://www.business-standard.com/markets/ipo/beeyu-overseas-ltd-ipo-20888</t>
        </is>
      </c>
    </row>
    <row r="2189" ht="15" customHeight="1" s="12">
      <c r="A2189" s="14" t="n">
        <v>2188</v>
      </c>
      <c r="B2189" s="16" t="n">
        <v>38352</v>
      </c>
      <c r="C2189" s="15" t="n">
        <v>2004</v>
      </c>
      <c r="D2189" s="15" t="inlineStr">
        <is>
          <t>Emami Limited</t>
        </is>
      </c>
      <c r="E2189" s="15" t="inlineStr">
        <is>
          <t>DRHP</t>
        </is>
      </c>
      <c r="F2189" s="15" t="inlineStr">
        <is>
          <t>Emami Limited</t>
        </is>
      </c>
      <c r="G2189" s="15" t="inlineStr">
        <is>
          <t>No launched IPO found</t>
        </is>
      </c>
      <c r="H2189" s="15" t="n"/>
      <c r="I2189" s="16" t="n"/>
      <c r="J2189" s="16" t="n"/>
      <c r="K2189" s="16" t="n"/>
      <c r="L2189" s="17" t="n"/>
      <c r="M2189" s="17" t="n"/>
      <c r="N2189" s="17" t="n"/>
      <c r="O2189" s="15" t="n"/>
      <c r="P2189" s="15" t="n"/>
      <c r="Q2189" s="18" t="inlineStr">
        <is>
          <t>https://www.sebi.gov.in/sebi_data/attachdocs/1293431041396.pdf</t>
        </is>
      </c>
      <c r="R2189" s="18" t="inlineStr">
        <is>
          <t>https://www.sebi.gov.in/filings/public-issues/dec-2004/emami-limited_13483.html</t>
        </is>
      </c>
      <c r="S2189" s="15" t="n"/>
      <c r="T2189" s="15" t="n"/>
      <c r="U2189" s="15" t="n"/>
      <c r="V2189" s="15" t="n"/>
      <c r="W2189" s="19" t="n">
        <v>38415</v>
      </c>
      <c r="X2189" s="19" t="n">
        <v>38421</v>
      </c>
      <c r="Y2189" s="19" t="n">
        <v>38435</v>
      </c>
      <c r="Z2189" s="20" t="inlineStr">
        <is>
          <t>Issue opened</t>
        </is>
      </c>
      <c r="AA2189" s="15" t="inlineStr">
        <is>
          <t>Business Standard IPO page</t>
        </is>
      </c>
      <c r="AB2189" s="18" t="inlineStr">
        <is>
          <t>https://www.business-standard.com/markets/ipo/emami-ltd-ipo-6423</t>
        </is>
      </c>
    </row>
    <row r="2190" ht="15" customHeight="1" s="12">
      <c r="A2190" s="14" t="n">
        <v>2189</v>
      </c>
      <c r="B2190" s="16" t="n">
        <v>38351</v>
      </c>
      <c r="C2190" s="15" t="n">
        <v>2004</v>
      </c>
      <c r="D2190" s="15" t="inlineStr">
        <is>
          <t>FCS Software Solutions Limited</t>
        </is>
      </c>
      <c r="E2190" s="15" t="inlineStr">
        <is>
          <t>DRHP</t>
        </is>
      </c>
      <c r="F2190" s="15" t="inlineStr">
        <is>
          <t>Draft Prospectus-FCS Software Solutions Limited</t>
        </is>
      </c>
      <c r="G2190" s="15" t="inlineStr">
        <is>
          <t>No launched IPO found</t>
        </is>
      </c>
      <c r="H2190" s="15" t="n"/>
      <c r="I2190" s="16" t="n"/>
      <c r="J2190" s="16" t="n"/>
      <c r="K2190" s="16" t="n"/>
      <c r="L2190" s="17" t="n"/>
      <c r="M2190" s="17" t="n"/>
      <c r="N2190" s="17" t="n"/>
      <c r="O2190" s="15" t="n"/>
      <c r="P2190" s="15" t="n"/>
      <c r="Q2190" s="18" t="inlineStr">
        <is>
          <t>https://www.sebi.gov.in/sebi_data/attachdocs/1293430907268.pdf</t>
        </is>
      </c>
      <c r="R2190" s="18" t="inlineStr">
        <is>
          <t>https://www.sebi.gov.in/filings/public-issues/dec-2004/draft-prospectus-fcs-software-solutions-limited_13482.html</t>
        </is>
      </c>
      <c r="S2190" s="15" t="n"/>
      <c r="T2190" s="15" t="n"/>
      <c r="U2190" s="15" t="n"/>
      <c r="V2190" s="15" t="n"/>
      <c r="W2190" s="19" t="n">
        <v>38586</v>
      </c>
      <c r="X2190" s="19" t="n">
        <v>38590</v>
      </c>
      <c r="Y2190" s="19" t="n"/>
      <c r="Z2190" s="20" t="inlineStr">
        <is>
          <t>Issue opened</t>
        </is>
      </c>
      <c r="AA2190" s="15" t="inlineStr">
        <is>
          <t>Matched on chittorgarh.com</t>
        </is>
      </c>
      <c r="AB2190" s="18" t="inlineStr">
        <is>
          <t>https://www.chittorgarh.com/ipo/fcs-software-solutions-ipo/3046/</t>
        </is>
      </c>
    </row>
    <row r="2191" ht="15" customHeight="1" s="12">
      <c r="A2191" s="14" t="n">
        <v>2190</v>
      </c>
      <c r="B2191" s="16" t="n">
        <v>38350</v>
      </c>
      <c r="C2191" s="15" t="n">
        <v>2004</v>
      </c>
      <c r="D2191" s="15" t="inlineStr">
        <is>
          <t>Amar Remedies Limited</t>
        </is>
      </c>
      <c r="E2191" s="15" t="inlineStr">
        <is>
          <t>DRHP</t>
        </is>
      </c>
      <c r="F2191" s="15" t="inlineStr">
        <is>
          <t>Amar Remedies Limited</t>
        </is>
      </c>
      <c r="G2191" s="15" t="inlineStr">
        <is>
          <t>No launched IPO found</t>
        </is>
      </c>
      <c r="H2191" s="15" t="n"/>
      <c r="I2191" s="16" t="n"/>
      <c r="J2191" s="16" t="n"/>
      <c r="K2191" s="16" t="n"/>
      <c r="L2191" s="17" t="n"/>
      <c r="M2191" s="17" t="n"/>
      <c r="N2191" s="17" t="n"/>
      <c r="O2191" s="15" t="n"/>
      <c r="P2191" s="15" t="n"/>
      <c r="Q2191" s="18" t="inlineStr">
        <is>
          <t>https://www.sebi.gov.in/sebi_data/attachdocs/1293430106550.pdf</t>
        </is>
      </c>
      <c r="R2191" s="18" t="inlineStr">
        <is>
          <t>https://www.sebi.gov.in/filings/public-issues/dec-2004/amar-remedies-limited_13478.html</t>
        </is>
      </c>
      <c r="S2191" s="15" t="n"/>
      <c r="T2191" s="15" t="n"/>
      <c r="U2191" s="15" t="n"/>
      <c r="V2191" s="15" t="n"/>
      <c r="W2191" s="19" t="n">
        <v>38589</v>
      </c>
      <c r="X2191" s="19" t="n">
        <v>38595</v>
      </c>
      <c r="Y2191" s="19" t="n"/>
      <c r="Z2191" s="20" t="inlineStr">
        <is>
          <t>Issue opened</t>
        </is>
      </c>
      <c r="AA2191" s="15" t="inlineStr">
        <is>
          <t>Matched on chittorgarh.com</t>
        </is>
      </c>
      <c r="AB2191" s="18" t="inlineStr">
        <is>
          <t>https://www.chittorgarh.com/ipo/amar-remedies-ipo/3047/</t>
        </is>
      </c>
    </row>
    <row r="2192" ht="15" customHeight="1" s="12">
      <c r="A2192" s="14" t="n">
        <v>2191</v>
      </c>
      <c r="B2192" s="16" t="n">
        <v>38349</v>
      </c>
      <c r="C2192" s="15" t="n">
        <v>2004</v>
      </c>
      <c r="D2192" s="15" t="inlineStr">
        <is>
          <t>Nandan Exim Limited</t>
        </is>
      </c>
      <c r="E2192" s="15" t="inlineStr">
        <is>
          <t>DRHP</t>
        </is>
      </c>
      <c r="F2192" s="15" t="inlineStr">
        <is>
          <t>Nandan Exim Limited</t>
        </is>
      </c>
      <c r="G2192" s="15" t="inlineStr">
        <is>
          <t>No launched IPO found</t>
        </is>
      </c>
      <c r="H2192" s="15" t="n"/>
      <c r="I2192" s="16" t="n"/>
      <c r="J2192" s="16" t="n"/>
      <c r="K2192" s="16" t="n"/>
      <c r="L2192" s="17" t="n"/>
      <c r="M2192" s="17" t="n"/>
      <c r="N2192" s="17" t="n"/>
      <c r="O2192" s="15" t="n"/>
      <c r="P2192" s="15" t="n"/>
      <c r="Q2192" s="18" t="inlineStr">
        <is>
          <t>https://www.sebi.gov.in/sebi_data/attachdocs/1293428682728.pdf</t>
        </is>
      </c>
      <c r="R2192" s="18" t="inlineStr">
        <is>
          <t>https://www.sebi.gov.in/filings/public-issues/dec-2004/nandan-exim-limited_13471.html</t>
        </is>
      </c>
      <c r="S2192" s="15" t="n"/>
      <c r="T2192" s="15" t="n"/>
      <c r="U2192" s="15" t="n"/>
      <c r="V2192" s="15" t="n"/>
      <c r="W2192" s="19" t="n">
        <v>38484</v>
      </c>
      <c r="X2192" s="19" t="n">
        <v>38492</v>
      </c>
      <c r="Y2192" s="19" t="n"/>
      <c r="Z2192" s="20" t="inlineStr">
        <is>
          <t>Issue opened</t>
        </is>
      </c>
      <c r="AA2192" s="15" t="inlineStr">
        <is>
          <t>Matched on chittorgarh.com</t>
        </is>
      </c>
      <c r="AB2192" s="18" t="inlineStr">
        <is>
          <t>https://www.chittorgarh.com/ipo/nandan-exim-ipo/3027/</t>
        </is>
      </c>
    </row>
    <row r="2193" ht="15" customHeight="1" s="12">
      <c r="A2193" s="14" t="n">
        <v>2192</v>
      </c>
      <c r="B2193" s="16" t="n">
        <v>38344</v>
      </c>
      <c r="C2193" s="15" t="n">
        <v>2004</v>
      </c>
      <c r="D2193" s="15" t="inlineStr">
        <is>
          <t>Vivimed Labs Ltd</t>
        </is>
      </c>
      <c r="E2193" s="15" t="inlineStr">
        <is>
          <t>DRHP</t>
        </is>
      </c>
      <c r="F2193" s="15" t="inlineStr">
        <is>
          <t>Vivimed Labs Ltd - PDF</t>
        </is>
      </c>
      <c r="G2193" s="15" t="inlineStr">
        <is>
          <t>No launched IPO found</t>
        </is>
      </c>
      <c r="H2193" s="15" t="n"/>
      <c r="I2193" s="16" t="n"/>
      <c r="J2193" s="16" t="n"/>
      <c r="K2193" s="16" t="n"/>
      <c r="L2193" s="17" t="n"/>
      <c r="M2193" s="17" t="n"/>
      <c r="N2193" s="17" t="n"/>
      <c r="O2193" s="15" t="n"/>
      <c r="P2193" s="15" t="n"/>
      <c r="Q2193" s="18" t="inlineStr">
        <is>
          <t>https://www.sebi.gov.in/sebi_data/attachdocs/1293425223480.pdf</t>
        </is>
      </c>
      <c r="R2193" s="18" t="inlineStr">
        <is>
          <t>https://www.sebi.gov.in/filings/public-issues/dec-2004/vivimed-labs-ltd-pdf_13453.html</t>
        </is>
      </c>
      <c r="S2193" s="15" t="n"/>
      <c r="T2193" s="15" t="n"/>
      <c r="U2193" s="15" t="n"/>
      <c r="V2193" s="15" t="n"/>
      <c r="W2193" s="19" t="n">
        <v>38542</v>
      </c>
      <c r="X2193" s="19" t="n">
        <v>38546</v>
      </c>
      <c r="Y2193" s="19" t="n"/>
      <c r="Z2193" s="20" t="inlineStr">
        <is>
          <t>Issue opened</t>
        </is>
      </c>
      <c r="AA2193" s="15" t="inlineStr">
        <is>
          <t>Matched on chittorgarh.com</t>
        </is>
      </c>
      <c r="AB2193" s="18" t="inlineStr">
        <is>
          <t>https://www.chittorgarh.com/ipo/vivimed-labs-ipo/3042/</t>
        </is>
      </c>
    </row>
    <row r="2194" ht="15" customHeight="1" s="12">
      <c r="A2194" s="14" t="n">
        <v>2193</v>
      </c>
      <c r="B2194" s="16" t="n">
        <v>38342</v>
      </c>
      <c r="C2194" s="15" t="n">
        <v>2004</v>
      </c>
      <c r="D2194" s="15" t="inlineStr">
        <is>
          <t>Beeyu Overseas Ltd</t>
        </is>
      </c>
      <c r="E2194" s="15" t="inlineStr">
        <is>
          <t>DRHP</t>
        </is>
      </c>
      <c r="F2194" s="15" t="inlineStr">
        <is>
          <t>Beeyu Overseas Ltd - PDF</t>
        </is>
      </c>
      <c r="G2194" s="15" t="inlineStr">
        <is>
          <t>No launched IPO found</t>
        </is>
      </c>
      <c r="H2194" s="15" t="n"/>
      <c r="I2194" s="16" t="n"/>
      <c r="J2194" s="16" t="n"/>
      <c r="K2194" s="16" t="n"/>
      <c r="L2194" s="17" t="n"/>
      <c r="M2194" s="17" t="n"/>
      <c r="N2194" s="17" t="n"/>
      <c r="O2194" s="15" t="n"/>
      <c r="P2194" s="15" t="n"/>
      <c r="Q2194" s="18" t="inlineStr">
        <is>
          <t>https://www.sebi.gov.in/sebi_data/attachdocs/1293428589258.pdf</t>
        </is>
      </c>
      <c r="R2194" s="18" t="inlineStr">
        <is>
          <t>https://www.sebi.gov.in/filings/public-issues/dec-2004/beeyu-overseas-ltd-pdf_13468.html</t>
        </is>
      </c>
      <c r="S2194" s="15" t="n"/>
      <c r="T2194" s="15" t="n"/>
      <c r="U2194" s="15" t="n"/>
      <c r="V2194" s="15" t="n"/>
      <c r="W2194" s="19" t="n">
        <v>38498</v>
      </c>
      <c r="X2194" s="19" t="n">
        <v>38506</v>
      </c>
      <c r="Y2194" s="19" t="n">
        <v>38538</v>
      </c>
      <c r="Z2194" s="20" t="inlineStr">
        <is>
          <t>Issue opened</t>
        </is>
      </c>
      <c r="AA2194" s="15" t="inlineStr">
        <is>
          <t>Business Standard IPO page</t>
        </is>
      </c>
      <c r="AB2194" s="18" t="inlineStr">
        <is>
          <t>https://www.business-standard.com/markets/ipo/beeyu-overseas-ltd-ipo-20888</t>
        </is>
      </c>
    </row>
    <row r="2195" ht="15" customHeight="1" s="12">
      <c r="A2195" s="14" t="n">
        <v>2194</v>
      </c>
      <c r="B2195" s="16" t="n">
        <v>38342</v>
      </c>
      <c r="C2195" s="15" t="n">
        <v>2004</v>
      </c>
      <c r="D2195" s="15" t="inlineStr">
        <is>
          <t>UTV Software Communications Limited</t>
        </is>
      </c>
      <c r="E2195" s="15" t="inlineStr">
        <is>
          <t>DRHP</t>
        </is>
      </c>
      <c r="F2195" s="15" t="inlineStr">
        <is>
          <t>UTV Software Communications Limited - PDF</t>
        </is>
      </c>
      <c r="G2195" s="15" t="inlineStr">
        <is>
          <t>No launched IPO found</t>
        </is>
      </c>
      <c r="H2195" s="15" t="n"/>
      <c r="I2195" s="16" t="n"/>
      <c r="J2195" s="16" t="n"/>
      <c r="K2195" s="16" t="n"/>
      <c r="L2195" s="17" t="n"/>
      <c r="M2195" s="17" t="n"/>
      <c r="N2195" s="17" t="n"/>
      <c r="O2195" s="15" t="n"/>
      <c r="P2195" s="15" t="n"/>
      <c r="Q2195" s="18" t="inlineStr">
        <is>
          <t>https://www.sebi.gov.in/sebi_data/attachdocs/1293427681401.pdf</t>
        </is>
      </c>
      <c r="R2195" s="18" t="inlineStr">
        <is>
          <t>https://www.sebi.gov.in/filings/public-issues/dec-2004/utv-software-communications-limited-pdf_13466.html</t>
        </is>
      </c>
      <c r="S2195" s="15" t="n"/>
      <c r="T2195" s="15" t="n"/>
      <c r="U2195" s="15" t="n"/>
      <c r="V2195" s="15" t="n"/>
      <c r="W2195" s="19" t="n">
        <v>38404</v>
      </c>
      <c r="X2195" s="19" t="n">
        <v>38408</v>
      </c>
      <c r="Y2195" s="19" t="n"/>
      <c r="Z2195" s="20" t="inlineStr">
        <is>
          <t>Issue opened</t>
        </is>
      </c>
      <c r="AA2195" s="15" t="inlineStr">
        <is>
          <t>Matched on chittorgarh.com</t>
        </is>
      </c>
      <c r="AB2195" s="18" t="inlineStr">
        <is>
          <t>https://www.chittorgarh.com/ipo/utv-software-communications-ipo/3010/</t>
        </is>
      </c>
    </row>
    <row r="2196" ht="15" customHeight="1" s="12">
      <c r="A2196" s="14" t="n">
        <v>2195</v>
      </c>
      <c r="B2196" s="16" t="n">
        <v>38338</v>
      </c>
      <c r="C2196" s="15" t="n">
        <v>2004</v>
      </c>
      <c r="D2196" s="15" t="inlineStr">
        <is>
          <t>SMS Pharmaceuticals Limited</t>
        </is>
      </c>
      <c r="E2196" s="15" t="inlineStr">
        <is>
          <t>DRHP</t>
        </is>
      </c>
      <c r="F2196" s="15" t="inlineStr">
        <is>
          <t>SMS Pharmaceuticals Limited</t>
        </is>
      </c>
      <c r="G2196" s="15" t="inlineStr">
        <is>
          <t>IPO launched</t>
        </is>
      </c>
      <c r="H2196" s="15" t="inlineStr">
        <is>
          <t>Mainboard</t>
        </is>
      </c>
      <c r="I2196" s="16" t="n">
        <v>39118</v>
      </c>
      <c r="J2196" s="16" t="n"/>
      <c r="K2196" s="16" t="n">
        <v>39141</v>
      </c>
      <c r="L2196" s="17" t="n">
        <v>97.93000000000001</v>
      </c>
      <c r="M2196" s="17" t="n">
        <v>97.93000000000001</v>
      </c>
      <c r="N2196" s="17" t="n">
        <v>0</v>
      </c>
      <c r="O2196" s="15" t="inlineStr">
        <is>
          <t>Final issue (ipoplatform)</t>
        </is>
      </c>
      <c r="P2196" s="15" t="n"/>
      <c r="Q2196" s="18" t="inlineStr">
        <is>
          <t>https://www.sebi.gov.in/sebi_data/attachdocs/1293427440754.pdf</t>
        </is>
      </c>
      <c r="R2196" s="18" t="inlineStr">
        <is>
          <t>https://www.sebi.gov.in/filings/public-issues/dec-2004/sms-pharmaceuticals-limited_13465.html</t>
        </is>
      </c>
      <c r="S2196" s="15" t="n"/>
      <c r="T2196" s="15" t="inlineStr">
        <is>
          <t>Company name + date window</t>
        </is>
      </c>
      <c r="U2196" s="15" t="inlineStr">
        <is>
          <t>SMS Pharmaceuticals Limited</t>
        </is>
      </c>
      <c r="V2196" s="15" t="inlineStr">
        <is>
          <t>Open date corrected from source value 2006-02-05 (contradicts source close/listing date); CHECK — source close/listing date inconsistent with open date</t>
        </is>
      </c>
      <c r="W2196" s="15" t="n"/>
      <c r="X2196" s="15" t="n"/>
      <c r="Y2196" s="15" t="n"/>
      <c r="Z2196" s="15" t="n"/>
      <c r="AA2196" s="15" t="n"/>
      <c r="AB2196" s="15" t="n"/>
    </row>
    <row r="2197" ht="15" customHeight="1" s="12">
      <c r="A2197" s="14" t="n">
        <v>2196</v>
      </c>
      <c r="B2197" s="16" t="n">
        <v>38335</v>
      </c>
      <c r="C2197" s="15" t="n">
        <v>2004</v>
      </c>
      <c r="D2197" s="15" t="inlineStr">
        <is>
          <t>Capricorn Systems Global Solutions Limited</t>
        </is>
      </c>
      <c r="E2197" s="15" t="inlineStr">
        <is>
          <t>DRHP</t>
        </is>
      </c>
      <c r="F2197" s="15" t="inlineStr">
        <is>
          <t>Capricorn Systems Global Solutions Limited</t>
        </is>
      </c>
      <c r="G2197" s="15" t="inlineStr">
        <is>
          <t>No launched IPO found</t>
        </is>
      </c>
      <c r="H2197" s="15" t="n"/>
      <c r="I2197" s="16" t="n"/>
      <c r="J2197" s="16" t="n"/>
      <c r="K2197" s="16" t="n"/>
      <c r="L2197" s="17" t="n"/>
      <c r="M2197" s="17" t="n"/>
      <c r="N2197" s="17" t="n"/>
      <c r="O2197" s="15" t="n"/>
      <c r="P2197" s="15" t="n"/>
      <c r="Q2197" s="18" t="inlineStr">
        <is>
          <t>https://www.sebi.gov.in/sebi_data/attachdocs/1300086403381.pdf</t>
        </is>
      </c>
      <c r="R2197" s="18" t="inlineStr">
        <is>
          <t>https://www.sebi.gov.in/filings/public-issues/dec-2004/capricorn-systems-global-solutions-limited_16124.html</t>
        </is>
      </c>
      <c r="S2197" s="15" t="n"/>
      <c r="T2197" s="15" t="n"/>
      <c r="U2197" s="15" t="n"/>
      <c r="V2197" s="15" t="n"/>
      <c r="W2197" s="16" t="n"/>
      <c r="X2197" s="16" t="n"/>
      <c r="Y2197" s="16" t="n"/>
      <c r="Z2197" s="15" t="inlineStr">
        <is>
          <t>No issue found</t>
        </is>
      </c>
      <c r="AA2197" s="15" t="inlineStr">
        <is>
          <t>Already listed since 1985; no 2004-05 issue found.</t>
        </is>
      </c>
      <c r="AB2197" s="15" t="n"/>
    </row>
    <row r="2198" ht="15" customHeight="1" s="12">
      <c r="A2198" s="14" t="n">
        <v>2197</v>
      </c>
      <c r="B2198" s="16" t="n">
        <v>38335</v>
      </c>
      <c r="C2198" s="15" t="n">
        <v>2004</v>
      </c>
      <c r="D2198" s="15" t="inlineStr">
        <is>
          <t>Saksoft Limited</t>
        </is>
      </c>
      <c r="E2198" s="15" t="inlineStr">
        <is>
          <t>DRHP</t>
        </is>
      </c>
      <c r="F2198" s="15" t="inlineStr">
        <is>
          <t>Saksoft Limited</t>
        </is>
      </c>
      <c r="G2198" s="15" t="inlineStr">
        <is>
          <t>No launched IPO found</t>
        </is>
      </c>
      <c r="H2198" s="15" t="n"/>
      <c r="I2198" s="16" t="n"/>
      <c r="J2198" s="16" t="n"/>
      <c r="K2198" s="16" t="n"/>
      <c r="L2198" s="17" t="n"/>
      <c r="M2198" s="17" t="n"/>
      <c r="N2198" s="17" t="n"/>
      <c r="O2198" s="15" t="n"/>
      <c r="P2198" s="15" t="n"/>
      <c r="Q2198" s="18" t="inlineStr">
        <is>
          <t>https://www.sebi.gov.in/sebi_data/attachdocs/1293427310084.pdf</t>
        </is>
      </c>
      <c r="R2198" s="18" t="inlineStr">
        <is>
          <t>https://www.sebi.gov.in/filings/public-issues/dec-2004/saksoft-limited_13464.html</t>
        </is>
      </c>
      <c r="S2198" s="15" t="n"/>
      <c r="T2198" s="15" t="n"/>
      <c r="U2198" s="15" t="n"/>
      <c r="V2198" s="15" t="n"/>
      <c r="W2198" s="19" t="n">
        <v>38441</v>
      </c>
      <c r="X2198" s="19" t="n">
        <v>38449</v>
      </c>
      <c r="Y2198" s="19" t="n"/>
      <c r="Z2198" s="20" t="inlineStr">
        <is>
          <t>Issue opened</t>
        </is>
      </c>
      <c r="AA2198" s="15" t="inlineStr">
        <is>
          <t>Matched on chittorgarh.com</t>
        </is>
      </c>
      <c r="AB2198" s="18" t="inlineStr">
        <is>
          <t>https://www.chittorgarh.com/ipo/saksoft-ipo/3016/</t>
        </is>
      </c>
    </row>
    <row r="2199" ht="15" customHeight="1" s="12">
      <c r="A2199" s="14" t="n">
        <v>2198</v>
      </c>
      <c r="B2199" s="16" t="n">
        <v>38329</v>
      </c>
      <c r="C2199" s="15" t="n">
        <v>2004</v>
      </c>
      <c r="D2199" s="15" t="inlineStr">
        <is>
          <t>Dena Bank</t>
        </is>
      </c>
      <c r="E2199" s="15" t="inlineStr">
        <is>
          <t>DRHP</t>
        </is>
      </c>
      <c r="F2199" s="15" t="inlineStr">
        <is>
          <t>Dena Bank</t>
        </is>
      </c>
      <c r="G2199" s="15" t="inlineStr">
        <is>
          <t>No launched IPO found</t>
        </is>
      </c>
      <c r="H2199" s="15" t="n"/>
      <c r="I2199" s="16" t="n"/>
      <c r="J2199" s="16" t="n"/>
      <c r="K2199" s="16" t="n"/>
      <c r="L2199" s="17" t="n"/>
      <c r="M2199" s="17" t="n"/>
      <c r="N2199" s="17" t="n"/>
      <c r="O2199" s="15" t="n"/>
      <c r="P2199" s="15" t="n"/>
      <c r="Q2199" s="18" t="inlineStr">
        <is>
          <t>https://www.sebi.gov.in/sebi_data/attachdocs/1293426062977.pdf</t>
        </is>
      </c>
      <c r="R2199" s="18" t="inlineStr">
        <is>
          <t>https://www.sebi.gov.in/filings/public-issues/dec-2004/dena-bank_13461.html</t>
        </is>
      </c>
      <c r="S2199" s="15" t="n"/>
      <c r="T2199" s="15" t="n"/>
      <c r="U2199" s="15" t="n"/>
      <c r="V2199" s="15" t="n"/>
      <c r="W2199" s="19" t="n">
        <v>38376</v>
      </c>
      <c r="X2199" s="19" t="n">
        <v>38381</v>
      </c>
      <c r="Y2199" s="19" t="n">
        <v>38406</v>
      </c>
      <c r="Z2199" s="20" t="inlineStr">
        <is>
          <t>Issue opened</t>
        </is>
      </c>
      <c r="AA2199" s="15" t="inlineStr">
        <is>
          <t>Business Standard IPO page</t>
        </is>
      </c>
      <c r="AB2199" s="18" t="inlineStr">
        <is>
          <t>https://www.business-standard.com/markets/ipo/dena-bank-merged-ipo-5533</t>
        </is>
      </c>
    </row>
    <row r="2200" ht="15" customHeight="1" s="12">
      <c r="A2200" s="14" t="n">
        <v>2199</v>
      </c>
      <c r="B2200" s="16" t="n">
        <v>38329</v>
      </c>
      <c r="C2200" s="15" t="n">
        <v>2004</v>
      </c>
      <c r="D2200" s="15" t="inlineStr">
        <is>
          <t>The Coonoor Tea Estates Co. Ltd</t>
        </is>
      </c>
      <c r="E2200" s="15" t="inlineStr">
        <is>
          <t>DRHP</t>
        </is>
      </c>
      <c r="F2200" s="15" t="inlineStr">
        <is>
          <t>The Coonoor Tea Estates Co. Ltd - PDF</t>
        </is>
      </c>
      <c r="G2200" s="15" t="inlineStr">
        <is>
          <t>No launched IPO found</t>
        </is>
      </c>
      <c r="H2200" s="15" t="n"/>
      <c r="I2200" s="16" t="n"/>
      <c r="J2200" s="16" t="n"/>
      <c r="K2200" s="16" t="n"/>
      <c r="L2200" s="17" t="n"/>
      <c r="M2200" s="17" t="n"/>
      <c r="N2200" s="17" t="n"/>
      <c r="O2200" s="15" t="n"/>
      <c r="P2200" s="15" t="n"/>
      <c r="Q2200" s="18" t="inlineStr">
        <is>
          <t>https://www.sebi.gov.in/sebi_data/attachdocs/1293426145632.pdf</t>
        </is>
      </c>
      <c r="R2200" s="18" t="inlineStr">
        <is>
          <t>https://www.sebi.gov.in/filings/public-issues/dec-2004/the-coonoor-tea-estates-co-ltd-pdf_13462.html</t>
        </is>
      </c>
      <c r="S2200" s="15" t="n"/>
      <c r="T2200" s="15" t="n"/>
      <c r="U2200" s="15" t="n"/>
      <c r="V2200" s="15" t="n"/>
      <c r="W2200" s="16" t="n"/>
      <c r="X2200" s="16" t="n"/>
      <c r="Y2200" s="16" t="n"/>
      <c r="Z2200" s="15" t="inlineStr">
        <is>
          <t>No issue found</t>
        </is>
      </c>
      <c r="AA2200" s="15" t="inlineStr">
        <is>
          <t>Unlisted company, since amalgamated; no IPO found.</t>
        </is>
      </c>
      <c r="AB2200" s="15" t="n"/>
    </row>
    <row r="2201" ht="15" customHeight="1" s="12">
      <c r="A2201" s="14" t="n">
        <v>2200</v>
      </c>
      <c r="B2201" s="16" t="n">
        <v>38309</v>
      </c>
      <c r="C2201" s="15" t="n">
        <v>2004</v>
      </c>
      <c r="D2201" s="15" t="inlineStr">
        <is>
          <t>Mangalam Drugs and Organics Limited</t>
        </is>
      </c>
      <c r="E2201" s="15" t="inlineStr">
        <is>
          <t>DRHP</t>
        </is>
      </c>
      <c r="F2201" s="15" t="inlineStr">
        <is>
          <t>Mangalam Drugs and Organics Limited</t>
        </is>
      </c>
      <c r="G2201" s="15" t="inlineStr">
        <is>
          <t>No launched IPO found</t>
        </is>
      </c>
      <c r="H2201" s="15" t="n"/>
      <c r="I2201" s="16" t="n"/>
      <c r="J2201" s="16" t="n"/>
      <c r="K2201" s="16" t="n"/>
      <c r="L2201" s="17" t="n"/>
      <c r="M2201" s="17" t="n"/>
      <c r="N2201" s="17" t="n"/>
      <c r="O2201" s="15" t="n"/>
      <c r="P2201" s="15" t="n"/>
      <c r="Q2201" s="18" t="inlineStr">
        <is>
          <t>https://www.sebi.gov.in/sebi_data/attachdocs/1293192546276.pdf</t>
        </is>
      </c>
      <c r="R2201" s="18" t="inlineStr">
        <is>
          <t>https://www.sebi.gov.in/filings/public-issues/nov-2004/mangalam-drugs-and-organics-limited_13381.html</t>
        </is>
      </c>
      <c r="S2201" s="15" t="n"/>
      <c r="T2201" s="15" t="n"/>
      <c r="U2201" s="15" t="n"/>
      <c r="V2201" s="15" t="n"/>
      <c r="W2201" s="19" t="n">
        <v>38461</v>
      </c>
      <c r="X2201" s="19" t="n">
        <v>38468</v>
      </c>
      <c r="Y2201" s="19" t="n"/>
      <c r="Z2201" s="20" t="inlineStr">
        <is>
          <t>Issue opened</t>
        </is>
      </c>
      <c r="AA2201" s="15" t="inlineStr">
        <is>
          <t>Matched on chittorgarh.com</t>
        </is>
      </c>
      <c r="AB2201" s="18" t="inlineStr">
        <is>
          <t>https://www.chittorgarh.com/ipo/mangalam-drugs-&amp;amp;-organics-ipo/3022/</t>
        </is>
      </c>
    </row>
    <row r="2202" ht="15" customHeight="1" s="12">
      <c r="A2202" s="14" t="n">
        <v>2201</v>
      </c>
      <c r="B2202" s="16" t="n">
        <v>38294</v>
      </c>
      <c r="C2202" s="15" t="n">
        <v>2004</v>
      </c>
      <c r="D2202" s="15" t="inlineStr">
        <is>
          <t>ICICI Bank Limited - Part 1</t>
        </is>
      </c>
      <c r="E2202" s="15" t="inlineStr">
        <is>
          <t>DRHP</t>
        </is>
      </c>
      <c r="F2202" s="15" t="inlineStr">
        <is>
          <t>ICICI Bank Limited - Part 1</t>
        </is>
      </c>
      <c r="G2202" s="15" t="inlineStr">
        <is>
          <t>No launched IPO found</t>
        </is>
      </c>
      <c r="H2202" s="15" t="n"/>
      <c r="I2202" s="16" t="n"/>
      <c r="J2202" s="16" t="n"/>
      <c r="K2202" s="16" t="n"/>
      <c r="L2202" s="17" t="n"/>
      <c r="M2202" s="17" t="n"/>
      <c r="N2202" s="17" t="n"/>
      <c r="O2202" s="15" t="n"/>
      <c r="P2202" s="15" t="n"/>
      <c r="Q2202" s="18" t="inlineStr">
        <is>
          <t>https://www.sebi.gov.in/sebi_data/attachdocs/1293191628528.pdf</t>
        </is>
      </c>
      <c r="R2202" s="18" t="inlineStr">
        <is>
          <t>https://www.sebi.gov.in/filings/public-issues/nov-2004/icici-bank-limited-part-1_13372.html</t>
        </is>
      </c>
      <c r="S2202" s="15" t="n"/>
      <c r="T2202" s="15" t="n"/>
      <c r="U2202" s="15" t="n"/>
      <c r="V2202" s="15" t="n"/>
      <c r="W2202" s="16" t="n"/>
      <c r="X2202" s="16" t="n"/>
      <c r="Y2202" s="16" t="n"/>
      <c r="Z2202" s="15" t="inlineStr">
        <is>
          <t>No issue found</t>
        </is>
      </c>
      <c r="AA2202" s="15" t="inlineStr">
        <is>
          <t>Search gave no 2004-05 issue dates.</t>
        </is>
      </c>
      <c r="AB2202" s="15" t="n"/>
    </row>
    <row r="2203" ht="15" customHeight="1" s="12">
      <c r="A2203" s="14" t="n">
        <v>2202</v>
      </c>
      <c r="B2203" s="16" t="n">
        <v>38294</v>
      </c>
      <c r="C2203" s="15" t="n">
        <v>2004</v>
      </c>
      <c r="D2203" s="15" t="inlineStr">
        <is>
          <t>ICICI Bank Limited - Part 2</t>
        </is>
      </c>
      <c r="E2203" s="15" t="inlineStr">
        <is>
          <t>DRHP</t>
        </is>
      </c>
      <c r="F2203" s="15" t="inlineStr">
        <is>
          <t>ICICI Bank Limited - Part 2</t>
        </is>
      </c>
      <c r="G2203" s="15" t="inlineStr">
        <is>
          <t>No launched IPO found</t>
        </is>
      </c>
      <c r="H2203" s="15" t="n"/>
      <c r="I2203" s="16" t="n"/>
      <c r="J2203" s="16" t="n"/>
      <c r="K2203" s="16" t="n"/>
      <c r="L2203" s="17" t="n"/>
      <c r="M2203" s="17" t="n"/>
      <c r="N2203" s="17" t="n"/>
      <c r="O2203" s="15" t="n"/>
      <c r="P2203" s="15" t="n"/>
      <c r="Q2203" s="18" t="inlineStr">
        <is>
          <t>https://www.sebi.gov.in/sebi_data/attachdocs/1293191265811.pdf</t>
        </is>
      </c>
      <c r="R2203" s="18" t="inlineStr">
        <is>
          <t>https://www.sebi.gov.in/filings/public-issues/nov-2004/icici-bank-limited-part-2_13371.html</t>
        </is>
      </c>
      <c r="S2203" s="15" t="n"/>
      <c r="T2203" s="15" t="n"/>
      <c r="U2203" s="15" t="n"/>
      <c r="V2203" s="15" t="n"/>
      <c r="W2203" s="16" t="n"/>
      <c r="X2203" s="16" t="n"/>
      <c r="Y2203" s="16" t="n"/>
      <c r="Z2203" s="15" t="inlineStr">
        <is>
          <t>No issue found</t>
        </is>
      </c>
      <c r="AA2203" s="15" t="inlineStr">
        <is>
          <t>Search gave no 2004-05 issue dates.</t>
        </is>
      </c>
      <c r="AB2203" s="15" t="n"/>
    </row>
    <row r="2204" ht="15" customHeight="1" s="12">
      <c r="A2204" s="14" t="n">
        <v>2203</v>
      </c>
      <c r="B2204" s="16" t="n">
        <v>38294</v>
      </c>
      <c r="C2204" s="15" t="n">
        <v>2004</v>
      </c>
      <c r="D2204" s="15" t="inlineStr">
        <is>
          <t>ICICI Bank Limited - Part 3</t>
        </is>
      </c>
      <c r="E2204" s="15" t="inlineStr">
        <is>
          <t>DRHP</t>
        </is>
      </c>
      <c r="F2204" s="15" t="inlineStr">
        <is>
          <t>ICICI Bank Limited - Part 3</t>
        </is>
      </c>
      <c r="G2204" s="15" t="inlineStr">
        <is>
          <t>No launched IPO found</t>
        </is>
      </c>
      <c r="H2204" s="15" t="n"/>
      <c r="I2204" s="16" t="n"/>
      <c r="J2204" s="16" t="n"/>
      <c r="K2204" s="16" t="n"/>
      <c r="L2204" s="17" t="n"/>
      <c r="M2204" s="17" t="n"/>
      <c r="N2204" s="17" t="n"/>
      <c r="O2204" s="15" t="n"/>
      <c r="P2204" s="15" t="n"/>
      <c r="Q2204" s="18" t="inlineStr">
        <is>
          <t>https://www.sebi.gov.in/sebi_data/attachdocs/1293191207819.pdf</t>
        </is>
      </c>
      <c r="R2204" s="18" t="inlineStr">
        <is>
          <t>https://www.sebi.gov.in/filings/public-issues/nov-2004/icici-bank-limited-part-3_13370.html</t>
        </is>
      </c>
      <c r="S2204" s="15" t="n"/>
      <c r="T2204" s="15" t="n"/>
      <c r="U2204" s="15" t="n"/>
      <c r="V2204" s="15" t="n"/>
      <c r="W2204" s="16" t="n"/>
      <c r="X2204" s="16" t="n"/>
      <c r="Y2204" s="16" t="n"/>
      <c r="Z2204" s="15" t="inlineStr">
        <is>
          <t>No issue found</t>
        </is>
      </c>
      <c r="AA2204" s="15" t="inlineStr">
        <is>
          <t>Search gave no 2004-05 issue dates.</t>
        </is>
      </c>
      <c r="AB2204" s="15" t="n"/>
    </row>
    <row r="2205" ht="15" customHeight="1" s="12">
      <c r="A2205" s="14" t="n">
        <v>2204</v>
      </c>
      <c r="B2205" s="16" t="n">
        <v>38293</v>
      </c>
      <c r="C2205" s="15" t="n">
        <v>2004</v>
      </c>
      <c r="D2205" s="15" t="inlineStr">
        <is>
          <t>Plus Paper Foodpac Limited</t>
        </is>
      </c>
      <c r="E2205" s="15" t="inlineStr">
        <is>
          <t>DRHP</t>
        </is>
      </c>
      <c r="F2205" s="15" t="inlineStr">
        <is>
          <t>Plus Paper Foodpac Limited</t>
        </is>
      </c>
      <c r="G2205" s="15" t="inlineStr">
        <is>
          <t>No launched IPO found</t>
        </is>
      </c>
      <c r="H2205" s="15" t="n"/>
      <c r="I2205" s="16" t="n"/>
      <c r="J2205" s="16" t="n"/>
      <c r="K2205" s="16" t="n"/>
      <c r="L2205" s="17" t="n"/>
      <c r="M2205" s="17" t="n"/>
      <c r="N2205" s="17" t="n"/>
      <c r="O2205" s="15" t="n"/>
      <c r="P2205" s="15" t="n"/>
      <c r="Q2205" s="18" t="inlineStr">
        <is>
          <t>https://www.sebi.gov.in/sebi_data/attachdocs/1293191151198.pdf</t>
        </is>
      </c>
      <c r="R2205" s="18" t="inlineStr">
        <is>
          <t>https://www.sebi.gov.in/filings/public-issues/nov-2004/plus-paper-foodpac-limited_13369.html</t>
        </is>
      </c>
      <c r="S2205" s="15" t="n"/>
      <c r="T2205" s="15" t="n"/>
      <c r="U2205" s="15" t="n"/>
      <c r="V2205" s="15" t="n"/>
      <c r="W2205" s="16" t="n"/>
      <c r="X2205" s="16" t="n"/>
      <c r="Y2205" s="16" t="n"/>
      <c r="Z2205" s="15" t="inlineStr">
        <is>
          <t>No issue found</t>
        </is>
      </c>
      <c r="AA2205" s="15" t="inlineStr">
        <is>
          <t>Never listed; acquired by Nippon Paper in 2017.</t>
        </is>
      </c>
      <c r="AB2205" s="15" t="n"/>
    </row>
    <row r="2206" ht="15" customHeight="1" s="12">
      <c r="A2206" s="14" t="n">
        <v>2205</v>
      </c>
      <c r="B2206" s="16" t="n">
        <v>38293</v>
      </c>
      <c r="C2206" s="15" t="n">
        <v>2004</v>
      </c>
      <c r="D2206" s="15" t="inlineStr">
        <is>
          <t>Sunil Synchem Limited</t>
        </is>
      </c>
      <c r="E2206" s="15" t="inlineStr">
        <is>
          <t>DRHP</t>
        </is>
      </c>
      <c r="F2206" s="15" t="inlineStr">
        <is>
          <t>Sunil Synchem Limited</t>
        </is>
      </c>
      <c r="G2206" s="15" t="inlineStr">
        <is>
          <t>No launched IPO found</t>
        </is>
      </c>
      <c r="H2206" s="15" t="n"/>
      <c r="I2206" s="16" t="n"/>
      <c r="J2206" s="16" t="n"/>
      <c r="K2206" s="16" t="n"/>
      <c r="L2206" s="17" t="n"/>
      <c r="M2206" s="17" t="n"/>
      <c r="N2206" s="17" t="n"/>
      <c r="O2206" s="15" t="n"/>
      <c r="P2206" s="15" t="n"/>
      <c r="Q2206" s="18" t="inlineStr">
        <is>
          <t>https://www.sebi.gov.in/sebi_data/attachdocs/1293190921015.pdf</t>
        </is>
      </c>
      <c r="R2206" s="18" t="inlineStr">
        <is>
          <t>https://www.sebi.gov.in/filings/public-issues/nov-2004/sunil-synchem-limited_13367.html</t>
        </is>
      </c>
      <c r="S2206" s="15" t="n"/>
      <c r="T2206" s="15" t="n"/>
      <c r="U2206" s="15" t="n"/>
      <c r="V2206" s="15" t="n"/>
      <c r="W2206" s="16" t="n"/>
      <c r="X2206" s="16" t="n"/>
      <c r="Y2206" s="16" t="n"/>
      <c r="Z2206" s="15" t="inlineStr">
        <is>
          <t>No issue found</t>
        </is>
      </c>
      <c r="AA2206" s="15" t="inlineStr">
        <is>
          <t>Search found nothing on a 2004 issue; company later Sunil Healthcare.</t>
        </is>
      </c>
      <c r="AB2206" s="15" t="n"/>
    </row>
    <row r="2207" ht="15" customHeight="1" s="12">
      <c r="A2207" s="14" t="n">
        <v>2206</v>
      </c>
      <c r="B2207" s="16" t="n">
        <v>38287</v>
      </c>
      <c r="C2207" s="15" t="n">
        <v>2004</v>
      </c>
      <c r="D2207" s="15" t="inlineStr">
        <is>
          <t>Cyber Media (India) Ltd</t>
        </is>
      </c>
      <c r="E2207" s="15" t="inlineStr">
        <is>
          <t>DRHP</t>
        </is>
      </c>
      <c r="F2207" s="15" t="inlineStr">
        <is>
          <t>Cyber Media (India) Ltd - PDF</t>
        </is>
      </c>
      <c r="G2207" s="15" t="inlineStr">
        <is>
          <t>No launched IPO found</t>
        </is>
      </c>
      <c r="H2207" s="15" t="n"/>
      <c r="I2207" s="16" t="n"/>
      <c r="J2207" s="16" t="n"/>
      <c r="K2207" s="16" t="n"/>
      <c r="L2207" s="17" t="n"/>
      <c r="M2207" s="17" t="n"/>
      <c r="N2207" s="17" t="n"/>
      <c r="O2207" s="15" t="n"/>
      <c r="P2207" s="15" t="n"/>
      <c r="Q2207" s="18" t="inlineStr">
        <is>
          <t>https://www.sebi.gov.in/sebi_data/attachdocs/1293176642506.pdf</t>
        </is>
      </c>
      <c r="R2207" s="18" t="inlineStr">
        <is>
          <t>https://www.sebi.gov.in/filings/public-issues/oct-2004/cyber-media-india-ltd-pdf_13211.html</t>
        </is>
      </c>
      <c r="S2207" s="15" t="n"/>
      <c r="T2207" s="15" t="n"/>
      <c r="U2207" s="15" t="n"/>
      <c r="V2207" s="15" t="n"/>
      <c r="W2207" s="19" t="n">
        <v>38476</v>
      </c>
      <c r="X2207" s="19" t="n">
        <v>38481</v>
      </c>
      <c r="Y2207" s="19" t="n"/>
      <c r="Z2207" s="20" t="inlineStr">
        <is>
          <t>Issue opened</t>
        </is>
      </c>
      <c r="AA2207" s="15" t="inlineStr">
        <is>
          <t>Matched on chittorgarh.com</t>
        </is>
      </c>
      <c r="AB2207" s="18" t="inlineStr">
        <is>
          <t>https://www.chittorgarh.com/ipo/cyber-media-ipo/3026/</t>
        </is>
      </c>
    </row>
    <row r="2208" ht="15" customHeight="1" s="12">
      <c r="A2208" s="14" t="n">
        <v>2207</v>
      </c>
      <c r="B2208" s="16" t="n">
        <v>38265</v>
      </c>
      <c r="C2208" s="15" t="n">
        <v>2004</v>
      </c>
      <c r="D2208" s="15" t="inlineStr">
        <is>
          <t>Net Vision Web Technologies Limtied - Offer for Sale</t>
        </is>
      </c>
      <c r="E2208" s="15" t="inlineStr">
        <is>
          <t>DRHP</t>
        </is>
      </c>
      <c r="F2208" s="15" t="inlineStr">
        <is>
          <t>Net Vision Web Technologies Limtied - Offer for Sale</t>
        </is>
      </c>
      <c r="G2208" s="15" t="inlineStr">
        <is>
          <t>No launched IPO found</t>
        </is>
      </c>
      <c r="H2208" s="15" t="n"/>
      <c r="I2208" s="16" t="n"/>
      <c r="J2208" s="16" t="n"/>
      <c r="K2208" s="16" t="n"/>
      <c r="L2208" s="17" t="n"/>
      <c r="M2208" s="17" t="n"/>
      <c r="N2208" s="17" t="n"/>
      <c r="O2208" s="15" t="n"/>
      <c r="P2208" s="15" t="n"/>
      <c r="Q2208" s="18" t="inlineStr">
        <is>
          <t>https://www.sebi.gov.in/sebi_data/attachdocs/1300086582467.pdf</t>
        </is>
      </c>
      <c r="R2208" s="18" t="inlineStr">
        <is>
          <t>https://www.sebi.gov.in/filings/public-issues/oct-2004/net-vision-web-technologies-limtied-offer-for-sale_16129.html</t>
        </is>
      </c>
      <c r="S2208" s="15" t="n"/>
      <c r="T2208" s="15" t="n"/>
      <c r="U2208" s="15" t="n"/>
      <c r="V2208" s="15" t="n"/>
      <c r="W2208" s="16" t="n"/>
      <c r="X2208" s="16" t="n"/>
      <c r="Y2208" s="16" t="n"/>
      <c r="Z2208" s="15" t="inlineStr">
        <is>
          <t>No issue found</t>
        </is>
      </c>
      <c r="AA2208" s="15" t="inlineStr">
        <is>
          <t>No issue evidence found in search.</t>
        </is>
      </c>
      <c r="AB2208" s="15" t="n"/>
    </row>
    <row r="2209" ht="15" customHeight="1" s="12">
      <c r="A2209" s="14" t="n">
        <v>2208</v>
      </c>
      <c r="B2209" s="16" t="n">
        <v>38265</v>
      </c>
      <c r="C2209" s="15" t="n">
        <v>2004</v>
      </c>
      <c r="D2209" s="15" t="inlineStr">
        <is>
          <t>Usher Agro Limited</t>
        </is>
      </c>
      <c r="E2209" s="15" t="inlineStr">
        <is>
          <t>DRHP</t>
        </is>
      </c>
      <c r="F2209" s="15" t="inlineStr">
        <is>
          <t>Usher Agro Limited</t>
        </is>
      </c>
      <c r="G2209" s="15" t="inlineStr">
        <is>
          <t>No launched IPO found</t>
        </is>
      </c>
      <c r="H2209" s="15" t="n"/>
      <c r="I2209" s="16" t="n"/>
      <c r="J2209" s="16" t="n"/>
      <c r="K2209" s="16" t="n"/>
      <c r="L2209" s="17" t="n"/>
      <c r="M2209" s="17" t="n"/>
      <c r="N2209" s="17" t="n"/>
      <c r="O2209" s="15" t="n"/>
      <c r="P2209" s="15" t="n"/>
      <c r="Q2209" s="18" t="inlineStr">
        <is>
          <t>https://www.sebi.gov.in/sebi_data/attachdocs/1293172782476.pdf</t>
        </is>
      </c>
      <c r="R2209" s="18" t="inlineStr">
        <is>
          <t>https://www.sebi.gov.in/filings/public-issues/oct-2004/usher-agro-limited_13191.html</t>
        </is>
      </c>
      <c r="S2209" s="15" t="n"/>
      <c r="T2209" s="15" t="n"/>
      <c r="U2209" s="15" t="n"/>
      <c r="V2209" s="15" t="n"/>
      <c r="W2209" s="19" t="n">
        <v>38965</v>
      </c>
      <c r="X2209" s="19" t="n">
        <v>38971</v>
      </c>
      <c r="Y2209" s="19" t="n"/>
      <c r="Z2209" s="20" t="inlineStr">
        <is>
          <t>Issue opened</t>
        </is>
      </c>
      <c r="AA2209" s="15" t="inlineStr">
        <is>
          <t>Matched on chittorgarh.com</t>
        </is>
      </c>
      <c r="AB2209" s="18" t="inlineStr">
        <is>
          <t>https://www.chittorgarh.com/ipo/usher-agro-ipo/7/</t>
        </is>
      </c>
    </row>
    <row r="2210" ht="15" customHeight="1" s="12">
      <c r="A2210" s="14" t="n">
        <v>2209</v>
      </c>
      <c r="B2210" s="16" t="n">
        <v>38259</v>
      </c>
      <c r="C2210" s="15" t="n">
        <v>2004</v>
      </c>
      <c r="D2210" s="15" t="inlineStr">
        <is>
          <t>IDBI Flexibond Series 2004-2005 - Part A</t>
        </is>
      </c>
      <c r="E2210" s="15" t="inlineStr">
        <is>
          <t>DRHP</t>
        </is>
      </c>
      <c r="F2210" s="15" t="inlineStr">
        <is>
          <t>IDBI Flexibond Series 2004-2005 - Part A - PDF</t>
        </is>
      </c>
      <c r="G2210" s="15" t="inlineStr">
        <is>
          <t>No launched IPO found</t>
        </is>
      </c>
      <c r="H2210" s="15" t="n"/>
      <c r="I2210" s="16" t="n"/>
      <c r="J2210" s="16" t="n"/>
      <c r="K2210" s="16" t="n"/>
      <c r="L2210" s="17" t="n"/>
      <c r="M2210" s="17" t="n"/>
      <c r="N2210" s="17" t="n"/>
      <c r="O2210" s="15" t="n"/>
      <c r="P2210" s="15" t="n"/>
      <c r="Q2210" s="18" t="inlineStr">
        <is>
          <t>https://www.sebi.gov.in/sebi_data/attachdocs/1293163070751.pdf</t>
        </is>
      </c>
      <c r="R2210" s="18" t="inlineStr">
        <is>
          <t>https://www.sebi.gov.in/filings/public-issues/sep-2004/idbi-flexibond-series-2004-2005-part-a-pdf_13100.html</t>
        </is>
      </c>
      <c r="S2210" s="15" t="n"/>
      <c r="T2210" s="15" t="n"/>
      <c r="U2210" s="15" t="n"/>
      <c r="V2210" s="15" t="n"/>
      <c r="W2210" s="16" t="n"/>
      <c r="X2210" s="16" t="n"/>
      <c r="Y2210" s="16" t="n"/>
      <c r="Z2210" s="15" t="inlineStr">
        <is>
          <t>No issue found</t>
        </is>
      </c>
      <c r="AA2210" s="15" t="inlineStr">
        <is>
          <t>Bond series; no specific open date found in search.</t>
        </is>
      </c>
      <c r="AB2210" s="15" t="n"/>
    </row>
    <row r="2211" ht="15" customHeight="1" s="12">
      <c r="A2211" s="14" t="n">
        <v>2210</v>
      </c>
      <c r="B2211" s="16" t="n">
        <v>38259</v>
      </c>
      <c r="C2211" s="15" t="n">
        <v>2004</v>
      </c>
      <c r="D2211" s="15" t="inlineStr">
        <is>
          <t>IDBI Flexibond Series 2004-2005 - Part B</t>
        </is>
      </c>
      <c r="E2211" s="15" t="inlineStr">
        <is>
          <t>DRHP</t>
        </is>
      </c>
      <c r="F2211" s="15" t="inlineStr">
        <is>
          <t>IDBI Flexibond Series 2004-2005 - Part B - PDF</t>
        </is>
      </c>
      <c r="G2211" s="15" t="inlineStr">
        <is>
          <t>No launched IPO found</t>
        </is>
      </c>
      <c r="H2211" s="15" t="n"/>
      <c r="I2211" s="16" t="n"/>
      <c r="J2211" s="16" t="n"/>
      <c r="K2211" s="16" t="n"/>
      <c r="L2211" s="17" t="n"/>
      <c r="M2211" s="17" t="n"/>
      <c r="N2211" s="17" t="n"/>
      <c r="O2211" s="15" t="n"/>
      <c r="P2211" s="15" t="n"/>
      <c r="Q2211" s="18" t="inlineStr">
        <is>
          <t>https://www.sebi.gov.in/sebi_data/attachdocs/1293163950446.pdf</t>
        </is>
      </c>
      <c r="R2211" s="18" t="inlineStr">
        <is>
          <t>https://www.sebi.gov.in/filings/public-issues/sep-2004/idbi-flexibond-series-2004-2005-part-b-pdf_13105.html</t>
        </is>
      </c>
      <c r="S2211" s="15" t="n"/>
      <c r="T2211" s="15" t="n"/>
      <c r="U2211" s="15" t="n"/>
      <c r="V2211" s="15" t="n"/>
      <c r="W2211" s="16" t="n"/>
      <c r="X2211" s="16" t="n"/>
      <c r="Y2211" s="16" t="n"/>
      <c r="Z2211" s="15" t="inlineStr">
        <is>
          <t>No issue found</t>
        </is>
      </c>
      <c r="AA2211" s="15" t="inlineStr">
        <is>
          <t>Bond series; no specific open date found in search.</t>
        </is>
      </c>
      <c r="AB2211" s="15" t="n"/>
    </row>
    <row r="2212" ht="15" customHeight="1" s="12">
      <c r="A2212" s="14" t="n">
        <v>2211</v>
      </c>
      <c r="B2212" s="16" t="n">
        <v>38259</v>
      </c>
      <c r="C2212" s="15" t="n">
        <v>2004</v>
      </c>
      <c r="D2212" s="15" t="inlineStr">
        <is>
          <t>IDBI Flexibond Series 2004-2005 - Part C</t>
        </is>
      </c>
      <c r="E2212" s="15" t="inlineStr">
        <is>
          <t>DRHP</t>
        </is>
      </c>
      <c r="F2212" s="15" t="inlineStr">
        <is>
          <t>IDBI Flexibond Series 2004-2005 - Part C - PDF</t>
        </is>
      </c>
      <c r="G2212" s="15" t="inlineStr">
        <is>
          <t>No launched IPO found</t>
        </is>
      </c>
      <c r="H2212" s="15" t="n"/>
      <c r="I2212" s="16" t="n"/>
      <c r="J2212" s="16" t="n"/>
      <c r="K2212" s="16" t="n"/>
      <c r="L2212" s="17" t="n"/>
      <c r="M2212" s="17" t="n"/>
      <c r="N2212" s="17" t="n"/>
      <c r="O2212" s="15" t="n"/>
      <c r="P2212" s="15" t="n"/>
      <c r="Q2212" s="18" t="inlineStr">
        <is>
          <t>https://www.sebi.gov.in/sebi_data/attachdocs/1293164121884.pdf</t>
        </is>
      </c>
      <c r="R2212" s="18" t="inlineStr">
        <is>
          <t>https://www.sebi.gov.in/filings/public-issues/sep-2004/idbi-flexibond-series-2004-2005-part-c-pdf_13109.html</t>
        </is>
      </c>
      <c r="S2212" s="15" t="n"/>
      <c r="T2212" s="15" t="n"/>
      <c r="U2212" s="15" t="n"/>
      <c r="V2212" s="15" t="n"/>
      <c r="W2212" s="16" t="n"/>
      <c r="X2212" s="16" t="n"/>
      <c r="Y2212" s="16" t="n"/>
      <c r="Z2212" s="15" t="inlineStr">
        <is>
          <t>No issue found</t>
        </is>
      </c>
      <c r="AA2212" s="15" t="inlineStr">
        <is>
          <t>Bond series; no specific open date found in search.</t>
        </is>
      </c>
      <c r="AB2212" s="15" t="n"/>
    </row>
    <row r="2213" ht="15" customHeight="1" s="12">
      <c r="A2213" s="14" t="n">
        <v>2212</v>
      </c>
      <c r="B2213" s="16" t="n">
        <v>38254</v>
      </c>
      <c r="C2213" s="15" t="n">
        <v>2004</v>
      </c>
      <c r="D2213" s="15" t="inlineStr">
        <is>
          <t>Bharati Shipyard Limited</t>
        </is>
      </c>
      <c r="E2213" s="15" t="inlineStr">
        <is>
          <t>DRHP</t>
        </is>
      </c>
      <c r="F2213" s="15" t="inlineStr">
        <is>
          <t>Bharati Shipyard Limited-PDF</t>
        </is>
      </c>
      <c r="G2213" s="15" t="inlineStr">
        <is>
          <t>No launched IPO found</t>
        </is>
      </c>
      <c r="H2213" s="15" t="n"/>
      <c r="I2213" s="16" t="n"/>
      <c r="J2213" s="16" t="n"/>
      <c r="K2213" s="16" t="n"/>
      <c r="L2213" s="17" t="n"/>
      <c r="M2213" s="17" t="n"/>
      <c r="N2213" s="17" t="n"/>
      <c r="O2213" s="15" t="n"/>
      <c r="P2213" s="15" t="n"/>
      <c r="Q2213" s="18" t="inlineStr">
        <is>
          <t>https://www.sebi.gov.in/sebi_data/attachdocs/1293162306719.pdf</t>
        </is>
      </c>
      <c r="R2213" s="18" t="inlineStr">
        <is>
          <t>https://www.sebi.gov.in/filings/public-issues/sep-2004/bharati-shipyard-limited-pdf_13098.html</t>
        </is>
      </c>
      <c r="S2213" s="15" t="n"/>
      <c r="T2213" s="15" t="n"/>
      <c r="U2213" s="15" t="n"/>
      <c r="V2213" s="15" t="n"/>
      <c r="W2213" s="19" t="n">
        <v>38323</v>
      </c>
      <c r="X2213" s="19" t="n">
        <v>38329</v>
      </c>
      <c r="Y2213" s="19" t="n"/>
      <c r="Z2213" s="20" t="inlineStr">
        <is>
          <t>Issue opened</t>
        </is>
      </c>
      <c r="AA2213" s="15" t="inlineStr">
        <is>
          <t>Matched on chittorgarh.com</t>
        </is>
      </c>
      <c r="AB2213" s="18" t="inlineStr">
        <is>
          <t>https://www.chittorgarh.com/ipo/bharati-shipyard-ipo/3132/</t>
        </is>
      </c>
    </row>
    <row r="2214" ht="15" customHeight="1" s="12">
      <c r="A2214" s="14" t="n">
        <v>2213</v>
      </c>
      <c r="B2214" s="16" t="n">
        <v>38251</v>
      </c>
      <c r="C2214" s="15" t="n">
        <v>2004</v>
      </c>
      <c r="D2214" s="15" t="inlineStr">
        <is>
          <t>Dwarikesh Sugar Industries Limited</t>
        </is>
      </c>
      <c r="E2214" s="15" t="inlineStr">
        <is>
          <t>DRHP</t>
        </is>
      </c>
      <c r="F2214" s="15" t="inlineStr">
        <is>
          <t>Dwarikesh Sugar Industries Limited</t>
        </is>
      </c>
      <c r="G2214" s="15" t="inlineStr">
        <is>
          <t>No launched IPO found</t>
        </is>
      </c>
      <c r="H2214" s="15" t="n"/>
      <c r="I2214" s="16" t="n"/>
      <c r="J2214" s="16" t="n"/>
      <c r="K2214" s="16" t="n"/>
      <c r="L2214" s="17" t="n"/>
      <c r="M2214" s="17" t="n"/>
      <c r="N2214" s="17" t="n"/>
      <c r="O2214" s="15" t="n"/>
      <c r="P2214" s="15" t="n"/>
      <c r="Q2214" s="18" t="inlineStr">
        <is>
          <t>https://www.sebi.gov.in/sebi_data/attachdocs/1293106430692.pdf</t>
        </is>
      </c>
      <c r="R2214" s="18" t="inlineStr">
        <is>
          <t>https://www.sebi.gov.in/filings/public-issues/sep-2004/dwarikesh-sugar-industries-limited_13097.html</t>
        </is>
      </c>
      <c r="S2214" s="15" t="n"/>
      <c r="T2214" s="15" t="n"/>
      <c r="U2214" s="15" t="n"/>
      <c r="V2214" s="15" t="n"/>
      <c r="W2214" s="19" t="n">
        <v>38320</v>
      </c>
      <c r="X2214" s="19" t="n">
        <v>38324</v>
      </c>
      <c r="Y2214" s="19" t="n"/>
      <c r="Z2214" s="20" t="inlineStr">
        <is>
          <t>Issue opened</t>
        </is>
      </c>
      <c r="AA2214" s="15" t="inlineStr">
        <is>
          <t>Matched on chittorgarh.com</t>
        </is>
      </c>
      <c r="AB2214" s="18" t="inlineStr">
        <is>
          <t>https://www.chittorgarh.com/ipo/dwarikesh-sugar-industries-ipo/3131/</t>
        </is>
      </c>
    </row>
    <row r="2215" ht="15" customHeight="1" s="12">
      <c r="A2215" s="14" t="n">
        <v>2214</v>
      </c>
      <c r="B2215" s="16" t="n">
        <v>38233</v>
      </c>
      <c r="C2215" s="15" t="n">
        <v>2004</v>
      </c>
      <c r="D2215" s="15" t="inlineStr">
        <is>
          <t>HFCL Infotel Limited</t>
        </is>
      </c>
      <c r="E2215" s="15" t="inlineStr">
        <is>
          <t>DRHP</t>
        </is>
      </c>
      <c r="F2215" s="15" t="inlineStr">
        <is>
          <t>HFCL Infotel Limited - PDF</t>
        </is>
      </c>
      <c r="G2215" s="15" t="inlineStr">
        <is>
          <t>No launched IPO found</t>
        </is>
      </c>
      <c r="H2215" s="15" t="n"/>
      <c r="I2215" s="16" t="n"/>
      <c r="J2215" s="16" t="n"/>
      <c r="K2215" s="16" t="n"/>
      <c r="L2215" s="17" t="n"/>
      <c r="M2215" s="17" t="n"/>
      <c r="N2215" s="17" t="n"/>
      <c r="O2215" s="15" t="n"/>
      <c r="P2215" s="15" t="n"/>
      <c r="Q2215" s="18" t="inlineStr">
        <is>
          <t>https://www.sebi.gov.in/sebi_data/attachdocs/1293105915197.pdf</t>
        </is>
      </c>
      <c r="R2215" s="18" t="inlineStr">
        <is>
          <t>https://www.sebi.gov.in/filings/public-issues/sep-2004/hfcl-infotel-limited-pdf_13096.html</t>
        </is>
      </c>
      <c r="S2215" s="15" t="n"/>
      <c r="T2215" s="15" t="n"/>
      <c r="U2215" s="15" t="n"/>
      <c r="V2215" s="15" t="n"/>
      <c r="W2215" s="16" t="n"/>
      <c r="X2215" s="16" t="n"/>
      <c r="Y2215" s="16" t="n"/>
      <c r="Z2215" s="15" t="inlineStr">
        <is>
          <t>No issue found</t>
        </is>
      </c>
      <c r="AA2215" s="15" t="inlineStr">
        <is>
          <t>No issue evidence found in search.</t>
        </is>
      </c>
      <c r="AB2215" s="15" t="n"/>
    </row>
    <row r="2216" ht="15" customHeight="1" s="12">
      <c r="A2216" s="14" t="n">
        <v>2215</v>
      </c>
      <c r="B2216" s="16" t="n">
        <v>38226</v>
      </c>
      <c r="C2216" s="15" t="n">
        <v>2004</v>
      </c>
      <c r="D2216" s="15" t="inlineStr">
        <is>
          <t>National Thermal Power Corporation Limited</t>
        </is>
      </c>
      <c r="E2216" s="15" t="inlineStr">
        <is>
          <t>DRHP</t>
        </is>
      </c>
      <c r="F2216" s="15" t="inlineStr">
        <is>
          <t>National Thermal Power Corporation Limited</t>
        </is>
      </c>
      <c r="G2216" s="15" t="inlineStr">
        <is>
          <t>No launched IPO found</t>
        </is>
      </c>
      <c r="H2216" s="15" t="n"/>
      <c r="I2216" s="16" t="n"/>
      <c r="J2216" s="16" t="n"/>
      <c r="K2216" s="16" t="n"/>
      <c r="L2216" s="17" t="n"/>
      <c r="M2216" s="17" t="n"/>
      <c r="N2216" s="17" t="n"/>
      <c r="O2216" s="15" t="n"/>
      <c r="P2216" s="15" t="n"/>
      <c r="Q2216" s="18" t="inlineStr">
        <is>
          <t>https://www.sebi.gov.in/sebi_data/attachdocs/1293083301000.pdf</t>
        </is>
      </c>
      <c r="R2216" s="18" t="inlineStr">
        <is>
          <t>https://www.sebi.gov.in/filings/public-issues/aug-2004/national-thermal-power-corporation-limited_12905.html</t>
        </is>
      </c>
      <c r="S2216" s="15" t="n"/>
      <c r="T2216" s="15" t="n"/>
      <c r="U2216" s="15" t="n"/>
      <c r="V2216" s="15" t="n"/>
      <c r="W2216" s="19" t="n">
        <v>38267</v>
      </c>
      <c r="X2216" s="19" t="n">
        <v>38274</v>
      </c>
      <c r="Y2216" s="19" t="n"/>
      <c r="Z2216" s="20" t="inlineStr">
        <is>
          <t>Issue opened</t>
        </is>
      </c>
      <c r="AA2216" s="15" t="inlineStr">
        <is>
          <t>Matched on chittorgarh.com</t>
        </is>
      </c>
      <c r="AB2216" s="18" t="inlineStr">
        <is>
          <t>https://www.chittorgarh.com/ipo/national-thermal-power-ipo/3127/</t>
        </is>
      </c>
    </row>
    <row r="2217" ht="15" customHeight="1" s="12">
      <c r="A2217" s="14" t="n">
        <v>2216</v>
      </c>
      <c r="B2217" s="16" t="n">
        <v>38225</v>
      </c>
      <c r="C2217" s="15" t="n">
        <v>2004</v>
      </c>
      <c r="D2217" s="15" t="inlineStr">
        <is>
          <t>Mars Restaurants Limited</t>
        </is>
      </c>
      <c r="E2217" s="15" t="inlineStr">
        <is>
          <t>DRHP</t>
        </is>
      </c>
      <c r="F2217" s="15" t="inlineStr">
        <is>
          <t>Mars Restaurants Limited</t>
        </is>
      </c>
      <c r="G2217" s="15" t="inlineStr">
        <is>
          <t>No launched IPO found</t>
        </is>
      </c>
      <c r="H2217" s="15" t="n"/>
      <c r="I2217" s="16" t="n"/>
      <c r="J2217" s="16" t="n"/>
      <c r="K2217" s="16" t="n"/>
      <c r="L2217" s="17" t="n"/>
      <c r="M2217" s="17" t="n"/>
      <c r="N2217" s="17" t="n"/>
      <c r="O2217" s="15" t="n"/>
      <c r="P2217" s="15" t="n"/>
      <c r="Q2217" s="18" t="inlineStr">
        <is>
          <t>https://www.sebi.gov.in/sebi_data/attachdocs/1293083112551.pdf</t>
        </is>
      </c>
      <c r="R2217" s="18" t="inlineStr">
        <is>
          <t>https://www.sebi.gov.in/filings/public-issues/aug-2004/mars-restaurants-limited_12903.html</t>
        </is>
      </c>
      <c r="S2217" s="15" t="n"/>
      <c r="T2217" s="15" t="n"/>
      <c r="U2217" s="15" t="n"/>
      <c r="V2217" s="15" t="n"/>
      <c r="W2217" s="16" t="n"/>
      <c r="X2217" s="16" t="n"/>
      <c r="Y2217" s="16" t="n"/>
      <c r="Z2217" s="15" t="inlineStr">
        <is>
          <t>No issue found</t>
        </is>
      </c>
      <c r="AA2217" s="15" t="inlineStr">
        <is>
          <t>No issue evidence found in search.</t>
        </is>
      </c>
      <c r="AB2217" s="15" t="n"/>
    </row>
    <row r="2218" ht="15" customHeight="1" s="12">
      <c r="A2218" s="14" t="n">
        <v>2217</v>
      </c>
      <c r="B2218" s="16" t="n">
        <v>38224</v>
      </c>
      <c r="C2218" s="15" t="n">
        <v>2004</v>
      </c>
      <c r="D2218" s="15" t="inlineStr">
        <is>
          <t>Shopper's Stop Limited</t>
        </is>
      </c>
      <c r="E2218" s="15" t="inlineStr">
        <is>
          <t>DRHP</t>
        </is>
      </c>
      <c r="F2218" s="15" t="inlineStr">
        <is>
          <t>Shopper's Stop Limited</t>
        </is>
      </c>
      <c r="G2218" s="15" t="inlineStr">
        <is>
          <t>No launched IPO found</t>
        </is>
      </c>
      <c r="H2218" s="15" t="n"/>
      <c r="I2218" s="16" t="n"/>
      <c r="J2218" s="16" t="n"/>
      <c r="K2218" s="16" t="n"/>
      <c r="L2218" s="17" t="n"/>
      <c r="M2218" s="17" t="n"/>
      <c r="N2218" s="17" t="n"/>
      <c r="O2218" s="15" t="n"/>
      <c r="P2218" s="15" t="n"/>
      <c r="Q2218" s="18" t="inlineStr">
        <is>
          <t>https://www.sebi.gov.in/sebi_data/attachdocs/1293082881081.pdf</t>
        </is>
      </c>
      <c r="R2218" s="18" t="inlineStr">
        <is>
          <t>https://www.sebi.gov.in/filings/public-issues/aug-2004/shopper-s-stop-limited_12900.html</t>
        </is>
      </c>
      <c r="S2218" s="15" t="n"/>
      <c r="T2218" s="15" t="n"/>
      <c r="U2218" s="15" t="n"/>
      <c r="V2218" s="15" t="n"/>
      <c r="W2218" s="19" t="n">
        <v>38470</v>
      </c>
      <c r="X2218" s="19" t="n">
        <v>38476</v>
      </c>
      <c r="Y2218" s="19" t="n"/>
      <c r="Z2218" s="20" t="inlineStr">
        <is>
          <t>Issue opened</t>
        </is>
      </c>
      <c r="AA2218" s="15" t="inlineStr">
        <is>
          <t>Matched on chittorgarh.com</t>
        </is>
      </c>
      <c r="AB2218" s="18" t="inlineStr">
        <is>
          <t>https://www.chittorgarh.com/ipo/shoppers-stop-ipo/3025/</t>
        </is>
      </c>
    </row>
    <row r="2219" ht="15" customHeight="1" s="12">
      <c r="A2219" s="14" t="n">
        <v>2218</v>
      </c>
      <c r="B2219" s="16" t="n">
        <v>38181</v>
      </c>
      <c r="C2219" s="15" t="n">
        <v>2004</v>
      </c>
      <c r="D2219" s="15" t="inlineStr">
        <is>
          <t>UTV Software Communications Limited</t>
        </is>
      </c>
      <c r="E2219" s="15" t="inlineStr">
        <is>
          <t>DRHP</t>
        </is>
      </c>
      <c r="F2219" s="15" t="inlineStr">
        <is>
          <t>UTV Software Communications Limited -PDF</t>
        </is>
      </c>
      <c r="G2219" s="15" t="inlineStr">
        <is>
          <t>No launched IPO found</t>
        </is>
      </c>
      <c r="H2219" s="15" t="n"/>
      <c r="I2219" s="16" t="n"/>
      <c r="J2219" s="16" t="n"/>
      <c r="K2219" s="16" t="n"/>
      <c r="L2219" s="17" t="n"/>
      <c r="M2219" s="17" t="n"/>
      <c r="N2219" s="17" t="n"/>
      <c r="O2219" s="15" t="n"/>
      <c r="P2219" s="15" t="n"/>
      <c r="Q2219" s="18" t="inlineStr">
        <is>
          <t>https://www.sebi.gov.in/sebi_data/attachdocs/1295591742876.pdf</t>
        </is>
      </c>
      <c r="R2219" s="18" t="inlineStr">
        <is>
          <t>https://www.sebi.gov.in/filings/public-issues/jul-2004/utv-software-communications-limited-pdf_14387.html</t>
        </is>
      </c>
      <c r="S2219" s="15" t="n"/>
      <c r="T2219" s="15" t="n"/>
      <c r="U2219" s="15" t="n"/>
      <c r="V2219" s="15" t="n"/>
      <c r="W2219" s="19" t="n">
        <v>38404</v>
      </c>
      <c r="X2219" s="19" t="n">
        <v>38408</v>
      </c>
      <c r="Y2219" s="19" t="n"/>
      <c r="Z2219" s="20" t="inlineStr">
        <is>
          <t>Issue opened</t>
        </is>
      </c>
      <c r="AA2219" s="15" t="inlineStr">
        <is>
          <t>Matched on chittorgarh.com</t>
        </is>
      </c>
      <c r="AB2219" s="18" t="inlineStr">
        <is>
          <t>https://www.chittorgarh.com/ipo/utv-software-communications-ipo/3010/</t>
        </is>
      </c>
    </row>
    <row r="2220" ht="15" customHeight="1" s="12">
      <c r="A2220" s="14" t="n">
        <v>2219</v>
      </c>
      <c r="B2220" s="16" t="n">
        <v>38155</v>
      </c>
      <c r="C2220" s="15" t="n">
        <v>2004</v>
      </c>
      <c r="D2220" s="15" t="inlineStr">
        <is>
          <t>Sunil Synchem Limited</t>
        </is>
      </c>
      <c r="E2220" s="15" t="inlineStr">
        <is>
          <t>DRHP</t>
        </is>
      </c>
      <c r="F2220" s="15" t="inlineStr">
        <is>
          <t>Sunil Synchem Limited</t>
        </is>
      </c>
      <c r="G2220" s="15" t="inlineStr">
        <is>
          <t>No launched IPO found</t>
        </is>
      </c>
      <c r="H2220" s="15" t="n"/>
      <c r="I2220" s="16" t="n"/>
      <c r="J2220" s="16" t="n"/>
      <c r="K2220" s="16" t="n"/>
      <c r="L2220" s="17" t="n"/>
      <c r="M2220" s="17" t="n"/>
      <c r="N2220" s="17" t="n"/>
      <c r="O2220" s="15" t="n"/>
      <c r="P2220" s="15" t="n"/>
      <c r="Q2220" s="18" t="inlineStr">
        <is>
          <t>https://www.sebi.gov.in/sebi_data/attachdocs/1293077763420.pdf</t>
        </is>
      </c>
      <c r="R2220" s="18" t="inlineStr">
        <is>
          <t>https://www.sebi.gov.in/filings/public-issues/jun-2004/sunil-synchem-limited_12823.html</t>
        </is>
      </c>
      <c r="S2220" s="15" t="n"/>
      <c r="T2220" s="15" t="n"/>
      <c r="U2220" s="15" t="n"/>
      <c r="V2220" s="15" t="n"/>
      <c r="W2220" s="16" t="n"/>
      <c r="X2220" s="16" t="n"/>
      <c r="Y2220" s="16" t="n"/>
      <c r="Z2220" s="15" t="inlineStr">
        <is>
          <t>No issue found</t>
        </is>
      </c>
      <c r="AA2220" s="15" t="inlineStr">
        <is>
          <t>Search found nothing on a 2004 issue; company later Sunil Healthcare.</t>
        </is>
      </c>
      <c r="AB2220" s="15" t="n"/>
    </row>
    <row r="2221" ht="15" customHeight="1" s="12">
      <c r="A2221" s="14" t="n">
        <v>2220</v>
      </c>
      <c r="B2221" s="16" t="n">
        <v>38146</v>
      </c>
      <c r="C2221" s="15" t="n">
        <v>2004</v>
      </c>
      <c r="D2221" s="15" t="inlineStr">
        <is>
          <t>Impex Ferro Tech Ltd</t>
        </is>
      </c>
      <c r="E2221" s="15" t="inlineStr">
        <is>
          <t>DRHP</t>
        </is>
      </c>
      <c r="F2221" s="15" t="inlineStr">
        <is>
          <t>Impex Ferro Tech Ltd - PDF</t>
        </is>
      </c>
      <c r="G2221" s="15" t="inlineStr">
        <is>
          <t>No launched IPO found</t>
        </is>
      </c>
      <c r="H2221" s="15" t="n"/>
      <c r="I2221" s="16" t="n"/>
      <c r="J2221" s="16" t="n"/>
      <c r="K2221" s="16" t="n"/>
      <c r="L2221" s="17" t="n"/>
      <c r="M2221" s="17" t="n"/>
      <c r="N2221" s="17" t="n"/>
      <c r="O2221" s="15" t="n"/>
      <c r="P2221" s="15" t="n"/>
      <c r="Q2221" s="18" t="inlineStr">
        <is>
          <t>https://www.sebi.gov.in/sebi_data/attachdocs/1293077677108.pdf</t>
        </is>
      </c>
      <c r="R2221" s="18" t="inlineStr">
        <is>
          <t>https://www.sebi.gov.in/filings/public-issues/jun-2004/impex-ferro-tech-ltd-pdf_12821.html</t>
        </is>
      </c>
      <c r="S2221" s="15" t="n"/>
      <c r="T2221" s="15" t="n"/>
      <c r="U2221" s="15" t="n"/>
      <c r="V2221" s="15" t="n"/>
      <c r="W2221" s="19" t="n">
        <v>38343</v>
      </c>
      <c r="X2221" s="19" t="n">
        <v>38352</v>
      </c>
      <c r="Y2221" s="19" t="n"/>
      <c r="Z2221" s="20" t="inlineStr">
        <is>
          <t>Issue opened</t>
        </is>
      </c>
      <c r="AA2221" s="15" t="inlineStr">
        <is>
          <t>Matched on chittorgarh.com</t>
        </is>
      </c>
      <c r="AB2221" s="18" t="inlineStr">
        <is>
          <t>https://www.chittorgarh.com/ipo/impex-ferro-tech-ipo/3134/</t>
        </is>
      </c>
    </row>
  </sheetData>
  <autoFilter ref="A1:AB2221"/>
  <hyperlinks>
    <hyperlink xmlns:r="http://schemas.openxmlformats.org/officeDocument/2006/relationships" ref="Q2" display="https://www.sebi.gov.in/sebi_data/attachdocs/sep-2026/1790767812069_1378.pdf" r:id="rId1"/>
    <hyperlink xmlns:r="http://schemas.openxmlformats.org/officeDocument/2006/relationships" ref="R2" display="https://www.sebi.gov.in/filings/public-issues/sep-2026/j-b-ecotex-limited_104830.html" r:id="rId2"/>
    <hyperlink xmlns:r="http://schemas.openxmlformats.org/officeDocument/2006/relationships" ref="AB2" r:id="rId3"/>
    <hyperlink xmlns:r="http://schemas.openxmlformats.org/officeDocument/2006/relationships" ref="Q3" display="https://www.sebi.gov.in/sebi_data/attachdocs/sep-2026/1790767812069_1377.pdf" r:id="rId4"/>
    <hyperlink xmlns:r="http://schemas.openxmlformats.org/officeDocument/2006/relationships" ref="R3" display="https://www.sebi.gov.in/filings/public-issues/sep-2026/s-g-encon-limited_104828.html" r:id="rId5"/>
    <hyperlink xmlns:r="http://schemas.openxmlformats.org/officeDocument/2006/relationships" ref="Q4" display="https://www.sebi.gov.in/sebi_data/attachdocs/sep-2026/1790767812069_1376.pdf" r:id="rId6"/>
    <hyperlink xmlns:r="http://schemas.openxmlformats.org/officeDocument/2006/relationships" ref="R4" display="https://www.sebi.gov.in/filings/public-issues/sep-2026/s-d-international-limited_104826.html" r:id="rId7"/>
    <hyperlink xmlns:r="http://schemas.openxmlformats.org/officeDocument/2006/relationships" ref="Q5" display="https://www.sebi.gov.in/sebi_data/attachdocs/sep-2026/1790681405842_1375.pdf" r:id="rId8"/>
    <hyperlink xmlns:r="http://schemas.openxmlformats.org/officeDocument/2006/relationships" ref="R5" display="https://www.sebi.gov.in/filings/public-issues/sep-2026/ultravibrant-integrated-energy-limited_104809.html" r:id="rId9"/>
    <hyperlink xmlns:r="http://schemas.openxmlformats.org/officeDocument/2006/relationships" ref="Q6" display="https://www.sebi.gov.in/sebi_data/attachdocs/sep-2026/1790743844411.pdf" r:id="rId10"/>
    <hyperlink xmlns:r="http://schemas.openxmlformats.org/officeDocument/2006/relationships" ref="R6" display="https://www.sebi.gov.in/filings/public-issues/sep-2026/iris-global-services-limited-drhp_104746.html" r:id="rId11"/>
    <hyperlink xmlns:r="http://schemas.openxmlformats.org/officeDocument/2006/relationships" ref="S6" display="https://www.sebi.gov.in/sebi_data/commondocs/sep-2026/Iris%20Global%20Services%20Limited%20-%20DAP_p.pdf" r:id="rId12"/>
    <hyperlink xmlns:r="http://schemas.openxmlformats.org/officeDocument/2006/relationships" ref="Q7" display="https://www.sebi.gov.in/sebi_data/attachdocs/sep-2026/1790585630648.pdf" r:id="rId13"/>
    <hyperlink xmlns:r="http://schemas.openxmlformats.org/officeDocument/2006/relationships" ref="R7" display="https://www.sebi.gov.in/filings/public-issues/sep-2026/jsw-one-platforms-limited-drhp_104742.html" r:id="rId14"/>
    <hyperlink xmlns:r="http://schemas.openxmlformats.org/officeDocument/2006/relationships" ref="S7" display="https://www.sebi.gov.in/sebi_data/commondocs/sep-2026/JSW%20One%20Platforms%20Limited%20-%20Draft%20Abridged%20Prospectus_p.pdf" r:id="rId15"/>
    <hyperlink xmlns:r="http://schemas.openxmlformats.org/officeDocument/2006/relationships" ref="AB7" r:id="rId16"/>
    <hyperlink xmlns:r="http://schemas.openxmlformats.org/officeDocument/2006/relationships" ref="Q8" display="https://www.sebi.gov.in/sebi_data/attachdocs/sep-2026/1790320604407.pdf" r:id="rId17"/>
    <hyperlink xmlns:r="http://schemas.openxmlformats.org/officeDocument/2006/relationships" ref="R8" display="https://www.sebi.gov.in/filings/public-issues/sep-2026/anjali-labtech-limited-udrhp-i_104737.html" r:id="rId18"/>
    <hyperlink xmlns:r="http://schemas.openxmlformats.org/officeDocument/2006/relationships" ref="S8" display="https://www.sebi.gov.in/sebi_data/commondocs/sep-2026/Anjali%20Labtech%20Limited%20-%20DAP_p.pdf" r:id="rId19"/>
    <hyperlink xmlns:r="http://schemas.openxmlformats.org/officeDocument/2006/relationships" ref="AB8" r:id="rId20"/>
    <hyperlink xmlns:r="http://schemas.openxmlformats.org/officeDocument/2006/relationships" ref="Q9" display="https://www.sebi.gov.in/sebi_data/attachdocs/sep-2026/1790076604769_1355.pdf" r:id="rId21"/>
    <hyperlink xmlns:r="http://schemas.openxmlformats.org/officeDocument/2006/relationships" ref="R9" display="https://www.sebi.gov.in/filings/public-issues/sep-2026/vardaan-biotech-limited-drhp_104652.html" r:id="rId22"/>
    <hyperlink xmlns:r="http://schemas.openxmlformats.org/officeDocument/2006/relationships" ref="S9" display="https://www.sebi.gov.in/sebi_data/commondocs/sep-2026/VARDAAN%20BIOTECH%20LIMITED_p.pdf" r:id="rId23"/>
    <hyperlink xmlns:r="http://schemas.openxmlformats.org/officeDocument/2006/relationships" ref="AB9" r:id="rId24"/>
    <hyperlink xmlns:r="http://schemas.openxmlformats.org/officeDocument/2006/relationships" ref="Q10" display="https://www.sebi.gov.in/sebi_data/attachdocs/sep-2026/1790058959002.pdf" r:id="rId25"/>
    <hyperlink xmlns:r="http://schemas.openxmlformats.org/officeDocument/2006/relationships" ref="R10" display="https://www.sebi.gov.in/filings/public-issues/sep-2026/hi-tech-flow-solutions-limited-drhp_104635.html" r:id="rId26"/>
    <hyperlink xmlns:r="http://schemas.openxmlformats.org/officeDocument/2006/relationships" ref="S10" display="https://www.sebi.gov.in/sebi_data/commondocs/sep-2026/HitechFlowSolutionsDAP_p.pdf" r:id="rId27"/>
    <hyperlink xmlns:r="http://schemas.openxmlformats.org/officeDocument/2006/relationships" ref="Q11" display="https://www.sebi.gov.in/sebi_data/attachdocs/sep-2026/1789731006415_1354.pdf" r:id="rId28"/>
    <hyperlink xmlns:r="http://schemas.openxmlformats.org/officeDocument/2006/relationships" ref="R11" display="https://www.sebi.gov.in/filings/public-issues/sep-2026/anchor-offshore-services-limited-drhp_104580.html" r:id="rId29"/>
    <hyperlink xmlns:r="http://schemas.openxmlformats.org/officeDocument/2006/relationships" ref="S11" display="https://www.sebi.gov.in/sebi_data/commondocs/sep-2026/Anchor%20Offshore%20Services%20Limited-DA_p.pdf" r:id="rId30"/>
    <hyperlink xmlns:r="http://schemas.openxmlformats.org/officeDocument/2006/relationships" ref="Q12" display="https://www.sebi.gov.in/sebi_data/attachdocs/sep-2026/1789720399852.pdf" r:id="rId31"/>
    <hyperlink xmlns:r="http://schemas.openxmlformats.org/officeDocument/2006/relationships" ref="R12" display="https://www.sebi.gov.in/filings/public-issues/sep-2026/madhur-iron-and-steel-india-limited-drhp_104575.html" r:id="rId32"/>
    <hyperlink xmlns:r="http://schemas.openxmlformats.org/officeDocument/2006/relationships" ref="S12" display="https://www.sebi.gov.in/sebi_data/commondocs/sep-2026/Madhur%20Iron%20And%20Steel%20India%20Limited%20-%20Draft%20AP_p.pdf" r:id="rId33"/>
    <hyperlink xmlns:r="http://schemas.openxmlformats.org/officeDocument/2006/relationships" ref="AB12" r:id="rId34"/>
    <hyperlink xmlns:r="http://schemas.openxmlformats.org/officeDocument/2006/relationships" ref="Q13" display="https://www.sebi.gov.in/sebi_data/attachdocs/sep-2026/1789635115853.pdf" r:id="rId35"/>
    <hyperlink xmlns:r="http://schemas.openxmlformats.org/officeDocument/2006/relationships" ref="R13" display="https://www.sebi.gov.in/filings/public-issues/sep-2026/iberia-pharmaceuticals-india-limited-drhp_104542.html" r:id="rId36"/>
    <hyperlink xmlns:r="http://schemas.openxmlformats.org/officeDocument/2006/relationships" ref="S13" display="https://www.sebi.gov.in/sebi_data/commondocs/sep-2026/IBERIA%20PHARMACEUTICALS%20INDIA%20LIMITED_p.pdf" r:id="rId37"/>
    <hyperlink xmlns:r="http://schemas.openxmlformats.org/officeDocument/2006/relationships" ref="Q14" display="https://www.sebi.gov.in/sebi_data/attachdocs/sep-2026/1789624666577.pdf" r:id="rId38"/>
    <hyperlink xmlns:r="http://schemas.openxmlformats.org/officeDocument/2006/relationships" ref="R14" display="https://www.sebi.gov.in/filings/public-issues/sep-2026/rayzon-solar-limited-addendum-to-the-drhp_104532.html" r:id="rId39"/>
    <hyperlink xmlns:r="http://schemas.openxmlformats.org/officeDocument/2006/relationships" ref="AB14" r:id="rId40"/>
    <hyperlink xmlns:r="http://schemas.openxmlformats.org/officeDocument/2006/relationships" ref="Q15" display="https://www.sebi.gov.in/sebi_data/attachdocs/sep-2026/1789549247423.pdf" r:id="rId41"/>
    <hyperlink xmlns:r="http://schemas.openxmlformats.org/officeDocument/2006/relationships" ref="R15" display="https://www.sebi.gov.in/filings/public-issues/sep-2026/sterlite-electric-limited-second-addendum-to-drhp_104506.html" r:id="rId42"/>
    <hyperlink xmlns:r="http://schemas.openxmlformats.org/officeDocument/2006/relationships" ref="AB15" r:id="rId43"/>
    <hyperlink xmlns:r="http://schemas.openxmlformats.org/officeDocument/2006/relationships" ref="Q16" display="https://www.sebi.gov.in/sebi_data/attachdocs/sep-2026/1789531323564.pdf" r:id="rId44"/>
    <hyperlink xmlns:r="http://schemas.openxmlformats.org/officeDocument/2006/relationships" ref="R16" display="https://www.sebi.gov.in/filings/public-issues/sep-2026/maharashtra-oil-extractions-limited-drhp_104503.html" r:id="rId45"/>
    <hyperlink xmlns:r="http://schemas.openxmlformats.org/officeDocument/2006/relationships" ref="S16" display="https://www.sebi.gov.in/sebi_data/commondocs/sep-2026/Maharashtra%20Oil%20Extractions%20Limited%20-%20DAP_p.pdf" r:id="rId46"/>
    <hyperlink xmlns:r="http://schemas.openxmlformats.org/officeDocument/2006/relationships" ref="Q17" display="https://www.sebi.gov.in/sebi_data/attachdocs/sep-2026/1789448460012.pdf" r:id="rId47"/>
    <hyperlink xmlns:r="http://schemas.openxmlformats.org/officeDocument/2006/relationships" ref="R17" display="https://www.sebi.gov.in/filings/public-issues/sep-2026/german-green-steel-and-power-limited-addendum-ii-to-drhp_104480.html" r:id="rId48"/>
    <hyperlink xmlns:r="http://schemas.openxmlformats.org/officeDocument/2006/relationships" ref="AB17" r:id="rId49"/>
    <hyperlink xmlns:r="http://schemas.openxmlformats.org/officeDocument/2006/relationships" ref="Q18" display="https://www.sebi.gov.in/sebi_data/attachdocs/sep-2026/1789111806400_1350.pdf" r:id="rId50"/>
    <hyperlink xmlns:r="http://schemas.openxmlformats.org/officeDocument/2006/relationships" ref="R18" display="https://www.sebi.gov.in/filings/public-issues/sep-2026/m-k-c-agro-fresh-limited-drhp_104430.html" r:id="rId51"/>
    <hyperlink xmlns:r="http://schemas.openxmlformats.org/officeDocument/2006/relationships" ref="S18" display="https://www.sebi.gov.in/sebi_data/commondocs/sep-2026/M%20K%20C%20AGRO%20FRESH%20LIMITED%20-%20DAP_p.pdf" r:id="rId52"/>
    <hyperlink xmlns:r="http://schemas.openxmlformats.org/officeDocument/2006/relationships" ref="Q19" display="https://www.sebi.gov.in/sebi_data/attachdocs/sep-2026/1789104761658.pdf" r:id="rId53"/>
    <hyperlink xmlns:r="http://schemas.openxmlformats.org/officeDocument/2006/relationships" ref="R19" display="https://www.sebi.gov.in/filings/public-issues/sep-2026/nopaperforms-solutions-limited-udrhp-1_104427.html" r:id="rId54"/>
    <hyperlink xmlns:r="http://schemas.openxmlformats.org/officeDocument/2006/relationships" ref="S19" display="https://www.sebi.gov.in/sebi_data/commondocs/sep-2026/NOPAPERFORMS%20SOLUTIONS%20LIMITED%20-%20DAP_p.pdf" r:id="rId55"/>
    <hyperlink xmlns:r="http://schemas.openxmlformats.org/officeDocument/2006/relationships" ref="AB19" r:id="rId56"/>
    <hyperlink xmlns:r="http://schemas.openxmlformats.org/officeDocument/2006/relationships" ref="Q20" display="https://www.sebi.gov.in/sebi_data/attachdocs/sep-2026/1789099604614.pdf" r:id="rId57"/>
    <hyperlink xmlns:r="http://schemas.openxmlformats.org/officeDocument/2006/relationships" ref="R20" display="https://www.sebi.gov.in/filings/public-issues/sep-2026/runwal-enterprises-limited-addendum-to-drhp_104424.html" r:id="rId58"/>
    <hyperlink xmlns:r="http://schemas.openxmlformats.org/officeDocument/2006/relationships" ref="AB20" r:id="rId59"/>
    <hyperlink xmlns:r="http://schemas.openxmlformats.org/officeDocument/2006/relationships" ref="Q21" display="https://www.sebi.gov.in/sebi_data/attachdocs/sep-2026/1789618323211.pdf" r:id="rId60"/>
    <hyperlink xmlns:r="http://schemas.openxmlformats.org/officeDocument/2006/relationships" ref="R21" display="https://www.sebi.gov.in/filings/public-issues/sep-2026/incred-holdings-limited-corrigendum-to-udrhp_104399.html" r:id="rId61"/>
    <hyperlink xmlns:r="http://schemas.openxmlformats.org/officeDocument/2006/relationships" ref="AB21" r:id="rId62"/>
    <hyperlink xmlns:r="http://schemas.openxmlformats.org/officeDocument/2006/relationships" ref="Q22" display="https://www.sebi.gov.in/sebi_data/attachdocs/sep-2026/1788937260208.PDF" r:id="rId63"/>
    <hyperlink xmlns:r="http://schemas.openxmlformats.org/officeDocument/2006/relationships" ref="R22" display="https://www.sebi.gov.in/filings/public-issues/sep-2026/torrent-gas-limited-udrhp-i_104350.html" r:id="rId64"/>
    <hyperlink xmlns:r="http://schemas.openxmlformats.org/officeDocument/2006/relationships" ref="S22" display="https://www.sebi.gov.in/sebi_data/commondocs/sep-2026/Torrent%20Gas%20Limited%20-%20DAP_p.pdf" r:id="rId65"/>
    <hyperlink xmlns:r="http://schemas.openxmlformats.org/officeDocument/2006/relationships" ref="AB22" r:id="rId66"/>
    <hyperlink xmlns:r="http://schemas.openxmlformats.org/officeDocument/2006/relationships" ref="Q23" display="https://www.sebi.gov.in/sebi_data/attachdocs/sep-2026/1788844179347.pdf" r:id="rId67"/>
    <hyperlink xmlns:r="http://schemas.openxmlformats.org/officeDocument/2006/relationships" ref="R23" display="https://www.sebi.gov.in/filings/public-issues/sep-2026/hero-motors-limited-corrigendum-to-addendum-_104330.html" r:id="rId68"/>
    <hyperlink xmlns:r="http://schemas.openxmlformats.org/officeDocument/2006/relationships" ref="Q24" display="https://www.sebi.gov.in/sebi_data/attachdocs/sep-2026/1788761365481.pdf" r:id="rId69"/>
    <hyperlink xmlns:r="http://schemas.openxmlformats.org/officeDocument/2006/relationships" ref="R24" display="https://www.sebi.gov.in/filings/public-issues/sep-2026/mahanadi-coalfields-ltd-drhp_104290.html" r:id="rId70"/>
    <hyperlink xmlns:r="http://schemas.openxmlformats.org/officeDocument/2006/relationships" ref="S24" display="https://www.sebi.gov.in/sebi_data/commondocs/sep-2026/Mahanadi%20Coalfields%20Limited%20_Draft%20Abridged%20Prospectus_p.pdf" r:id="rId71"/>
    <hyperlink xmlns:r="http://schemas.openxmlformats.org/officeDocument/2006/relationships" ref="AB24" r:id="rId72"/>
    <hyperlink xmlns:r="http://schemas.openxmlformats.org/officeDocument/2006/relationships" ref="Q25" display="https://www.sebi.gov.in/sebi_data/attachdocs/sep-2026/1788516638656.pdf" r:id="rId73"/>
    <hyperlink xmlns:r="http://schemas.openxmlformats.org/officeDocument/2006/relationships" ref="R25" display="https://www.sebi.gov.in/filings/public-issues/sep-2026/gaurik-fashions-limited-addendum-to-drhp_104276.html" r:id="rId74"/>
    <hyperlink xmlns:r="http://schemas.openxmlformats.org/officeDocument/2006/relationships" ref="AB25" r:id="rId75"/>
    <hyperlink xmlns:r="http://schemas.openxmlformats.org/officeDocument/2006/relationships" ref="Q26" display="https://www.sebi.gov.in/sebi_data/attachdocs/sep-2026/1788507005445_1348.pdf" r:id="rId76"/>
    <hyperlink xmlns:r="http://schemas.openxmlformats.org/officeDocument/2006/relationships" ref="R26" display="https://www.sebi.gov.in/filings/public-issues/sep-2026/india-exposition-mart-limited_104273.html" r:id="rId77"/>
    <hyperlink xmlns:r="http://schemas.openxmlformats.org/officeDocument/2006/relationships" ref="AB26" r:id="rId78"/>
    <hyperlink xmlns:r="http://schemas.openxmlformats.org/officeDocument/2006/relationships" ref="Q27" display="https://www.sebi.gov.in/sebi_data/attachdocs/sep-2026/1788262207109_1345.pdf" r:id="rId79"/>
    <hyperlink xmlns:r="http://schemas.openxmlformats.org/officeDocument/2006/relationships" ref="R27" display="https://www.sebi.gov.in/filings/public-issues/sep-2026/kataria-dhulchand-pannalal-jewellers-limited-drhp_104178.html" r:id="rId80"/>
    <hyperlink xmlns:r="http://schemas.openxmlformats.org/officeDocument/2006/relationships" ref="S27" display="https://www.sebi.gov.in/sebi_data/commondocs/sep-2026/Kataria%20Dhulchand%20Pannalal%20Jewellers%20Ltd%20-%20DAP_p.pdf" r:id="rId81"/>
    <hyperlink xmlns:r="http://schemas.openxmlformats.org/officeDocument/2006/relationships" ref="Q28" display="https://www.sebi.gov.in/sebi_data/attachdocs/sep-2026/1788245484072.pdf" r:id="rId82"/>
    <hyperlink xmlns:r="http://schemas.openxmlformats.org/officeDocument/2006/relationships" ref="R28" display="https://www.sebi.gov.in/filings/public-issues/sep-2026/sembcorp-green-infra-limited-drhp_104162.html" r:id="rId83"/>
    <hyperlink xmlns:r="http://schemas.openxmlformats.org/officeDocument/2006/relationships" ref="S28" display="https://www.sebi.gov.in/sebi_data/commondocs/sep-2026/Sembcorp%20Green%20Infra%20Limited%20-%20Draft%20Abridged%20Prospectus_p.pdf" r:id="rId84"/>
    <hyperlink xmlns:r="http://schemas.openxmlformats.org/officeDocument/2006/relationships" ref="AB28" r:id="rId85"/>
    <hyperlink xmlns:r="http://schemas.openxmlformats.org/officeDocument/2006/relationships" ref="Q29" display="https://www.sebi.gov.in/sebi_data/attachdocs/sep-2026/1788238496589.pdf" r:id="rId86"/>
    <hyperlink xmlns:r="http://schemas.openxmlformats.org/officeDocument/2006/relationships" ref="R29" display="https://www.sebi.gov.in/filings/public-issues/sep-2026/aragen-life-sciences-limited-drhp_104157.html" r:id="rId87"/>
    <hyperlink xmlns:r="http://schemas.openxmlformats.org/officeDocument/2006/relationships" ref="S29" display="https://www.sebi.gov.in/sebi_data/commondocs/sep-2026/ARAGEN%20LIFE%20SCIENCES%20LIMITED%20-%20DAP_p.pdf" r:id="rId88"/>
    <hyperlink xmlns:r="http://schemas.openxmlformats.org/officeDocument/2006/relationships" ref="AB29" r:id="rId89"/>
    <hyperlink xmlns:r="http://schemas.openxmlformats.org/officeDocument/2006/relationships" ref="Q30" display="https://www.sebi.gov.in/sebi_data/attachdocs/aug-2026/1788154946517.PDF" r:id="rId90"/>
    <hyperlink xmlns:r="http://schemas.openxmlformats.org/officeDocument/2006/relationships" ref="R30" display="https://www.sebi.gov.in/filings/public-issues/aug-2026/hero-motors-limited-addendum-to-drhp_104121.html" r:id="rId91"/>
    <hyperlink xmlns:r="http://schemas.openxmlformats.org/officeDocument/2006/relationships" ref="Q31" display="https://www.sebi.gov.in/sebi_data/attachdocs/aug-2026/1787809930622.pdf" r:id="rId92"/>
    <hyperlink xmlns:r="http://schemas.openxmlformats.org/officeDocument/2006/relationships" ref="R31" display="https://www.sebi.gov.in/filings/public-issues/aug-2026/atomberg-technologies-limited-drhp_104037.html" r:id="rId93"/>
    <hyperlink xmlns:r="http://schemas.openxmlformats.org/officeDocument/2006/relationships" ref="S31" display="https://www.sebi.gov.in/sebi_data/commondocs/aug-2026/ATOMBERG%20TECHNOLOGIES%20LIMITED%20-%20AP_p.pdf" r:id="rId94"/>
    <hyperlink xmlns:r="http://schemas.openxmlformats.org/officeDocument/2006/relationships" ref="AB31" r:id="rId95"/>
    <hyperlink xmlns:r="http://schemas.openxmlformats.org/officeDocument/2006/relationships" ref="Q32" display="https://www.sebi.gov.in/sebi_data/attachdocs/aug-2026/1787804373286.pdf" r:id="rId96"/>
    <hyperlink xmlns:r="http://schemas.openxmlformats.org/officeDocument/2006/relationships" ref="R32" display="https://www.sebi.gov.in/filings/public-issues/aug-2026/karamtara-engineering-limited-addendum-to-drhp_104033.html" r:id="rId97"/>
    <hyperlink xmlns:r="http://schemas.openxmlformats.org/officeDocument/2006/relationships" ref="Q33" display="https://www.sebi.gov.in/sebi_data/attachdocs/sep-2026/1788764099334.pdf" r:id="rId98"/>
    <hyperlink xmlns:r="http://schemas.openxmlformats.org/officeDocument/2006/relationships" ref="R33" display="https://www.sebi.gov.in/filings/public-issues/aug-2026/armee-infotech-limited-addendum-ii-to-drhp_104294.html" r:id="rId99"/>
    <hyperlink xmlns:r="http://schemas.openxmlformats.org/officeDocument/2006/relationships" ref="Q34" display="https://www.sebi.gov.in/sebi_data/attachdocs/aug-2026/1787804677669.pdf" r:id="rId100"/>
    <hyperlink xmlns:r="http://schemas.openxmlformats.org/officeDocument/2006/relationships" ref="R34" display="https://www.sebi.gov.in/filings/public-issues/aug-2026/avaada-electro-limited-udrhp_104034.html" r:id="rId101"/>
    <hyperlink xmlns:r="http://schemas.openxmlformats.org/officeDocument/2006/relationships" ref="S34" display="https://www.sebi.gov.in/sebi_data/commondocs/aug-2026/Avaada%20Electro%20Limited%20-%20Draft%20Abridged%20Prospectus_p.pdf" r:id="rId102"/>
    <hyperlink xmlns:r="http://schemas.openxmlformats.org/officeDocument/2006/relationships" ref="AB34" r:id="rId103"/>
    <hyperlink xmlns:r="http://schemas.openxmlformats.org/officeDocument/2006/relationships" ref="Q35" display="https://www.sebi.gov.in/sebi_data/attachdocs/aug-2026/1787653298920.pdf" r:id="rId104"/>
    <hyperlink xmlns:r="http://schemas.openxmlformats.org/officeDocument/2006/relationships" ref="R35" display="https://www.sebi.gov.in/filings/public-issues/aug-2026/m-p-steel-india-limited-drhp_103990.html" r:id="rId105"/>
    <hyperlink xmlns:r="http://schemas.openxmlformats.org/officeDocument/2006/relationships" ref="S35" display="https://www.sebi.gov.in/sebi_data/commondocs/aug-2026/MPSteel-Draft%20Abridged%20Prospectus_p.pdf" r:id="rId106"/>
    <hyperlink xmlns:r="http://schemas.openxmlformats.org/officeDocument/2006/relationships" ref="AB35" r:id="rId107"/>
    <hyperlink xmlns:r="http://schemas.openxmlformats.org/officeDocument/2006/relationships" ref="Q36" display="https://www.sebi.gov.in/sebi_data/attachdocs/aug-2026/1787650339639.pdf" r:id="rId108"/>
    <hyperlink xmlns:r="http://schemas.openxmlformats.org/officeDocument/2006/relationships" ref="R36" display="https://www.sebi.gov.in/filings/public-issues/aug-2026/nobel-hygiene-limited-drhp_103938.html" r:id="rId109"/>
    <hyperlink xmlns:r="http://schemas.openxmlformats.org/officeDocument/2006/relationships" ref="S36" display="https://www.sebi.gov.in/sebi_data/commondocs/aug-2026/Nobel%20Hygiene%20Limited%20-%20Draft%20Abridged%20Prospectus_p.pdf" r:id="rId110"/>
    <hyperlink xmlns:r="http://schemas.openxmlformats.org/officeDocument/2006/relationships" ref="AB36" r:id="rId111"/>
    <hyperlink xmlns:r="http://schemas.openxmlformats.org/officeDocument/2006/relationships" ref="Q37" display="https://www.sebi.gov.in/sebi_data/attachdocs/aug-2026/1787637173016.pdf" r:id="rId112"/>
    <hyperlink xmlns:r="http://schemas.openxmlformats.org/officeDocument/2006/relationships" ref="R37" display="https://www.sebi.gov.in/filings/public-issues/aug-2026/jay-jagdamba-limited-udrhp_103937.html" r:id="rId113"/>
    <hyperlink xmlns:r="http://schemas.openxmlformats.org/officeDocument/2006/relationships" ref="S37" display="https://www.sebi.gov.in/sebi_data/commondocs/aug-2026/Jay%20Jagdamba%20Limited%20Draft%20Abridged%20Prospectus_p.pdf" r:id="rId114"/>
    <hyperlink xmlns:r="http://schemas.openxmlformats.org/officeDocument/2006/relationships" ref="AB37" r:id="rId115"/>
    <hyperlink xmlns:r="http://schemas.openxmlformats.org/officeDocument/2006/relationships" ref="Q38" display="https://www.sebi.gov.in/sebi_data/attachdocs/aug-2026/1787564691044.pdf" r:id="rId116"/>
    <hyperlink xmlns:r="http://schemas.openxmlformats.org/officeDocument/2006/relationships" ref="R38" display="https://www.sebi.gov.in/filings/public-issues/aug-2026/t-c-terrytex-limited-addendum-cum-corrigendum-to-drhp_103904.html" r:id="rId117"/>
    <hyperlink xmlns:r="http://schemas.openxmlformats.org/officeDocument/2006/relationships" ref="AB38" r:id="rId118"/>
    <hyperlink xmlns:r="http://schemas.openxmlformats.org/officeDocument/2006/relationships" ref="Q39" display="https://www.sebi.gov.in/sebi_data/attachdocs/aug-2026/1787803545833.pdf" r:id="rId119"/>
    <hyperlink xmlns:r="http://schemas.openxmlformats.org/officeDocument/2006/relationships" ref="R39" display="https://www.sebi.gov.in/filings/public-issues/aug-2026/gemini-edibles-and-fats-india-limited-drhp_104032.html" r:id="rId120"/>
    <hyperlink xmlns:r="http://schemas.openxmlformats.org/officeDocument/2006/relationships" ref="S39" display="https://www.sebi.gov.in/sebi_data/commondocs/aug-2026/Gemini%20Edibles%20&amp;%20Fats%20India%20Ltd.%20-%20Draft%20Abridged%20Prospectus_p.pdf" r:id="rId121"/>
    <hyperlink xmlns:r="http://schemas.openxmlformats.org/officeDocument/2006/relationships" ref="AB39" r:id="rId122"/>
    <hyperlink xmlns:r="http://schemas.openxmlformats.org/officeDocument/2006/relationships" ref="Q40" display="https://www.sebi.gov.in/sebi_data/attachdocs/aug-2026/1787311805039_1343.pdf" r:id="rId123"/>
    <hyperlink xmlns:r="http://schemas.openxmlformats.org/officeDocument/2006/relationships" ref="R40" display="https://www.sebi.gov.in/filings/public-issues/aug-2026/avtar-steel-limited-drhp_103867.html" r:id="rId124"/>
    <hyperlink xmlns:r="http://schemas.openxmlformats.org/officeDocument/2006/relationships" ref="S40" display="https://www.sebi.gov.in/sebi_data/commondocs/aug-2026/Avtar%20Steel%20Limited%20-%20Draft%20Abridged%20Prospectus_p.pdf" r:id="rId125"/>
    <hyperlink xmlns:r="http://schemas.openxmlformats.org/officeDocument/2006/relationships" ref="AB40" r:id="rId126"/>
    <hyperlink xmlns:r="http://schemas.openxmlformats.org/officeDocument/2006/relationships" ref="Q41" display="https://www.sebi.gov.in/sebi_data/attachdocs/aug-2026/1787122256209.pdf" r:id="rId127"/>
    <hyperlink xmlns:r="http://schemas.openxmlformats.org/officeDocument/2006/relationships" ref="R41" display="https://www.sebi.gov.in/filings/public-issues/aug-2026/lumino-industries-limited-corrigendum-to-drhp_103755.html" r:id="rId128"/>
    <hyperlink xmlns:r="http://schemas.openxmlformats.org/officeDocument/2006/relationships" ref="Q42" display="https://www.sebi.gov.in/sebi_data/attachdocs/aug-2026/1787037217420.pdf" r:id="rId129"/>
    <hyperlink xmlns:r="http://schemas.openxmlformats.org/officeDocument/2006/relationships" ref="R42" display="https://www.sebi.gov.in/filings/public-issues/aug-2026/tablespace-technologies-limited-drhp_103710.html" r:id="rId130"/>
    <hyperlink xmlns:r="http://schemas.openxmlformats.org/officeDocument/2006/relationships" ref="S42" display="https://www.sebi.gov.in/sebi_data/commondocs/aug-2026/TABLESPACE%20TECHNOLOGIES%20LIMITED%20-%20DAP_p.pdf" r:id="rId131"/>
    <hyperlink xmlns:r="http://schemas.openxmlformats.org/officeDocument/2006/relationships" ref="AB42" r:id="rId132"/>
    <hyperlink xmlns:r="http://schemas.openxmlformats.org/officeDocument/2006/relationships" ref="Q43" display="https://www.sebi.gov.in/sebi_data/attachdocs/aug-2026/1787135219223.pdf" r:id="rId133"/>
    <hyperlink xmlns:r="http://schemas.openxmlformats.org/officeDocument/2006/relationships" ref="R43" display="https://www.sebi.gov.in/filings/public-issues/aug-2026/svatantra-microfin-limited-drhp_103765.html" r:id="rId134"/>
    <hyperlink xmlns:r="http://schemas.openxmlformats.org/officeDocument/2006/relationships" ref="S43" display="https://www.sebi.gov.in/sebi_data/commondocs/aug-2026/Svatantra%20Microfin%20Limited%20%20-%20DAP_p.pdf" r:id="rId135"/>
    <hyperlink xmlns:r="http://schemas.openxmlformats.org/officeDocument/2006/relationships" ref="AB43" r:id="rId136"/>
    <hyperlink xmlns:r="http://schemas.openxmlformats.org/officeDocument/2006/relationships" ref="Q44" display="https://www.sebi.gov.in/sebi_data/attachdocs/aug-2026/1787032236785.pdf" r:id="rId137"/>
    <hyperlink xmlns:r="http://schemas.openxmlformats.org/officeDocument/2006/relationships" ref="R44" display="https://www.sebi.gov.in/filings/public-issues/aug-2026/muthoot-fincorp-limited-drhp_103697.html" r:id="rId138"/>
    <hyperlink xmlns:r="http://schemas.openxmlformats.org/officeDocument/2006/relationships" ref="S44" display="https://www.sebi.gov.in/sebi_data/commondocs/aug-2026/Muthoot%20Fincorp%20DAP_p.pdf" r:id="rId139"/>
    <hyperlink xmlns:r="http://schemas.openxmlformats.org/officeDocument/2006/relationships" ref="AB44" r:id="rId140"/>
    <hyperlink xmlns:r="http://schemas.openxmlformats.org/officeDocument/2006/relationships" ref="Q45" display="https://www.sebi.gov.in/sebi_data/attachdocs/aug-2026/1787549595096.pdf" r:id="rId141"/>
    <hyperlink xmlns:r="http://schemas.openxmlformats.org/officeDocument/2006/relationships" ref="R45" display="https://www.sebi.gov.in/filings/public-issues/aug-2026/german-green-steel-and-power-ltd-addendum-to-drhp_103895.html" r:id="rId142"/>
    <hyperlink xmlns:r="http://schemas.openxmlformats.org/officeDocument/2006/relationships" ref="AB45" r:id="rId143"/>
    <hyperlink xmlns:r="http://schemas.openxmlformats.org/officeDocument/2006/relationships" ref="Q46" display="https://www.sebi.gov.in/sebi_data/attachdocs/aug-2026/1786705255144.pdf" r:id="rId144"/>
    <hyperlink xmlns:r="http://schemas.openxmlformats.org/officeDocument/2006/relationships" ref="R46" display="https://www.sebi.gov.in/filings/public-issues/aug-2026/zetwerk-manufacturing-businesses-limited-udrhp_103643.html" r:id="rId145"/>
    <hyperlink xmlns:r="http://schemas.openxmlformats.org/officeDocument/2006/relationships" ref="S46" display="https://www.sebi.gov.in/sebi_data/commondocs/aug-2026/Zetwerk%20Manufacturing%20Businesses%20Limited%20-%20DAP_p.pdf" r:id="rId146"/>
    <hyperlink xmlns:r="http://schemas.openxmlformats.org/officeDocument/2006/relationships" ref="AB46" r:id="rId147"/>
    <hyperlink xmlns:r="http://schemas.openxmlformats.org/officeDocument/2006/relationships" ref="Q47" display="https://www.sebi.gov.in/sebi_data/attachdocs/aug-2026/1786692605529_1339.pdf" r:id="rId148"/>
    <hyperlink xmlns:r="http://schemas.openxmlformats.org/officeDocument/2006/relationships" ref="R47" display="https://www.sebi.gov.in/filings/public-issues/aug-2026/tonbo-imaging-india-limited-drhp_103625.html" r:id="rId149"/>
    <hyperlink xmlns:r="http://schemas.openxmlformats.org/officeDocument/2006/relationships" ref="S47" display="https://www.sebi.gov.in/sebi_data/commondocs/aug-2026/Tonbo%20Imaging%20India%20Limited%20-%20DAP_p.pdf" r:id="rId150"/>
    <hyperlink xmlns:r="http://schemas.openxmlformats.org/officeDocument/2006/relationships" ref="AB47" r:id="rId151"/>
    <hyperlink xmlns:r="http://schemas.openxmlformats.org/officeDocument/2006/relationships" ref="Q48" display="https://www.sebi.gov.in/sebi_data/attachdocs/aug-2026/1786688657210.pdf" r:id="rId152"/>
    <hyperlink xmlns:r="http://schemas.openxmlformats.org/officeDocument/2006/relationships" ref="R48" display="https://www.sebi.gov.in/filings/public-issues/aug-2026/sillverton-industries-limited-addendum-ii_103621.html" r:id="rId153"/>
    <hyperlink xmlns:r="http://schemas.openxmlformats.org/officeDocument/2006/relationships" ref="AB48" r:id="rId154"/>
    <hyperlink xmlns:r="http://schemas.openxmlformats.org/officeDocument/2006/relationships" ref="Q49" display="https://www.sebi.gov.in/sebi_data/attachdocs/aug-2026/1786684492213.pdf" r:id="rId155"/>
    <hyperlink xmlns:r="http://schemas.openxmlformats.org/officeDocument/2006/relationships" ref="R49" display="https://www.sebi.gov.in/filings/public-issues/aug-2026/ags-health-limited-udrhp_103617.html" r:id="rId156"/>
    <hyperlink xmlns:r="http://schemas.openxmlformats.org/officeDocument/2006/relationships" ref="S49" display="https://www.sebi.gov.in/sebi_data/commondocs/aug-2026/AGS%20Health%20Limited%20-%20AP_p.pdf" r:id="rId157"/>
    <hyperlink xmlns:r="http://schemas.openxmlformats.org/officeDocument/2006/relationships" ref="AB49" r:id="rId158"/>
    <hyperlink xmlns:r="http://schemas.openxmlformats.org/officeDocument/2006/relationships" ref="Q50" display="https://www.sebi.gov.in/sebi_data/attachdocs/sep-2026/1789018300594.pdf" r:id="rId159"/>
    <hyperlink xmlns:r="http://schemas.openxmlformats.org/officeDocument/2006/relationships" ref="R50" display="https://www.sebi.gov.in/filings/public-issues/aug-2026/eaaa-india-alternatives-limited_104397.html" r:id="rId160"/>
    <hyperlink xmlns:r="http://schemas.openxmlformats.org/officeDocument/2006/relationships" ref="AB50" r:id="rId161"/>
    <hyperlink xmlns:r="http://schemas.openxmlformats.org/officeDocument/2006/relationships" ref="Q51" display="https://www.sebi.gov.in/sebi_data/attachdocs/aug-2026/1786519804294_1338.pdf" r:id="rId162"/>
    <hyperlink xmlns:r="http://schemas.openxmlformats.org/officeDocument/2006/relationships" ref="R51" display="https://www.sebi.gov.in/filings/public-issues/aug-2026/j-pan-tubular-components-limited-drhp_103499.html" r:id="rId163"/>
    <hyperlink xmlns:r="http://schemas.openxmlformats.org/officeDocument/2006/relationships" ref="S51" display="https://www.sebi.gov.in/sebi_data/commondocs/aug-2026/J%20PAN%20TUBULAR%20COMPONENTS%20LIMITED%20-%20DAP_p.pdf" r:id="rId164"/>
    <hyperlink xmlns:r="http://schemas.openxmlformats.org/officeDocument/2006/relationships" ref="AB51" r:id="rId165"/>
    <hyperlink xmlns:r="http://schemas.openxmlformats.org/officeDocument/2006/relationships" ref="Q52" display="https://www.sebi.gov.in/sebi_data/attachdocs/aug-2026/1786439399725.pdf" r:id="rId166"/>
    <hyperlink xmlns:r="http://schemas.openxmlformats.org/officeDocument/2006/relationships" ref="R52" display="https://www.sebi.gov.in/filings/public-issues/aug-2026/beauty-garage-limited-drhp_103479.html" r:id="rId167"/>
    <hyperlink xmlns:r="http://schemas.openxmlformats.org/officeDocument/2006/relationships" ref="S52" display="https://www.sebi.gov.in/sebi_data/commondocs/aug-2026/BEAUTY%20GARAGE%20LIMITED%20-%20AP_p.pdf" r:id="rId168"/>
    <hyperlink xmlns:r="http://schemas.openxmlformats.org/officeDocument/2006/relationships" ref="AB52" r:id="rId169"/>
    <hyperlink xmlns:r="http://schemas.openxmlformats.org/officeDocument/2006/relationships" ref="Q53" display="https://www.sebi.gov.in/sebi_data/attachdocs/aug-2026/1786357330303.pdf" r:id="rId170"/>
    <hyperlink xmlns:r="http://schemas.openxmlformats.org/officeDocument/2006/relationships" ref="R53" display="https://www.sebi.gov.in/filings/public-issues/aug-2026/arjun-jewellers-limited-drhp_103462.html" r:id="rId171"/>
    <hyperlink xmlns:r="http://schemas.openxmlformats.org/officeDocument/2006/relationships" ref="S53" display="https://www.sebi.gov.in/sebi_data/commondocs/aug-2026/Arjun%20Jewellers%20Limited%20-%20DAP_p.pdf" r:id="rId172"/>
    <hyperlink xmlns:r="http://schemas.openxmlformats.org/officeDocument/2006/relationships" ref="AB53" r:id="rId173"/>
    <hyperlink xmlns:r="http://schemas.openxmlformats.org/officeDocument/2006/relationships" ref="Q54" display="https://www.sebi.gov.in/sebi_data/attachdocs/aug-2026/1785994501228.pdf" r:id="rId174"/>
    <hyperlink xmlns:r="http://schemas.openxmlformats.org/officeDocument/2006/relationships" ref="R54" display="https://www.sebi.gov.in/filings/public-issues/aug-2026/encube-ethicals-limited-drhp_103383.html" r:id="rId175"/>
    <hyperlink xmlns:r="http://schemas.openxmlformats.org/officeDocument/2006/relationships" ref="S54" display="https://www.sebi.gov.in/sebi_data/commondocs/aug-2026/Encube%20Ethicals%20Limited%20-%20AP_p.pdf" r:id="rId176"/>
    <hyperlink xmlns:r="http://schemas.openxmlformats.org/officeDocument/2006/relationships" ref="AB54" r:id="rId177"/>
    <hyperlink xmlns:r="http://schemas.openxmlformats.org/officeDocument/2006/relationships" ref="Q55" display="https://www.sebi.gov.in/sebi_data/attachdocs/aug-2026/1785915007745_1334.pdf" r:id="rId178"/>
    <hyperlink xmlns:r="http://schemas.openxmlformats.org/officeDocument/2006/relationships" ref="R55" display="https://www.sebi.gov.in/filings/public-issues/aug-2026/advanced-sys-tek-limited-drhp_103353.html" r:id="rId179"/>
    <hyperlink xmlns:r="http://schemas.openxmlformats.org/officeDocument/2006/relationships" ref="S55" display="https://www.sebi.gov.in/sebi_data/commondocs/aug-2026/Advanced%20Sys-Tek%20Limited%20%20-%20DAP_p.pdf" r:id="rId180"/>
    <hyperlink xmlns:r="http://schemas.openxmlformats.org/officeDocument/2006/relationships" ref="AB55" r:id="rId181"/>
    <hyperlink xmlns:r="http://schemas.openxmlformats.org/officeDocument/2006/relationships" ref="R56" display="https://www.sebi.gov.in/filings/public-issues/aug-2026/veritas-finance-limited-rhp_103304.html" r:id="rId182"/>
    <hyperlink xmlns:r="http://schemas.openxmlformats.org/officeDocument/2006/relationships" ref="S56" display="https://www.sebi.gov.in/sebi_data/commondocs/aug-2026/Veritas%20Finance%20Limited%20-%20AP_p.pdf" r:id="rId183"/>
    <hyperlink xmlns:r="http://schemas.openxmlformats.org/officeDocument/2006/relationships" ref="AB56" r:id="rId184"/>
    <hyperlink xmlns:r="http://schemas.openxmlformats.org/officeDocument/2006/relationships" ref="Q57" display="https://www.sebi.gov.in/sebi_data/attachdocs/aug-2026/1785733290632.PDF" r:id="rId185"/>
    <hyperlink xmlns:r="http://schemas.openxmlformats.org/officeDocument/2006/relationships" ref="R57" display="https://www.sebi.gov.in/filings/public-issues/aug-2026/hero-motors-limited-corrigendum-to-drhp_103180.html" r:id="rId186"/>
    <hyperlink xmlns:r="http://schemas.openxmlformats.org/officeDocument/2006/relationships" ref="Q58" display="https://www.sebi.gov.in/sebi_data/attachdocs/jul-2026/1785497407202_1315.pdf" r:id="rId187"/>
    <hyperlink xmlns:r="http://schemas.openxmlformats.org/officeDocument/2006/relationships" ref="R58" display="https://www.sebi.gov.in/filings/public-issues/jul-2026/master-chains-n-jewels-limited-drhp_103287.html" r:id="rId188"/>
    <hyperlink xmlns:r="http://schemas.openxmlformats.org/officeDocument/2006/relationships" ref="S58" display="https://www.sebi.gov.in/sebi_data/commondocs/aug-2026/Master%20Chains%20N%20Jewels%20Limited%20-%20AP_p.pdf" r:id="rId189"/>
    <hyperlink xmlns:r="http://schemas.openxmlformats.org/officeDocument/2006/relationships" ref="AB58" r:id="rId190"/>
    <hyperlink xmlns:r="http://schemas.openxmlformats.org/officeDocument/2006/relationships" ref="Q59" display="https://www.sebi.gov.in/sebi_data/attachdocs/aug-2026/1786343435455.pdf" r:id="rId191"/>
    <hyperlink xmlns:r="http://schemas.openxmlformats.org/officeDocument/2006/relationships" ref="R59" display="https://www.sebi.gov.in/filings/public-issues/jul-2026/ifl-finance-ltd-drhp_103313.html" r:id="rId192"/>
    <hyperlink xmlns:r="http://schemas.openxmlformats.org/officeDocument/2006/relationships" ref="S59" display="https://www.sebi.gov.in/sebi_data/commondocs/aug-2026/IFL%20Finance%20Ltd-%20DAP_p.pdf" r:id="rId193"/>
    <hyperlink xmlns:r="http://schemas.openxmlformats.org/officeDocument/2006/relationships" ref="AB59" r:id="rId194"/>
    <hyperlink xmlns:r="http://schemas.openxmlformats.org/officeDocument/2006/relationships" ref="Q60" display="https://www.sebi.gov.in/sebi_data/attachdocs/jul-2026/1785375006183_1314.pdf" r:id="rId195"/>
    <hyperlink xmlns:r="http://schemas.openxmlformats.org/officeDocument/2006/relationships" ref="R60" display="https://www.sebi.gov.in/filings/public-issues/jul-2026/yogiji-digi-limited-drhp_103106.html" r:id="rId196"/>
    <hyperlink xmlns:r="http://schemas.openxmlformats.org/officeDocument/2006/relationships" ref="S60" display="https://www.sebi.gov.in/sebi_data/commondocs/jul-2026/YOGIJI%20DIGI%20LIMITED_p.pdf" r:id="rId197"/>
    <hyperlink xmlns:r="http://schemas.openxmlformats.org/officeDocument/2006/relationships" ref="AB60" r:id="rId198"/>
    <hyperlink xmlns:r="http://schemas.openxmlformats.org/officeDocument/2006/relationships" ref="Q61" display="https://www.sebi.gov.in/sebi_data/attachdocs/jul-2026/1785315631246.pdf" r:id="rId199"/>
    <hyperlink xmlns:r="http://schemas.openxmlformats.org/officeDocument/2006/relationships" ref="R61" display="https://www.sebi.gov.in/filings/public-issues/jul-2026/indian-gas-exchange-limited-drhp_102988.html" r:id="rId200"/>
    <hyperlink xmlns:r="http://schemas.openxmlformats.org/officeDocument/2006/relationships" ref="S61" display="https://www.sebi.gov.in/sebi_data/commondocs/jul-2026/Indian%20Gas%20Exchange%20Limited_p.pdf" r:id="rId201"/>
    <hyperlink xmlns:r="http://schemas.openxmlformats.org/officeDocument/2006/relationships" ref="AB61" r:id="rId202"/>
    <hyperlink xmlns:r="http://schemas.openxmlformats.org/officeDocument/2006/relationships" ref="Q62" display="https://www.sebi.gov.in/sebi_data/attachdocs/jul-2026/1784713947754.pdf" r:id="rId203"/>
    <hyperlink xmlns:r="http://schemas.openxmlformats.org/officeDocument/2006/relationships" ref="R62" display="https://www.sebi.gov.in/filings/public-issues/jul-2026/fusion-cx-limited-addendum-to-drhp_102992.html" r:id="rId204"/>
    <hyperlink xmlns:r="http://schemas.openxmlformats.org/officeDocument/2006/relationships" ref="AB62" r:id="rId205"/>
    <hyperlink xmlns:r="http://schemas.openxmlformats.org/officeDocument/2006/relationships" ref="Q63" display="https://www.sebi.gov.in/sebi_data/attachdocs/jul-2026/1784187006424_1304.pdf" r:id="rId206"/>
    <hyperlink xmlns:r="http://schemas.openxmlformats.org/officeDocument/2006/relationships" ref="R63" display="https://www.sebi.gov.in/filings/public-issues/jul-2026/gni-infrastructure-limited-drhp_102874.html" r:id="rId207"/>
    <hyperlink xmlns:r="http://schemas.openxmlformats.org/officeDocument/2006/relationships" ref="S63" display="https://www.sebi.gov.in/sebi_data/commondocs/jul-2026/GNI%20INFRASTRUCTURE%20LIMITED%20-%20DA_p.pdf" r:id="rId208"/>
    <hyperlink xmlns:r="http://schemas.openxmlformats.org/officeDocument/2006/relationships" ref="AB63" r:id="rId209"/>
    <hyperlink xmlns:r="http://schemas.openxmlformats.org/officeDocument/2006/relationships" ref="Q64" display="https://www.sebi.gov.in/sebi_data/attachdocs/jul-2026/1784180102896.PDF" r:id="rId210"/>
    <hyperlink xmlns:r="http://schemas.openxmlformats.org/officeDocument/2006/relationships" ref="R64" display="https://www.sebi.gov.in/filings/public-issues/jul-2026/behari-lal-engineering-limited-corrigendum-to-drhp_102871.html" r:id="rId211"/>
    <hyperlink xmlns:r="http://schemas.openxmlformats.org/officeDocument/2006/relationships" ref="Q65" display="https://www.sebi.gov.in/sebi_data/attachdocs/jul-2026/1783588088633.pdf" r:id="rId212"/>
    <hyperlink xmlns:r="http://schemas.openxmlformats.org/officeDocument/2006/relationships" ref="R65" display="https://www.sebi.gov.in/filings/public-issues/jul-2026/ratnadeep-retail-limited-drhp_102720.html" r:id="rId213"/>
    <hyperlink xmlns:r="http://schemas.openxmlformats.org/officeDocument/2006/relationships" ref="S65" display="https://www.sebi.gov.in/sebi_data/commondocs/jul-2026/Ratnadeep%20Retail%20Limited%20-%20DAP_p.pdf" r:id="rId214"/>
    <hyperlink xmlns:r="http://schemas.openxmlformats.org/officeDocument/2006/relationships" ref="AB65" r:id="rId215"/>
    <hyperlink xmlns:r="http://schemas.openxmlformats.org/officeDocument/2006/relationships" ref="Q66" display="https://www.sebi.gov.in/sebi_data/attachdocs/jul-2026/1783572277499.pdf" r:id="rId216"/>
    <hyperlink xmlns:r="http://schemas.openxmlformats.org/officeDocument/2006/relationships" ref="R66" display="https://www.sebi.gov.in/filings/public-issues/jul-2026/cult-fit-limited-drhp_102714.html" r:id="rId217"/>
    <hyperlink xmlns:r="http://schemas.openxmlformats.org/officeDocument/2006/relationships" ref="S66" display="https://www.sebi.gov.in/sebi_data/commondocs/jul-2026/CULT.FIT%20Limited%20-%20AP_p.pdf" r:id="rId218"/>
    <hyperlink xmlns:r="http://schemas.openxmlformats.org/officeDocument/2006/relationships" ref="AB66" r:id="rId219"/>
    <hyperlink xmlns:r="http://schemas.openxmlformats.org/officeDocument/2006/relationships" ref="Q67" display="https://www.sebi.gov.in/sebi_data/attachdocs/jul-2026/1783495804607_1303.pdf" r:id="rId220"/>
    <hyperlink xmlns:r="http://schemas.openxmlformats.org/officeDocument/2006/relationships" ref="R67" display="https://www.sebi.gov.in/filings/public-issues/jul-2026/tmc-transformers-india-limited-drhp_102680.html" r:id="rId221"/>
    <hyperlink xmlns:r="http://schemas.openxmlformats.org/officeDocument/2006/relationships" ref="S67" display="https://www.sebi.gov.in/sebi_data/commondocs/jul-2026/TMC%20Transformers%20India%20Limited%20-%20Abri_p.pdf" r:id="rId222"/>
    <hyperlink xmlns:r="http://schemas.openxmlformats.org/officeDocument/2006/relationships" ref="AB67" r:id="rId223"/>
    <hyperlink xmlns:r="http://schemas.openxmlformats.org/officeDocument/2006/relationships" ref="Q68" display="https://www.sebi.gov.in/sebi_data/attachdocs/jul-2026/1783492351929.pdf" r:id="rId224"/>
    <hyperlink xmlns:r="http://schemas.openxmlformats.org/officeDocument/2006/relationships" ref="R68" display="https://www.sebi.gov.in/filings/public-issues/jul-2026/innoterra-limited-drhp_102678.html" r:id="rId225"/>
    <hyperlink xmlns:r="http://schemas.openxmlformats.org/officeDocument/2006/relationships" ref="S68" display="https://www.sebi.gov.in/sebi_data/commondocs/jul-2026/INNOTERRA%20LIMITED%20-%20Abri_p.pdf" r:id="rId226"/>
    <hyperlink xmlns:r="http://schemas.openxmlformats.org/officeDocument/2006/relationships" ref="AB68" r:id="rId227"/>
    <hyperlink xmlns:r="http://schemas.openxmlformats.org/officeDocument/2006/relationships" ref="Q69" display="https://www.sebi.gov.in/sebi_data/attachdocs/jul-2026/1783337424176_1300.pdf" r:id="rId228"/>
    <hyperlink xmlns:r="http://schemas.openxmlformats.org/officeDocument/2006/relationships" ref="R69" display="https://www.sebi.gov.in/filings/public-issues/jul-2026/pragyawan-technologies-limited-drhp_102611.html" r:id="rId229"/>
    <hyperlink xmlns:r="http://schemas.openxmlformats.org/officeDocument/2006/relationships" ref="S69" display="https://www.sebi.gov.in/sebi_data/commondocs/jul-2026/Pragyawan%20Technologies%20Limited%20-%20Abriged_p.PDF" r:id="rId230"/>
    <hyperlink xmlns:r="http://schemas.openxmlformats.org/officeDocument/2006/relationships" ref="AB69" r:id="rId231"/>
    <hyperlink xmlns:r="http://schemas.openxmlformats.org/officeDocument/2006/relationships" ref="Q70" display="https://www.sebi.gov.in/sebi_data/attachdocs/jul-2026/1783337424176_1299.pdf" r:id="rId232"/>
    <hyperlink xmlns:r="http://schemas.openxmlformats.org/officeDocument/2006/relationships" ref="R70" display="https://www.sebi.gov.in/filings/public-issues/jul-2026/swara-baby-products-limited-drhp_102609.html" r:id="rId233"/>
    <hyperlink xmlns:r="http://schemas.openxmlformats.org/officeDocument/2006/relationships" ref="S70" display="https://www.sebi.gov.in/sebi_data/commondocs/jul-2026/SWARA%20Baby%20Products%20Limited%20-%20DAP_p.pdf" r:id="rId234"/>
    <hyperlink xmlns:r="http://schemas.openxmlformats.org/officeDocument/2006/relationships" ref="AB70" r:id="rId235"/>
    <hyperlink xmlns:r="http://schemas.openxmlformats.org/officeDocument/2006/relationships" ref="Q71" display="https://www.sebi.gov.in/sebi_data/attachdocs/jul-2026/1783418315173.pdf" r:id="rId236"/>
    <hyperlink xmlns:r="http://schemas.openxmlformats.org/officeDocument/2006/relationships" ref="R71" display="https://www.sebi.gov.in/filings/public-issues/jul-2026/stalwart-people-services-india-limited-drhp_102607.html" r:id="rId237"/>
    <hyperlink xmlns:r="http://schemas.openxmlformats.org/officeDocument/2006/relationships" ref="S71" display="https://www.sebi.gov.in/sebi_data/commondocs/jul-2026/Stalwart%20People%20Services%20India%20Limited%20-%20Abri_p.pdf" r:id="rId238"/>
    <hyperlink xmlns:r="http://schemas.openxmlformats.org/officeDocument/2006/relationships" ref="AB71" r:id="rId239"/>
    <hyperlink xmlns:r="http://schemas.openxmlformats.org/officeDocument/2006/relationships" ref="Q72" display="https://www.sebi.gov.in/sebi_data/attachdocs/jul-2026/1783323004810_1297.pdf" r:id="rId240"/>
    <hyperlink xmlns:r="http://schemas.openxmlformats.org/officeDocument/2006/relationships" ref="R72" display="https://www.sebi.gov.in/filings/public-issues/jul-2026/functional-and-innovative-foods-limited-drhp_102603.html" r:id="rId241"/>
    <hyperlink xmlns:r="http://schemas.openxmlformats.org/officeDocument/2006/relationships" ref="S72" display="https://www.sebi.gov.in/sebi_data/commondocs/jul-2026/Functional%20&amp;%20Innovative%20Foods%20Limited-%20Abri_p.pdf" r:id="rId242"/>
    <hyperlink xmlns:r="http://schemas.openxmlformats.org/officeDocument/2006/relationships" ref="AB72" r:id="rId243"/>
    <hyperlink xmlns:r="http://schemas.openxmlformats.org/officeDocument/2006/relationships" ref="Q73" display="https://www.sebi.gov.in/sebi_data/attachdocs/jul-2026/1783059278187.pdf" r:id="rId244"/>
    <hyperlink xmlns:r="http://schemas.openxmlformats.org/officeDocument/2006/relationships" ref="R73" display="https://www.sebi.gov.in/filings/public-issues/jul-2026/jesons-industries-limited-addendum-to-drhp_102564.html" r:id="rId245"/>
    <hyperlink xmlns:r="http://schemas.openxmlformats.org/officeDocument/2006/relationships" ref="AB73" r:id="rId246"/>
    <hyperlink xmlns:r="http://schemas.openxmlformats.org/officeDocument/2006/relationships" ref="Q74" display="https://www.sebi.gov.in/sebi_data/attachdocs/jul-2026/1782991807154_1296.pdf" r:id="rId247"/>
    <hyperlink xmlns:r="http://schemas.openxmlformats.org/officeDocument/2006/relationships" ref="R74" display="https://www.sebi.gov.in/filings/public-issues/jul-2026/eswari-global-metal-industries-limited-drhp_102541.html" r:id="rId248"/>
    <hyperlink xmlns:r="http://schemas.openxmlformats.org/officeDocument/2006/relationships" ref="S74" display="https://www.sebi.gov.in/sebi_data/commondocs/jul-2026/GLOBAL%20-%20DAP_p.pdf" r:id="rId249"/>
    <hyperlink xmlns:r="http://schemas.openxmlformats.org/officeDocument/2006/relationships" ref="AB74" r:id="rId250"/>
    <hyperlink xmlns:r="http://schemas.openxmlformats.org/officeDocument/2006/relationships" ref="Q75" display="https://www.sebi.gov.in/sebi_data/attachdocs/jul-2026/1783322148504.pdf" r:id="rId251"/>
    <hyperlink xmlns:r="http://schemas.openxmlformats.org/officeDocument/2006/relationships" ref="R75" display="https://www.sebi.gov.in/filings/public-issues/jul-2026/renfra-energy-india-ltd-drhp_102601.html" r:id="rId252"/>
    <hyperlink xmlns:r="http://schemas.openxmlformats.org/officeDocument/2006/relationships" ref="S75" display="https://www.sebi.gov.in/sebi_data/commondocs/jul-2026/REIL%20Abridged_p.pdf" r:id="rId253"/>
    <hyperlink xmlns:r="http://schemas.openxmlformats.org/officeDocument/2006/relationships" ref="AB75" r:id="rId254"/>
    <hyperlink xmlns:r="http://schemas.openxmlformats.org/officeDocument/2006/relationships" ref="Q76" display="https://www.sebi.gov.in/sebi_data/attachdocs/jul-2026/1782889460153.pdf" r:id="rId255"/>
    <hyperlink xmlns:r="http://schemas.openxmlformats.org/officeDocument/2006/relationships" ref="R76" display="https://www.sebi.gov.in/filings/public-issues/jul-2026/social-worth-technologies-limited-drhp_102477.html" r:id="rId256"/>
    <hyperlink xmlns:r="http://schemas.openxmlformats.org/officeDocument/2006/relationships" ref="S76" display="https://www.sebi.gov.in/sebi_data/commondocs/jul-2026/Social%20Worth%20Technologies%20-%20DA_p.pdf" r:id="rId257"/>
    <hyperlink xmlns:r="http://schemas.openxmlformats.org/officeDocument/2006/relationships" ref="AB76" r:id="rId258"/>
    <hyperlink xmlns:r="http://schemas.openxmlformats.org/officeDocument/2006/relationships" ref="Q77" display="https://www.sebi.gov.in/sebi_data/attachdocs/jul-2026/1782887237115.pdf" r:id="rId259"/>
    <hyperlink xmlns:r="http://schemas.openxmlformats.org/officeDocument/2006/relationships" ref="R77" display="https://www.sebi.gov.in/filings/public-issues/jul-2026/mann-fleet-partners-limited-drhp_102474.html" r:id="rId260"/>
    <hyperlink xmlns:r="http://schemas.openxmlformats.org/officeDocument/2006/relationships" ref="S77" display="https://www.sebi.gov.in/sebi_data/commondocs/jul-2026/Maan%20Fleet%20Partners%20Limited%20-%20DRPH_p.pdf" r:id="rId261"/>
    <hyperlink xmlns:r="http://schemas.openxmlformats.org/officeDocument/2006/relationships" ref="AB77" r:id="rId262"/>
    <hyperlink xmlns:r="http://schemas.openxmlformats.org/officeDocument/2006/relationships" ref="Q78" display="https://www.sebi.gov.in/sebi_data/attachdocs/jun-2026/1782797745198.pdf" r:id="rId263"/>
    <hyperlink xmlns:r="http://schemas.openxmlformats.org/officeDocument/2006/relationships" ref="R78" display="https://www.sebi.gov.in/filings/public-issues/jun-2026/oravel-stays-limited-udrhp-i_102455.html" r:id="rId264"/>
    <hyperlink xmlns:r="http://schemas.openxmlformats.org/officeDocument/2006/relationships" ref="S78" display="https://www.sebi.gov.in/sebi_data/commondocs/jun-2026/ORAVEL%20STAYS%20LIMITED%20-%20Abridged_p.pdf" r:id="rId265"/>
    <hyperlink xmlns:r="http://schemas.openxmlformats.org/officeDocument/2006/relationships" ref="AB78" r:id="rId266"/>
    <hyperlink xmlns:r="http://schemas.openxmlformats.org/officeDocument/2006/relationships" ref="Q79" display="https://www.sebi.gov.in/sebi_data/attachdocs/jun-2026/1782706923073.pdf" r:id="rId267"/>
    <hyperlink xmlns:r="http://schemas.openxmlformats.org/officeDocument/2006/relationships" ref="R79" display="https://www.sebi.gov.in/filings/public-issues/jun-2026/ujin-pharma-ltd-drhp_102424.html" r:id="rId268"/>
    <hyperlink xmlns:r="http://schemas.openxmlformats.org/officeDocument/2006/relationships" ref="S79" display="https://www.sebi.gov.in/sebi_data/commondocs/jun-2026/Ujin%20Pharma%20Ltd.%20-%20Draft%20Abridged%20Prospectus_p.pdf" r:id="rId269"/>
    <hyperlink xmlns:r="http://schemas.openxmlformats.org/officeDocument/2006/relationships" ref="AB79" r:id="rId270"/>
    <hyperlink xmlns:r="http://schemas.openxmlformats.org/officeDocument/2006/relationships" ref="Q80" display="https://www.sebi.gov.in/sebi_data/attachdocs/jun-2026/1782383217036.pdf" r:id="rId271"/>
    <hyperlink xmlns:r="http://schemas.openxmlformats.org/officeDocument/2006/relationships" ref="R80" display="https://www.sebi.gov.in/filings/public-issues/jun-2026/sky-alloys-and-power-limited-drhp_102415.html" r:id="rId272"/>
    <hyperlink xmlns:r="http://schemas.openxmlformats.org/officeDocument/2006/relationships" ref="S80" display="https://www.sebi.gov.in/sebi_data/commondocs/jun-2026/Sky%20Alloys%20and%20Power%20Limited%20-%20Abri_p.pdf" r:id="rId273"/>
    <hyperlink xmlns:r="http://schemas.openxmlformats.org/officeDocument/2006/relationships" ref="AB80" r:id="rId274"/>
    <hyperlink xmlns:r="http://schemas.openxmlformats.org/officeDocument/2006/relationships" ref="Q81" display="https://www.sebi.gov.in/sebi_data/attachdocs/jun-2026/1781870482419.PDF" r:id="rId275"/>
    <hyperlink xmlns:r="http://schemas.openxmlformats.org/officeDocument/2006/relationships" ref="R81" display="https://www.sebi.gov.in/filings/public-issues/jun-2026/jio-platforms-ltd-drhp_102248.html" r:id="rId276"/>
    <hyperlink xmlns:r="http://schemas.openxmlformats.org/officeDocument/2006/relationships" ref="S81" display="https://www.sebi.gov.in/sebi_data/commondocs/jun-2026/Jio%20Platforms%20Ltd_p.PDF" r:id="rId277"/>
    <hyperlink xmlns:r="http://schemas.openxmlformats.org/officeDocument/2006/relationships" ref="AB81" r:id="rId278"/>
    <hyperlink xmlns:r="http://schemas.openxmlformats.org/officeDocument/2006/relationships" ref="Q82" display="https://www.sebi.gov.in/sebi_data/attachdocs/jun-2026/1781762714647.pdf" r:id="rId279"/>
    <hyperlink xmlns:r="http://schemas.openxmlformats.org/officeDocument/2006/relationships" ref="R82" display="https://www.sebi.gov.in/filings/public-issues/jun-2026/national-stock-exchange-of-india-limited-drhp_102189.html" r:id="rId280"/>
    <hyperlink xmlns:r="http://schemas.openxmlformats.org/officeDocument/2006/relationships" ref="S82" display="https://www.sebi.gov.in/sebi_data/commondocs/jun-2026/National%20Stock%20Exchange%20of%20India%20Ltd%20-%20Abridged_p.pdf" r:id="rId281"/>
    <hyperlink xmlns:r="http://schemas.openxmlformats.org/officeDocument/2006/relationships" ref="Q83" display="https://www.sebi.gov.in/sebi_data/attachdocs/jun-2026/1781761649731.pdf" r:id="rId282"/>
    <hyperlink xmlns:r="http://schemas.openxmlformats.org/officeDocument/2006/relationships" ref="R83" display="https://www.sebi.gov.in/filings/public-issues/jun-2026/varmora-granito-limited-addendum-to-drhp_102188.html" r:id="rId283"/>
    <hyperlink xmlns:r="http://schemas.openxmlformats.org/officeDocument/2006/relationships" ref="Q84" display="https://www.sebi.gov.in/sebi_data/attachdocs/jun-2026/1781761057174.pdf" r:id="rId284"/>
    <hyperlink xmlns:r="http://schemas.openxmlformats.org/officeDocument/2006/relationships" ref="R84" display="https://www.sebi.gov.in/filings/public-issues/jun-2026/paras-healthcare-limited-drhp_102187.html" r:id="rId285"/>
    <hyperlink xmlns:r="http://schemas.openxmlformats.org/officeDocument/2006/relationships" ref="S84" display="https://www.sebi.gov.in/sebi_data/commondocs/jun-2026/Paras%20Healthcare%20Limited%20-%20Abridged_p.pdf" r:id="rId286"/>
    <hyperlink xmlns:r="http://schemas.openxmlformats.org/officeDocument/2006/relationships" ref="AB84" r:id="rId287"/>
    <hyperlink xmlns:r="http://schemas.openxmlformats.org/officeDocument/2006/relationships" ref="Q85" display="https://www.sebi.gov.in/sebi_data/attachdocs/jun-2026/1781525718091.pdf" r:id="rId288"/>
    <hyperlink xmlns:r="http://schemas.openxmlformats.org/officeDocument/2006/relationships" ref="R85" display="https://www.sebi.gov.in/filings/public-issues/jun-2026/pioneer-fil-med-limited-corrigendum-to-drhp_102126.html" r:id="rId289"/>
    <hyperlink xmlns:r="http://schemas.openxmlformats.org/officeDocument/2006/relationships" ref="AB85" r:id="rId290"/>
    <hyperlink xmlns:r="http://schemas.openxmlformats.org/officeDocument/2006/relationships" ref="Q86" display="https://www.sebi.gov.in/sebi_data/attachdocs/jun-2026/1781154417775.pdf" r:id="rId291"/>
    <hyperlink xmlns:r="http://schemas.openxmlformats.org/officeDocument/2006/relationships" ref="R86" display="https://www.sebi.gov.in/filings/public-issues/jun-2026/caliber-mining-and-logistics-limited-corrigendum-to-drhp_102053.html" r:id="rId292"/>
    <hyperlink xmlns:r="http://schemas.openxmlformats.org/officeDocument/2006/relationships" ref="Q87" display="https://www.sebi.gov.in/sebi_data/attachdocs/jun-2026/1781090594066.pdf" r:id="rId293"/>
    <hyperlink xmlns:r="http://schemas.openxmlformats.org/officeDocument/2006/relationships" ref="R87" display="https://www.sebi.gov.in/filings/public-issues/jun-2026/aastha-spintex-limited-addendum-to-drhp_102025.html" r:id="rId294"/>
    <hyperlink xmlns:r="http://schemas.openxmlformats.org/officeDocument/2006/relationships" ref="Q88" display="https://www.sebi.gov.in/sebi_data/attachdocs/jun-2026/1780983427091.pdf" r:id="rId295"/>
    <hyperlink xmlns:r="http://schemas.openxmlformats.org/officeDocument/2006/relationships" ref="R88" display="https://www.sebi.gov.in/filings/public-issues/jun-2026/zepto-limited-udrhp1_101929.html" r:id="rId296"/>
    <hyperlink xmlns:r="http://schemas.openxmlformats.org/officeDocument/2006/relationships" ref="S88" display="https://www.sebi.gov.in/sebi_data/commondocs/jun-2026/Zepto%20Limited%20-%20abridged_p.pdf" r:id="rId297"/>
    <hyperlink xmlns:r="http://schemas.openxmlformats.org/officeDocument/2006/relationships" ref="AB88" r:id="rId298"/>
    <hyperlink xmlns:r="http://schemas.openxmlformats.org/officeDocument/2006/relationships" ref="Q89" display="https://www.sebi.gov.in/sebi_data/attachdocs/jun-2026/1780558204915_1257.pdf" r:id="rId299"/>
    <hyperlink xmlns:r="http://schemas.openxmlformats.org/officeDocument/2006/relationships" ref="R89" display="https://www.sebi.gov.in/filings/public-issues/jun-2026/pushp-brand-india-limited_101826.html" r:id="rId300"/>
    <hyperlink xmlns:r="http://schemas.openxmlformats.org/officeDocument/2006/relationships" ref="S89" display="https://www.sebi.gov.in/sebi_data/commondocs/jun-2026/Pushp%20Brand%20India%20Limited%20-%20DAP_p.pdf" r:id="rId301"/>
    <hyperlink xmlns:r="http://schemas.openxmlformats.org/officeDocument/2006/relationships" ref="AB89" r:id="rId302"/>
    <hyperlink xmlns:r="http://schemas.openxmlformats.org/officeDocument/2006/relationships" ref="Q90" display="https://www.sebi.gov.in/sebi_data/attachdocs/jun-2026/1780468372100.pdf" r:id="rId303"/>
    <hyperlink xmlns:r="http://schemas.openxmlformats.org/officeDocument/2006/relationships" ref="R90" display="https://www.sebi.gov.in/filings/public-issues/jun-2026/laser-power-and-infra-limited-corrigendum-to-drhp_101792.html" r:id="rId304"/>
    <hyperlink xmlns:r="http://schemas.openxmlformats.org/officeDocument/2006/relationships" ref="Q91" display="https://www.sebi.gov.in/sebi_data/attachdocs/jun-2026/1780389306989.pdf" r:id="rId305"/>
    <hyperlink xmlns:r="http://schemas.openxmlformats.org/officeDocument/2006/relationships" ref="R91" display="https://www.sebi.gov.in/filings/public-issues/jun-2026/matangi-rubber-limited-drhp_101764.html" r:id="rId306"/>
    <hyperlink xmlns:r="http://schemas.openxmlformats.org/officeDocument/2006/relationships" ref="S91" display="https://www.sebi.gov.in/sebi_data/commondocs/jun-2026/Matangi%20Rubber%20Limited%20-%20Abridged_p.pdf" r:id="rId307"/>
    <hyperlink xmlns:r="http://schemas.openxmlformats.org/officeDocument/2006/relationships" ref="Q92" display="https://www.sebi.gov.in/sebi_data/attachdocs/jun-2026/1780373627534.pdf" r:id="rId308"/>
    <hyperlink xmlns:r="http://schemas.openxmlformats.org/officeDocument/2006/relationships" ref="R92" display="https://www.sebi.gov.in/filings/public-issues/jun-2026/arohan-financial-services-limited-drhp_101753.html" r:id="rId309"/>
    <hyperlink xmlns:r="http://schemas.openxmlformats.org/officeDocument/2006/relationships" ref="S92" display="https://www.sebi.gov.in/sebi_data/commondocs/jun-2026/Arohan%20Financial%20Services%20Limited%20-%20DRHP_p.pdf" r:id="rId310"/>
    <hyperlink xmlns:r="http://schemas.openxmlformats.org/officeDocument/2006/relationships" ref="AB92" r:id="rId311"/>
    <hyperlink xmlns:r="http://schemas.openxmlformats.org/officeDocument/2006/relationships" ref="Q93" display="https://www.sebi.gov.in/sebi_data/attachdocs/jun-2026/1780296496868.pdf" r:id="rId312"/>
    <hyperlink xmlns:r="http://schemas.openxmlformats.org/officeDocument/2006/relationships" ref="R93" display="https://www.sebi.gov.in/filings/public-issues/jun-2026/laser-power-and-infra-limited-addendum-to-drhp_101721.html" r:id="rId313"/>
    <hyperlink xmlns:r="http://schemas.openxmlformats.org/officeDocument/2006/relationships" ref="Q94" display="https://www.sebi.gov.in/sebi_data/attachdocs/may-2026/1780048215478.pdf" r:id="rId314"/>
    <hyperlink xmlns:r="http://schemas.openxmlformats.org/officeDocument/2006/relationships" ref="R94" display="https://www.sebi.gov.in/filings/public-issues/may-2026/dhoot-transmission-limited-udrhp-1_101683.html" r:id="rId315"/>
    <hyperlink xmlns:r="http://schemas.openxmlformats.org/officeDocument/2006/relationships" ref="S94" display="https://www.sebi.gov.in/sebi_data/commondocs/may-2026/Incred%20Holdings%20Limited%20-%20Abridged%20prospectus_p.pdf" r:id="rId316"/>
    <hyperlink xmlns:r="http://schemas.openxmlformats.org/officeDocument/2006/relationships" ref="Q95" display="https://www.sebi.gov.in/sebi_data/attachdocs/may-2026/1779262204888_1256.pdf" r:id="rId317"/>
    <hyperlink xmlns:r="http://schemas.openxmlformats.org/officeDocument/2006/relationships" ref="R95" display="https://www.sebi.gov.in/filings/public-issues/may-2026/m-k-sons-fine-jewels-limited_101528.html" r:id="rId318"/>
    <hyperlink xmlns:r="http://schemas.openxmlformats.org/officeDocument/2006/relationships" ref="S95" display="https://www.sebi.gov.in/sebi_data/commondocs/jun-2026/M%20K%20SONS%20-%20Draft%20Abridged%20Prospectus_p.pdf" r:id="rId319"/>
    <hyperlink xmlns:r="http://schemas.openxmlformats.org/officeDocument/2006/relationships" ref="AB95" r:id="rId320"/>
    <hyperlink xmlns:r="http://schemas.openxmlformats.org/officeDocument/2006/relationships" ref="Q96" display="https://www.sebi.gov.in/sebi_data/attachdocs/may-2026/1778844606056_1254.pdf" r:id="rId321"/>
    <hyperlink xmlns:r="http://schemas.openxmlformats.org/officeDocument/2006/relationships" ref="R96" display="https://www.sebi.gov.in/filings/public-issues/may-2026/gaurik-fashions-limited-drhp_101469.html" r:id="rId322"/>
    <hyperlink xmlns:r="http://schemas.openxmlformats.org/officeDocument/2006/relationships" ref="S96" display="https://www.sebi.gov.in/sebi_data/commondocs/sep-2026/Gaurik%20Fashions%20Limited%20-%20DAP_p.pdf" r:id="rId323"/>
    <hyperlink xmlns:r="http://schemas.openxmlformats.org/officeDocument/2006/relationships" ref="AB96" r:id="rId324"/>
    <hyperlink xmlns:r="http://schemas.openxmlformats.org/officeDocument/2006/relationships" ref="Q97" display="https://www.sebi.gov.in/sebi_data/attachdocs/may-2026/1778757509849.pdf" r:id="rId325"/>
    <hyperlink xmlns:r="http://schemas.openxmlformats.org/officeDocument/2006/relationships" ref="R97" display="https://www.sebi.gov.in/filings/public-issues/may-2026/incred-holdings-limited-udrhp-1_101433.html" r:id="rId326"/>
    <hyperlink xmlns:r="http://schemas.openxmlformats.org/officeDocument/2006/relationships" ref="S97" display="https://www.sebi.gov.in/sebi_data/commondocs/may-2026/Incred%20Holdings%20Limited-Abridged%20prospectus_p.pdf" r:id="rId327"/>
    <hyperlink xmlns:r="http://schemas.openxmlformats.org/officeDocument/2006/relationships" ref="AB97" r:id="rId328"/>
    <hyperlink xmlns:r="http://schemas.openxmlformats.org/officeDocument/2006/relationships" ref="Q98" display="https://www.sebi.gov.in/sebi_data/attachdocs/may-2026/1778754857352.pdf" r:id="rId329"/>
    <hyperlink xmlns:r="http://schemas.openxmlformats.org/officeDocument/2006/relationships" ref="R98" display="https://www.sebi.gov.in/filings/public-issues/may-2026/online-instruments-india-limited-drhp_101429.html" r:id="rId330"/>
    <hyperlink xmlns:r="http://schemas.openxmlformats.org/officeDocument/2006/relationships" ref="S98" display="https://www.sebi.gov.in/sebi_data/commondocs/may-2026/Online%20Instruments%20india%20Limite-AP_p.pdf" r:id="rId331"/>
    <hyperlink xmlns:r="http://schemas.openxmlformats.org/officeDocument/2006/relationships" ref="AB98" r:id="rId332"/>
    <hyperlink xmlns:r="http://schemas.openxmlformats.org/officeDocument/2006/relationships" ref="Q99" display="https://www.sebi.gov.in/sebi_data/attachdocs/may-2026/1777962146070.PDF" r:id="rId333"/>
    <hyperlink xmlns:r="http://schemas.openxmlformats.org/officeDocument/2006/relationships" ref="R99" display="https://www.sebi.gov.in/filings/public-issues/may-2026/jindal-supreme-india-limited-drhp_101256.html" r:id="rId334"/>
    <hyperlink xmlns:r="http://schemas.openxmlformats.org/officeDocument/2006/relationships" ref="S99" display="https://www.sebi.gov.in/sebi_data/commondocs/may-2026/Jindal%20Supreme%20India%20Limited%20-%20AP_p.pdf" r:id="rId335"/>
    <hyperlink xmlns:r="http://schemas.openxmlformats.org/officeDocument/2006/relationships" ref="Q100" display="https://www.sebi.gov.in/sebi_data/attachdocs/apr-2026/1777447805864_1234.pdf" r:id="rId336"/>
    <hyperlink xmlns:r="http://schemas.openxmlformats.org/officeDocument/2006/relationships" ref="R100" display="https://www.sebi.gov.in/filings/public-issues/apr-2026/playsimple-games-limited-drhp_101159.html" r:id="rId337"/>
    <hyperlink xmlns:r="http://schemas.openxmlformats.org/officeDocument/2006/relationships" ref="S100" display="https://www.sebi.gov.in/sebi_data/commondocs/may-2026/Playsimple%20Games%20Limited_p.pdf" r:id="rId338"/>
    <hyperlink xmlns:r="http://schemas.openxmlformats.org/officeDocument/2006/relationships" ref="AB100" r:id="rId339"/>
    <hyperlink xmlns:r="http://schemas.openxmlformats.org/officeDocument/2006/relationships" ref="Q101" display="https://www.sebi.gov.in/sebi_data/attachdocs/apr-2026/1776843005609_1228.pdf" r:id="rId340"/>
    <hyperlink xmlns:r="http://schemas.openxmlformats.org/officeDocument/2006/relationships" ref="R101" display="https://www.sebi.gov.in/filings/public-issues/apr-2026/punjab-carbonic-limited-drhp_101039.html" r:id="rId341"/>
    <hyperlink xmlns:r="http://schemas.openxmlformats.org/officeDocument/2006/relationships" ref="S101" display="https://www.sebi.gov.in/sebi_data/commondocs/may-2026/Draft_Abridged_Prospectus_PCL_p.pdf" r:id="rId342"/>
    <hyperlink xmlns:r="http://schemas.openxmlformats.org/officeDocument/2006/relationships" ref="AB101" r:id="rId343"/>
    <hyperlink xmlns:r="http://schemas.openxmlformats.org/officeDocument/2006/relationships" ref="Q102" display="https://www.sebi.gov.in/sebi_data/attachdocs/apr-2026/1776339007769_1227.pdf" r:id="rId344"/>
    <hyperlink xmlns:r="http://schemas.openxmlformats.org/officeDocument/2006/relationships" ref="R102" display="https://www.sebi.gov.in/filings/public-issues/apr-2026/absolute-projects-india-limited-drhp_100947.html" r:id="rId345"/>
    <hyperlink xmlns:r="http://schemas.openxmlformats.org/officeDocument/2006/relationships" ref="S102" display="https://www.sebi.gov.in/sebi_data/commondocs/jul-2026/Absolute%20Projects%20India%20Limited%20-%20DAP_p.pdf" r:id="rId346"/>
    <hyperlink xmlns:r="http://schemas.openxmlformats.org/officeDocument/2006/relationships" ref="AB102" r:id="rId347"/>
    <hyperlink xmlns:r="http://schemas.openxmlformats.org/officeDocument/2006/relationships" ref="Q103" display="https://www.sebi.gov.in/sebi_data/attachdocs/apr-2026/1776339007769_1226.pdf" r:id="rId348"/>
    <hyperlink xmlns:r="http://schemas.openxmlformats.org/officeDocument/2006/relationships" ref="R103" display="https://www.sebi.gov.in/filings/public-issues/apr-2026/monomark-engineering-india-limited-drhp_100945.html" r:id="rId349"/>
    <hyperlink xmlns:r="http://schemas.openxmlformats.org/officeDocument/2006/relationships" ref="S103" display="https://www.sebi.gov.in/sebi_data/commondocs/aug-2026/Monomark%20Engineering%20-%20AP_p.pdf" r:id="rId350"/>
    <hyperlink xmlns:r="http://schemas.openxmlformats.org/officeDocument/2006/relationships" ref="AB103" r:id="rId351"/>
    <hyperlink xmlns:r="http://schemas.openxmlformats.org/officeDocument/2006/relationships" ref="Q104" display="https://www.sebi.gov.in/sebi_data/attachdocs/apr-2026/1776248390185.pdf" r:id="rId352"/>
    <hyperlink xmlns:r="http://schemas.openxmlformats.org/officeDocument/2006/relationships" ref="R104" display="https://www.sebi.gov.in/filings/public-issues/apr-2026/prasol-chemicals-limited-corrigendum-to-drhp-2_100930.html" r:id="rId353"/>
    <hyperlink xmlns:r="http://schemas.openxmlformats.org/officeDocument/2006/relationships" ref="Q105" display="https://www.sebi.gov.in/sebi_data/attachdocs/apr-2026/1775819035932.pdf" r:id="rId354"/>
    <hyperlink xmlns:r="http://schemas.openxmlformats.org/officeDocument/2006/relationships" ref="R105" display="https://www.sebi.gov.in/filings/public-issues/apr-2026/expression-360-services-india-limited-drhp_100861.html" r:id="rId355"/>
    <hyperlink xmlns:r="http://schemas.openxmlformats.org/officeDocument/2006/relationships" ref="S105" display="https://www.sebi.gov.in/sebi_data/commondocs/apr-2026/Expression%20360%20Services%20India%20Limited-Abridged%20Prospectus_p.pdf" r:id="rId356"/>
    <hyperlink xmlns:r="http://schemas.openxmlformats.org/officeDocument/2006/relationships" ref="AB105" r:id="rId357"/>
    <hyperlink xmlns:r="http://schemas.openxmlformats.org/officeDocument/2006/relationships" ref="Q106" display="https://www.sebi.gov.in/sebi_data/attachdocs/apr-2026/1775806206718_1224.pdf" r:id="rId358"/>
    <hyperlink xmlns:r="http://schemas.openxmlformats.org/officeDocument/2006/relationships" ref="R106" display="https://www.sebi.gov.in/filings/public-issues/apr-2026/t-c-terrytex-limited-drhp_100856.html" r:id="rId359"/>
    <hyperlink xmlns:r="http://schemas.openxmlformats.org/officeDocument/2006/relationships" ref="S106" display="https://www.sebi.gov.in/sebi_data/commondocs/apr-2026/TC%20TERRYTEX%20LIMITED-Abridged%20Prospectus_p.pdf" r:id="rId360"/>
    <hyperlink xmlns:r="http://schemas.openxmlformats.org/officeDocument/2006/relationships" ref="AB106" r:id="rId361"/>
    <hyperlink xmlns:r="http://schemas.openxmlformats.org/officeDocument/2006/relationships" ref="Q107" display="https://www.sebi.gov.in/sebi_data/attachdocs/apr-2026/1775633415124_1222.pdf" r:id="rId362"/>
    <hyperlink xmlns:r="http://schemas.openxmlformats.org/officeDocument/2006/relationships" ref="R107" display="https://www.sebi.gov.in/filings/public-issues/apr-2026/gujarat-victory-forgings-limited-drhp_100804.html" r:id="rId363"/>
    <hyperlink xmlns:r="http://schemas.openxmlformats.org/officeDocument/2006/relationships" ref="S107" display="https://www.sebi.gov.in/sebi_data/commondocs/apr-2026/GUJARAT%20VICTORY%20FORGINGS%20LIMITED-Abridged%20Prospectus_p.pdf" r:id="rId364"/>
    <hyperlink xmlns:r="http://schemas.openxmlformats.org/officeDocument/2006/relationships" ref="AB107" r:id="rId365"/>
    <hyperlink xmlns:r="http://schemas.openxmlformats.org/officeDocument/2006/relationships" ref="Q108" display="https://www.sebi.gov.in/sebi_data/attachdocs/apr-2026/1775633415124_1221.pdf" r:id="rId366"/>
    <hyperlink xmlns:r="http://schemas.openxmlformats.org/officeDocument/2006/relationships" ref="R108" display="https://www.sebi.gov.in/filings/public-issues/apr-2026/nityas-gems-and-jewellery-limited-drhp_100802.html" r:id="rId367"/>
    <hyperlink xmlns:r="http://schemas.openxmlformats.org/officeDocument/2006/relationships" ref="S108" display="https://www.sebi.gov.in/sebi_data/commondocs/apr-2026/Nityas%20Gems%20and%20Jewellery%20Limited-Abridged%20Prospectus_p.pdf" r:id="rId368"/>
    <hyperlink xmlns:r="http://schemas.openxmlformats.org/officeDocument/2006/relationships" ref="AB108" r:id="rId369"/>
    <hyperlink xmlns:r="http://schemas.openxmlformats.org/officeDocument/2006/relationships" ref="Q109" display="https://www.sebi.gov.in/sebi_data/attachdocs/apr-2026/1775633415124_1219.pdf" r:id="rId370"/>
    <hyperlink xmlns:r="http://schemas.openxmlformats.org/officeDocument/2006/relationships" ref="R109" display="https://www.sebi.gov.in/filings/public-issues/apr-2026/bvishal-oil-and-energy-limited-drhp_100798.html" r:id="rId371"/>
    <hyperlink xmlns:r="http://schemas.openxmlformats.org/officeDocument/2006/relationships" ref="S109" display="https://www.sebi.gov.in/sebi_data/commondocs/apr-2026/Bvishal%20Oil%20and%20Energy%20Limited-Abridged%20Prospectus_p.pdf" r:id="rId372"/>
    <hyperlink xmlns:r="http://schemas.openxmlformats.org/officeDocument/2006/relationships" ref="AB109" r:id="rId373"/>
    <hyperlink xmlns:r="http://schemas.openxmlformats.org/officeDocument/2006/relationships" ref="Q110" display="https://www.sebi.gov.in/sebi_data/attachdocs/apr-2026/1775633415124_1218.pdf" r:id="rId374"/>
    <hyperlink xmlns:r="http://schemas.openxmlformats.org/officeDocument/2006/relationships" ref="R110" display="https://www.sebi.gov.in/filings/public-issues/apr-2026/sathya-agencies-limited-drhp_100796.html" r:id="rId375"/>
    <hyperlink xmlns:r="http://schemas.openxmlformats.org/officeDocument/2006/relationships" ref="S110" display="https://www.sebi.gov.in/sebi_data/commondocs/apr-2026/Sathya%20Agencies%20Limited-Abridged%20Prospectus_p.pdf" r:id="rId376"/>
    <hyperlink xmlns:r="http://schemas.openxmlformats.org/officeDocument/2006/relationships" ref="AB110" r:id="rId377"/>
    <hyperlink xmlns:r="http://schemas.openxmlformats.org/officeDocument/2006/relationships" ref="Q111" display="https://www.sebi.gov.in/sebi_data/attachdocs/apr-2026/1776677194481.pdf" r:id="rId378"/>
    <hyperlink xmlns:r="http://schemas.openxmlformats.org/officeDocument/2006/relationships" ref="R111" display="https://www.sebi.gov.in/filings/public-issues/apr-2026/kay-jay-forgings-limited-drhp_100975.html" r:id="rId379"/>
    <hyperlink xmlns:r="http://schemas.openxmlformats.org/officeDocument/2006/relationships" ref="S111" display="https://www.sebi.gov.in/sebi_data/commondocs/apr-2026/Kay%20Jay%20Forgings%20Limited-Abridged%20Prospectus_p.pdf" r:id="rId380"/>
    <hyperlink xmlns:r="http://schemas.openxmlformats.org/officeDocument/2006/relationships" ref="AB111" r:id="rId381"/>
    <hyperlink xmlns:r="http://schemas.openxmlformats.org/officeDocument/2006/relationships" ref="Q112" display="https://www.sebi.gov.in/sebi_data/attachdocs/apr-2026/1776080041259.pdf" r:id="rId382"/>
    <hyperlink xmlns:r="http://schemas.openxmlformats.org/officeDocument/2006/relationships" ref="R112" display="https://www.sebi.gov.in/filings/public-issues/apr-2026/adroit-industries-india-limited-drhp_100909.html" r:id="rId383"/>
    <hyperlink xmlns:r="http://schemas.openxmlformats.org/officeDocument/2006/relationships" ref="S112" display="https://www.sebi.gov.in/sebi_data/commondocs/apr-2026/Adroit%20Industries%20India)Limited-Abridged%20Prospectus_p.pdf" r:id="rId384"/>
    <hyperlink xmlns:r="http://schemas.openxmlformats.org/officeDocument/2006/relationships" ref="Q113" display="https://www.sebi.gov.in/sebi_data/attachdocs/apr-2026/1775547017596_1211.pdf" r:id="rId385"/>
    <hyperlink xmlns:r="http://schemas.openxmlformats.org/officeDocument/2006/relationships" ref="R113" display="https://www.sebi.gov.in/filings/public-issues/apr-2026/intellius-recode-limited-drhp_100765.html" r:id="rId386"/>
    <hyperlink xmlns:r="http://schemas.openxmlformats.org/officeDocument/2006/relationships" ref="S113" display="https://www.sebi.gov.in/sebi_data/commondocs/apr-2026/Intellius%20Recode%20Ltd%20-%20Abridged%20Prospectus_p.pdf" r:id="rId387"/>
    <hyperlink xmlns:r="http://schemas.openxmlformats.org/officeDocument/2006/relationships" ref="AB113" r:id="rId388"/>
    <hyperlink xmlns:r="http://schemas.openxmlformats.org/officeDocument/2006/relationships" ref="Q114" display="https://www.sebi.gov.in/sebi_data/attachdocs/apr-2026/1775547017596_1210.pdf" r:id="rId389"/>
    <hyperlink xmlns:r="http://schemas.openxmlformats.org/officeDocument/2006/relationships" ref="R114" display="https://www.sebi.gov.in/filings/public-issues/apr-2026/manipal-health-enterprises-limited-drhp_100763.html" r:id="rId390"/>
    <hyperlink xmlns:r="http://schemas.openxmlformats.org/officeDocument/2006/relationships" ref="S114" display="https://www.sebi.gov.in/sebi_data/commondocs/apr-2026/Manipal%20Health%20Enterprises%20Limited-Abridged%20Prospectus_p.pdf" r:id="rId391"/>
    <hyperlink xmlns:r="http://schemas.openxmlformats.org/officeDocument/2006/relationships" ref="Q115" display="https://www.sebi.gov.in/sebi_data/attachdocs/apr-2026/1775547017596_1205.pdf" r:id="rId392"/>
    <hyperlink xmlns:r="http://schemas.openxmlformats.org/officeDocument/2006/relationships" ref="R115" display="https://www.sebi.gov.in/filings/public-issues/apr-2026/sadbhav-futuretech-limited_100753.html" r:id="rId393"/>
    <hyperlink xmlns:r="http://schemas.openxmlformats.org/officeDocument/2006/relationships" ref="AB115" r:id="rId394"/>
    <hyperlink xmlns:r="http://schemas.openxmlformats.org/officeDocument/2006/relationships" ref="Q116" display="https://www.sebi.gov.in/sebi_data/attachdocs/apr-2026/1775525404083_1204.pdf" r:id="rId395"/>
    <hyperlink xmlns:r="http://schemas.openxmlformats.org/officeDocument/2006/relationships" ref="R116" display="https://www.sebi.gov.in/filings/public-issues/apr-2026/rentomojo-limited-drhp_100746.html" r:id="rId396"/>
    <hyperlink xmlns:r="http://schemas.openxmlformats.org/officeDocument/2006/relationships" ref="S116" display="https://www.sebi.gov.in/sebi_data/commondocs/apr-2026/Rentomojo%20Limited-Draft%20Abridged%20Prospectus_p.pdf" r:id="rId397"/>
    <hyperlink xmlns:r="http://schemas.openxmlformats.org/officeDocument/2006/relationships" ref="Q117" display="https://www.sebi.gov.in/sebi_data/attachdocs/apr-2026/1775129403770_1203.pdf" r:id="rId398"/>
    <hyperlink xmlns:r="http://schemas.openxmlformats.org/officeDocument/2006/relationships" ref="R117" display="https://www.sebi.gov.in/filings/public-issues/apr-2026/cosmic-pv-power-limited-drhp_100718.html" r:id="rId399"/>
    <hyperlink xmlns:r="http://schemas.openxmlformats.org/officeDocument/2006/relationships" ref="S117" display="https://www.sebi.gov.in/sebi_data/commondocs/apr-2026/COSMIC%20PV%20POWER%20LIMITED-Abridged%20prospectus_p.pdf" r:id="rId400"/>
    <hyperlink xmlns:r="http://schemas.openxmlformats.org/officeDocument/2006/relationships" ref="AB117" r:id="rId401"/>
    <hyperlink xmlns:r="http://schemas.openxmlformats.org/officeDocument/2006/relationships" ref="Q118" display="https://www.sebi.gov.in/sebi_data/attachdocs/apr-2026/1775115013296_1202.pdf" r:id="rId402"/>
    <hyperlink xmlns:r="http://schemas.openxmlformats.org/officeDocument/2006/relationships" ref="R118" display="https://www.sebi.gov.in/filings/public-issues/apr-2026/pioneer-fil-med-limited-drhp_100715.html" r:id="rId403"/>
    <hyperlink xmlns:r="http://schemas.openxmlformats.org/officeDocument/2006/relationships" ref="S118" display="https://www.sebi.gov.in/sebi_data/commondocs/apr-2026/Pioneer%20Fil-Med%20Limited-Draft%20Abridged%20Prospectus_p.pdf" r:id="rId404"/>
    <hyperlink xmlns:r="http://schemas.openxmlformats.org/officeDocument/2006/relationships" ref="AB118" r:id="rId405"/>
    <hyperlink xmlns:r="http://schemas.openxmlformats.org/officeDocument/2006/relationships" ref="Q119" display="https://www.sebi.gov.in/sebi_data/attachdocs/apr-2026/1775105578692.pdf" r:id="rId406"/>
    <hyperlink xmlns:r="http://schemas.openxmlformats.org/officeDocument/2006/relationships" ref="R119" display="https://www.sebi.gov.in/filings/public-issues/apr-2026/rkb-global-limited-drhp_100702.html" r:id="rId407"/>
    <hyperlink xmlns:r="http://schemas.openxmlformats.org/officeDocument/2006/relationships" ref="S119" display="https://www.sebi.gov.in/sebi_data/commondocs/apr-2026/RKB%20Global%20Limited%20-%20Abridged%20prospectus_p.pdf" r:id="rId408"/>
    <hyperlink xmlns:r="http://schemas.openxmlformats.org/officeDocument/2006/relationships" ref="AB119" r:id="rId409"/>
    <hyperlink xmlns:r="http://schemas.openxmlformats.org/officeDocument/2006/relationships" ref="Q120" display="https://www.sebi.gov.in/sebi_data/attachdocs/apr-2026/1775120802263.pdf" r:id="rId410"/>
    <hyperlink xmlns:r="http://schemas.openxmlformats.org/officeDocument/2006/relationships" ref="R120" display="https://www.sebi.gov.in/filings/public-issues/mar-2026/laxyo-limited-drhp_100686.html" r:id="rId411"/>
    <hyperlink xmlns:r="http://schemas.openxmlformats.org/officeDocument/2006/relationships" ref="S120" display="https://www.sebi.gov.in/sebi_data/commondocs/apr-2026/Laxyo%20Limited-Draft%20Abridged%20Prospectus_p.pdf" r:id="rId412"/>
    <hyperlink xmlns:r="http://schemas.openxmlformats.org/officeDocument/2006/relationships" ref="AB120" r:id="rId413"/>
    <hyperlink xmlns:r="http://schemas.openxmlformats.org/officeDocument/2006/relationships" ref="Q121" display="https://www.sebi.gov.in/sebi_data/attachdocs/apr-2026/1775016379965.pdf" r:id="rId414"/>
    <hyperlink xmlns:r="http://schemas.openxmlformats.org/officeDocument/2006/relationships" ref="R121" display="https://www.sebi.gov.in/filings/public-issues/mar-2026/bharat-pet-limited-drhp_100673.html" r:id="rId415"/>
    <hyperlink xmlns:r="http://schemas.openxmlformats.org/officeDocument/2006/relationships" ref="S121" display="https://www.sebi.gov.in/sebi_data/commondocs/apr-2026/Bharat%20PET%20Limited-Abridged%20Prospectus_p.pdf" r:id="rId416"/>
    <hyperlink xmlns:r="http://schemas.openxmlformats.org/officeDocument/2006/relationships" ref="AB121" r:id="rId417"/>
    <hyperlink xmlns:r="http://schemas.openxmlformats.org/officeDocument/2006/relationships" ref="Q122" display="https://www.sebi.gov.in/sebi_data/attachdocs/mar-2026/1774843345474.pdf" r:id="rId418"/>
    <hyperlink xmlns:r="http://schemas.openxmlformats.org/officeDocument/2006/relationships" ref="R122" display="https://www.sebi.gov.in/filings/public-issues/mar-2026/r-k-steel-manufacturing-company-limited-addendum-to-drhp_100660.html" r:id="rId419"/>
    <hyperlink xmlns:r="http://schemas.openxmlformats.org/officeDocument/2006/relationships" ref="AB122" r:id="rId420"/>
    <hyperlink xmlns:r="http://schemas.openxmlformats.org/officeDocument/2006/relationships" ref="Q123" display="https://www.sebi.gov.in/sebi_data/attachdocs/mar-2026/1774596605715_1174.pdf" r:id="rId421"/>
    <hyperlink xmlns:r="http://schemas.openxmlformats.org/officeDocument/2006/relationships" ref="R123" display="https://www.sebi.gov.in/filings/public-issues/mar-2026/polite-powertech-limited_100624.html" r:id="rId422"/>
    <hyperlink xmlns:r="http://schemas.openxmlformats.org/officeDocument/2006/relationships" ref="AB123" r:id="rId423"/>
    <hyperlink xmlns:r="http://schemas.openxmlformats.org/officeDocument/2006/relationships" ref="Q124" display="https://www.sebi.gov.in/sebi_data/attachdocs/mar-2026/1774421203748.pdf" r:id="rId424"/>
    <hyperlink xmlns:r="http://schemas.openxmlformats.org/officeDocument/2006/relationships" ref="R124" display="https://www.sebi.gov.in/filings/public-issues/mar-2026/trenzet-infra-limited-drhp_100553.html" r:id="rId425"/>
    <hyperlink xmlns:r="http://schemas.openxmlformats.org/officeDocument/2006/relationships" ref="S124" display="https://www.sebi.gov.in/sebi_data/commondocs/apr-2026/Trenzet%20Infra%20Limited-Abridged%20Prospectus_p.pdf" r:id="rId426"/>
    <hyperlink xmlns:r="http://schemas.openxmlformats.org/officeDocument/2006/relationships" ref="AB124" r:id="rId427"/>
    <hyperlink xmlns:r="http://schemas.openxmlformats.org/officeDocument/2006/relationships" ref="Q125" display="https://www.sebi.gov.in/sebi_data/attachdocs/mar-2026/1774350064957.pdf" r:id="rId428"/>
    <hyperlink xmlns:r="http://schemas.openxmlformats.org/officeDocument/2006/relationships" ref="R125" display="https://www.sebi.gov.in/filings/public-issues/mar-2026/sterlite-electric-limited-addendum-to-drhp_100529.html" r:id="rId429"/>
    <hyperlink xmlns:r="http://schemas.openxmlformats.org/officeDocument/2006/relationships" ref="AB125" r:id="rId430"/>
    <hyperlink xmlns:r="http://schemas.openxmlformats.org/officeDocument/2006/relationships" ref="Q126" display="https://www.sebi.gov.in/sebi_data/attachdocs/mar-2026/1774337405679_1155.pdf" r:id="rId431"/>
    <hyperlink xmlns:r="http://schemas.openxmlformats.org/officeDocument/2006/relationships" ref="R126" display="https://www.sebi.gov.in/filings/public-issues/mar-2026/truhome-finance-limited_100519.html" r:id="rId432"/>
    <hyperlink xmlns:r="http://schemas.openxmlformats.org/officeDocument/2006/relationships" ref="AB126" r:id="rId433"/>
    <hyperlink xmlns:r="http://schemas.openxmlformats.org/officeDocument/2006/relationships" ref="Q127" display="https://www.sebi.gov.in/sebi_data/attachdocs/mar-2026/1774324758355.pdf" r:id="rId434"/>
    <hyperlink xmlns:r="http://schemas.openxmlformats.org/officeDocument/2006/relationships" ref="R127" display="https://www.sebi.gov.in/filings/public-issues/mar-2026/sbi-funds-management-limited-drhp_100517.html" r:id="rId435"/>
    <hyperlink xmlns:r="http://schemas.openxmlformats.org/officeDocument/2006/relationships" ref="S127" display="https://www.sebi.gov.in/sebi_data/commondocs/apr-2026/SBI%20Funds%20Management%20Limited%20-Abridged%20Prospectus_p.pdf" r:id="rId436"/>
    <hyperlink xmlns:r="http://schemas.openxmlformats.org/officeDocument/2006/relationships" ref="Q128" display="https://www.sebi.gov.in/sebi_data/attachdocs/mar-2026/1773106204965_1136.pdf" r:id="rId437"/>
    <hyperlink xmlns:r="http://schemas.openxmlformats.org/officeDocument/2006/relationships" ref="R128" display="https://www.sebi.gov.in/filings/public-issues/mar-2026/shreni-shares-limited_100212.html" r:id="rId438"/>
    <hyperlink xmlns:r="http://schemas.openxmlformats.org/officeDocument/2006/relationships" ref="AB128" r:id="rId439"/>
    <hyperlink xmlns:r="http://schemas.openxmlformats.org/officeDocument/2006/relationships" ref="Q129" display="https://www.sebi.gov.in/sebi_data/attachdocs/mar-2026/1773055805156_1135.pdf" r:id="rId440"/>
    <hyperlink xmlns:r="http://schemas.openxmlformats.org/officeDocument/2006/relationships" ref="R129" display="https://www.sebi.gov.in/filings/public-issues/mar-2026/sunil-gold-india-limited_100202.html" r:id="rId441"/>
    <hyperlink xmlns:r="http://schemas.openxmlformats.org/officeDocument/2006/relationships" ref="AB129" r:id="rId442"/>
    <hyperlink xmlns:r="http://schemas.openxmlformats.org/officeDocument/2006/relationships" ref="Q130" display="https://www.sebi.gov.in/sebi_data/attachdocs/mar-2026/1773041406985_1134.pdf" r:id="rId443"/>
    <hyperlink xmlns:r="http://schemas.openxmlformats.org/officeDocument/2006/relationships" ref="R130" display="https://www.sebi.gov.in/filings/public-issues/mar-2026/moneyview-limited_100187.html" r:id="rId444"/>
    <hyperlink xmlns:r="http://schemas.openxmlformats.org/officeDocument/2006/relationships" ref="Q131" display="https://www.sebi.gov.in/sebi_data/attachdocs/feb-2026/1771916207969.pdf" r:id="rId445"/>
    <hyperlink xmlns:r="http://schemas.openxmlformats.org/officeDocument/2006/relationships" ref="R131" display="https://www.sebi.gov.in/filings/public-issues/feb-2026/sael-industries-limited-addendum-to-drhp_99927.html" r:id="rId446"/>
    <hyperlink xmlns:r="http://schemas.openxmlformats.org/officeDocument/2006/relationships" ref="AB131" r:id="rId447"/>
    <hyperlink xmlns:r="http://schemas.openxmlformats.org/officeDocument/2006/relationships" ref="Q132" display="https://www.sebi.gov.in/sebi_data/attachdocs/feb-2026/1771327806640_1118.pdf" r:id="rId448"/>
    <hyperlink xmlns:r="http://schemas.openxmlformats.org/officeDocument/2006/relationships" ref="R132" display="https://www.sebi.gov.in/filings/public-issues/feb-2026/rays-of-belief-limited_99815.html" r:id="rId449"/>
    <hyperlink xmlns:r="http://schemas.openxmlformats.org/officeDocument/2006/relationships" ref="Q133" display="https://www.sebi.gov.in/sebi_data/attachdocs/feb-2026/1771241407162_1117.pdf" r:id="rId450"/>
    <hyperlink xmlns:r="http://schemas.openxmlformats.org/officeDocument/2006/relationships" ref="R133" display="https://www.sebi.gov.in/filings/public-issues/feb-2026/bonfiglioli-transmissions-limited_99781.html" r:id="rId451"/>
    <hyperlink xmlns:r="http://schemas.openxmlformats.org/officeDocument/2006/relationships" ref="AB133" r:id="rId452"/>
    <hyperlink xmlns:r="http://schemas.openxmlformats.org/officeDocument/2006/relationships" ref="Q134" display="https://www.sebi.gov.in/sebi_data/attachdocs/feb-2026/1770791150896.pdf" r:id="rId453"/>
    <hyperlink xmlns:r="http://schemas.openxmlformats.org/officeDocument/2006/relationships" ref="R134" display="https://www.sebi.gov.in/filings/public-issues/feb-2026/bonbloc-technologies-limited-addendum-cum-corrigendum_99677.html" r:id="rId454"/>
    <hyperlink xmlns:r="http://schemas.openxmlformats.org/officeDocument/2006/relationships" ref="AB134" r:id="rId455"/>
    <hyperlink xmlns:r="http://schemas.openxmlformats.org/officeDocument/2006/relationships" ref="Q135" display="https://www.sebi.gov.in/sebi_data/attachdocs/feb-2026/1770369581215.pdf" r:id="rId456"/>
    <hyperlink xmlns:r="http://schemas.openxmlformats.org/officeDocument/2006/relationships" ref="R135" display="https://www.sebi.gov.in/filings/public-issues/feb-2026/madhur-iron-and-steel-india-limited-drhp_99564.html" r:id="rId457"/>
    <hyperlink xmlns:r="http://schemas.openxmlformats.org/officeDocument/2006/relationships" ref="AB135" r:id="rId458"/>
    <hyperlink xmlns:r="http://schemas.openxmlformats.org/officeDocument/2006/relationships" ref="Q136" display="https://www.sebi.gov.in/sebi_data/attachdocs/feb-2026/1770358837666.pdf" r:id="rId459"/>
    <hyperlink xmlns:r="http://schemas.openxmlformats.org/officeDocument/2006/relationships" ref="R136" display="https://www.sebi.gov.in/filings/public-issues/feb-2026/sillverton-industries-limited-addendum-to-drhp_99560.html" r:id="rId460"/>
    <hyperlink xmlns:r="http://schemas.openxmlformats.org/officeDocument/2006/relationships" ref="AB136" r:id="rId461"/>
    <hyperlink xmlns:r="http://schemas.openxmlformats.org/officeDocument/2006/relationships" ref="Q137" display="https://www.sebi.gov.in/sebi_data/attachdocs/feb-2026/1770358047774.pdf" r:id="rId462"/>
    <hyperlink xmlns:r="http://schemas.openxmlformats.org/officeDocument/2006/relationships" ref="R137" display="https://www.sebi.gov.in/filings/public-issues/feb-2026/srit-india-limited-drhp_99558.html" r:id="rId463"/>
    <hyperlink xmlns:r="http://schemas.openxmlformats.org/officeDocument/2006/relationships" ref="AB137" r:id="rId464"/>
    <hyperlink xmlns:r="http://schemas.openxmlformats.org/officeDocument/2006/relationships" ref="Q138" display="https://www.sebi.gov.in/sebi_data/attachdocs/feb-2026/1770194067333.pdf" r:id="rId465"/>
    <hyperlink xmlns:r="http://schemas.openxmlformats.org/officeDocument/2006/relationships" ref="R138" display="https://www.sebi.gov.in/filings/public-issues/feb-2026/turtlemint-fintech-solutions-limited-udrhp-1_99493.html" r:id="rId466"/>
    <hyperlink xmlns:r="http://schemas.openxmlformats.org/officeDocument/2006/relationships" ref="Q139" display="https://www.sebi.gov.in/sebi_data/attachdocs/feb-2026/1770183523459.pdf" r:id="rId467"/>
    <hyperlink xmlns:r="http://schemas.openxmlformats.org/officeDocument/2006/relationships" ref="R139" display="https://www.sebi.gov.in/filings/public-issues/feb-2026/marri-retail-limited-drhp_99483.html" r:id="rId468"/>
    <hyperlink xmlns:r="http://schemas.openxmlformats.org/officeDocument/2006/relationships" ref="AB139" r:id="rId469"/>
    <hyperlink xmlns:r="http://schemas.openxmlformats.org/officeDocument/2006/relationships" ref="Q140" display="https://www.sebi.gov.in/sebi_data/attachdocs/feb-2026/1770114408329.pdf" r:id="rId470"/>
    <hyperlink xmlns:r="http://schemas.openxmlformats.org/officeDocument/2006/relationships" ref="R140" display="https://www.sebi.gov.in/filings/public-issues/jan-2026/bombay-coated-and-special-steels-limited_99471.html" r:id="rId471"/>
    <hyperlink xmlns:r="http://schemas.openxmlformats.org/officeDocument/2006/relationships" ref="AB140" r:id="rId472"/>
    <hyperlink xmlns:r="http://schemas.openxmlformats.org/officeDocument/2006/relationships" ref="Q141" display="https://www.sebi.gov.in/sebi_data/attachdocs/feb-2026/1770178189182.pdf" r:id="rId473"/>
    <hyperlink xmlns:r="http://schemas.openxmlformats.org/officeDocument/2006/relationships" ref="R141" display="https://www.sebi.gov.in/filings/public-issues/jan-2026/powerica-limited-addendum-to-drhp_99480.html" r:id="rId474"/>
    <hyperlink xmlns:r="http://schemas.openxmlformats.org/officeDocument/2006/relationships" ref="Q142" display="https://www.sebi.gov.in/sebi_data/attachdocs/jan-2026/1769583962398.pdf" r:id="rId475"/>
    <hyperlink xmlns:r="http://schemas.openxmlformats.org/officeDocument/2006/relationships" ref="R142" display="https://www.sebi.gov.in/filings/public-issues/jan-2026/kanohar-electricals-limited_99322.html" r:id="rId476"/>
    <hyperlink xmlns:r="http://schemas.openxmlformats.org/officeDocument/2006/relationships" ref="S142" display="https://www.sebi.gov.in/sebi_data/commondocs/sep-2026/RHP%20Addendum%20Ad%20-%20For%20website%20upload_p.pdf" r:id="rId477"/>
    <hyperlink xmlns:r="http://schemas.openxmlformats.org/officeDocument/2006/relationships" ref="Q143" display="https://www.sebi.gov.in/sebi_data/attachdocs/jan-2026/1769747476646.pdf" r:id="rId478"/>
    <hyperlink xmlns:r="http://schemas.openxmlformats.org/officeDocument/2006/relationships" ref="R143" display="https://www.sebi.gov.in/filings/public-issues/jan-2026/prasol-chemicals-limited-corrigendum-to-drhp_99379.html" r:id="rId479"/>
    <hyperlink xmlns:r="http://schemas.openxmlformats.org/officeDocument/2006/relationships" ref="Q144" display="https://www.sebi.gov.in/sebi_data/attachdocs/jan-2026/1769161833282.pdf" r:id="rId480"/>
    <hyperlink xmlns:r="http://schemas.openxmlformats.org/officeDocument/2006/relationships" ref="R144" display="https://www.sebi.gov.in/filings/public-issues/jan-2026/phonepe-limited-udrhp-i_99285.html" r:id="rId481"/>
    <hyperlink xmlns:r="http://schemas.openxmlformats.org/officeDocument/2006/relationships" ref="AB144" r:id="rId482"/>
    <hyperlink xmlns:r="http://schemas.openxmlformats.org/officeDocument/2006/relationships" ref="Q145" display="https://www.sebi.gov.in/sebi_data/attachdocs/jan-2026/1769149793606.pdf" r:id="rId483"/>
    <hyperlink xmlns:r="http://schemas.openxmlformats.org/officeDocument/2006/relationships" ref="R145" display="https://www.sebi.gov.in/filings/public-issues/jan-2026/armee-infotech-limited-addendum-to-drhp_99282.html" r:id="rId484"/>
    <hyperlink xmlns:r="http://schemas.openxmlformats.org/officeDocument/2006/relationships" ref="Q146" display="https://www.sebi.gov.in/sebi_data/attachdocs/jan-2026/1769161615327.pdf" r:id="rId485"/>
    <hyperlink xmlns:r="http://schemas.openxmlformats.org/officeDocument/2006/relationships" ref="R146" display="https://www.sebi.gov.in/filings/public-issues/jan-2026/appl-containers-limited-addendum-to-drhp_99277.html" r:id="rId486"/>
    <hyperlink xmlns:r="http://schemas.openxmlformats.org/officeDocument/2006/relationships" ref="AB146" r:id="rId487"/>
    <hyperlink xmlns:r="http://schemas.openxmlformats.org/officeDocument/2006/relationships" ref="Q147" display="https://www.sebi.gov.in/sebi_data/attachdocs/jan-2026/1769083342999.pdf" r:id="rId488"/>
    <hyperlink xmlns:r="http://schemas.openxmlformats.org/officeDocument/2006/relationships" ref="R147" display="https://www.sebi.gov.in/filings/public-issues/jan-2026/eaaa-india-alternatives-limited-drhp_99257.html" r:id="rId489"/>
    <hyperlink xmlns:r="http://schemas.openxmlformats.org/officeDocument/2006/relationships" ref="AB147" r:id="rId490"/>
    <hyperlink xmlns:r="http://schemas.openxmlformats.org/officeDocument/2006/relationships" ref="Q148" display="https://www.sebi.gov.in/sebi_data/attachdocs/jan-2026/1769065345546.pdf" r:id="rId491"/>
    <hyperlink xmlns:r="http://schemas.openxmlformats.org/officeDocument/2006/relationships" ref="R148" display="https://www.sebi.gov.in/filings/public-issues/jan-2026/advanta-enterprises-limited-drhp_99228.html" r:id="rId492"/>
    <hyperlink xmlns:r="http://schemas.openxmlformats.org/officeDocument/2006/relationships" ref="AB148" r:id="rId493"/>
    <hyperlink xmlns:r="http://schemas.openxmlformats.org/officeDocument/2006/relationships" ref="Q149" display="https://www.sebi.gov.in/sebi_data/attachdocs/jan-2026/1768908606102_1097.pdf" r:id="rId494"/>
    <hyperlink xmlns:r="http://schemas.openxmlformats.org/officeDocument/2006/relationships" ref="R149" display="https://www.sebi.gov.in/filings/public-issues/jan-2026/rodec-pharma-limited_99167.html" r:id="rId495"/>
    <hyperlink xmlns:r="http://schemas.openxmlformats.org/officeDocument/2006/relationships" ref="AB149" r:id="rId496"/>
    <hyperlink xmlns:r="http://schemas.openxmlformats.org/officeDocument/2006/relationships" ref="Q150" display="https://www.sebi.gov.in/sebi_data/attachdocs/jan-2026/1768304860369.pdf" r:id="rId497"/>
    <hyperlink xmlns:r="http://schemas.openxmlformats.org/officeDocument/2006/relationships" ref="R150" display="https://www.sebi.gov.in/filings/public-issues/jan-2026/veegaland-developers-limited_99042.html" r:id="rId498"/>
    <hyperlink xmlns:r="http://schemas.openxmlformats.org/officeDocument/2006/relationships" ref="Q151" display="https://www.sebi.gov.in/sebi_data/attachdocs/jan-2026/1768303804000_1096.pdf" r:id="rId499"/>
    <hyperlink xmlns:r="http://schemas.openxmlformats.org/officeDocument/2006/relationships" ref="R151" display="https://www.sebi.gov.in/filings/public-issues/jan-2026/hindustan-laboratories-limited_99041.html" r:id="rId500"/>
    <hyperlink xmlns:r="http://schemas.openxmlformats.org/officeDocument/2006/relationships" ref="AB151" r:id="rId501"/>
    <hyperlink xmlns:r="http://schemas.openxmlformats.org/officeDocument/2006/relationships" ref="Q152" display="https://www.sebi.gov.in/sebi_data/attachdocs/jan-2026/1768295972738.pdf" r:id="rId502"/>
    <hyperlink xmlns:r="http://schemas.openxmlformats.org/officeDocument/2006/relationships" ref="R152" display="https://www.sebi.gov.in/filings/public-issues/jan-2026/aarvee-engineering-consultants-limited-addendum-2_99033.html" r:id="rId503"/>
    <hyperlink xmlns:r="http://schemas.openxmlformats.org/officeDocument/2006/relationships" ref="AB152" r:id="rId504"/>
    <hyperlink xmlns:r="http://schemas.openxmlformats.org/officeDocument/2006/relationships" ref="Q153" display="https://www.sebi.gov.in/sebi_data/attachdocs/jan-2026/1768212809549.pdf" r:id="rId505"/>
    <hyperlink xmlns:r="http://schemas.openxmlformats.org/officeDocument/2006/relationships" ref="R153" display="https://www.sebi.gov.in/filings/public-issues/jan-2026/sael-industries-limited-corrigendum-to-drhp_99024.html" r:id="rId506"/>
    <hyperlink xmlns:r="http://schemas.openxmlformats.org/officeDocument/2006/relationships" ref="AB153" r:id="rId507"/>
    <hyperlink xmlns:r="http://schemas.openxmlformats.org/officeDocument/2006/relationships" ref="Q154" display="https://www.sebi.gov.in/sebi_data/attachdocs/jan-2026/1768202159183.pdf" r:id="rId508"/>
    <hyperlink xmlns:r="http://schemas.openxmlformats.org/officeDocument/2006/relationships" ref="R154" display="https://www.sebi.gov.in/filings/public-issues/jan-2026/vishal-nirmiti-limited_98883.html" r:id="rId509"/>
    <hyperlink xmlns:r="http://schemas.openxmlformats.org/officeDocument/2006/relationships" ref="AB154" r:id="rId510"/>
    <hyperlink xmlns:r="http://schemas.openxmlformats.org/officeDocument/2006/relationships" ref="Q155" display="https://www.sebi.gov.in/sebi_data/attachdocs/jan-2026/1767762940433.pdf" r:id="rId511"/>
    <hyperlink xmlns:r="http://schemas.openxmlformats.org/officeDocument/2006/relationships" ref="R155" display="https://www.sebi.gov.in/filings/public-issues/jan-2026/surgiwear-limited_98949.html" r:id="rId512"/>
    <hyperlink xmlns:r="http://schemas.openxmlformats.org/officeDocument/2006/relationships" ref="AB155" r:id="rId513"/>
    <hyperlink xmlns:r="http://schemas.openxmlformats.org/officeDocument/2006/relationships" ref="Q156" display="https://www.sebi.gov.in/sebi_data/attachdocs/jan-2026/1767598214527_1053.pdf" r:id="rId514"/>
    <hyperlink xmlns:r="http://schemas.openxmlformats.org/officeDocument/2006/relationships" ref="R156" display="https://www.sebi.gov.in/filings/public-issues/jan-2026/ss-retail-limited_98843.html" r:id="rId515"/>
    <hyperlink xmlns:r="http://schemas.openxmlformats.org/officeDocument/2006/relationships" ref="Q157" display="https://www.sebi.gov.in/sebi_data/attachdocs/jan-2026/1767598214527_1051.pdf" r:id="rId516"/>
    <hyperlink xmlns:r="http://schemas.openxmlformats.org/officeDocument/2006/relationships" ref="R157" display="https://www.sebi.gov.in/filings/public-issues/jan-2026/horizon-industrial-parks-limited_98839.html" r:id="rId517"/>
    <hyperlink xmlns:r="http://schemas.openxmlformats.org/officeDocument/2006/relationships" ref="Q158" display="https://www.sebi.gov.in/sebi_data/attachdocs/jan-2026/1767353409824_1049.pdf" r:id="rId518"/>
    <hyperlink xmlns:r="http://schemas.openxmlformats.org/officeDocument/2006/relationships" ref="R158" display="https://www.sebi.gov.in/filings/public-issues/jan-2026/deepa-jewellers-limited_98807.html" r:id="rId519"/>
    <hyperlink xmlns:r="http://schemas.openxmlformats.org/officeDocument/2006/relationships" ref="Q159" display="https://www.sebi.gov.in/sebi_data/attachdocs/jan-2026/1767353409824_1050.pdf" r:id="rId520"/>
    <hyperlink xmlns:r="http://schemas.openxmlformats.org/officeDocument/2006/relationships" ref="R159" display="https://www.sebi.gov.in/filings/public-issues/jan-2026/krishna-buildspace-limited_98809.html" r:id="rId521"/>
    <hyperlink xmlns:r="http://schemas.openxmlformats.org/officeDocument/2006/relationships" ref="AB159" r:id="rId522"/>
    <hyperlink xmlns:r="http://schemas.openxmlformats.org/officeDocument/2006/relationships" ref="Q160" display="https://www.sebi.gov.in/sebi_data/attachdocs/jan-2026/1767339026316_1048.pdf" r:id="rId523"/>
    <hyperlink xmlns:r="http://schemas.openxmlformats.org/officeDocument/2006/relationships" ref="R160" display="https://www.sebi.gov.in/filings/public-issues/jan-2026/mehta-hitech-industries-limited_98790.html" r:id="rId524"/>
    <hyperlink xmlns:r="http://schemas.openxmlformats.org/officeDocument/2006/relationships" ref="AB160" r:id="rId525"/>
    <hyperlink xmlns:r="http://schemas.openxmlformats.org/officeDocument/2006/relationships" ref="Q161" display="https://www.sebi.gov.in/sebi_data/attachdocs/jan-2026/1767339026316_1047.pdf" r:id="rId526"/>
    <hyperlink xmlns:r="http://schemas.openxmlformats.org/officeDocument/2006/relationships" ref="R161" display="https://www.sebi.gov.in/filings/public-issues/jan-2026/neolite-zkw-lightings-limited_98788.html" r:id="rId527"/>
    <hyperlink xmlns:r="http://schemas.openxmlformats.org/officeDocument/2006/relationships" ref="AB161" r:id="rId528"/>
    <hyperlink xmlns:r="http://schemas.openxmlformats.org/officeDocument/2006/relationships" ref="Q162" display="https://www.sebi.gov.in/sebi_data/attachdocs/jan-2026/1767339026316_1046.pdf" r:id="rId529"/>
    <hyperlink xmlns:r="http://schemas.openxmlformats.org/officeDocument/2006/relationships" ref="R162" display="https://www.sebi.gov.in/filings/public-issues/jan-2026/travelstack-tech-limited_98786.html" r:id="rId530"/>
    <hyperlink xmlns:r="http://schemas.openxmlformats.org/officeDocument/2006/relationships" ref="AB162" r:id="rId531"/>
    <hyperlink xmlns:r="http://schemas.openxmlformats.org/officeDocument/2006/relationships" ref="Q163" display="https://www.sebi.gov.in/sebi_data/attachdocs/dec-2025/1767161602994.pdf" r:id="rId532"/>
    <hyperlink xmlns:r="http://schemas.openxmlformats.org/officeDocument/2006/relationships" ref="R163" display="https://www.sebi.gov.in/filings/public-issues/dec-2025/casagrand-premier-builder-limited-drhp_98765.html" r:id="rId533"/>
    <hyperlink xmlns:r="http://schemas.openxmlformats.org/officeDocument/2006/relationships" ref="AB163" r:id="rId534"/>
    <hyperlink xmlns:r="http://schemas.openxmlformats.org/officeDocument/2006/relationships" ref="Q164" display="https://www.sebi.gov.in/sebi_data/attachdocs/dec-2025/1767094204285_1045.pdf" r:id="rId535"/>
    <hyperlink xmlns:r="http://schemas.openxmlformats.org/officeDocument/2006/relationships" ref="R164" display="https://www.sebi.gov.in/filings/public-issues/dec-2025/tonbo-imaging-india-limited_98746.html" r:id="rId536"/>
    <hyperlink xmlns:r="http://schemas.openxmlformats.org/officeDocument/2006/relationships" ref="AB164" r:id="rId537"/>
    <hyperlink xmlns:r="http://schemas.openxmlformats.org/officeDocument/2006/relationships" ref="Q165" display="https://www.sebi.gov.in/sebi_data/attachdocs/dec-2025/1767007811746_1043.pdf" r:id="rId538"/>
    <hyperlink xmlns:r="http://schemas.openxmlformats.org/officeDocument/2006/relationships" ref="R165" display="https://www.sebi.gov.in/filings/public-issues/dec-2025/yatayat-corporation-india-limited_98716.html" r:id="rId539"/>
    <hyperlink xmlns:r="http://schemas.openxmlformats.org/officeDocument/2006/relationships" ref="AB165" r:id="rId540"/>
    <hyperlink xmlns:r="http://schemas.openxmlformats.org/officeDocument/2006/relationships" ref="Q166" display="https://www.sebi.gov.in/sebi_data/attachdocs/dec-2025/1766991289537.pdf" r:id="rId541"/>
    <hyperlink xmlns:r="http://schemas.openxmlformats.org/officeDocument/2006/relationships" ref="R166" display="https://www.sebi.gov.in/filings/public-issues/dec-2025/wog-technologies-limited-drhp_98710.html" r:id="rId542"/>
    <hyperlink xmlns:r="http://schemas.openxmlformats.org/officeDocument/2006/relationships" ref="AB166" r:id="rId543"/>
    <hyperlink xmlns:r="http://schemas.openxmlformats.org/officeDocument/2006/relationships" ref="Q167" display="https://www.sebi.gov.in/sebi_data/attachdocs/jan-2026/1768287454593.pdf" r:id="rId544"/>
    <hyperlink xmlns:r="http://schemas.openxmlformats.org/officeDocument/2006/relationships" ref="R167" display="https://www.sebi.gov.in/filings/public-issues/dec-2025/aarvee-engineering-consultants-limited-addendum-1_98418.html" r:id="rId545"/>
    <hyperlink xmlns:r="http://schemas.openxmlformats.org/officeDocument/2006/relationships" ref="AB167" r:id="rId546"/>
    <hyperlink xmlns:r="http://schemas.openxmlformats.org/officeDocument/2006/relationships" ref="Q168" display="https://www.sebi.gov.in/sebi_data/attachdocs/dec-2025/1766556401413.pdf" r:id="rId547"/>
    <hyperlink xmlns:r="http://schemas.openxmlformats.org/officeDocument/2006/relationships" ref="R168" display="https://www.sebi.gov.in/filings/public-issues/dec-2025/symbiotec-pharmalab-limited-drhp_98628.html" r:id="rId548"/>
    <hyperlink xmlns:r="http://schemas.openxmlformats.org/officeDocument/2006/relationships" ref="Q169" display="https://www.sebi.gov.in/sebi_data/attachdocs/dec-2025/1766375089872.pdf" r:id="rId549"/>
    <hyperlink xmlns:r="http://schemas.openxmlformats.org/officeDocument/2006/relationships" ref="R169" display="https://www.sebi.gov.in/filings/public-issues/dec-2025/crystal-crop-protection-limited-drhp_98530.html" r:id="rId550"/>
    <hyperlink xmlns:r="http://schemas.openxmlformats.org/officeDocument/2006/relationships" ref="AB169" r:id="rId551"/>
    <hyperlink xmlns:r="http://schemas.openxmlformats.org/officeDocument/2006/relationships" ref="Q170" display="https://www.sebi.gov.in/sebi_data/attachdocs/dec-2025/1766142033748.pdf" r:id="rId552"/>
    <hyperlink xmlns:r="http://schemas.openxmlformats.org/officeDocument/2006/relationships" ref="R170" display="https://www.sebi.gov.in/filings/public-issues/dec-2025/shivganga-drillers-limited-drhp_98515.html" r:id="rId553"/>
    <hyperlink xmlns:r="http://schemas.openxmlformats.org/officeDocument/2006/relationships" ref="AB170" r:id="rId554"/>
    <hyperlink xmlns:r="http://schemas.openxmlformats.org/officeDocument/2006/relationships" ref="Q171" display="https://www.sebi.gov.in/sebi_data/attachdocs/dec-2025/1766129404848_1041.pdf" r:id="rId555"/>
    <hyperlink xmlns:r="http://schemas.openxmlformats.org/officeDocument/2006/relationships" ref="R171" display="https://www.sebi.gov.in/filings/public-issues/dec-2025/renny-strips-limited_98494.html" r:id="rId556"/>
    <hyperlink xmlns:r="http://schemas.openxmlformats.org/officeDocument/2006/relationships" ref="AB171" r:id="rId557"/>
    <hyperlink xmlns:r="http://schemas.openxmlformats.org/officeDocument/2006/relationships" ref="Q172" display="https://www.sebi.gov.in/sebi_data/attachdocs/dec-2025/1766107805579_1040.pdf" r:id="rId558"/>
    <hyperlink xmlns:r="http://schemas.openxmlformats.org/officeDocument/2006/relationships" ref="R172" display="https://www.sebi.gov.in/filings/public-issues/dec-2025/aspri-spirits-limited_98473.html" r:id="rId559"/>
    <hyperlink xmlns:r="http://schemas.openxmlformats.org/officeDocument/2006/relationships" ref="AB172" r:id="rId560"/>
    <hyperlink xmlns:r="http://schemas.openxmlformats.org/officeDocument/2006/relationships" ref="Q173" display="https://www.sebi.gov.in/sebi_data/attachdocs/dec-2025/1765971005612_1036.pdf" r:id="rId561"/>
    <hyperlink xmlns:r="http://schemas.openxmlformats.org/officeDocument/2006/relationships" ref="R173" display="https://www.sebi.gov.in/filings/public-issues/dec-2025/sonaselection-india-limited_98429.html" r:id="rId562"/>
    <hyperlink xmlns:r="http://schemas.openxmlformats.org/officeDocument/2006/relationships" ref="Q174" display="https://www.sebi.gov.in/sebi_data/attachdocs/dec-2025/1765775578457.pdf" r:id="rId563"/>
    <hyperlink xmlns:r="http://schemas.openxmlformats.org/officeDocument/2006/relationships" ref="R174" display="https://www.sebi.gov.in/filings/public-issues/dec-2025/shiprocket-limited-udrhp_98357.html" r:id="rId564"/>
    <hyperlink xmlns:r="http://schemas.openxmlformats.org/officeDocument/2006/relationships" ref="Q175" display="https://www.sebi.gov.in/sebi_data/attachdocs/dec-2025/1765516904599.pdf" r:id="rId565"/>
    <hyperlink xmlns:r="http://schemas.openxmlformats.org/officeDocument/2006/relationships" ref="R175" display="https://www.sebi.gov.in/filings/public-issues/dec-2025/sfc-environmental-technologies-limited-corrigendum-to-drhp_98325.html" r:id="rId566"/>
    <hyperlink xmlns:r="http://schemas.openxmlformats.org/officeDocument/2006/relationships" ref="AB175" r:id="rId567"/>
    <hyperlink xmlns:r="http://schemas.openxmlformats.org/officeDocument/2006/relationships" ref="Q176" display="https://www.sebi.gov.in/sebi_data/attachdocs/dec-2025/1765431615262.pdf" r:id="rId568"/>
    <hyperlink xmlns:r="http://schemas.openxmlformats.org/officeDocument/2006/relationships" ref="R176" display="https://www.sebi.gov.in/filings/public-issues/dec-2025/dhariwal-buildtech-limited-corrigendum-to-drhp_98304.html" r:id="rId569"/>
    <hyperlink xmlns:r="http://schemas.openxmlformats.org/officeDocument/2006/relationships" ref="AB176" r:id="rId570"/>
    <hyperlink xmlns:r="http://schemas.openxmlformats.org/officeDocument/2006/relationships" ref="Q177" display="https://www.sebi.gov.in/sebi_data/attachdocs/dec-2025/1765366208348_1033.pdf" r:id="rId571"/>
    <hyperlink xmlns:r="http://schemas.openxmlformats.org/officeDocument/2006/relationships" ref="R177" display="https://www.sebi.gov.in/filings/public-issues/dec-2025/jindal-supreme-india-limited_98282.html" r:id="rId572"/>
    <hyperlink xmlns:r="http://schemas.openxmlformats.org/officeDocument/2006/relationships" ref="Q178" display="https://www.sebi.gov.in/sebi_data/attachdocs/dec-2025/1765366208348_1032.pdf" r:id="rId573"/>
    <hyperlink xmlns:r="http://schemas.openxmlformats.org/officeDocument/2006/relationships" ref="R178" display="https://www.sebi.gov.in/filings/public-issues/dec-2025/mv-electrosystems-limited_98280.html" r:id="rId574"/>
    <hyperlink xmlns:r="http://schemas.openxmlformats.org/officeDocument/2006/relationships" ref="Q179" display="https://www.sebi.gov.in/sebi_data/attachdocs/dec-2025/1765261797723.pdf" r:id="rId575"/>
    <hyperlink xmlns:r="http://schemas.openxmlformats.org/officeDocument/2006/relationships" ref="R179" display="https://www.sebi.gov.in/filings/public-issues/dec-2025/steamhouse-india-limited-udrhp_98254.html" r:id="rId576"/>
    <hyperlink xmlns:r="http://schemas.openxmlformats.org/officeDocument/2006/relationships" ref="Q180" display="https://www.sebi.gov.in/sebi_data/attachdocs/dec-2025/1765261442709.pdf" r:id="rId577"/>
    <hyperlink xmlns:r="http://schemas.openxmlformats.org/officeDocument/2006/relationships" ref="R180" display="https://www.sebi.gov.in/filings/public-issues/dec-2025/acevector-limited-udrhp_98252.html" r:id="rId578"/>
    <hyperlink xmlns:r="http://schemas.openxmlformats.org/officeDocument/2006/relationships" ref="AB180" r:id="rId579"/>
    <hyperlink xmlns:r="http://schemas.openxmlformats.org/officeDocument/2006/relationships" ref="Q181" display="https://www.sebi.gov.in/sebi_data/attachdocs/dec-2025/1764928528769.pdf" r:id="rId580"/>
    <hyperlink xmlns:r="http://schemas.openxmlformats.org/officeDocument/2006/relationships" ref="R181" display="https://www.sebi.gov.in/filings/public-issues/dec-2025/gaja-alternative-asset-management-limited_98194.html" r:id="rId581"/>
    <hyperlink xmlns:r="http://schemas.openxmlformats.org/officeDocument/2006/relationships" ref="Q182" display="https://www.sebi.gov.in/sebi_data/attachdocs/dec-2025/1764763148534.pdf" r:id="rId582"/>
    <hyperlink xmlns:r="http://schemas.openxmlformats.org/officeDocument/2006/relationships" ref="R182" display="https://www.sebi.gov.in/filings/public-issues/dec-2025/casagrand-premier-builder-limited-addendum-to-drhp_98148.html" r:id="rId583"/>
    <hyperlink xmlns:r="http://schemas.openxmlformats.org/officeDocument/2006/relationships" ref="AB182" r:id="rId584"/>
    <hyperlink xmlns:r="http://schemas.openxmlformats.org/officeDocument/2006/relationships" ref="Q183" display="https://www.sebi.gov.in/sebi_data/attachdocs/nov-2025/1764331093856.pdf" r:id="rId585"/>
    <hyperlink xmlns:r="http://schemas.openxmlformats.org/officeDocument/2006/relationships" ref="R183" display="https://www.sebi.gov.in/filings/public-issues/nov-2025/hero-fincorp-limited-drhp_98032.html" r:id="rId586"/>
    <hyperlink xmlns:r="http://schemas.openxmlformats.org/officeDocument/2006/relationships" ref="AB183" r:id="rId587"/>
    <hyperlink xmlns:r="http://schemas.openxmlformats.org/officeDocument/2006/relationships" ref="Q184" display="https://www.sebi.gov.in/sebi_data/attachdocs/nov-2025/1764308698651.pdf" r:id="rId588"/>
    <hyperlink xmlns:r="http://schemas.openxmlformats.org/officeDocument/2006/relationships" ref="R184" display="https://www.sebi.gov.in/filings/public-issues/nov-2025/hexagon-nutrition-limited-addendum-to-drhp_98001.html" r:id="rId589"/>
    <hyperlink xmlns:r="http://schemas.openxmlformats.org/officeDocument/2006/relationships" ref="Q185" display="https://www.sebi.gov.in/sebi_data/attachdocs/nov-2025/1764232197013.pdf" r:id="rId590"/>
    <hyperlink xmlns:r="http://schemas.openxmlformats.org/officeDocument/2006/relationships" ref="R185" display="https://www.sebi.gov.in/filings/public-issues/nov-2025/milestone-gears-limited-drhp_97973.html" r:id="rId591"/>
    <hyperlink xmlns:r="http://schemas.openxmlformats.org/officeDocument/2006/relationships" ref="AB185" r:id="rId592"/>
    <hyperlink xmlns:r="http://schemas.openxmlformats.org/officeDocument/2006/relationships" ref="Q186" display="https://www.sebi.gov.in/sebi_data/attachdocs/nov-2025/1763960032856.pdf" r:id="rId593"/>
    <hyperlink xmlns:r="http://schemas.openxmlformats.org/officeDocument/2006/relationships" ref="R186" display="https://www.sebi.gov.in/filings/public-issues/nov-2025/orient-cables-india-limited-addendum-to-drhp_97886.html" r:id="rId594"/>
    <hyperlink xmlns:r="http://schemas.openxmlformats.org/officeDocument/2006/relationships" ref="AB186" r:id="rId595"/>
    <hyperlink xmlns:r="http://schemas.openxmlformats.org/officeDocument/2006/relationships" ref="Q187" display="https://www.sebi.gov.in/sebi_data/attachdocs/nov-2025/1763465405051_1025.pdf" r:id="rId596"/>
    <hyperlink xmlns:r="http://schemas.openxmlformats.org/officeDocument/2006/relationships" ref="R187" display="https://www.sebi.gov.in/filings/public-issues/nov-2025/sedemac-mechatronics-limited_97812.html" r:id="rId597"/>
    <hyperlink xmlns:r="http://schemas.openxmlformats.org/officeDocument/2006/relationships" ref="Q188" display="https://www.sebi.gov.in/sebi_data/attachdocs/nov-2025/1762837361221.pdf" r:id="rId598"/>
    <hyperlink xmlns:r="http://schemas.openxmlformats.org/officeDocument/2006/relationships" ref="R188" display="https://www.sebi.gov.in/filings/public-issues/nov-2025/manipal-payment-and-identity-solutions-limited-udrhp_97699.html" r:id="rId599"/>
    <hyperlink xmlns:r="http://schemas.openxmlformats.org/officeDocument/2006/relationships" ref="Q189" display="https://www.sebi.gov.in/sebi_data/attachdocs/nov-2025/1762508222639.pdf" r:id="rId600"/>
    <hyperlink xmlns:r="http://schemas.openxmlformats.org/officeDocument/2006/relationships" ref="R189" display="https://www.sebi.gov.in/filings/public-issues/nov-2025/sael-industries-limited_97667.html" r:id="rId601"/>
    <hyperlink xmlns:r="http://schemas.openxmlformats.org/officeDocument/2006/relationships" ref="AB189" r:id="rId602"/>
    <hyperlink xmlns:r="http://schemas.openxmlformats.org/officeDocument/2006/relationships" ref="Q190" display="https://www.sebi.gov.in/sebi_data/attachdocs/nov-2025/1762153184446.pdf" r:id="rId603"/>
    <hyperlink xmlns:r="http://schemas.openxmlformats.org/officeDocument/2006/relationships" ref="R190" display="https://www.sebi.gov.in/filings/public-issues/oct-2025/shadowfax-technologies-limited-udrhp-i_97586.html" r:id="rId604"/>
    <hyperlink xmlns:r="http://schemas.openxmlformats.org/officeDocument/2006/relationships" ref="Q191" display="https://www.sebi.gov.in/sebi_data/attachdocs/oct-2025/1761711834836.pdf" r:id="rId605"/>
    <hyperlink xmlns:r="http://schemas.openxmlformats.org/officeDocument/2006/relationships" ref="R191" display="https://www.sebi.gov.in/filings/public-issues/oct-2025/imagine-marketing-limited-udrhp_97510.html" r:id="rId606"/>
    <hyperlink xmlns:r="http://schemas.openxmlformats.org/officeDocument/2006/relationships" ref="AB191" r:id="rId607"/>
    <hyperlink xmlns:r="http://schemas.openxmlformats.org/officeDocument/2006/relationships" ref="Q192" display="https://www.sebi.gov.in/sebi_data/attachdocs/oct-2025/1761562199414.pdf" r:id="rId608"/>
    <hyperlink xmlns:r="http://schemas.openxmlformats.org/officeDocument/2006/relationships" ref="R192" display="https://www.sebi.gov.in/filings/public-issues/oct-2025/meesho-limited-udrhp_97453.html" r:id="rId609"/>
    <hyperlink xmlns:r="http://schemas.openxmlformats.org/officeDocument/2006/relationships" ref="Q193" display="https://www.sebi.gov.in/sebi_data/attachdocs/oct-2025/1761550204673_1023.pdf" r:id="rId610"/>
    <hyperlink xmlns:r="http://schemas.openxmlformats.org/officeDocument/2006/relationships" ref="R193" display="https://www.sebi.gov.in/filings/public-issues/oct-2025/prasol-chemicals-limited_97449.html" r:id="rId611"/>
    <hyperlink xmlns:r="http://schemas.openxmlformats.org/officeDocument/2006/relationships" ref="Q194" display="https://www.sebi.gov.in/sebi_data/attachdocs/oct-2025/1761219007321_1021.pdf" r:id="rId612"/>
    <hyperlink xmlns:r="http://schemas.openxmlformats.org/officeDocument/2006/relationships" ref="R194" display="https://www.sebi.gov.in/filings/public-issues/oct-2025/duroflex-limited_97438.html" r:id="rId613"/>
    <hyperlink xmlns:r="http://schemas.openxmlformats.org/officeDocument/2006/relationships" ref="AB194" r:id="rId614"/>
    <hyperlink xmlns:r="http://schemas.openxmlformats.org/officeDocument/2006/relationships" ref="Q195" display="https://www.sebi.gov.in/sebi_data/attachdocs/oct-2025/1761204614130_1020.pdf" r:id="rId615"/>
    <hyperlink xmlns:r="http://schemas.openxmlformats.org/officeDocument/2006/relationships" ref="R195" display="https://www.sebi.gov.in/filings/public-issues/oct-2025/integris-medtech-limited_97425.html" r:id="rId616"/>
    <hyperlink xmlns:r="http://schemas.openxmlformats.org/officeDocument/2006/relationships" ref="AB195" r:id="rId617"/>
    <hyperlink xmlns:r="http://schemas.openxmlformats.org/officeDocument/2006/relationships" ref="Q196" display="https://www.sebi.gov.in/sebi_data/attachdocs/oct-2025/1761628612556.pdf" r:id="rId618"/>
    <hyperlink xmlns:r="http://schemas.openxmlformats.org/officeDocument/2006/relationships" ref="R196" display="https://www.sebi.gov.in/filings/public-issues/oct-2025/sify-infinit-spaces-limited-drhp_97481.html" r:id="rId619"/>
    <hyperlink xmlns:r="http://schemas.openxmlformats.org/officeDocument/2006/relationships" ref="AB196" r:id="rId620"/>
    <hyperlink xmlns:r="http://schemas.openxmlformats.org/officeDocument/2006/relationships" ref="Q197" display="https://www.sebi.gov.in/sebi_data/attachdocs/oct-2025/1760605051795.pdf" r:id="rId621"/>
    <hyperlink xmlns:r="http://schemas.openxmlformats.org/officeDocument/2006/relationships" ref="R197" display="https://www.sebi.gov.in/filings/public-issues/oct-2025/rays-power-infra-limited-drhp_97355.html" r:id="rId622"/>
    <hyperlink xmlns:r="http://schemas.openxmlformats.org/officeDocument/2006/relationships" ref="AB197" r:id="rId623"/>
    <hyperlink xmlns:r="http://schemas.openxmlformats.org/officeDocument/2006/relationships" ref="Q198" display="https://www.sebi.gov.in/sebi_data/attachdocs/oct-2025/1760589175985.pdf" r:id="rId624"/>
    <hyperlink xmlns:r="http://schemas.openxmlformats.org/officeDocument/2006/relationships" ref="R198" display="https://www.sebi.gov.in/filings/public-issues/oct-2025/technocraft-ventures-limited-addendum-to-drhp_97350.html" r:id="rId625"/>
    <hyperlink xmlns:r="http://schemas.openxmlformats.org/officeDocument/2006/relationships" ref="Q199" display="https://www.sebi.gov.in/sebi_data/attachdocs/oct-2025/1760527804402_1017.pdf" r:id="rId626"/>
    <hyperlink xmlns:r="http://schemas.openxmlformats.org/officeDocument/2006/relationships" ref="R199" display="https://www.sebi.gov.in/filings/public-issues/oct-2025/integris-medtech-limited_97342.html" r:id="rId627"/>
    <hyperlink xmlns:r="http://schemas.openxmlformats.org/officeDocument/2006/relationships" ref="AB199" r:id="rId628"/>
    <hyperlink xmlns:r="http://schemas.openxmlformats.org/officeDocument/2006/relationships" ref="Q200" display="https://www.sebi.gov.in/sebi_data/attachdocs/oct-2025/1760081406764_1010.pdf" r:id="rId629"/>
    <hyperlink xmlns:r="http://schemas.openxmlformats.org/officeDocument/2006/relationships" ref="R200" display="https://www.sebi.gov.in/filings/public-issues/oct-2025/ardee-industries-limited_97225.html" r:id="rId630"/>
    <hyperlink xmlns:r="http://schemas.openxmlformats.org/officeDocument/2006/relationships" ref="Q201" display="https://www.sebi.gov.in/sebi_data/attachdocs/oct-2025/1760081406764_1011.pdf" r:id="rId631"/>
    <hyperlink xmlns:r="http://schemas.openxmlformats.org/officeDocument/2006/relationships" ref="R201" display="https://www.sebi.gov.in/filings/public-issues/oct-2025/bvg-india-limited_97227.html" r:id="rId632"/>
    <hyperlink xmlns:r="http://schemas.openxmlformats.org/officeDocument/2006/relationships" ref="AB201" r:id="rId633"/>
    <hyperlink xmlns:r="http://schemas.openxmlformats.org/officeDocument/2006/relationships" ref="Q202" display="https://www.sebi.gov.in/sebi_data/attachdocs/oct-2025/1760076891744.pdf" r:id="rId634"/>
    <hyperlink xmlns:r="http://schemas.openxmlformats.org/officeDocument/2006/relationships" ref="R202" display="https://www.sebi.gov.in/filings/public-issues/oct-2025/hotel-polo-towers-limited-drhp_97223.html" r:id="rId635"/>
    <hyperlink xmlns:r="http://schemas.openxmlformats.org/officeDocument/2006/relationships" ref="AB202" r:id="rId636"/>
    <hyperlink xmlns:r="http://schemas.openxmlformats.org/officeDocument/2006/relationships" ref="Q203" display="https://www.sebi.gov.in/sebi_data/attachdocs/oct-2025/1760009417606_1009.pdf" r:id="rId637"/>
    <hyperlink xmlns:r="http://schemas.openxmlformats.org/officeDocument/2006/relationships" ref="R203" display="https://www.sebi.gov.in/filings/public-issues/oct-2025/kusumgar-limited_97201.html" r:id="rId638"/>
    <hyperlink xmlns:r="http://schemas.openxmlformats.org/officeDocument/2006/relationships" ref="Q204" display="https://www.sebi.gov.in/sebi_data/attachdocs/oct-2025/1760009417606_1008.pdf" r:id="rId639"/>
    <hyperlink xmlns:r="http://schemas.openxmlformats.org/officeDocument/2006/relationships" ref="R204" display="https://www.sebi.gov.in/filings/public-issues/oct-2025/jerai-fitness-limited_97199.html" r:id="rId640"/>
    <hyperlink xmlns:r="http://schemas.openxmlformats.org/officeDocument/2006/relationships" ref="AB204" r:id="rId641"/>
    <hyperlink xmlns:r="http://schemas.openxmlformats.org/officeDocument/2006/relationships" ref="Q205" display="https://www.sebi.gov.in/sebi_data/attachdocs/oct-2025/1760009417606_1007.pdf" r:id="rId642"/>
    <hyperlink xmlns:r="http://schemas.openxmlformats.org/officeDocument/2006/relationships" ref="R205" display="https://www.sebi.gov.in/filings/public-issues/oct-2025/learnfluence-education-limited_97197.html" r:id="rId643"/>
    <hyperlink xmlns:r="http://schemas.openxmlformats.org/officeDocument/2006/relationships" ref="AB205" r:id="rId644"/>
    <hyperlink xmlns:r="http://schemas.openxmlformats.org/officeDocument/2006/relationships" ref="Q206" display="https://www.sebi.gov.in/sebi_data/attachdocs/oct-2025/1760009417606_1005.pdf" r:id="rId645"/>
    <hyperlink xmlns:r="http://schemas.openxmlformats.org/officeDocument/2006/relationships" ref="R206" display="https://www.sebi.gov.in/filings/public-issues/oct-2025/augmont-enterprises-limited_97193.html" r:id="rId646"/>
    <hyperlink xmlns:r="http://schemas.openxmlformats.org/officeDocument/2006/relationships" ref="Q207" display="https://www.sebi.gov.in/sebi_data/attachdocs/oct-2025/1760009417606_1002.pdf" r:id="rId647"/>
    <hyperlink xmlns:r="http://schemas.openxmlformats.org/officeDocument/2006/relationships" ref="R207" display="https://www.sebi.gov.in/filings/public-issues/oct-2025/r-k-steel-manufacturing-company-limited_97187.html" r:id="rId648"/>
    <hyperlink xmlns:r="http://schemas.openxmlformats.org/officeDocument/2006/relationships" ref="AB207" r:id="rId649"/>
    <hyperlink xmlns:r="http://schemas.openxmlformats.org/officeDocument/2006/relationships" ref="Q208" display="https://www.sebi.gov.in/sebi_data/attachdocs/oct-2025/1760009417606_1003.pdf" r:id="rId650"/>
    <hyperlink xmlns:r="http://schemas.openxmlformats.org/officeDocument/2006/relationships" ref="R208" display="https://www.sebi.gov.in/filings/public-issues/oct-2025/sky-alloys-and-power-limited_97189.html" r:id="rId651"/>
    <hyperlink xmlns:r="http://schemas.openxmlformats.org/officeDocument/2006/relationships" ref="AB208" r:id="rId652"/>
    <hyperlink xmlns:r="http://schemas.openxmlformats.org/officeDocument/2006/relationships" ref="Q209" display="https://www.sebi.gov.in/sebi_data/attachdocs/oct-2025/1760006215253.pdf" r:id="rId653"/>
    <hyperlink xmlns:r="http://schemas.openxmlformats.org/officeDocument/2006/relationships" ref="R209" display="https://www.sebi.gov.in/filings/public-issues/oct-2025/laser-power-and-infra-limited-drhp_97184.html" r:id="rId654"/>
    <hyperlink xmlns:r="http://schemas.openxmlformats.org/officeDocument/2006/relationships" ref="Q210" display="https://www.sebi.gov.in/sebi_data/attachdocs/oct-2025/1760002256727.pdf" r:id="rId655"/>
    <hyperlink xmlns:r="http://schemas.openxmlformats.org/officeDocument/2006/relationships" ref="R210" display="https://www.sebi.gov.in/filings/public-issues/oct-2025/vishvaraj-environment-limited-drhp_97182.html" r:id="rId656"/>
    <hyperlink xmlns:r="http://schemas.openxmlformats.org/officeDocument/2006/relationships" ref="AB210" r:id="rId657"/>
    <hyperlink xmlns:r="http://schemas.openxmlformats.org/officeDocument/2006/relationships" ref="Q211" display="https://www.sebi.gov.in/sebi_data/attachdocs/oct-2025/1760000743042.pdf" r:id="rId658"/>
    <hyperlink xmlns:r="http://schemas.openxmlformats.org/officeDocument/2006/relationships" ref="R211" display="https://www.sebi.gov.in/filings/public-issues/oct-2025/sterlite-electric-limited-drhp_97181.html" r:id="rId659"/>
    <hyperlink xmlns:r="http://schemas.openxmlformats.org/officeDocument/2006/relationships" ref="AB211" r:id="rId660"/>
    <hyperlink xmlns:r="http://schemas.openxmlformats.org/officeDocument/2006/relationships" ref="Q212" display="https://www.sebi.gov.in/sebi_data/attachdocs/oct-2025/1759995019453_1001.pdf" r:id="rId661"/>
    <hyperlink xmlns:r="http://schemas.openxmlformats.org/officeDocument/2006/relationships" ref="R212" display="https://www.sebi.gov.in/filings/public-issues/oct-2025/associated-power-structures-limited_97179.html" r:id="rId662"/>
    <hyperlink xmlns:r="http://schemas.openxmlformats.org/officeDocument/2006/relationships" ref="AB212" r:id="rId663"/>
    <hyperlink xmlns:r="http://schemas.openxmlformats.org/officeDocument/2006/relationships" ref="Q213" display="https://www.sebi.gov.in/sebi_data/attachdocs/oct-2025/1759995019453_999.pdf" r:id="rId664"/>
    <hyperlink xmlns:r="http://schemas.openxmlformats.org/officeDocument/2006/relationships" ref="R213" display="https://www.sebi.gov.in/filings/public-issues/oct-2025/aarvee-engineering-consultants-limited_97175.html" r:id="rId665"/>
    <hyperlink xmlns:r="http://schemas.openxmlformats.org/officeDocument/2006/relationships" ref="AB213" r:id="rId666"/>
    <hyperlink xmlns:r="http://schemas.openxmlformats.org/officeDocument/2006/relationships" ref="Q214" display="https://www.sebi.gov.in/sebi_data/attachdocs/oct-2025/1759995019453_1000.pdf" r:id="rId667"/>
    <hyperlink xmlns:r="http://schemas.openxmlformats.org/officeDocument/2006/relationships" ref="R214" display="https://www.sebi.gov.in/filings/public-issues/oct-2025/alpine-texworld-liited_97177.html" r:id="rId668"/>
    <hyperlink xmlns:r="http://schemas.openxmlformats.org/officeDocument/2006/relationships" ref="Q215" display="https://www.sebi.gov.in/sebi_data/attachdocs/oct-2025/1759995019453_998.pdf" r:id="rId669"/>
    <hyperlink xmlns:r="http://schemas.openxmlformats.org/officeDocument/2006/relationships" ref="R215" display="https://www.sebi.gov.in/filings/public-issues/oct-2025/pride-hotels-limited_97173.html" r:id="rId670"/>
    <hyperlink xmlns:r="http://schemas.openxmlformats.org/officeDocument/2006/relationships" ref="AB215" r:id="rId671"/>
    <hyperlink xmlns:r="http://schemas.openxmlformats.org/officeDocument/2006/relationships" ref="Q216" display="https://www.sebi.gov.in/sebi_data/attachdocs/oct-2025/1759995019453_997.pdf" r:id="rId672"/>
    <hyperlink xmlns:r="http://schemas.openxmlformats.org/officeDocument/2006/relationships" ref="R216" display="https://www.sebi.gov.in/filings/public-issues/oct-2025/sai-parentarals-limited_97171.html" r:id="rId673"/>
    <hyperlink xmlns:r="http://schemas.openxmlformats.org/officeDocument/2006/relationships" ref="Q217" display="https://www.sebi.gov.in/sebi_data/attachdocs/oct-2025/1759993428893.pdf" r:id="rId674"/>
    <hyperlink xmlns:r="http://schemas.openxmlformats.org/officeDocument/2006/relationships" ref="R217" display="https://www.sebi.gov.in/filings/public-issues/oct-2025/cj-darcl-logistics-limited-drhp_97166.html" r:id="rId675"/>
    <hyperlink xmlns:r="http://schemas.openxmlformats.org/officeDocument/2006/relationships" ref="S217" display="https://www.sebi.gov.in/sebi_data/commondocs/sep-2026/CJ%20Darcl%20-%20Addendum%20to%20DRHP%20-%20Final%20Layout_p.pdf" r:id="rId676"/>
    <hyperlink xmlns:r="http://schemas.openxmlformats.org/officeDocument/2006/relationships" ref="AB217" r:id="rId677"/>
    <hyperlink xmlns:r="http://schemas.openxmlformats.org/officeDocument/2006/relationships" ref="Q218" display="https://www.sebi.gov.in/sebi_data/attachdocs/oct-2025/1759988958816.pdf" r:id="rId678"/>
    <hyperlink xmlns:r="http://schemas.openxmlformats.org/officeDocument/2006/relationships" ref="R218" display="https://www.sebi.gov.in/filings/public-issues/oct-2025/mann-fleet-partners-limited-drhp_97164.html" r:id="rId679"/>
    <hyperlink xmlns:r="http://schemas.openxmlformats.org/officeDocument/2006/relationships" ref="AB218" r:id="rId680"/>
    <hyperlink xmlns:r="http://schemas.openxmlformats.org/officeDocument/2006/relationships" ref="Q219" display="https://www.sebi.gov.in/sebi_data/attachdocs/oct-2025/1759988098283.pdf" r:id="rId681"/>
    <hyperlink xmlns:r="http://schemas.openxmlformats.org/officeDocument/2006/relationships" ref="R219" display="https://www.sebi.gov.in/filings/public-issues/oct-2025/runwal-developers-limited-drhp_97161.html" r:id="rId682"/>
    <hyperlink xmlns:r="http://schemas.openxmlformats.org/officeDocument/2006/relationships" ref="AB219" r:id="rId683"/>
    <hyperlink xmlns:r="http://schemas.openxmlformats.org/officeDocument/2006/relationships" ref="Q220" display="https://www.sebi.gov.in/sebi_data/attachdocs/oct-2025/1759985997171.pdf" r:id="rId684"/>
    <hyperlink xmlns:r="http://schemas.openxmlformats.org/officeDocument/2006/relationships" ref="R220" display="https://www.sebi.gov.in/filings/public-issues/oct-2025/lalbaba-engineering-limited-drhp_97160.html" r:id="rId685"/>
    <hyperlink xmlns:r="http://schemas.openxmlformats.org/officeDocument/2006/relationships" ref="AB220" r:id="rId686"/>
    <hyperlink xmlns:r="http://schemas.openxmlformats.org/officeDocument/2006/relationships" ref="Q221" display="https://www.sebi.gov.in/sebi_data/attachdocs/oct-2025/1759982238782.pdf" r:id="rId687"/>
    <hyperlink xmlns:r="http://schemas.openxmlformats.org/officeDocument/2006/relationships" ref="R221" display="https://www.sebi.gov.in/filings/public-issues/oct-2025/aastha-spintex-limited-drhp_97148.html" r:id="rId688"/>
    <hyperlink xmlns:r="http://schemas.openxmlformats.org/officeDocument/2006/relationships" ref="Q222" display="https://www.sebi.gov.in/sebi_data/attachdocs/oct-2025/1759925748914.pdf" r:id="rId689"/>
    <hyperlink xmlns:r="http://schemas.openxmlformats.org/officeDocument/2006/relationships" ref="R222" display="https://www.sebi.gov.in/filings/public-issues/oct-2025/hd-fire-protect-limited-drhp_97144.html" r:id="rId690"/>
    <hyperlink xmlns:r="http://schemas.openxmlformats.org/officeDocument/2006/relationships" ref="AB222" r:id="rId691"/>
    <hyperlink xmlns:r="http://schemas.openxmlformats.org/officeDocument/2006/relationships" ref="Q223" display="https://www.sebi.gov.in/sebi_data/attachdocs/oct-2025/1759923004723_994.pdf" r:id="rId692"/>
    <hyperlink xmlns:r="http://schemas.openxmlformats.org/officeDocument/2006/relationships" ref="R223" display="https://www.sebi.gov.in/filings/public-issues/oct-2025/bonbloc-technologies-limited_97141.html" r:id="rId693"/>
    <hyperlink xmlns:r="http://schemas.openxmlformats.org/officeDocument/2006/relationships" ref="AB223" r:id="rId694"/>
    <hyperlink xmlns:r="http://schemas.openxmlformats.org/officeDocument/2006/relationships" ref="Q224" display="https://www.sebi.gov.in/sebi_data/attachdocs/oct-2025/1759923004723_995.pdf" r:id="rId695"/>
    <hyperlink xmlns:r="http://schemas.openxmlformats.org/officeDocument/2006/relationships" ref="R224" display="https://www.sebi.gov.in/filings/public-issues/oct-2025/hexagon-nutrition-limited_97143.html" r:id="rId696"/>
    <hyperlink xmlns:r="http://schemas.openxmlformats.org/officeDocument/2006/relationships" ref="Q225" display="https://www.sebi.gov.in/sebi_data/attachdocs/oct-2025/1759921908126.pdf" r:id="rId697"/>
    <hyperlink xmlns:r="http://schemas.openxmlformats.org/officeDocument/2006/relationships" ref="R225" display="https://www.sebi.gov.in/filings/public-issues/oct-2025/rkcpl-limited-drhp_97140.html" r:id="rId698"/>
    <hyperlink xmlns:r="http://schemas.openxmlformats.org/officeDocument/2006/relationships" ref="AB225" r:id="rId699"/>
    <hyperlink xmlns:r="http://schemas.openxmlformats.org/officeDocument/2006/relationships" ref="Q226" display="https://www.sebi.gov.in/sebi_data/attachdocs/oct-2025/1759921018406.pdf" r:id="rId700"/>
    <hyperlink xmlns:r="http://schemas.openxmlformats.org/officeDocument/2006/relationships" ref="R226" display="https://www.sebi.gov.in/filings/public-issues/oct-2025/deon-energy-limited-drhp_97139.html" r:id="rId701"/>
    <hyperlink xmlns:r="http://schemas.openxmlformats.org/officeDocument/2006/relationships" ref="AB226" r:id="rId702"/>
    <hyperlink xmlns:r="http://schemas.openxmlformats.org/officeDocument/2006/relationships" ref="Q227" display="https://www.sebi.gov.in/sebi_data/attachdocs/oct-2025/1759918220979.pdf" r:id="rId703"/>
    <hyperlink xmlns:r="http://schemas.openxmlformats.org/officeDocument/2006/relationships" ref="R227" display="https://www.sebi.gov.in/filings/public-issues/oct-2025/commtel-networks-limited-drhp_97138.html" r:id="rId704"/>
    <hyperlink xmlns:r="http://schemas.openxmlformats.org/officeDocument/2006/relationships" ref="AB227" r:id="rId705"/>
    <hyperlink xmlns:r="http://schemas.openxmlformats.org/officeDocument/2006/relationships" ref="Q228" display="https://www.sebi.gov.in/sebi_data/attachdocs/oct-2025/1759918166128.pdf" r:id="rId706"/>
    <hyperlink xmlns:r="http://schemas.openxmlformats.org/officeDocument/2006/relationships" ref="R228" display="https://www.sebi.gov.in/filings/public-issues/oct-2025/appl-containers-limited-drhp_97137.html" r:id="rId707"/>
    <hyperlink xmlns:r="http://schemas.openxmlformats.org/officeDocument/2006/relationships" ref="AB228" r:id="rId708"/>
    <hyperlink xmlns:r="http://schemas.openxmlformats.org/officeDocument/2006/relationships" ref="Q229" display="https://www.sebi.gov.in/sebi_data/attachdocs/oct-2025/1759918079758.pdf" r:id="rId709"/>
    <hyperlink xmlns:r="http://schemas.openxmlformats.org/officeDocument/2006/relationships" ref="R229" display="https://www.sebi.gov.in/filings/public-issues/oct-2025/shah-investor-s-home-limited-drhp_97135.html" r:id="rId710"/>
    <hyperlink xmlns:r="http://schemas.openxmlformats.org/officeDocument/2006/relationships" ref="AB229" r:id="rId711"/>
    <hyperlink xmlns:r="http://schemas.openxmlformats.org/officeDocument/2006/relationships" ref="Q230" display="https://www.sebi.gov.in/sebi_data/attachdocs/oct-2025/1759908607630_993.pdf" r:id="rId712"/>
    <hyperlink xmlns:r="http://schemas.openxmlformats.org/officeDocument/2006/relationships" ref="R230" display="https://www.sebi.gov.in/filings/public-issues/oct-2025/advit-jewels-limited_97123.html" r:id="rId713"/>
    <hyperlink xmlns:r="http://schemas.openxmlformats.org/officeDocument/2006/relationships" ref="Q231" display="https://www.sebi.gov.in/sebi_data/attachdocs/oct-2025/1759908607630_992.pdf" r:id="rId714"/>
    <hyperlink xmlns:r="http://schemas.openxmlformats.org/officeDocument/2006/relationships" ref="R231" display="https://www.sebi.gov.in/filings/public-issues/oct-2025/tempsens-instruments-india-limited_97121.html" r:id="rId715"/>
    <hyperlink xmlns:r="http://schemas.openxmlformats.org/officeDocument/2006/relationships" ref="Q232" display="https://www.sebi.gov.in/sebi_data/attachdocs/oct-2025/1759906912149.pdf" r:id="rId716"/>
    <hyperlink xmlns:r="http://schemas.openxmlformats.org/officeDocument/2006/relationships" ref="R232" display="https://www.sebi.gov.in/filings/public-issues/oct-2025/virupaksha-organics-limited-drhp_97120.html" r:id="rId717"/>
    <hyperlink xmlns:r="http://schemas.openxmlformats.org/officeDocument/2006/relationships" ref="AB232" r:id="rId718"/>
    <hyperlink xmlns:r="http://schemas.openxmlformats.org/officeDocument/2006/relationships" ref="Q233" display="https://www.sebi.gov.in/sebi_data/attachdocs/oct-2025/1759901381010.pdf" r:id="rId719"/>
    <hyperlink xmlns:r="http://schemas.openxmlformats.org/officeDocument/2006/relationships" ref="R233" display="https://www.sebi.gov.in/filings/public-issues/oct-2025/grand-housing-limited-drhp_97117.html" r:id="rId720"/>
    <hyperlink xmlns:r="http://schemas.openxmlformats.org/officeDocument/2006/relationships" ref="AB233" r:id="rId721"/>
    <hyperlink xmlns:r="http://schemas.openxmlformats.org/officeDocument/2006/relationships" ref="Q234" display="https://www.sebi.gov.in/sebi_data/attachdocs/oct-2025/1759839551768.pdf" r:id="rId722"/>
    <hyperlink xmlns:r="http://schemas.openxmlformats.org/officeDocument/2006/relationships" ref="R234" display="https://www.sebi.gov.in/filings/public-issues/oct-2025/elevate-campuses-limited-drhp_97111.html" r:id="rId723"/>
    <hyperlink xmlns:r="http://schemas.openxmlformats.org/officeDocument/2006/relationships" ref="Q235" display="https://www.sebi.gov.in/sebi_data/attachdocs/oct-2025/1759820241318.PDF" r:id="rId724"/>
    <hyperlink xmlns:r="http://schemas.openxmlformats.org/officeDocument/2006/relationships" ref="R235" display="https://www.sebi.gov.in/filings/public-issues/oct-2025/dhariwal-buildtech-limited-drhp_97090.html" r:id="rId725"/>
    <hyperlink xmlns:r="http://schemas.openxmlformats.org/officeDocument/2006/relationships" ref="AB235" r:id="rId726"/>
    <hyperlink xmlns:r="http://schemas.openxmlformats.org/officeDocument/2006/relationships" ref="Q236" display="https://www.sebi.gov.in/sebi_data/attachdocs/oct-2025/1759800605786_991.pdf" r:id="rId727"/>
    <hyperlink xmlns:r="http://schemas.openxmlformats.org/officeDocument/2006/relationships" ref="R236" display="https://www.sebi.gov.in/filings/public-issues/oct-2025/arjun-jewellers-limited_97086.html" r:id="rId728"/>
    <hyperlink xmlns:r="http://schemas.openxmlformats.org/officeDocument/2006/relationships" ref="AB236" r:id="rId729"/>
    <hyperlink xmlns:r="http://schemas.openxmlformats.org/officeDocument/2006/relationships" ref="Q237" display="https://www.sebi.gov.in/sebi_data/attachdocs/oct-2025/1759750210525_990.pdf" r:id="rId730"/>
    <hyperlink xmlns:r="http://schemas.openxmlformats.org/officeDocument/2006/relationships" ref="R237" display="https://www.sebi.gov.in/filings/public-issues/oct-2025/eldeco-infrastructure-and-properties-limited_97071.html" r:id="rId731"/>
    <hyperlink xmlns:r="http://schemas.openxmlformats.org/officeDocument/2006/relationships" ref="AB237" r:id="rId732"/>
    <hyperlink xmlns:r="http://schemas.openxmlformats.org/officeDocument/2006/relationships" ref="Q238" display="https://www.sebi.gov.in/sebi_data/attachdocs/oct-2025/1759750210525_989.pdf" r:id="rId733"/>
    <hyperlink xmlns:r="http://schemas.openxmlformats.org/officeDocument/2006/relationships" ref="R238" display="https://www.sebi.gov.in/filings/public-issues/oct-2025/indo-mim-limited_97069.html" r:id="rId734"/>
    <hyperlink xmlns:r="http://schemas.openxmlformats.org/officeDocument/2006/relationships" ref="Q239" display="https://www.sebi.gov.in/sebi_data/attachdocs/oct-2025/1759742511998.pdf" r:id="rId735"/>
    <hyperlink xmlns:r="http://schemas.openxmlformats.org/officeDocument/2006/relationships" ref="R239" display="https://www.sebi.gov.in/filings/public-issues/oct-2025/armee-infotech-limited-drhp_97062.html" r:id="rId736"/>
    <hyperlink xmlns:r="http://schemas.openxmlformats.org/officeDocument/2006/relationships" ref="Q240" display="https://www.sebi.gov.in/sebi_data/attachdocs/oct-2025/1759900951695.pdf" r:id="rId737"/>
    <hyperlink xmlns:r="http://schemas.openxmlformats.org/officeDocument/2006/relationships" ref="R240" display="https://www.sebi.gov.in/filings/public-issues/oct-2025/om-power-transmission-limited_97116.html" r:id="rId738"/>
    <hyperlink xmlns:r="http://schemas.openxmlformats.org/officeDocument/2006/relationships" ref="Q241" display="https://www.sebi.gov.in/sebi_data/attachdocs/oct-2025/1759491005221_983.pdf" r:id="rId739"/>
    <hyperlink xmlns:r="http://schemas.openxmlformats.org/officeDocument/2006/relationships" ref="R241" display="https://www.sebi.gov.in/filings/public-issues/oct-2025/vishal-nirmiti-limited_97041.html" r:id="rId740"/>
    <hyperlink xmlns:r="http://schemas.openxmlformats.org/officeDocument/2006/relationships" ref="AB241" r:id="rId741"/>
    <hyperlink xmlns:r="http://schemas.openxmlformats.org/officeDocument/2006/relationships" ref="Q242" display="https://www.sebi.gov.in/sebi_data/attachdocs/oct-2025/1759476612614_982.pdf" r:id="rId742"/>
    <hyperlink xmlns:r="http://schemas.openxmlformats.org/officeDocument/2006/relationships" ref="R242" display="https://www.sebi.gov.in/filings/public-issues/oct-2025/premier-industrial-corporation-limited_97037.html" r:id="rId743"/>
    <hyperlink xmlns:r="http://schemas.openxmlformats.org/officeDocument/2006/relationships" ref="AB242" r:id="rId744"/>
    <hyperlink xmlns:r="http://schemas.openxmlformats.org/officeDocument/2006/relationships" ref="Q243" display="https://www.sebi.gov.in/sebi_data/attachdocs/oct-2025/1759464923045.pdf" r:id="rId745"/>
    <hyperlink xmlns:r="http://schemas.openxmlformats.org/officeDocument/2006/relationships" ref="R243" display="https://www.sebi.gov.in/filings/public-issues/oct-2025/xtranet-technologies-limited-drhp_97031.html" r:id="rId746"/>
    <hyperlink xmlns:r="http://schemas.openxmlformats.org/officeDocument/2006/relationships" ref="Q244" display="https://www.sebi.gov.in/sebi_data/attachdocs/nov-2025/1762428605879_1024.pdf" r:id="rId747"/>
    <hyperlink xmlns:r="http://schemas.openxmlformats.org/officeDocument/2006/relationships" ref="R244" display="https://www.sebi.gov.in/filings/public-issues/oct-2025/gaudium-ivf-and-women-health-limited_97652.html" r:id="rId748"/>
    <hyperlink xmlns:r="http://schemas.openxmlformats.org/officeDocument/2006/relationships" ref="Q245" display="https://www.sebi.gov.in/sebi_data/attachdocs/oct-2025/1760415698411.PDF" r:id="rId749"/>
    <hyperlink xmlns:r="http://schemas.openxmlformats.org/officeDocument/2006/relationships" ref="R245" display="https://www.sebi.gov.in/filings/public-issues/oct-2025/oswal-cables-drhp_97284.html" r:id="rId750"/>
    <hyperlink xmlns:r="http://schemas.openxmlformats.org/officeDocument/2006/relationships" ref="AB245" r:id="rId751"/>
    <hyperlink xmlns:r="http://schemas.openxmlformats.org/officeDocument/2006/relationships" ref="Q246" display="https://www.sebi.gov.in/sebi_data/attachdocs/oct-2025/1759368606185_980.pdf" r:id="rId752"/>
    <hyperlink xmlns:r="http://schemas.openxmlformats.org/officeDocument/2006/relationships" ref="R246" display="https://www.sebi.gov.in/filings/public-issues/oct-2025/appl-containers-limited_97026.html" r:id="rId753"/>
    <hyperlink xmlns:r="http://schemas.openxmlformats.org/officeDocument/2006/relationships" ref="AB246" r:id="rId754"/>
    <hyperlink xmlns:r="http://schemas.openxmlformats.org/officeDocument/2006/relationships" ref="Q247" display="https://www.sebi.gov.in/sebi_data/attachdocs/oct-2025/1759368606185_979.pdf" r:id="rId755"/>
    <hyperlink xmlns:r="http://schemas.openxmlformats.org/officeDocument/2006/relationships" ref="R247" display="https://www.sebi.gov.in/filings/public-issues/oct-2025/rotomag-enertec-limited_97024.html" r:id="rId756"/>
    <hyperlink xmlns:r="http://schemas.openxmlformats.org/officeDocument/2006/relationships" ref="AB247" r:id="rId757"/>
    <hyperlink xmlns:r="http://schemas.openxmlformats.org/officeDocument/2006/relationships" ref="Q248" display="https://www.sebi.gov.in/sebi_data/attachdocs/oct-2025/1759318215777_974.pdf" r:id="rId758"/>
    <hyperlink xmlns:r="http://schemas.openxmlformats.org/officeDocument/2006/relationships" ref="R248" display="https://www.sebi.gov.in/filings/public-issues/oct-2025/bombay-coated-and-special-steels-limited_97007.html" r:id="rId759"/>
    <hyperlink xmlns:r="http://schemas.openxmlformats.org/officeDocument/2006/relationships" ref="AB248" r:id="rId760"/>
    <hyperlink xmlns:r="http://schemas.openxmlformats.org/officeDocument/2006/relationships" ref="Q249" display="https://www.sebi.gov.in/sebi_data/attachdocs/oct-2025/1759318215777_973.pdf" r:id="rId761"/>
    <hyperlink xmlns:r="http://schemas.openxmlformats.org/officeDocument/2006/relationships" ref="R249" display="https://www.sebi.gov.in/filings/public-issues/oct-2025/alcobrew-distilleries-india-limited_97005.html" r:id="rId762"/>
    <hyperlink xmlns:r="http://schemas.openxmlformats.org/officeDocument/2006/relationships" ref="AB249" r:id="rId763"/>
    <hyperlink xmlns:r="http://schemas.openxmlformats.org/officeDocument/2006/relationships" ref="Q250" display="https://www.sebi.gov.in/sebi_data/attachdocs/oct-2025/1759318215777_972.pdf" r:id="rId764"/>
    <hyperlink xmlns:r="http://schemas.openxmlformats.org/officeDocument/2006/relationships" ref="R250" display="https://www.sebi.gov.in/filings/public-issues/oct-2025/behari-lal-engineering-limited-drhp_97003.html" r:id="rId765"/>
    <hyperlink xmlns:r="http://schemas.openxmlformats.org/officeDocument/2006/relationships" ref="Q251" display="https://www.sebi.gov.in/sebi_data/attachdocs/oct-2025/1759310454488.pdf" r:id="rId766"/>
    <hyperlink xmlns:r="http://schemas.openxmlformats.org/officeDocument/2006/relationships" ref="R251" display="https://www.sebi.gov.in/filings/public-issues/oct-2025/aequs-limited-udrhp-1_97000.html" r:id="rId767"/>
    <hyperlink xmlns:r="http://schemas.openxmlformats.org/officeDocument/2006/relationships" ref="Q252" display="https://www.sebi.gov.in/sebi_data/attachdocs/sep-2025/1759217407843_967.pdf" r:id="rId768"/>
    <hyperlink xmlns:r="http://schemas.openxmlformats.org/officeDocument/2006/relationships" ref="R252" display="https://www.sebi.gov.in/filings/public-issues/sep-2025/shankesh-jewellers-limited_96968.html" r:id="rId769"/>
    <hyperlink xmlns:r="http://schemas.openxmlformats.org/officeDocument/2006/relationships" ref="Q253" display="https://www.sebi.gov.in/sebi_data/attachdocs/sep-2025/1759217407843_966.pdf" r:id="rId770"/>
    <hyperlink xmlns:r="http://schemas.openxmlformats.org/officeDocument/2006/relationships" ref="R253" display="https://www.sebi.gov.in/filings/public-issues/sep-2025/parijat-industries-india-limited_96966.html" r:id="rId771"/>
    <hyperlink xmlns:r="http://schemas.openxmlformats.org/officeDocument/2006/relationships" ref="AB253" r:id="rId772"/>
    <hyperlink xmlns:r="http://schemas.openxmlformats.org/officeDocument/2006/relationships" ref="Q254" display="https://www.sebi.gov.in/sebi_data/attachdocs/sep-2025/1759136993582.pdf" r:id="rId773"/>
    <hyperlink xmlns:r="http://schemas.openxmlformats.org/officeDocument/2006/relationships" ref="R254" display="https://www.sebi.gov.in/filings/public-issues/sep-2025/csm-technologies-limited-drhp_96901.html" r:id="rId774"/>
    <hyperlink xmlns:r="http://schemas.openxmlformats.org/officeDocument/2006/relationships" ref="Q255" display="https://www.sebi.gov.in/sebi_data/attachdocs/sep-2025/1758936615167_957.pdf" r:id="rId775"/>
    <hyperlink xmlns:r="http://schemas.openxmlformats.org/officeDocument/2006/relationships" ref="R255" display="https://www.sebi.gov.in/filings/public-issues/sep-2025/medicap-healthcare-limited_96876.html" r:id="rId776"/>
    <hyperlink xmlns:r="http://schemas.openxmlformats.org/officeDocument/2006/relationships" ref="AB255" r:id="rId777"/>
    <hyperlink xmlns:r="http://schemas.openxmlformats.org/officeDocument/2006/relationships" ref="Q256" display="https://www.sebi.gov.in/sebi_data/attachdocs/sep-2025/1758936615167_956.pdf" r:id="rId778"/>
    <hyperlink xmlns:r="http://schemas.openxmlformats.org/officeDocument/2006/relationships" ref="R256" display="https://www.sebi.gov.in/filings/public-issues/sep-2025/purple-style-labs-limited_96874.html" r:id="rId779"/>
    <hyperlink xmlns:r="http://schemas.openxmlformats.org/officeDocument/2006/relationships" ref="Q257" display="https://www.sebi.gov.in/sebi_data/attachdocs/sep-2025/1758612610710_953.pdf" r:id="rId780"/>
    <hyperlink xmlns:r="http://schemas.openxmlformats.org/officeDocument/2006/relationships" ref="R257" display="https://www.sebi.gov.in/filings/public-issues/sep-2025/shriram-food-industry-limited_96783.html" r:id="rId781"/>
    <hyperlink xmlns:r="http://schemas.openxmlformats.org/officeDocument/2006/relationships" ref="AB257" r:id="rId782"/>
    <hyperlink xmlns:r="http://schemas.openxmlformats.org/officeDocument/2006/relationships" ref="Q258" display="https://www.sebi.gov.in/sebi_data/attachdocs/sep-2025/1758279614350.pdf" r:id="rId783"/>
    <hyperlink xmlns:r="http://schemas.openxmlformats.org/officeDocument/2006/relationships" ref="R258" display="https://www.sebi.gov.in/filings/public-issues/sep-2025/cotec-healthcare-limited-drhp_96701.html" r:id="rId784"/>
    <hyperlink xmlns:r="http://schemas.openxmlformats.org/officeDocument/2006/relationships" ref="AB258" r:id="rId785"/>
    <hyperlink xmlns:r="http://schemas.openxmlformats.org/officeDocument/2006/relationships" ref="Q259" display="https://www.sebi.gov.in/sebi_data/attachdocs/sep-2025/1758089866332.pdf" r:id="rId786"/>
    <hyperlink xmlns:r="http://schemas.openxmlformats.org/officeDocument/2006/relationships" ref="R259" display="https://www.sebi.gov.in/filings/public-issues/sep-2025/billionbrains-garage-ventures-limited-groww-udrhp-1_96656.html" r:id="rId787"/>
    <hyperlink xmlns:r="http://schemas.openxmlformats.org/officeDocument/2006/relationships" ref="Q260" display="https://www.sebi.gov.in/sebi_data/attachdocs/sep-2025/1757932215749.pdf" r:id="rId788"/>
    <hyperlink xmlns:r="http://schemas.openxmlformats.org/officeDocument/2006/relationships" ref="R260" display="https://www.sebi.gov.in/filings/public-issues/sep-2025/chartered-speed-limited-drhp_96608.html" r:id="rId789"/>
    <hyperlink xmlns:r="http://schemas.openxmlformats.org/officeDocument/2006/relationships" ref="AB260" r:id="rId790"/>
    <hyperlink xmlns:r="http://schemas.openxmlformats.org/officeDocument/2006/relationships" ref="Q261" display="https://www.sebi.gov.in/sebi_data/attachdocs/sep-2025/1757926072065.pdf" r:id="rId791"/>
    <hyperlink xmlns:r="http://schemas.openxmlformats.org/officeDocument/2006/relationships" ref="R261" display="https://www.sebi.gov.in/filings/public-issues/sep-2025/aye-finance-limited-addendum-to-drhp_96607.html" r:id="rId792"/>
    <hyperlink xmlns:r="http://schemas.openxmlformats.org/officeDocument/2006/relationships" ref="Q262" display="https://www.sebi.gov.in/sebi_data/attachdocs/sep-2025/1757668063664.pdf" r:id="rId793"/>
    <hyperlink xmlns:r="http://schemas.openxmlformats.org/officeDocument/2006/relationships" ref="R262" display="https://www.sebi.gov.in/filings/public-issues/sep-2025/eldorado-agritech-limited-drhp_96600.html" r:id="rId794"/>
    <hyperlink xmlns:r="http://schemas.openxmlformats.org/officeDocument/2006/relationships" ref="AB262" r:id="rId795"/>
    <hyperlink xmlns:r="http://schemas.openxmlformats.org/officeDocument/2006/relationships" ref="Q263" display="https://www.sebi.gov.in/sebi_data/attachdocs/dec-2025/1765275916503.pdf" r:id="rId796"/>
    <hyperlink xmlns:r="http://schemas.openxmlformats.org/officeDocument/2006/relationships" ref="R263" display="https://www.sebi.gov.in/filings/public-issues/sep-2025/rsb-retail-india-limited-corrigendum-to-drhp_98261.html" r:id="rId797"/>
    <hyperlink xmlns:r="http://schemas.openxmlformats.org/officeDocument/2006/relationships" ref="AB263" r:id="rId798"/>
    <hyperlink xmlns:r="http://schemas.openxmlformats.org/officeDocument/2006/relationships" ref="Q264" display="https://www.sebi.gov.in/sebi_data/attachdocs/sep-2025/1757590205744_947.pdf" r:id="rId799"/>
    <hyperlink xmlns:r="http://schemas.openxmlformats.org/officeDocument/2006/relationships" ref="R264" display="https://www.sebi.gov.in/filings/public-issues/sep-2025/glass-wall-systems-india-limited_96579.html" r:id="rId800"/>
    <hyperlink xmlns:r="http://schemas.openxmlformats.org/officeDocument/2006/relationships" ref="Q265" display="https://www.sebi.gov.in/sebi_data/attachdocs/sep-2025/1757489405487_946.pdf" r:id="rId801"/>
    <hyperlink xmlns:r="http://schemas.openxmlformats.org/officeDocument/2006/relationships" ref="R265" display="https://www.sebi.gov.in/filings/public-issues/sep-2025/cmr-green-technologies-limited_96516.html" r:id="rId802"/>
    <hyperlink xmlns:r="http://schemas.openxmlformats.org/officeDocument/2006/relationships" ref="Q266" display="https://www.sebi.gov.in/sebi_data/attachdocs/sep-2025/1757417405397_945.pdf" r:id="rId803"/>
    <hyperlink xmlns:r="http://schemas.openxmlformats.org/officeDocument/2006/relationships" ref="R266" display="https://www.sebi.gov.in/filings/public-issues/sep-2025/shivalaya-construction-limited_96495.html" r:id="rId804"/>
    <hyperlink xmlns:r="http://schemas.openxmlformats.org/officeDocument/2006/relationships" ref="AB266" r:id="rId805"/>
    <hyperlink xmlns:r="http://schemas.openxmlformats.org/officeDocument/2006/relationships" ref="Q267" display="https://www.sebi.gov.in/sebi_data/attachdocs/sep-2025/1757416257155.pdf" r:id="rId806"/>
    <hyperlink xmlns:r="http://schemas.openxmlformats.org/officeDocument/2006/relationships" ref="R267" display="https://www.sebi.gov.in/filings/public-issues/sep-2025/knack-packaging-limited-drhp_96482.html" r:id="rId807"/>
    <hyperlink xmlns:r="http://schemas.openxmlformats.org/officeDocument/2006/relationships" ref="Q268" display="https://www.sebi.gov.in/sebi_data/attachdocs/sep-2025/1757403007624_943.pdf" r:id="rId808"/>
    <hyperlink xmlns:r="http://schemas.openxmlformats.org/officeDocument/2006/relationships" ref="R268" display="https://www.sebi.gov.in/filings/public-issues/sep-2025/sfc-environmental-technologies-limited_96473.html" r:id="rId809"/>
    <hyperlink xmlns:r="http://schemas.openxmlformats.org/officeDocument/2006/relationships" ref="AB268" r:id="rId810"/>
    <hyperlink xmlns:r="http://schemas.openxmlformats.org/officeDocument/2006/relationships" ref="Q269" display="https://www.sebi.gov.in/sebi_data/attachdocs/sep-2025/1757394692994.pdf" r:id="rId811"/>
    <hyperlink xmlns:r="http://schemas.openxmlformats.org/officeDocument/2006/relationships" ref="R269" display="https://www.sebi.gov.in/filings/public-issues/sep-2025/physicswallah-limited-udrhp-1_96466.html" r:id="rId812"/>
    <hyperlink xmlns:r="http://schemas.openxmlformats.org/officeDocument/2006/relationships" ref="Q270" display="https://www.sebi.gov.in/sebi_data/attachdocs/sep-2025/1758514124562.pdf" r:id="rId813"/>
    <hyperlink xmlns:r="http://schemas.openxmlformats.org/officeDocument/2006/relationships" ref="R270" display="https://www.sebi.gov.in/filings/public-issues/sep-2025/supreet-chemicals-limited-drhp_96737.html" r:id="rId814"/>
    <hyperlink xmlns:r="http://schemas.openxmlformats.org/officeDocument/2006/relationships" ref="AB270" r:id="rId815"/>
    <hyperlink xmlns:r="http://schemas.openxmlformats.org/officeDocument/2006/relationships" ref="Q271" display="https://www.sebi.gov.in/sebi_data/attachdocs/sep-2025/1757483163801.pdf" r:id="rId816"/>
    <hyperlink xmlns:r="http://schemas.openxmlformats.org/officeDocument/2006/relationships" ref="R271" display="https://www.sebi.gov.in/filings/public-issues/sep-2025/hy-tech-engineers-limited-drhp_96514.html" r:id="rId817"/>
    <hyperlink xmlns:r="http://schemas.openxmlformats.org/officeDocument/2006/relationships" ref="Q272" display="https://www.sebi.gov.in/sebi_data/attachdocs/sep-2025/1757122205056_940.pdf" r:id="rId818"/>
    <hyperlink xmlns:r="http://schemas.openxmlformats.org/officeDocument/2006/relationships" ref="R272" display="https://www.sebi.gov.in/filings/public-issues/sep-2025/ukb-electronis-limited_96456.html" r:id="rId819"/>
    <hyperlink xmlns:r="http://schemas.openxmlformats.org/officeDocument/2006/relationships" ref="AB272" r:id="rId820"/>
    <hyperlink xmlns:r="http://schemas.openxmlformats.org/officeDocument/2006/relationships" ref="Q273" display="https://www.sebi.gov.in/sebi_data/attachdocs/sep-2025/1756798204736_932.pdf" r:id="rId821"/>
    <hyperlink xmlns:r="http://schemas.openxmlformats.org/officeDocument/2006/relationships" ref="R273" display="https://www.sebi.gov.in/filings/public-issues/sep-2025/leap-india-limited_96378.html" r:id="rId822"/>
    <hyperlink xmlns:r="http://schemas.openxmlformats.org/officeDocument/2006/relationships" ref="Q274" display="https://www.sebi.gov.in/sebi_data/attachdocs/aug-2025/1756449734699.pdf" r:id="rId823"/>
    <hyperlink xmlns:r="http://schemas.openxmlformats.org/officeDocument/2006/relationships" ref="R274" display="https://www.sebi.gov.in/filings/public-issues/aug-2025/molbio-diagnostics-limited-drhp_96343.html" r:id="rId824"/>
    <hyperlink xmlns:r="http://schemas.openxmlformats.org/officeDocument/2006/relationships" ref="Q275" display="https://www.sebi.gov.in/sebi_data/attachdocs/aug-2025/1756107066531_929.pdf" r:id="rId825"/>
    <hyperlink xmlns:r="http://schemas.openxmlformats.org/officeDocument/2006/relationships" ref="R275" display="https://www.sebi.gov.in/filings/public-issues/aug-2025/onemi-technology-solutions-limited_96285.html" r:id="rId826"/>
    <hyperlink xmlns:r="http://schemas.openxmlformats.org/officeDocument/2006/relationships" ref="Q276" display="https://www.sebi.gov.in/sebi_data/attachdocs/aug-2025/1756107066531_928.pdf" r:id="rId827"/>
    <hyperlink xmlns:r="http://schemas.openxmlformats.org/officeDocument/2006/relationships" ref="R276" display="https://www.sebi.gov.in/filings/public-issues/aug-2025/rsb-retail-india-limited_96283.html" r:id="rId828"/>
    <hyperlink xmlns:r="http://schemas.openxmlformats.org/officeDocument/2006/relationships" ref="AB276" r:id="rId829"/>
    <hyperlink xmlns:r="http://schemas.openxmlformats.org/officeDocument/2006/relationships" ref="Q277" display="https://www.sebi.gov.in/sebi_data/attachdocs/aug-2025/1756107066531_923.pdf" r:id="rId830"/>
    <hyperlink xmlns:r="http://schemas.openxmlformats.org/officeDocument/2006/relationships" ref="R277" display="https://www.sebi.gov.in/filings/public-issues/aug-2025/lohia-corp-limited_96273.html" r:id="rId831"/>
    <hyperlink xmlns:r="http://schemas.openxmlformats.org/officeDocument/2006/relationships" ref="Q278" display="https://www.sebi.gov.in/sebi_data/attachdocs/aug-2025/1756107066531_922.pdf" r:id="rId832"/>
    <hyperlink xmlns:r="http://schemas.openxmlformats.org/officeDocument/2006/relationships" ref="R278" display="https://www.sebi.gov.in/filings/public-issues/aug-2025/fractal-analytics-limited_96271.html" r:id="rId833"/>
    <hyperlink xmlns:r="http://schemas.openxmlformats.org/officeDocument/2006/relationships" ref="Q279" display="https://www.sebi.gov.in/sebi_data/attachdocs/aug-2025/1755847805524_921.pdf" r:id="rId834"/>
    <hyperlink xmlns:r="http://schemas.openxmlformats.org/officeDocument/2006/relationships" ref="R279" display="https://www.sebi.gov.in/filings/public-issues/aug-2025/clean-max-enviro-energy-solutions-limited_96203.html" r:id="rId835"/>
    <hyperlink xmlns:r="http://schemas.openxmlformats.org/officeDocument/2006/relationships" ref="Q280" display="https://www.sebi.gov.in/sebi_data/attachdocs/aug-2025/1755749346140.pdf" r:id="rId836"/>
    <hyperlink xmlns:r="http://schemas.openxmlformats.org/officeDocument/2006/relationships" ref="R280" display="https://www.sebi.gov.in/filings/public-issues/aug-2025/wework-india-management-limited-addendum-to-drhp_96164.html" r:id="rId837"/>
    <hyperlink xmlns:r="http://schemas.openxmlformats.org/officeDocument/2006/relationships" ref="Q281" display="https://www.sebi.gov.in/sebi_data/attachdocs/aug-2025/1755588605776_917.pdf" r:id="rId838"/>
    <hyperlink xmlns:r="http://schemas.openxmlformats.org/officeDocument/2006/relationships" ref="R281" display="https://www.sebi.gov.in/filings/public-issues/aug-2025/powerica-limited_96132.html" r:id="rId839"/>
    <hyperlink xmlns:r="http://schemas.openxmlformats.org/officeDocument/2006/relationships" ref="Q282" display="https://www.sebi.gov.in/sebi_data/attachdocs/aug-2025/1755509998422.pdf" r:id="rId840"/>
    <hyperlink xmlns:r="http://schemas.openxmlformats.org/officeDocument/2006/relationships" ref="R282" display="https://www.sebi.gov.in/filings/public-issues/aug-2025/varmora-granito-limited-drhp_96122.html" r:id="rId841"/>
    <hyperlink xmlns:r="http://schemas.openxmlformats.org/officeDocument/2006/relationships" ref="Q283" display="https://www.sebi.gov.in/sebi_data/attachdocs/aug-2025/1755173549342.PDF" r:id="rId842"/>
    <hyperlink xmlns:r="http://schemas.openxmlformats.org/officeDocument/2006/relationships" ref="R283" display="https://www.sebi.gov.in/filings/public-issues/aug-2025/a-one-steel-limited-addendum_96103.html" r:id="rId843"/>
    <hyperlink xmlns:r="http://schemas.openxmlformats.org/officeDocument/2006/relationships" ref="Q284" display="https://www.sebi.gov.in/sebi_data/attachdocs/aug-2025/1755173472001.pdf" r:id="rId844"/>
    <hyperlink xmlns:r="http://schemas.openxmlformats.org/officeDocument/2006/relationships" ref="R284" display="https://www.sebi.gov.in/filings/public-issues/aug-2025/atlanta-electricals-limited-addendum_96101.html" r:id="rId845"/>
    <hyperlink xmlns:r="http://schemas.openxmlformats.org/officeDocument/2006/relationships" ref="Q285" display="https://www.sebi.gov.in/sebi_data/attachdocs/aug-2025/1755070204199_915.pdf" r:id="rId846"/>
    <hyperlink xmlns:r="http://schemas.openxmlformats.org/officeDocument/2006/relationships" ref="R285" display="https://www.sebi.gov.in/filings/public-issues/aug-2025/transline-technologies-limited_96056.html" r:id="rId847"/>
    <hyperlink xmlns:r="http://schemas.openxmlformats.org/officeDocument/2006/relationships" ref="AB285" r:id="rId848"/>
    <hyperlink xmlns:r="http://schemas.openxmlformats.org/officeDocument/2006/relationships" ref="Q286" display="https://www.sebi.gov.in/sebi_data/attachdocs/aug-2025/1755063721132.pdf" r:id="rId849"/>
    <hyperlink xmlns:r="http://schemas.openxmlformats.org/officeDocument/2006/relationships" ref="R286" display="https://www.sebi.gov.in/filings/public-issues/aug-2025/technocraft-ventures-limited-drhp_96055.html" r:id="rId850"/>
    <hyperlink xmlns:r="http://schemas.openxmlformats.org/officeDocument/2006/relationships" ref="Q287" display="https://www.sebi.gov.in/sebi_data/attachdocs/aug-2025/1755516604740_916.pdf" r:id="rId851"/>
    <hyperlink xmlns:r="http://schemas.openxmlformats.org/officeDocument/2006/relationships" ref="R287" display="https://www.sebi.gov.in/filings/public-issues/aug-2025/nephrocare-health-services-limited_96127.html" r:id="rId852"/>
    <hyperlink xmlns:r="http://schemas.openxmlformats.org/officeDocument/2006/relationships" ref="Q288" display="https://www.sebi.gov.in/sebi_data/attachdocs/aug-2025/1754998206920_914.pdf" r:id="rId853"/>
    <hyperlink xmlns:r="http://schemas.openxmlformats.org/officeDocument/2006/relationships" ref="R288" display="https://www.sebi.gov.in/filings/public-issues/aug-2025/bls-polymers-limited_96028.html" r:id="rId854"/>
    <hyperlink xmlns:r="http://schemas.openxmlformats.org/officeDocument/2006/relationships" ref="AB288" r:id="rId855"/>
    <hyperlink xmlns:r="http://schemas.openxmlformats.org/officeDocument/2006/relationships" ref="Q289" display="https://www.sebi.gov.in/sebi_data/attachdocs/aug-2025/1754887182581.pdf" r:id="rId856"/>
    <hyperlink xmlns:r="http://schemas.openxmlformats.org/officeDocument/2006/relationships" ref="R289" display="https://www.sebi.gov.in/filings/public-issues/aug-2025/steel-infra-solutions-company-limited-drhp_95961.html" r:id="rId857"/>
    <hyperlink xmlns:r="http://schemas.openxmlformats.org/officeDocument/2006/relationships" ref="AB289" r:id="rId858"/>
    <hyperlink xmlns:r="http://schemas.openxmlformats.org/officeDocument/2006/relationships" ref="Q290" display="https://www.sebi.gov.in/sebi_data/attachdocs/aug-2025/1754887054517.pdf" r:id="rId859"/>
    <hyperlink xmlns:r="http://schemas.openxmlformats.org/officeDocument/2006/relationships" ref="R290" display="https://www.sebi.gov.in/filings/public-issues/aug-2025/silver-consumers-electricals-limited-drhp_95959.html" r:id="rId860"/>
    <hyperlink xmlns:r="http://schemas.openxmlformats.org/officeDocument/2006/relationships" ref="AB290" r:id="rId861"/>
    <hyperlink xmlns:r="http://schemas.openxmlformats.org/officeDocument/2006/relationships" ref="Q291" display="https://www.sebi.gov.in/sebi_data/attachdocs/aug-2025/1754368282948.pdf" r:id="rId862"/>
    <hyperlink xmlns:r="http://schemas.openxmlformats.org/officeDocument/2006/relationships" ref="R291" display="https://www.sebi.gov.in/filings/public-issues/aug-2025/tata-capital-limited-udrhp-i_95828.html" r:id="rId863"/>
    <hyperlink xmlns:r="http://schemas.openxmlformats.org/officeDocument/2006/relationships" ref="Q292" display="https://www.sebi.gov.in/sebi_data/attachdocs/aug-2025/1754291226095.pdf" r:id="rId864"/>
    <hyperlink xmlns:r="http://schemas.openxmlformats.org/officeDocument/2006/relationships" ref="R292" display="https://www.sebi.gov.in/filings/public-issues/aug-2025/asset-reconstruction-company-india-limited-drhp_95801.html" r:id="rId865"/>
    <hyperlink xmlns:r="http://schemas.openxmlformats.org/officeDocument/2006/relationships" ref="Q293" display="https://www.sebi.gov.in/sebi_data/attachdocs/aug-2025/1754035664963.pdf" r:id="rId866"/>
    <hyperlink xmlns:r="http://schemas.openxmlformats.org/officeDocument/2006/relationships" ref="R293" display="https://www.sebi.gov.in/filings/public-issues/aug-2025/lenskart-solutions-limited-drhp_95763.html" r:id="rId867"/>
    <hyperlink xmlns:r="http://schemas.openxmlformats.org/officeDocument/2006/relationships" ref="Q294" display="https://www.sebi.gov.in/sebi_data/attachdocs/aug-2025/1754031254931.pdf" r:id="rId868"/>
    <hyperlink xmlns:r="http://schemas.openxmlformats.org/officeDocument/2006/relationships" ref="R294" display="https://www.sebi.gov.in/filings/public-issues/aug-2025/lamtuf-limited_95754.html" r:id="rId869"/>
    <hyperlink xmlns:r="http://schemas.openxmlformats.org/officeDocument/2006/relationships" ref="AB294" r:id="rId870"/>
    <hyperlink xmlns:r="http://schemas.openxmlformats.org/officeDocument/2006/relationships" ref="Q295" display="https://www.sebi.gov.in/sebi_data/attachdocs/jul-2025/1753961405691_888.pdf" r:id="rId871"/>
    <hyperlink xmlns:r="http://schemas.openxmlformats.org/officeDocument/2006/relationships" ref="R295" display="https://www.sebi.gov.in/filings/public-issues/jul-2025/amagi-media-labs-limited_95739.html" r:id="rId872"/>
    <hyperlink xmlns:r="http://schemas.openxmlformats.org/officeDocument/2006/relationships" ref="Q296" display="https://www.sebi.gov.in/sebi_data/attachdocs/jul-2025/1753961405691_889.pdf" r:id="rId873"/>
    <hyperlink xmlns:r="http://schemas.openxmlformats.org/officeDocument/2006/relationships" ref="R296" display="https://www.sebi.gov.in/filings/public-issues/jul-2025/sahajanand-medical-technologies-limited_95741.html" r:id="rId874"/>
    <hyperlink xmlns:r="http://schemas.openxmlformats.org/officeDocument/2006/relationships" ref="AB296" r:id="rId875"/>
    <hyperlink xmlns:r="http://schemas.openxmlformats.org/officeDocument/2006/relationships" ref="Q297" display="https://www.sebi.gov.in/sebi_data/attachdocs/jul-2025/1753925406298_885.pdf" r:id="rId876"/>
    <hyperlink xmlns:r="http://schemas.openxmlformats.org/officeDocument/2006/relationships" ref="R297" display="https://www.sebi.gov.in/filings/public-issues/jul-2025/executive-centre-india-limited_95722.html" r:id="rId877"/>
    <hyperlink xmlns:r="http://schemas.openxmlformats.org/officeDocument/2006/relationships" ref="AB297" r:id="rId878"/>
    <hyperlink xmlns:r="http://schemas.openxmlformats.org/officeDocument/2006/relationships" ref="Q298" display="https://www.sebi.gov.in/sebi_data/attachdocs/jul-2025/1753873453319.pdf" r:id="rId879"/>
    <hyperlink xmlns:r="http://schemas.openxmlformats.org/officeDocument/2006/relationships" ref="R298" display="https://www.sebi.gov.in/filings/public-issues/jul-2025/wakefit-innovations-limited-addendum-to-drhp_95708.html" r:id="rId880"/>
    <hyperlink xmlns:r="http://schemas.openxmlformats.org/officeDocument/2006/relationships" ref="Q299" display="https://www.sebi.gov.in/sebi_data/attachdocs/jul-2025/1753407006225_880.pdf" r:id="rId881"/>
    <hyperlink xmlns:r="http://schemas.openxmlformats.org/officeDocument/2006/relationships" ref="R299" display="https://www.sebi.gov.in/filings/public-issues/jul-2025/milky-mist-dairy-food-limited_95576.html" r:id="rId882"/>
    <hyperlink xmlns:r="http://schemas.openxmlformats.org/officeDocument/2006/relationships" ref="Q300" display="https://www.sebi.gov.in/sebi_data/attachdocs/jul-2025/1753270215879_878.pdf" r:id="rId883"/>
    <hyperlink xmlns:r="http://schemas.openxmlformats.org/officeDocument/2006/relationships" ref="R300" display="https://www.sebi.gov.in/filings/public-issues/jul-2025/oswal-energies-limited_95557.html" r:id="rId884"/>
    <hyperlink xmlns:r="http://schemas.openxmlformats.org/officeDocument/2006/relationships" ref="AB300" r:id="rId885"/>
    <hyperlink xmlns:r="http://schemas.openxmlformats.org/officeDocument/2006/relationships" ref="Q301" display="https://www.sebi.gov.in/sebi_data/attachdocs/jul-2025/1753171926581.pdf" r:id="rId886"/>
    <hyperlink xmlns:r="http://schemas.openxmlformats.org/officeDocument/2006/relationships" ref="R301" display="https://www.sebi.gov.in/filings/public-issues/jul-2025/orient-cables-limited-drhp_95503.html" r:id="rId887"/>
    <hyperlink xmlns:r="http://schemas.openxmlformats.org/officeDocument/2006/relationships" ref="AB301" r:id="rId888"/>
    <hyperlink xmlns:r="http://schemas.openxmlformats.org/officeDocument/2006/relationships" ref="Q302" display="https://www.sebi.gov.in/sebi_data/attachdocs/jul-2025/1752842148576.pdf" r:id="rId889"/>
    <hyperlink xmlns:r="http://schemas.openxmlformats.org/officeDocument/2006/relationships" ref="R302" display="https://www.sebi.gov.in/filings/public-issues/jul-2025/icici-prudential-asset-management-company-limited_95357.html" r:id="rId890"/>
    <hyperlink xmlns:r="http://schemas.openxmlformats.org/officeDocument/2006/relationships" ref="Q303" display="https://www.sebi.gov.in/sebi_data/attachdocs/jul-2025/1752665404329_867.pdf" r:id="rId891"/>
    <hyperlink xmlns:r="http://schemas.openxmlformats.org/officeDocument/2006/relationships" ref="R303" display="https://www.sebi.gov.in/filings/public-issues/jul-2025/aggcon-equipments-international-limited_95349.html" r:id="rId892"/>
    <hyperlink xmlns:r="http://schemas.openxmlformats.org/officeDocument/2006/relationships" ref="AB303" r:id="rId893"/>
    <hyperlink xmlns:r="http://schemas.openxmlformats.org/officeDocument/2006/relationships" ref="Q304" display="https://www.sebi.gov.in/sebi_data/attachdocs/jul-2025/1752564604858_864.pdf" r:id="rId894"/>
    <hyperlink xmlns:r="http://schemas.openxmlformats.org/officeDocument/2006/relationships" ref="R304" display="https://www.sebi.gov.in/filings/public-issues/jul-2025/emmvee-photovoltaic-power-limited_95264.html" r:id="rId895"/>
    <hyperlink xmlns:r="http://schemas.openxmlformats.org/officeDocument/2006/relationships" ref="Q305" display="https://www.sebi.gov.in/sebi_data/attachdocs/jul-2025/1752478204835_863.pdf" r:id="rId896"/>
    <hyperlink xmlns:r="http://schemas.openxmlformats.org/officeDocument/2006/relationships" ref="R305" display="https://www.sebi.gov.in/filings/public-issues/jul-2025/aggcon-equipments-international-limited_95252.html" r:id="rId897"/>
    <hyperlink xmlns:r="http://schemas.openxmlformats.org/officeDocument/2006/relationships" ref="AB305" r:id="rId898"/>
    <hyperlink xmlns:r="http://schemas.openxmlformats.org/officeDocument/2006/relationships" ref="Q306" display="https://www.sebi.gov.in/sebi_data/attachdocs/jul-2025/1752219016712_862.pdf" r:id="rId899"/>
    <hyperlink xmlns:r="http://schemas.openxmlformats.org/officeDocument/2006/relationships" ref="R306" display="https://www.sebi.gov.in/filings/public-issues/jul-2025/allied-engineering-works-limited_95201.html" r:id="rId900"/>
    <hyperlink xmlns:r="http://schemas.openxmlformats.org/officeDocument/2006/relationships" ref="AB306" r:id="rId901"/>
    <hyperlink xmlns:r="http://schemas.openxmlformats.org/officeDocument/2006/relationships" ref="Q307" display="https://www.sebi.gov.in/sebi_data/attachdocs/jul-2025/1752219016712_861.pdf" r:id="rId902"/>
    <hyperlink xmlns:r="http://schemas.openxmlformats.org/officeDocument/2006/relationships" ref="R307" display="https://www.sebi.gov.in/filings/public-issues/jul-2025/shree-ram-twistex-limited_95199.html" r:id="rId903"/>
    <hyperlink xmlns:r="http://schemas.openxmlformats.org/officeDocument/2006/relationships" ref="Q308" display="https://www.sebi.gov.in/sebi_data/attachdocs/jul-2025/1752219016712_860.pdf" r:id="rId904"/>
    <hyperlink xmlns:r="http://schemas.openxmlformats.org/officeDocument/2006/relationships" ref="R308" display="https://www.sebi.gov.in/filings/public-issues/jul-2025/juniper-green-energy-limited_95197.html" r:id="rId905"/>
    <hyperlink xmlns:r="http://schemas.openxmlformats.org/officeDocument/2006/relationships" ref="Q309" display="https://www.sebi.gov.in/sebi_data/attachdocs/jul-2025/1752197404710_858.pdf" r:id="rId906"/>
    <hyperlink xmlns:r="http://schemas.openxmlformats.org/officeDocument/2006/relationships" ref="R309" display="https://www.sebi.gov.in/filings/public-issues/jul-2025/emmvee-photovoltaic-power-limited_95189.html" r:id="rId907"/>
    <hyperlink xmlns:r="http://schemas.openxmlformats.org/officeDocument/2006/relationships" ref="Q310" display="https://www.sebi.gov.in/sebi_data/attachdocs/jul-2025/1752123211746_856.pdf" r:id="rId908"/>
    <hyperlink xmlns:r="http://schemas.openxmlformats.org/officeDocument/2006/relationships" ref="R310" display="https://www.sebi.gov.in/filings/public-issues/jul-2025/hero-motors-limited_95172.html" r:id="rId909"/>
    <hyperlink xmlns:r="http://schemas.openxmlformats.org/officeDocument/2006/relationships" ref="Q311" display="https://www.sebi.gov.in/sebi_data/attachdocs/jul-2025/1751959819550_855.pdf" r:id="rId910"/>
    <hyperlink xmlns:r="http://schemas.openxmlformats.org/officeDocument/2006/relationships" ref="R311" display="https://www.sebi.gov.in/filings/public-issues/jul-2025/safex-chemicals-india-limited_95115.html" r:id="rId911"/>
    <hyperlink xmlns:r="http://schemas.openxmlformats.org/officeDocument/2006/relationships" ref="AB311" r:id="rId912"/>
    <hyperlink xmlns:r="http://schemas.openxmlformats.org/officeDocument/2006/relationships" ref="Q312" display="https://www.sebi.gov.in/sebi_data/attachdocs/aug-2026/1787315835585.pdf" r:id="rId913"/>
    <hyperlink xmlns:r="http://schemas.openxmlformats.org/officeDocument/2006/relationships" ref="R312" display="https://www.sebi.gov.in/filings/public-issues/jul-2025/german-green-steel-and-power-limited-drhp_95113.html" r:id="rId914"/>
    <hyperlink xmlns:r="http://schemas.openxmlformats.org/officeDocument/2006/relationships" ref="AB312" r:id="rId915"/>
    <hyperlink xmlns:r="http://schemas.openxmlformats.org/officeDocument/2006/relationships" ref="Q313" display="https://www.sebi.gov.in/sebi_data/attachdocs/jul-2025/1751887810927_850.pdf" r:id="rId916"/>
    <hyperlink xmlns:r="http://schemas.openxmlformats.org/officeDocument/2006/relationships" ref="R313" display="https://www.sebi.gov.in/filings/public-issues/jul-2025/pine-labs-limited_95077.html" r:id="rId917"/>
    <hyperlink xmlns:r="http://schemas.openxmlformats.org/officeDocument/2006/relationships" ref="Q314" display="https://www.sebi.gov.in/sebi_data/attachdocs/jul-2025/1751887810927_851.pdf" r:id="rId918"/>
    <hyperlink xmlns:r="http://schemas.openxmlformats.org/officeDocument/2006/relationships" ref="R314" display="https://www.sebi.gov.in/filings/public-issues/jul-2025/tenneco-clean-air-india-limited_95079.html" r:id="rId919"/>
    <hyperlink xmlns:r="http://schemas.openxmlformats.org/officeDocument/2006/relationships" ref="Q315" display="https://www.sebi.gov.in/sebi_data/attachdocs/jul-2025/1751873409036_848.pdf" r:id="rId920"/>
    <hyperlink xmlns:r="http://schemas.openxmlformats.org/officeDocument/2006/relationships" ref="R315" display="https://www.sebi.gov.in/filings/public-issues/jul-2025/annu-projects-limited_95072.html" r:id="rId921"/>
    <hyperlink xmlns:r="http://schemas.openxmlformats.org/officeDocument/2006/relationships" ref="Q316" display="https://www.sebi.gov.in/sebi_data/attachdocs/jul-2025/1751542207660_845.pdf" r:id="rId922"/>
    <hyperlink xmlns:r="http://schemas.openxmlformats.org/officeDocument/2006/relationships" ref="R316" display="https://www.sebi.gov.in/filings/public-issues/jul-2025/amir-chand-jagdish-kumar-exports-limited_95027.html" r:id="rId923"/>
    <hyperlink xmlns:r="http://schemas.openxmlformats.org/officeDocument/2006/relationships" ref="AB316" r:id="rId924"/>
    <hyperlink xmlns:r="http://schemas.openxmlformats.org/officeDocument/2006/relationships" ref="Q317" display="https://www.sebi.gov.in/sebi_data/attachdocs/jul-2025/1751542207660_844.pdf" r:id="rId925"/>
    <hyperlink xmlns:r="http://schemas.openxmlformats.org/officeDocument/2006/relationships" ref="R317" display="https://www.sebi.gov.in/filings/public-issues/jul-2025/shree-ram-twistex-limited_95025.html" r:id="rId926"/>
    <hyperlink xmlns:r="http://schemas.openxmlformats.org/officeDocument/2006/relationships" ref="Q318" display="https://www.sebi.gov.in/sebi_data/attachdocs/jul-2025/1751542207660_843.pdf" r:id="rId927"/>
    <hyperlink xmlns:r="http://schemas.openxmlformats.org/officeDocument/2006/relationships" ref="R318" display="https://www.sebi.gov.in/filings/public-issues/jul-2025/sillverton-industries-limited_95023.html" r:id="rId928"/>
    <hyperlink xmlns:r="http://schemas.openxmlformats.org/officeDocument/2006/relationships" ref="AB318" r:id="rId929"/>
    <hyperlink xmlns:r="http://schemas.openxmlformats.org/officeDocument/2006/relationships" ref="Q319" display="https://www.sebi.gov.in/sebi_data/attachdocs/jul-2025/1751527808198_841.pdf" r:id="rId930"/>
    <hyperlink xmlns:r="http://schemas.openxmlformats.org/officeDocument/2006/relationships" ref="R319" display="https://www.sebi.gov.in/filings/public-issues/jul-2025/curefoods-india-limited_95013.html" r:id="rId931"/>
    <hyperlink xmlns:r="http://schemas.openxmlformats.org/officeDocument/2006/relationships" ref="AB319" r:id="rId932"/>
    <hyperlink xmlns:r="http://schemas.openxmlformats.org/officeDocument/2006/relationships" ref="Q320" display="https://www.sebi.gov.in/sebi_data/attachdocs/jul-2025/1751527808198_842.pdf" r:id="rId933"/>
    <hyperlink xmlns:r="http://schemas.openxmlformats.org/officeDocument/2006/relationships" ref="R320" display="https://www.sebi.gov.in/filings/public-issues/jul-2025/skyways-air-services-limited_95015.html" r:id="rId934"/>
    <hyperlink xmlns:r="http://schemas.openxmlformats.org/officeDocument/2006/relationships" ref="Q321" display="https://www.sebi.gov.in/sebi_data/attachdocs/jul-2025/1751527808198_840.pdf" r:id="rId935"/>
    <hyperlink xmlns:r="http://schemas.openxmlformats.org/officeDocument/2006/relationships" ref="R321" display="https://www.sebi.gov.in/filings/public-issues/jul-2025/rayzon-solar-limited_95011.html" r:id="rId936"/>
    <hyperlink xmlns:r="http://schemas.openxmlformats.org/officeDocument/2006/relationships" ref="AB321" r:id="rId937"/>
    <hyperlink xmlns:r="http://schemas.openxmlformats.org/officeDocument/2006/relationships" ref="Q322" display="https://www.sebi.gov.in/sebi_data/attachdocs/jul-2025/1751455806758_839.pdf" r:id="rId938"/>
    <hyperlink xmlns:r="http://schemas.openxmlformats.org/officeDocument/2006/relationships" ref="R322" display="https://www.sebi.gov.in/filings/public-issues/jul-2025/manika-plastech-limited_94990.html" r:id="rId939"/>
    <hyperlink xmlns:r="http://schemas.openxmlformats.org/officeDocument/2006/relationships" ref="Q323" display="https://www.sebi.gov.in/sebi_data/attachdocs/jul-2025/1751455806758_838.pdf" r:id="rId940"/>
    <hyperlink xmlns:r="http://schemas.openxmlformats.org/officeDocument/2006/relationships" ref="R323" display="https://www.sebi.gov.in/filings/public-issues/jul-2025/foodlink-fandb-holdings-india-limited_94988.html" r:id="rId941"/>
    <hyperlink xmlns:r="http://schemas.openxmlformats.org/officeDocument/2006/relationships" ref="AB323" r:id="rId942"/>
    <hyperlink xmlns:r="http://schemas.openxmlformats.org/officeDocument/2006/relationships" ref="Q324" display="https://www.sebi.gov.in/sebi_data/attachdocs/jul-2025/1751441407213_836.pdf" r:id="rId943"/>
    <hyperlink xmlns:r="http://schemas.openxmlformats.org/officeDocument/2006/relationships" ref="R324" display="https://www.sebi.gov.in/filings/public-issues/jul-2025/omnitech-engineering-limited_94969.html" r:id="rId944"/>
    <hyperlink xmlns:r="http://schemas.openxmlformats.org/officeDocument/2006/relationships" ref="Q325" display="https://www.sebi.gov.in/sebi_data/attachdocs/jul-2025/1751369404647_833.pdf" r:id="rId945"/>
    <hyperlink xmlns:r="http://schemas.openxmlformats.org/officeDocument/2006/relationships" ref="R325" display="https://www.sebi.gov.in/filings/public-issues/jul-2025/sudeep-pharma-limited_94935.html" r:id="rId946"/>
    <hyperlink xmlns:r="http://schemas.openxmlformats.org/officeDocument/2006/relationships" ref="Q326" display="https://www.sebi.gov.in/sebi_data/attachdocs/jul-2025/1751369404647_832.pdf" r:id="rId947"/>
    <hyperlink xmlns:r="http://schemas.openxmlformats.org/officeDocument/2006/relationships" ref="R326" display="https://www.sebi.gov.in/filings/public-issues/jul-2025/wakefit-innovations-limited_94933.html" r:id="rId948"/>
    <hyperlink xmlns:r="http://schemas.openxmlformats.org/officeDocument/2006/relationships" ref="Q327" display="https://www.sebi.gov.in/sebi_data/attachdocs/jun-2025/1751268605601_824.pdf" r:id="rId949"/>
    <hyperlink xmlns:r="http://schemas.openxmlformats.org/officeDocument/2006/relationships" ref="R327" display="https://www.sebi.gov.in/filings/public-issues/jun-2025/earthood-services-limited_94857.html" r:id="rId950"/>
    <hyperlink xmlns:r="http://schemas.openxmlformats.org/officeDocument/2006/relationships" ref="AB327" r:id="rId951"/>
    <hyperlink xmlns:r="http://schemas.openxmlformats.org/officeDocument/2006/relationships" ref="Q328" display="https://www.sebi.gov.in/sebi_data/attachdocs/jul-2025/1751348686934.pdf" r:id="rId952"/>
    <hyperlink xmlns:r="http://schemas.openxmlformats.org/officeDocument/2006/relationships" ref="R328" display="https://www.sebi.gov.in/filings/public-issues/jun-2025/credila-financial-services-limited-udrhp-1_94914.html" r:id="rId953"/>
    <hyperlink xmlns:r="http://schemas.openxmlformats.org/officeDocument/2006/relationships" ref="AB328" r:id="rId954"/>
    <hyperlink xmlns:r="http://schemas.openxmlformats.org/officeDocument/2006/relationships" ref="Q329" display="https://www.sebi.gov.in/sebi_data/attachdocs/jul-2025/1751363891872.pdf" r:id="rId955"/>
    <hyperlink xmlns:r="http://schemas.openxmlformats.org/officeDocument/2006/relationships" ref="R329" display="https://www.sebi.gov.in/filings/public-issues/jun-2025/patel-retail-limited-addendum-to-drhp_94922.html" r:id="rId956"/>
    <hyperlink xmlns:r="http://schemas.openxmlformats.org/officeDocument/2006/relationships" ref="Q330" display="https://www.sebi.gov.in/sebi_data/attachdocs/jun-2025/1750937404154_823.pdf" r:id="rId957"/>
    <hyperlink xmlns:r="http://schemas.openxmlformats.org/officeDocument/2006/relationships" ref="R330" display="https://www.sebi.gov.in/filings/public-issues/jun-2025/rajputana-stainless-limited_94803.html" r:id="rId958"/>
    <hyperlink xmlns:r="http://schemas.openxmlformats.org/officeDocument/2006/relationships" ref="Q331" display="https://www.sebi.gov.in/sebi_data/attachdocs/jun-2025/1750670992881.pdf" r:id="rId959"/>
    <hyperlink xmlns:r="http://schemas.openxmlformats.org/officeDocument/2006/relationships" ref="R331" display="https://www.sebi.gov.in/filings/public-issues/jun-2025/bluestone-jewellery-and-lifestyle-limited-addendum-to-drhp_94734.html" r:id="rId960"/>
    <hyperlink xmlns:r="http://schemas.openxmlformats.org/officeDocument/2006/relationships" ref="Q332" display="https://www.sebi.gov.in/sebi_data/attachdocs/jun-2025/1750419007609_820.pdf" r:id="rId961"/>
    <hyperlink xmlns:r="http://schemas.openxmlformats.org/officeDocument/2006/relationships" ref="R332" display="https://www.sebi.gov.in/filings/public-issues/jun-2025/capillary-technologies-india-limited_94691.html" r:id="rId962"/>
    <hyperlink xmlns:r="http://schemas.openxmlformats.org/officeDocument/2006/relationships" ref="Q333" display="https://www.sebi.gov.in/sebi_data/attachdocs/jun-2025/1750246204892_819.pdf" r:id="rId963"/>
    <hyperlink xmlns:r="http://schemas.openxmlformats.org/officeDocument/2006/relationships" ref="R333" display="https://www.sebi.gov.in/filings/public-issues/jun-2025/pngs-reva-diamond-jewellery-limited_94650.html" r:id="rId964"/>
    <hyperlink xmlns:r="http://schemas.openxmlformats.org/officeDocument/2006/relationships" ref="Q334" display="https://www.sebi.gov.in/sebi_data/attachdocs/jun-2025/1750159804908_818.pdf" r:id="rId965"/>
    <hyperlink xmlns:r="http://schemas.openxmlformats.org/officeDocument/2006/relationships" ref="R334" display="https://www.sebi.gov.in/filings/public-issues/jun-2025/waterways-leisure-tourism-limited_94626.html" r:id="rId966"/>
    <hyperlink xmlns:r="http://schemas.openxmlformats.org/officeDocument/2006/relationships" ref="Q335" display="https://www.sebi.gov.in/sebi_data/attachdocs/jun-2025/1750073406923_817.pdf" r:id="rId967"/>
    <hyperlink xmlns:r="http://schemas.openxmlformats.org/officeDocument/2006/relationships" ref="R335" display="https://www.sebi.gov.in/filings/public-issues/jun-2025/orkla-india-limited_94619.html" r:id="rId968"/>
    <hyperlink xmlns:r="http://schemas.openxmlformats.org/officeDocument/2006/relationships" ref="Q336" display="https://www.sebi.gov.in/sebi_data/attachdocs/jun-2025/1749810183338.pdf" r:id="rId969"/>
    <hyperlink xmlns:r="http://schemas.openxmlformats.org/officeDocument/2006/relationships" ref="R336" display="https://www.sebi.gov.in/filings/public-issues/jun-2025/corrigendum-to-drhp-allchem-lifesciences-limited_94591.html" r:id="rId970"/>
    <hyperlink xmlns:r="http://schemas.openxmlformats.org/officeDocument/2006/relationships" ref="AB336" r:id="rId971"/>
    <hyperlink xmlns:r="http://schemas.openxmlformats.org/officeDocument/2006/relationships" ref="Q337" display="https://www.sebi.gov.in/sebi_data/attachdocs/jun-2025/1749799807042_816.pdf" r:id="rId972"/>
    <hyperlink xmlns:r="http://schemas.openxmlformats.org/officeDocument/2006/relationships" ref="R337" display="https://www.sebi.gov.in/filings/public-issues/jun-2025/lalithaa-jewellery-mart-limited_94576.html" r:id="rId973"/>
    <hyperlink xmlns:r="http://schemas.openxmlformats.org/officeDocument/2006/relationships" ref="Q338" display="https://www.sebi.gov.in/sebi_data/attachdocs/jun-2025/1749727806894_815.pdf" r:id="rId974"/>
    <hyperlink xmlns:r="http://schemas.openxmlformats.org/officeDocument/2006/relationships" ref="R338" display="https://www.sebi.gov.in/filings/public-issues/jun-2025/tea-post-limited_94561.html" r:id="rId975"/>
    <hyperlink xmlns:r="http://schemas.openxmlformats.org/officeDocument/2006/relationships" ref="AB338" r:id="rId976"/>
    <hyperlink xmlns:r="http://schemas.openxmlformats.org/officeDocument/2006/relationships" ref="Q339" display="https://www.sebi.gov.in/sebi_data/attachdocs/jun-2025/1749701144206.pdf" r:id="rId977"/>
    <hyperlink xmlns:r="http://schemas.openxmlformats.org/officeDocument/2006/relationships" ref="R339" display="https://www.sebi.gov.in/filings/public-issues/jun-2025/addendum-cum-corrigendum-to-drhp-of-vinir-engineering-limited_94541.html" r:id="rId978"/>
    <hyperlink xmlns:r="http://schemas.openxmlformats.org/officeDocument/2006/relationships" ref="AB339" r:id="rId979"/>
    <hyperlink xmlns:r="http://schemas.openxmlformats.org/officeDocument/2006/relationships" ref="Q340" display="https://www.sebi.gov.in/sebi_data/attachdocs/jun-2025/1749108606557_811.pdf" r:id="rId980"/>
    <hyperlink xmlns:r="http://schemas.openxmlformats.org/officeDocument/2006/relationships" ref="R340" display="https://www.sebi.gov.in/filings/public-issues/jun-2025/bharat-coking-coal-limited_94412.html" r:id="rId981"/>
    <hyperlink xmlns:r="http://schemas.openxmlformats.org/officeDocument/2006/relationships" ref="Q341" display="https://www.sebi.gov.in/sebi_data/attachdocs/jun-2025/1749024129717.PDF" r:id="rId982"/>
    <hyperlink xmlns:r="http://schemas.openxmlformats.org/officeDocument/2006/relationships" ref="R341" display="https://www.sebi.gov.in/filings/public-issues/jun-2025/drhp-of-neilsoft-limited_94392.html" r:id="rId983"/>
    <hyperlink xmlns:r="http://schemas.openxmlformats.org/officeDocument/2006/relationships" ref="AB341" r:id="rId984"/>
    <hyperlink xmlns:r="http://schemas.openxmlformats.org/officeDocument/2006/relationships" ref="Q342" display="https://www.sebi.gov.in/sebi_data/attachdocs/jun-2025/1748950207076_810.pdf" r:id="rId985"/>
    <hyperlink xmlns:r="http://schemas.openxmlformats.org/officeDocument/2006/relationships" ref="R342" display="https://www.sebi.gov.in/filings/public-issues/jun-2025/central-mine-planning-and-design-institute-limited_94376.html" r:id="rId986"/>
    <hyperlink xmlns:r="http://schemas.openxmlformats.org/officeDocument/2006/relationships" ref="Q343" display="https://www.sebi.gov.in/sebi_data/attachdocs/jun-2025/1748862444460.pdf" r:id="rId987"/>
    <hyperlink xmlns:r="http://schemas.openxmlformats.org/officeDocument/2006/relationships" ref="R343" display="https://www.sebi.gov.in/filings/public-issues/jun-2025/addendum-to-drhp-of-excelsoft-technologies-limited_94353.html" r:id="rId988"/>
    <hyperlink xmlns:r="http://schemas.openxmlformats.org/officeDocument/2006/relationships" ref="AB343" r:id="rId989"/>
    <hyperlink xmlns:r="http://schemas.openxmlformats.org/officeDocument/2006/relationships" ref="Q344" display="https://www.sebi.gov.in/sebi_data/attachdocs/may-2025/1748604604661_809.pdf" r:id="rId990"/>
    <hyperlink xmlns:r="http://schemas.openxmlformats.org/officeDocument/2006/relationships" ref="R344" display="https://www.sebi.gov.in/filings/public-issues/may-2025/fusion-cx-limited_94311.html" r:id="rId991"/>
    <hyperlink xmlns:r="http://schemas.openxmlformats.org/officeDocument/2006/relationships" ref="AB344" r:id="rId992"/>
    <hyperlink xmlns:r="http://schemas.openxmlformats.org/officeDocument/2006/relationships" ref="Q345" display="https://www.sebi.gov.in/sebi_data/attachdocs/may-2025/1748518220350_802.pdf" r:id="rId993"/>
    <hyperlink xmlns:r="http://schemas.openxmlformats.org/officeDocument/2006/relationships" ref="R345" display="https://www.sebi.gov.in/filings/public-issues/may-2025/kanodia-cement-limited_94269.html" r:id="rId994"/>
    <hyperlink xmlns:r="http://schemas.openxmlformats.org/officeDocument/2006/relationships" ref="AB345" r:id="rId995"/>
    <hyperlink xmlns:r="http://schemas.openxmlformats.org/officeDocument/2006/relationships" ref="Q346" display="https://www.sebi.gov.in/sebi_data/attachdocs/may-2025/1748509881652.pdf" r:id="rId996"/>
    <hyperlink xmlns:r="http://schemas.openxmlformats.org/officeDocument/2006/relationships" ref="R346" display="https://www.sebi.gov.in/filings/public-issues/may-2025/pranav-constructions-limited-corrigendum-to-the-drhp_94263.html" r:id="rId997"/>
    <hyperlink xmlns:r="http://schemas.openxmlformats.org/officeDocument/2006/relationships" ref="Q347" display="https://www.sebi.gov.in/sebi_data/attachdocs/may-2025/1748431807980_798.pdf" r:id="rId998"/>
    <hyperlink xmlns:r="http://schemas.openxmlformats.org/officeDocument/2006/relationships" ref="R347" display="https://www.sebi.gov.in/filings/public-issues/may-2025/ksh-international-limited_94244.html" r:id="rId999"/>
    <hyperlink xmlns:r="http://schemas.openxmlformats.org/officeDocument/2006/relationships" ref="Q348" display="https://www.sebi.gov.in/sebi_data/attachdocs/may-2025/1748342290859.pdf" r:id="rId1000"/>
    <hyperlink xmlns:r="http://schemas.openxmlformats.org/officeDocument/2006/relationships" ref="R348" display="https://www.sebi.gov.in/filings/public-issues/may-2025/caliber-mining-and-logistics-ltd-addendum_94211.html" r:id="rId1001"/>
    <hyperlink xmlns:r="http://schemas.openxmlformats.org/officeDocument/2006/relationships" ref="Q349" display="https://www.sebi.gov.in/sebi_data/attachdocs/may-2025/1748250339511.pdf" r:id="rId1002"/>
    <hyperlink xmlns:r="http://schemas.openxmlformats.org/officeDocument/2006/relationships" ref="R349" display="https://www.sebi.gov.in/filings/public-issues/may-2025/ciel-hr-services-limited-addendum-to-drhp_94148.html" r:id="rId1003"/>
    <hyperlink xmlns:r="http://schemas.openxmlformats.org/officeDocument/2006/relationships" ref="AB349" r:id="rId1004"/>
    <hyperlink xmlns:r="http://schemas.openxmlformats.org/officeDocument/2006/relationships" ref="Q350" display="https://www.sebi.gov.in/sebi_data/attachdocs/may-2025/1747654204318_791.pdf" r:id="rId1005"/>
    <hyperlink xmlns:r="http://schemas.openxmlformats.org/officeDocument/2006/relationships" ref="R350" display="https://www.sebi.gov.in/filings/public-issues/may-2025/ravi-infrabuild-projects-limited_94029.html" r:id="rId1006"/>
    <hyperlink xmlns:r="http://schemas.openxmlformats.org/officeDocument/2006/relationships" ref="AB350" r:id="rId1007"/>
    <hyperlink xmlns:r="http://schemas.openxmlformats.org/officeDocument/2006/relationships" ref="Q351" display="https://www.sebi.gov.in/sebi_data/attachdocs/may-2025/1747629795593.pdf" r:id="rId1008"/>
    <hyperlink xmlns:r="http://schemas.openxmlformats.org/officeDocument/2006/relationships" ref="R351" display="https://www.sebi.gov.in/filings/public-issues/may-2025/addendum-to-drhp-national-securities-depository-limited_94022.html" r:id="rId1009"/>
    <hyperlink xmlns:r="http://schemas.openxmlformats.org/officeDocument/2006/relationships" ref="AB351" r:id="rId1010"/>
    <hyperlink xmlns:r="http://schemas.openxmlformats.org/officeDocument/2006/relationships" ref="Q352" display="https://www.sebi.gov.in/sebi_data/attachdocs/may-2025/1747395399489.pdf" r:id="rId1011"/>
    <hyperlink xmlns:r="http://schemas.openxmlformats.org/officeDocument/2006/relationships" ref="R352" display="https://www.sebi.gov.in/filings/public-issues/may-2025/drhp-of-mouri-tech-limited_93994.html" r:id="rId1012"/>
    <hyperlink xmlns:r="http://schemas.openxmlformats.org/officeDocument/2006/relationships" ref="AB352" r:id="rId1013"/>
    <hyperlink xmlns:r="http://schemas.openxmlformats.org/officeDocument/2006/relationships" ref="Q353" display="https://www.sebi.gov.in/sebi_data/attachdocs/may-2025/1746786083617.pdf" r:id="rId1014"/>
    <hyperlink xmlns:r="http://schemas.openxmlformats.org/officeDocument/2006/relationships" ref="R353" display="https://www.sebi.gov.in/filings/public-issues/may-2025/addendum-to-drhp-of-vinir-engineering-limited_93871.html" r:id="rId1015"/>
    <hyperlink xmlns:r="http://schemas.openxmlformats.org/officeDocument/2006/relationships" ref="AB353" r:id="rId1016"/>
    <hyperlink xmlns:r="http://schemas.openxmlformats.org/officeDocument/2006/relationships" ref="Q354" display="https://www.sebi.gov.in/sebi_data/attachdocs/may-2025/1746703808002_784.pdf" r:id="rId1017"/>
    <hyperlink xmlns:r="http://schemas.openxmlformats.org/officeDocument/2006/relationships" ref="R354" display="https://www.sebi.gov.in/filings/public-issues/may-2025/corona-remedies-limited_93856.html" r:id="rId1018"/>
    <hyperlink xmlns:r="http://schemas.openxmlformats.org/officeDocument/2006/relationships" ref="Q355" display="https://www.sebi.gov.in/sebi_data/attachdocs/may-2025/1746703808002_782.pdf" r:id="rId1019"/>
    <hyperlink xmlns:r="http://schemas.openxmlformats.org/officeDocument/2006/relationships" ref="R355" display="https://www.sebi.gov.in/filings/public-issues/may-2025/bmw-ventures-limited_93852.html" r:id="rId1020"/>
    <hyperlink xmlns:r="http://schemas.openxmlformats.org/officeDocument/2006/relationships" ref="Q356" display="https://www.sebi.gov.in/sebi_data/attachdocs/may-2025/1746703808002_783.pdf" r:id="rId1021"/>
    <hyperlink xmlns:r="http://schemas.openxmlformats.org/officeDocument/2006/relationships" ref="R356" display="https://www.sebi.gov.in/filings/public-issues/may-2025/jinkushal-industries-limited_93854.html" r:id="rId1022"/>
    <hyperlink xmlns:r="http://schemas.openxmlformats.org/officeDocument/2006/relationships" ref="Q357" display="https://www.sebi.gov.in/sebi_data/attachdocs/may-2025/1746516612813_779.pdf" r:id="rId1023"/>
    <hyperlink xmlns:r="http://schemas.openxmlformats.org/officeDocument/2006/relationships" ref="R357" display="https://www.sebi.gov.in/filings/public-issues/may-2025/priority-jewels-limited_93805.html" r:id="rId1024"/>
    <hyperlink xmlns:r="http://schemas.openxmlformats.org/officeDocument/2006/relationships" ref="Q358" display="https://www.sebi.gov.in/sebi_data/attachdocs/may-2025/1746442917644.pdf" r:id="rId1025"/>
    <hyperlink xmlns:r="http://schemas.openxmlformats.org/officeDocument/2006/relationships" ref="R358" display="https://www.sebi.gov.in/filings/public-issues/may-2025/gk-energy-limited-addendum-to-drhp_93797.html" r:id="rId1026"/>
    <hyperlink xmlns:r="http://schemas.openxmlformats.org/officeDocument/2006/relationships" ref="Q359" display="https://www.sebi.gov.in/sebi_data/attachdocs/may-2025/1746185405185_777.pdf" r:id="rId1027"/>
    <hyperlink xmlns:r="http://schemas.openxmlformats.org/officeDocument/2006/relationships" ref="R359" display="https://www.sebi.gov.in/filings/public-issues/may-2025/canara-hsbc-life-insurance-company-limited_93773.html" r:id="rId1028"/>
    <hyperlink xmlns:r="http://schemas.openxmlformats.org/officeDocument/2006/relationships" ref="Q360" display="https://www.sebi.gov.in/sebi_data/attachdocs/may-2025/1746171004793_776.pdf" r:id="rId1029"/>
    <hyperlink xmlns:r="http://schemas.openxmlformats.org/officeDocument/2006/relationships" ref="R360" display="https://www.sebi.gov.in/filings/public-issues/may-2025/canara-robeco-asset-management-company-limited_93761.html" r:id="rId1030"/>
    <hyperlink xmlns:r="http://schemas.openxmlformats.org/officeDocument/2006/relationships" ref="Q361" display="https://www.sebi.gov.in/sebi_data/attachdocs/may-2025/1746166392955.pdf" r:id="rId1031"/>
    <hyperlink xmlns:r="http://schemas.openxmlformats.org/officeDocument/2006/relationships" ref="R361" display="https://www.sebi.gov.in/filings/public-issues/may-2025/lcc-projects-limited-addendum-to-drhp_93757.html" r:id="rId1032"/>
    <hyperlink xmlns:r="http://schemas.openxmlformats.org/officeDocument/2006/relationships" ref="Q362" display="https://www.sebi.gov.in/sebi_data/attachdocs/may-2025/1746063004607_775.pdf" r:id="rId1033"/>
    <hyperlink xmlns:r="http://schemas.openxmlformats.org/officeDocument/2006/relationships" ref="R362" display="https://www.sebi.gov.in/filings/public-issues/apr-2025/urban-company-limited_93736.html" r:id="rId1034"/>
    <hyperlink xmlns:r="http://schemas.openxmlformats.org/officeDocument/2006/relationships" ref="Q363" display="https://www.sebi.gov.in/sebi_data/attachdocs/apr-2025/1745839805301_772.pdf" r:id="rId1035"/>
    <hyperlink xmlns:r="http://schemas.openxmlformats.org/officeDocument/2006/relationships" ref="R363" display="https://www.sebi.gov.in/filings/public-issues/apr-2025/prestige-hospitality-ventures-limited_93682.html" r:id="rId1036"/>
    <hyperlink xmlns:r="http://schemas.openxmlformats.org/officeDocument/2006/relationships" ref="AB363" r:id="rId1037"/>
    <hyperlink xmlns:r="http://schemas.openxmlformats.org/officeDocument/2006/relationships" ref="Q364" display="https://www.sebi.gov.in/sebi_data/attachdocs/apr-2025/1745825404739_771.pdf" r:id="rId1038"/>
    <hyperlink xmlns:r="http://schemas.openxmlformats.org/officeDocument/2006/relationships" ref="R364" display="https://www.sebi.gov.in/filings/public-issues/apr-2025/anlon-healthcare-limited_93658.html" r:id="rId1039"/>
    <hyperlink xmlns:r="http://schemas.openxmlformats.org/officeDocument/2006/relationships" ref="Q365" display="https://www.sebi.gov.in/sebi_data/attachdocs/apr-2025/1745478369380.PDF" r:id="rId1040"/>
    <hyperlink xmlns:r="http://schemas.openxmlformats.org/officeDocument/2006/relationships" ref="R365" display="https://www.sebi.gov.in/filings/public-issues/apr-2025/a-one-steels-india-limited-addendum-to-drhp_93595.html" r:id="rId1041"/>
    <hyperlink xmlns:r="http://schemas.openxmlformats.org/officeDocument/2006/relationships" ref="Q366" display="https://www.sebi.gov.in/sebi_data/attachdocs/apr-2025/1745312810585.pdf" r:id="rId1042"/>
    <hyperlink xmlns:r="http://schemas.openxmlformats.org/officeDocument/2006/relationships" ref="R366" display="https://www.sebi.gov.in/filings/public-issues/apr-2025/jajoo-rashmi-refractories-limited-addendum-to-drhp_93531.html" r:id="rId1043"/>
    <hyperlink xmlns:r="http://schemas.openxmlformats.org/officeDocument/2006/relationships" ref="AB366" r:id="rId1044"/>
    <hyperlink xmlns:r="http://schemas.openxmlformats.org/officeDocument/2006/relationships" ref="Q367" display="https://www.sebi.gov.in/sebi_data/attachdocs/apr-2025/1744875005599_768.pdf" r:id="rId1045"/>
    <hyperlink xmlns:r="http://schemas.openxmlformats.org/officeDocument/2006/relationships" ref="R367" display="https://www.sebi.gov.in/filings/public-issues/apr-2025/om-freight-forwarders-limited_93481.html" r:id="rId1046"/>
    <hyperlink xmlns:r="http://schemas.openxmlformats.org/officeDocument/2006/relationships" ref="Q368" display="https://www.sebi.gov.in/sebi_data/attachdocs/apr-2025/1744705760872.pdf" r:id="rId1047"/>
    <hyperlink xmlns:r="http://schemas.openxmlformats.org/officeDocument/2006/relationships" ref="R368" display="https://www.sebi.gov.in/filings/public-issues/apr-2025/anand-rathi-share-and-stock-brokers-limited-drhp_93445.html" r:id="rId1048"/>
    <hyperlink xmlns:r="http://schemas.openxmlformats.org/officeDocument/2006/relationships" ref="Q369" display="https://www.sebi.gov.in/sebi_data/attachdocs/apr-2025/1744365838800.pdf" r:id="rId1049"/>
    <hyperlink xmlns:r="http://schemas.openxmlformats.org/officeDocument/2006/relationships" ref="R369" display="https://www.sebi.gov.in/filings/public-issues/apr-2025/laxmi-india-finance-limited-addendum-to-drhp_93417.html" r:id="rId1050"/>
    <hyperlink xmlns:r="http://schemas.openxmlformats.org/officeDocument/2006/relationships" ref="Q370" display="https://www.sebi.gov.in/sebi_data/attachdocs/apr-2025/1744183805217_767.pdf" r:id="rId1051"/>
    <hyperlink xmlns:r="http://schemas.openxmlformats.org/officeDocument/2006/relationships" ref="R370" display="https://www.sebi.gov.in/filings/public-issues/apr-2025/jain-resource-recycling-limited_93392.html" r:id="rId1052"/>
    <hyperlink xmlns:r="http://schemas.openxmlformats.org/officeDocument/2006/relationships" ref="Q371" display="https://www.sebi.gov.in/sebi_data/attachdocs/apr-2025/1744097406765_766.pdf" r:id="rId1053"/>
    <hyperlink xmlns:r="http://schemas.openxmlformats.org/officeDocument/2006/relationships" ref="R371" display="https://www.sebi.gov.in/filings/public-issues/apr-2025/sis-cash-services-limited_93365.html" r:id="rId1054"/>
    <hyperlink xmlns:r="http://schemas.openxmlformats.org/officeDocument/2006/relationships" ref="AB371" r:id="rId1055"/>
    <hyperlink xmlns:r="http://schemas.openxmlformats.org/officeDocument/2006/relationships" ref="Q372" display="https://www.sebi.gov.in/sebi_data/attachdocs/apr-2025/1744088154067.pdf" r:id="rId1056"/>
    <hyperlink xmlns:r="http://schemas.openxmlformats.org/officeDocument/2006/relationships" ref="R372" display="https://www.sebi.gov.in/filings/public-issues/apr-2025/innovision-limited-addendum-to-the-drhp_93356.html" r:id="rId1057"/>
    <hyperlink xmlns:r="http://schemas.openxmlformats.org/officeDocument/2006/relationships" ref="Q373" display="https://www.sebi.gov.in/sebi_data/attachdocs/apr-2025/1743760737648.pdf" r:id="rId1058"/>
    <hyperlink xmlns:r="http://schemas.openxmlformats.org/officeDocument/2006/relationships" ref="R373" display="https://www.sebi.gov.in/filings/public-issues/apr-2025/addendum-to-the-drhp-of-continuum-green-energy-limited_93312.html" r:id="rId1059"/>
    <hyperlink xmlns:r="http://schemas.openxmlformats.org/officeDocument/2006/relationships" ref="AB373" r:id="rId1060"/>
    <hyperlink xmlns:r="http://schemas.openxmlformats.org/officeDocument/2006/relationships" ref="Q374" display="https://www.sebi.gov.in/sebi_data/attachdocs/apr-2025/1743751804884_762.pdf" r:id="rId1061"/>
    <hyperlink xmlns:r="http://schemas.openxmlformats.org/officeDocument/2006/relationships" ref="R374" display="https://www.sebi.gov.in/filings/public-issues/apr-2025/esds-software-solution-limited_93307.html" r:id="rId1062"/>
    <hyperlink xmlns:r="http://schemas.openxmlformats.org/officeDocument/2006/relationships" ref="Q375" display="https://www.sebi.gov.in/sebi_data/attachdocs/apr-2025/1743730204821_761.pdf" r:id="rId1063"/>
    <hyperlink xmlns:r="http://schemas.openxmlformats.org/officeDocument/2006/relationships" ref="R375" display="https://www.sebi.gov.in/filings/public-issues/apr-2025/park-medi-world-limited_93300.html" r:id="rId1064"/>
    <hyperlink xmlns:r="http://schemas.openxmlformats.org/officeDocument/2006/relationships" ref="Q376" display="https://www.sebi.gov.in/sebi_data/attachdocs/apr-2025/1743679807520_760.pdf" r:id="rId1065"/>
    <hyperlink xmlns:r="http://schemas.openxmlformats.org/officeDocument/2006/relationships" ref="R376" display="https://www.sebi.gov.in/filings/public-issues/apr-2025/runwal-enterprises-limited_93291.html" r:id="rId1066"/>
    <hyperlink xmlns:r="http://schemas.openxmlformats.org/officeDocument/2006/relationships" ref="AB376" r:id="rId1067"/>
    <hyperlink xmlns:r="http://schemas.openxmlformats.org/officeDocument/2006/relationships" ref="Q377" display="https://www.sebi.gov.in/sebi_data/attachdocs/apr-2025/1743679807520_759.pdf" r:id="rId1068"/>
    <hyperlink xmlns:r="http://schemas.openxmlformats.org/officeDocument/2006/relationships" ref="R377" display="https://www.sebi.gov.in/filings/public-issues/apr-2025/sai-infinium-limited_93289.html" r:id="rId1069"/>
    <hyperlink xmlns:r="http://schemas.openxmlformats.org/officeDocument/2006/relationships" ref="AB377" r:id="rId1070"/>
    <hyperlink xmlns:r="http://schemas.openxmlformats.org/officeDocument/2006/relationships" ref="Q378" display="https://www.sebi.gov.in/sebi_data/attachdocs/apr-2025/1743665406191_757.pdf" r:id="rId1071"/>
    <hyperlink xmlns:r="http://schemas.openxmlformats.org/officeDocument/2006/relationships" ref="R378" display="https://www.sebi.gov.in/filings/public-issues/apr-2025/pace-digitek-limited_93273.html" r:id="rId1072"/>
    <hyperlink xmlns:r="http://schemas.openxmlformats.org/officeDocument/2006/relationships" ref="Q379" display="https://www.sebi.gov.in/sebi_data/attachdocs/apr-2025/1743593404826_756.pdf" r:id="rId1073"/>
    <hyperlink xmlns:r="http://schemas.openxmlformats.org/officeDocument/2006/relationships" ref="R379" display="https://www.sebi.gov.in/filings/public-issues/apr-2025/advance-agrolife-limited_93250.html" r:id="rId1074"/>
    <hyperlink xmlns:r="http://schemas.openxmlformats.org/officeDocument/2006/relationships" ref="Q380" display="https://www.sebi.gov.in/sebi_data/attachdocs/apr-2025/1743593404826_755.pdf" r:id="rId1075"/>
    <hyperlink xmlns:r="http://schemas.openxmlformats.org/officeDocument/2006/relationships" ref="R380" display="https://www.sebi.gov.in/filings/public-issues/apr-2025/gujarat-kidney-and-super-speciality-limited_93248.html" r:id="rId1076"/>
    <hyperlink xmlns:r="http://schemas.openxmlformats.org/officeDocument/2006/relationships" ref="Q381" display="https://www.sebi.gov.in/sebi_data/attachdocs/apr-2025/1743507022624_751.pdf" r:id="rId1077"/>
    <hyperlink xmlns:r="http://schemas.openxmlformats.org/officeDocument/2006/relationships" ref="R381" display="https://www.sebi.gov.in/filings/public-issues/apr-2025/dev-accelerator-limited_93176.html" r:id="rId1078"/>
    <hyperlink xmlns:r="http://schemas.openxmlformats.org/officeDocument/2006/relationships" ref="Q382" display="https://www.sebi.gov.in/sebi_data/attachdocs/apr-2025/1743507022624_750.pdf" r:id="rId1079"/>
    <hyperlink xmlns:r="http://schemas.openxmlformats.org/officeDocument/2006/relationships" ref="R382" display="https://www.sebi.gov.in/filings/public-issues/apr-2025/prozeal-green-energy-limited_93174.html" r:id="rId1080"/>
    <hyperlink xmlns:r="http://schemas.openxmlformats.org/officeDocument/2006/relationships" ref="AB382" r:id="rId1081"/>
    <hyperlink xmlns:r="http://schemas.openxmlformats.org/officeDocument/2006/relationships" ref="Q383" display="https://www.sebi.gov.in/sebi_data/attachdocs/apr-2025/1743507022624_748.pdf" r:id="rId1082"/>
    <hyperlink xmlns:r="http://schemas.openxmlformats.org/officeDocument/2006/relationships" ref="R383" display="https://www.sebi.gov.in/filings/public-issues/apr-2025/swastika-infra-limited_93170.html" r:id="rId1083"/>
    <hyperlink xmlns:r="http://schemas.openxmlformats.org/officeDocument/2006/relationships" ref="Q384" display="https://www.sebi.gov.in/sebi_data/attachdocs/apr-2025/1743507022624_749.pdf" r:id="rId1084"/>
    <hyperlink xmlns:r="http://schemas.openxmlformats.org/officeDocument/2006/relationships" ref="R384" display="https://www.sebi.gov.in/filings/public-issues/apr-2025/vms-tmt-limited_93172.html" r:id="rId1085"/>
    <hyperlink xmlns:r="http://schemas.openxmlformats.org/officeDocument/2006/relationships" ref="Q385" display="https://www.sebi.gov.in/sebi_data/attachdocs/apr-2025/1743492605814_747.pdf" r:id="rId1086"/>
    <hyperlink xmlns:r="http://schemas.openxmlformats.org/officeDocument/2006/relationships" ref="R385" display="https://www.sebi.gov.in/filings/public-issues/apr-2025/ardee-engineering-limited_93160.html" r:id="rId1087"/>
    <hyperlink xmlns:r="http://schemas.openxmlformats.org/officeDocument/2006/relationships" ref="AB385" r:id="rId1088"/>
    <hyperlink xmlns:r="http://schemas.openxmlformats.org/officeDocument/2006/relationships" ref="Q386" display="https://www.sebi.gov.in/sebi_data/attachdocs/mar-2025/1743161406536_743.pdf" r:id="rId1089"/>
    <hyperlink xmlns:r="http://schemas.openxmlformats.org/officeDocument/2006/relationships" ref="R386" display="https://www.sebi.gov.in/filings/public-issues/mar-2025/studds-accessories-limited_93118.html" r:id="rId1090"/>
    <hyperlink xmlns:r="http://schemas.openxmlformats.org/officeDocument/2006/relationships" ref="Q387" display="https://www.sebi.gov.in/sebi_data/attachdocs/mar-2025/1743048928831.pdf" r:id="rId1091"/>
    <hyperlink xmlns:r="http://schemas.openxmlformats.org/officeDocument/2006/relationships" ref="R387" display="https://www.sebi.gov.in/filings/public-issues/mar-2025/gng-electronics-limited-drhp_93033.html" r:id="rId1092"/>
    <hyperlink xmlns:r="http://schemas.openxmlformats.org/officeDocument/2006/relationships" ref="Q388" display="https://www.sebi.gov.in/sebi_data/attachdocs/mar-2025/1743048660912.pdf" r:id="rId1093"/>
    <hyperlink xmlns:r="http://schemas.openxmlformats.org/officeDocument/2006/relationships" ref="R388" display="https://www.sebi.gov.in/filings/public-issues/mar-2025/vikram-solar-limited-addendum-to-drhp_93031.html" r:id="rId1094"/>
    <hyperlink xmlns:r="http://schemas.openxmlformats.org/officeDocument/2006/relationships" ref="Q389" display="https://www.sebi.gov.in/sebi_data/attachdocs/mar-2025/1742952607050_742.pdf" r:id="rId1095"/>
    <hyperlink xmlns:r="http://schemas.openxmlformats.org/officeDocument/2006/relationships" ref="R389" display="https://www.sebi.gov.in/filings/public-issues/mar-2025/ssf-plastics-india-limited_92965.html" r:id="rId1096"/>
    <hyperlink xmlns:r="http://schemas.openxmlformats.org/officeDocument/2006/relationships" ref="AB389" r:id="rId1097"/>
    <hyperlink xmlns:r="http://schemas.openxmlformats.org/officeDocument/2006/relationships" ref="Q390" display="https://www.sebi.gov.in/sebi_data/attachdocs/mar-2025/1742362846368.pdf" r:id="rId1098"/>
    <hyperlink xmlns:r="http://schemas.openxmlformats.org/officeDocument/2006/relationships" ref="R390" display="https://www.sebi.gov.in/filings/public-issues/mar-2025/saatvik-green-energy-limited-drhp_92736.html" r:id="rId1099"/>
    <hyperlink xmlns:r="http://schemas.openxmlformats.org/officeDocument/2006/relationships" ref="Q391" display="https://www.sebi.gov.in/sebi_data/attachdocs/mar-2025/1742297404447_737.pdf" r:id="rId1100"/>
    <hyperlink xmlns:r="http://schemas.openxmlformats.org/officeDocument/2006/relationships" ref="R391" display="https://www.sebi.gov.in/filings/public-issues/mar-2025/allchem-lifescience-limited_92707.html" r:id="rId1101"/>
    <hyperlink xmlns:r="http://schemas.openxmlformats.org/officeDocument/2006/relationships" ref="AB391" r:id="rId1102"/>
    <hyperlink xmlns:r="http://schemas.openxmlformats.org/officeDocument/2006/relationships" ref="Q392" display="https://www.sebi.gov.in/sebi_data/attachdocs/mar-2025/1741743006276_736.pdf" r:id="rId1103"/>
    <hyperlink xmlns:r="http://schemas.openxmlformats.org/officeDocument/2006/relationships" ref="R392" display="https://www.sebi.gov.in/filings/public-issues/mar-2025/fujiyama-power-systems-limited_92630.html" r:id="rId1104"/>
    <hyperlink xmlns:r="http://schemas.openxmlformats.org/officeDocument/2006/relationships" ref="Q393" display="https://www.sebi.gov.in/sebi_data/attachdocs/mar-2025/1741260607712_716.pdf" r:id="rId1105"/>
    <hyperlink xmlns:r="http://schemas.openxmlformats.org/officeDocument/2006/relationships" ref="R393" display="https://www.sebi.gov.in/filings/public-issues/mar-2025/armee-infotech-limited_92506.html" r:id="rId1106"/>
    <hyperlink xmlns:r="http://schemas.openxmlformats.org/officeDocument/2006/relationships" ref="Q394" display="https://www.sebi.gov.in/sebi_data/attachdocs/mar-2025/1741260607712_715.pdf" r:id="rId1107"/>
    <hyperlink xmlns:r="http://schemas.openxmlformats.org/officeDocument/2006/relationships" ref="R394" display="https://www.sebi.gov.in/filings/public-issues/mar-2025/excelsoft-technologies-limited_92504.html" r:id="rId1108"/>
    <hyperlink xmlns:r="http://schemas.openxmlformats.org/officeDocument/2006/relationships" ref="Q395" display="https://www.sebi.gov.in/sebi_data/attachdocs/mar-2025/1741073405699_714.pdf" r:id="rId1109"/>
    <hyperlink xmlns:r="http://schemas.openxmlformats.org/officeDocument/2006/relationships" ref="R395" display="https://www.sebi.gov.in/filings/public-issues/mar-2025/pranav-constructions-limited_92432.html" r:id="rId1110"/>
    <hyperlink xmlns:r="http://schemas.openxmlformats.org/officeDocument/2006/relationships" ref="Q396" display="https://www.sebi.gov.in/sebi_data/attachdocs/mar-2025/1741001405540_708.pdf" r:id="rId1111"/>
    <hyperlink xmlns:r="http://schemas.openxmlformats.org/officeDocument/2006/relationships" ref="R396" display="https://www.sebi.gov.in/filings/public-issues/mar-2025/meir-commodities-india-limited_92410.html" r:id="rId1112"/>
    <hyperlink xmlns:r="http://schemas.openxmlformats.org/officeDocument/2006/relationships" ref="AB396" r:id="rId1113"/>
    <hyperlink xmlns:r="http://schemas.openxmlformats.org/officeDocument/2006/relationships" ref="Q397" display="https://www.sebi.gov.in/sebi_data/attachdocs/feb-2025/1740641405340_706.pdf" r:id="rId1114"/>
    <hyperlink xmlns:r="http://schemas.openxmlformats.org/officeDocument/2006/relationships" ref="R397" display="https://www.sebi.gov.in/filings/public-issues/feb-2025/lcc-projects-limited_92247.html" r:id="rId1115"/>
    <hyperlink xmlns:r="http://schemas.openxmlformats.org/officeDocument/2006/relationships" ref="Q398" display="https://www.sebi.gov.in/sebi_data/attachdocs/feb-2025/1740394186937.pdf" r:id="rId1116"/>
    <hyperlink xmlns:r="http://schemas.openxmlformats.org/officeDocument/2006/relationships" ref="R398" display="https://www.sebi.gov.in/filings/public-issues/feb-2025/ciel-hr-services-limited-addendum-to-drhp_92124.html" r:id="rId1117"/>
    <hyperlink xmlns:r="http://schemas.openxmlformats.org/officeDocument/2006/relationships" ref="AB398" r:id="rId1118"/>
    <hyperlink xmlns:r="http://schemas.openxmlformats.org/officeDocument/2006/relationships" ref="Q399" display="https://www.sebi.gov.in/sebi_data/attachdocs/feb-2025/1740386342417.pdf" r:id="rId1119"/>
    <hyperlink xmlns:r="http://schemas.openxmlformats.org/officeDocument/2006/relationships" ref="R399" display="https://www.sebi.gov.in/filings/public-issues/feb-2025/anlon-healthcare-limited-drhp_92111.html" r:id="rId1120"/>
    <hyperlink xmlns:r="http://schemas.openxmlformats.org/officeDocument/2006/relationships" ref="Q400" display="https://www.sebi.gov.in/sebi_data/attachdocs/feb-2025/1740375857083.pdf" r:id="rId1121"/>
    <hyperlink xmlns:r="http://schemas.openxmlformats.org/officeDocument/2006/relationships" ref="R400" display="https://www.sebi.gov.in/filings/public-issues/feb-2025/mandb-engineering-limited-drhp_92107.html" r:id="rId1122"/>
    <hyperlink xmlns:r="http://schemas.openxmlformats.org/officeDocument/2006/relationships" ref="Q401" display="https://www.sebi.gov.in/sebi_data/attachdocs/feb-2025/1739791805392_693.pdf" r:id="rId1123"/>
    <hyperlink xmlns:r="http://schemas.openxmlformats.org/officeDocument/2006/relationships" ref="R401" display="https://www.sebi.gov.in/filings/public-issues/feb-2025/innovatiview-india-limited_91961.html" r:id="rId1124"/>
    <hyperlink xmlns:r="http://schemas.openxmlformats.org/officeDocument/2006/relationships" ref="AB401" r:id="rId1125"/>
    <hyperlink xmlns:r="http://schemas.openxmlformats.org/officeDocument/2006/relationships" ref="Q402" display="https://www.sebi.gov.in/sebi_data/attachdocs/feb-2025/1739777405192_692.pdf" r:id="rId1126"/>
    <hyperlink xmlns:r="http://schemas.openxmlformats.org/officeDocument/2006/relationships" ref="R402" display="https://www.sebi.gov.in/filings/public-issues/feb-2025/seedworks-international-limited_91959.html" r:id="rId1127"/>
    <hyperlink xmlns:r="http://schemas.openxmlformats.org/officeDocument/2006/relationships" ref="AB402" r:id="rId1128"/>
    <hyperlink xmlns:r="http://schemas.openxmlformats.org/officeDocument/2006/relationships" ref="Q403" display="https://www.sebi.gov.in/sebi_data/attachdocs/feb-2025/1739431807849_691.pdf" r:id="rId1129"/>
    <hyperlink xmlns:r="http://schemas.openxmlformats.org/officeDocument/2006/relationships" ref="R403" display="https://www.sebi.gov.in/filings/public-issues/feb-2025/rite-water-solutions-india-limited_91875.html" r:id="rId1130"/>
    <hyperlink xmlns:r="http://schemas.openxmlformats.org/officeDocument/2006/relationships" ref="AB403" r:id="rId1131"/>
    <hyperlink xmlns:r="http://schemas.openxmlformats.org/officeDocument/2006/relationships" ref="Q404" display="https://www.sebi.gov.in/sebi_data/attachdocs/feb-2025/1739187003975_687.pdf" r:id="rId1132"/>
    <hyperlink xmlns:r="http://schemas.openxmlformats.org/officeDocument/2006/relationships" ref="R404" display="https://www.sebi.gov.in/filings/public-issues/feb-2025/advanced-sys-tek-limited_91748.html" r:id="rId1133"/>
    <hyperlink xmlns:r="http://schemas.openxmlformats.org/officeDocument/2006/relationships" ref="AB404" r:id="rId1134"/>
    <hyperlink xmlns:r="http://schemas.openxmlformats.org/officeDocument/2006/relationships" ref="Q405" display="https://www.sebi.gov.in/sebi_data/attachdocs/feb-2025/1739181383305.pdf" r:id="rId1135"/>
    <hyperlink xmlns:r="http://schemas.openxmlformats.org/officeDocument/2006/relationships" ref="R405" display="https://www.sebi.gov.in/filings/public-issues/feb-2025/glottis-limited-drhp_91747.html" r:id="rId1136"/>
    <hyperlink xmlns:r="http://schemas.openxmlformats.org/officeDocument/2006/relationships" ref="Q406" display="https://www.sebi.gov.in/sebi_data/attachdocs/feb-2025/1739172604995_686.pdf" r:id="rId1137"/>
    <hyperlink xmlns:r="http://schemas.openxmlformats.org/officeDocument/2006/relationships" ref="R406" display="https://www.sebi.gov.in/filings/public-issues/feb-2025/amanta-healthcare-limited_91745.html" r:id="rId1138"/>
    <hyperlink xmlns:r="http://schemas.openxmlformats.org/officeDocument/2006/relationships" ref="Q407" display="https://www.sebi.gov.in/sebi_data/attachdocs/feb-2025/1738927849699_685.pdf" r:id="rId1139"/>
    <hyperlink xmlns:r="http://schemas.openxmlformats.org/officeDocument/2006/relationships" ref="R407" display="https://www.sebi.gov.in/filings/public-issues/feb-2025/shringar-house-of-mangalsutra-limited_91735.html" r:id="rId1140"/>
    <hyperlink xmlns:r="http://schemas.openxmlformats.org/officeDocument/2006/relationships" ref="Q408" display="https://www.sebi.gov.in/sebi_data/attachdocs/feb-2025/1738927849699_684.pdf" r:id="rId1141"/>
    <hyperlink xmlns:r="http://schemas.openxmlformats.org/officeDocument/2006/relationships" ref="R408" display="https://www.sebi.gov.in/filings/public-issues/feb-2025/atlanta-electricals-limited_91733.html" r:id="rId1142"/>
    <hyperlink xmlns:r="http://schemas.openxmlformats.org/officeDocument/2006/relationships" ref="Q409" display="https://www.sebi.gov.in/sebi_data/attachdocs/feb-2025/1738740605306_680.pdf" r:id="rId1143"/>
    <hyperlink xmlns:r="http://schemas.openxmlformats.org/officeDocument/2006/relationships" ref="R409" display="https://www.sebi.gov.in/filings/public-issues/feb-2025/veeda-clinical-research-limited_91650.html" r:id="rId1144"/>
    <hyperlink xmlns:r="http://schemas.openxmlformats.org/officeDocument/2006/relationships" ref="AB409" r:id="rId1145"/>
    <hyperlink xmlns:r="http://schemas.openxmlformats.org/officeDocument/2006/relationships" ref="Q410" display="https://www.sebi.gov.in/sebi_data/attachdocs/feb-2025/1738668603856_679.pdf" r:id="rId1146"/>
    <hyperlink xmlns:r="http://schemas.openxmlformats.org/officeDocument/2006/relationships" ref="R410" display="https://www.sebi.gov.in/filings/public-issues/feb-2025/wework-india-management-limited_91619.html" r:id="rId1147"/>
    <hyperlink xmlns:r="http://schemas.openxmlformats.org/officeDocument/2006/relationships" ref="Q411" display="https://www.sebi.gov.in/sebi_data/attachdocs/feb-2025/1738649973129.pdf" r:id="rId1148"/>
    <hyperlink xmlns:r="http://schemas.openxmlformats.org/officeDocument/2006/relationships" ref="R411" display="https://www.sebi.gov.in/filings/public-issues/feb-2025/prostarm-info-systems-limited-addendum-to-drhp_91594.html" r:id="rId1149"/>
    <hyperlink xmlns:r="http://schemas.openxmlformats.org/officeDocument/2006/relationships" ref="Q412" display="https://www.sebi.gov.in/sebi_data/attachdocs/jan-2025/1738222207364_667.pdf" r:id="rId1150"/>
    <hyperlink xmlns:r="http://schemas.openxmlformats.org/officeDocument/2006/relationships" ref="R412" display="https://www.sebi.gov.in/filings/public-issues/jan-2025/shreeji-shipping-global-limited_91371.html" r:id="rId1151"/>
    <hyperlink xmlns:r="http://schemas.openxmlformats.org/officeDocument/2006/relationships" ref="Q413" display="https://www.sebi.gov.in/sebi_data/attachdocs/jan-2025/1738135805661_665.pdf" r:id="rId1152"/>
    <hyperlink xmlns:r="http://schemas.openxmlformats.org/officeDocument/2006/relationships" ref="R413" display="https://www.sebi.gov.in/filings/public-issues/jan-2025/gaudium-ivf-and-women-health-limited_91336.html" r:id="rId1153"/>
    <hyperlink xmlns:r="http://schemas.openxmlformats.org/officeDocument/2006/relationships" ref="Q414" display="https://www.sebi.gov.in/sebi_data/attachdocs/jan-2025/1738049406097_664.pdf" r:id="rId1154"/>
    <hyperlink xmlns:r="http://schemas.openxmlformats.org/officeDocument/2006/relationships" ref="R414" display="https://www.sebi.gov.in/filings/public-issues/jan-2025/epack-prefab-technologies-limited_91209.html" r:id="rId1155"/>
    <hyperlink xmlns:r="http://schemas.openxmlformats.org/officeDocument/2006/relationships" ref="Q415" display="https://www.sebi.gov.in/sebi_data/attachdocs/jan-2025/1737977406391_663.pdf" r:id="rId1156"/>
    <hyperlink xmlns:r="http://schemas.openxmlformats.org/officeDocument/2006/relationships" ref="R415" display="https://www.sebi.gov.in/filings/public-issues/jan-2025/dorf-ketal-chemicals-india-limited_91200.html" r:id="rId1157"/>
    <hyperlink xmlns:r="http://schemas.openxmlformats.org/officeDocument/2006/relationships" ref="AB415" r:id="rId1158"/>
    <hyperlink xmlns:r="http://schemas.openxmlformats.org/officeDocument/2006/relationships" ref="Q416" display="https://www.sebi.gov.in/sebi_data/attachdocs/jan-2025/1737963006097_661.pdf" r:id="rId1159"/>
    <hyperlink xmlns:r="http://schemas.openxmlformats.org/officeDocument/2006/relationships" ref="R416" display="https://www.sebi.gov.in/filings/public-issues/jan-2025/karamtara-engineering-limited_91191.html" r:id="rId1160"/>
    <hyperlink xmlns:r="http://schemas.openxmlformats.org/officeDocument/2006/relationships" ref="Q417" display="https://www.sebi.gov.in/sebi_data/attachdocs/jan-2025/1737682204889_660.pdf" r:id="rId1161"/>
    <hyperlink xmlns:r="http://schemas.openxmlformats.org/officeDocument/2006/relationships" ref="R417" display="https://www.sebi.gov.in/filings/public-issues/jan-2025/kent-r-o-systems-limited_91156.html" r:id="rId1162"/>
    <hyperlink xmlns:r="http://schemas.openxmlformats.org/officeDocument/2006/relationships" ref="AB417" r:id="rId1163"/>
    <hyperlink xmlns:r="http://schemas.openxmlformats.org/officeDocument/2006/relationships" ref="Q418" display="https://www.sebi.gov.in/sebi_data/attachdocs/jan-2025/1737617407177_659.pdf" r:id="rId1164"/>
    <hyperlink xmlns:r="http://schemas.openxmlformats.org/officeDocument/2006/relationships" ref="R418" display="https://www.sebi.gov.in/filings/public-issues/jan-2025/euro-pratik-sales-limited_91135.html" r:id="rId1165"/>
    <hyperlink xmlns:r="http://schemas.openxmlformats.org/officeDocument/2006/relationships" ref="Q419" display="https://www.sebi.gov.in/sebi_data/attachdocs/jan-2025/1737617407177_658.pdf" r:id="rId1166"/>
    <hyperlink xmlns:r="http://schemas.openxmlformats.org/officeDocument/2006/relationships" ref="R419" display="https://www.sebi.gov.in/filings/public-issues/jan-2025/lumino-industries-limited_91133.html" r:id="rId1167"/>
    <hyperlink xmlns:r="http://schemas.openxmlformats.org/officeDocument/2006/relationships" ref="Q420" display="https://www.sebi.gov.in/sebi_data/attachdocs/jan-2025/1737595805572_657.pdf" r:id="rId1168"/>
    <hyperlink xmlns:r="http://schemas.openxmlformats.org/officeDocument/2006/relationships" ref="R420" display="https://www.sebi.gov.in/filings/public-issues/jan-2025/vinir-engineering-limited_91117.html" r:id="rId1169"/>
    <hyperlink xmlns:r="http://schemas.openxmlformats.org/officeDocument/2006/relationships" ref="AB420" r:id="rId1170"/>
    <hyperlink xmlns:r="http://schemas.openxmlformats.org/officeDocument/2006/relationships" ref="Q421" display="https://www.sebi.gov.in/sebi_data/attachdocs/jan-2025/1737531003974_656.pdf" r:id="rId1171"/>
    <hyperlink xmlns:r="http://schemas.openxmlformats.org/officeDocument/2006/relationships" ref="R421" display="https://www.sebi.gov.in/filings/public-issues/jan-2025/shanti-gold-international-limited_91075.html" r:id="rId1172"/>
    <hyperlink xmlns:r="http://schemas.openxmlformats.org/officeDocument/2006/relationships" ref="Q422" display="https://www.sebi.gov.in/sebi_data/attachdocs/jan-2025/1737459004758_655.pdf" r:id="rId1173"/>
    <hyperlink xmlns:r="http://schemas.openxmlformats.org/officeDocument/2006/relationships" ref="R422" display="https://www.sebi.gov.in/filings/public-issues/jan-2025/veritas-finance-limited_91063.html" r:id="rId1174"/>
    <hyperlink xmlns:r="http://schemas.openxmlformats.org/officeDocument/2006/relationships" ref="AB422" r:id="rId1175"/>
    <hyperlink xmlns:r="http://schemas.openxmlformats.org/officeDocument/2006/relationships" ref="Q423" display="https://www.sebi.gov.in/sebi_data/attachdocs/jan-2025/1737012604782_652.pdf" r:id="rId1176"/>
    <hyperlink xmlns:r="http://schemas.openxmlformats.org/officeDocument/2006/relationships" ref="R423" display="https://www.sebi.gov.in/filings/public-issues/jan-2025/vidya-wires-limited_90835.html" r:id="rId1177"/>
    <hyperlink xmlns:r="http://schemas.openxmlformats.org/officeDocument/2006/relationships" ref="Q424" display="https://www.sebi.gov.in/sebi_data/attachdocs/jan-2025/1736904610993_649.pdf" r:id="rId1178"/>
    <hyperlink xmlns:r="http://schemas.openxmlformats.org/officeDocument/2006/relationships" ref="R424" display="https://www.sebi.gov.in/filings/public-issues/jan-2025/jesons-industries-limited_90761.html" r:id="rId1179"/>
    <hyperlink xmlns:r="http://schemas.openxmlformats.org/officeDocument/2006/relationships" ref="AB424" r:id="rId1180"/>
    <hyperlink xmlns:r="http://schemas.openxmlformats.org/officeDocument/2006/relationships" ref="Q425" display="https://www.sebi.gov.in/sebi_data/attachdocs/jan-2025/1736503107636.pdf" r:id="rId1181"/>
    <hyperlink xmlns:r="http://schemas.openxmlformats.org/officeDocument/2006/relationships" ref="R425" display="https://www.sebi.gov.in/filings/public-issues/jan-2025/sunshine-pictures-limited-drhp_90683.html" r:id="rId1182"/>
    <hyperlink xmlns:r="http://schemas.openxmlformats.org/officeDocument/2006/relationships" ref="Q426" display="https://www.sebi.gov.in/sebi_data/attachdocs/jan-2025/1736494207595_646.pdf" r:id="rId1183"/>
    <hyperlink xmlns:r="http://schemas.openxmlformats.org/officeDocument/2006/relationships" ref="R426" display="https://www.sebi.gov.in/filings/public-issues/jan-2025/a-one-steels-india-limited_90677.html" r:id="rId1184"/>
    <hyperlink xmlns:r="http://schemas.openxmlformats.org/officeDocument/2006/relationships" ref="Q427" display="https://www.sebi.gov.in/sebi_data/attachdocs/jan-2025/1736422206144_645.pdf" r:id="rId1185"/>
    <hyperlink xmlns:r="http://schemas.openxmlformats.org/officeDocument/2006/relationships" ref="R427" display="https://www.sebi.gov.in/filings/public-issues/jan-2025/caliber-mining-and-logistics-limited_90669.html" r:id="rId1186"/>
    <hyperlink xmlns:r="http://schemas.openxmlformats.org/officeDocument/2006/relationships" ref="Q428" display="https://www.sebi.gov.in/sebi_data/attachdocs/jan-2025/1736249404881_639.pdf" r:id="rId1187"/>
    <hyperlink xmlns:r="http://schemas.openxmlformats.org/officeDocument/2006/relationships" ref="R428" display="https://www.sebi.gov.in/filings/public-issues/jan-2025/fujiyama-power-systems-limited_90596.html" r:id="rId1188"/>
    <hyperlink xmlns:r="http://schemas.openxmlformats.org/officeDocument/2006/relationships" ref="Q429" display="https://www.sebi.gov.in/sebi_data/attachdocs/jan-2025/1736213406100_638.pdf" r:id="rId1189"/>
    <hyperlink xmlns:r="http://schemas.openxmlformats.org/officeDocument/2006/relationships" ref="R429" display="https://www.sebi.gov.in/filings/public-issues/jan-2025/sri-lotus-developers-and-realty-limited_90557.html" r:id="rId1190"/>
    <hyperlink xmlns:r="http://schemas.openxmlformats.org/officeDocument/2006/relationships" ref="Q430" display="https://www.sebi.gov.in/sebi_data/attachdocs/jan-2025/1736163029389_635.pdf" r:id="rId1191"/>
    <hyperlink xmlns:r="http://schemas.openxmlformats.org/officeDocument/2006/relationships" ref="R430" display="https://www.sebi.gov.in/filings/public-issues/jan-2025/anthem-biosciences-limited_90546.html" r:id="rId1192"/>
    <hyperlink xmlns:r="http://schemas.openxmlformats.org/officeDocument/2006/relationships" ref="Q431" display="https://www.sebi.gov.in/sebi_data/attachdocs/jan-2025/1736163029389_636.pdf" r:id="rId1193"/>
    <hyperlink xmlns:r="http://schemas.openxmlformats.org/officeDocument/2006/relationships" ref="R431" display="https://www.sebi.gov.in/filings/public-issues/jan-2025/gem-aromatics-limited_90548.html" r:id="rId1194"/>
    <hyperlink xmlns:r="http://schemas.openxmlformats.org/officeDocument/2006/relationships" ref="Q432" display="https://www.sebi.gov.in/sebi_data/attachdocs/jan-2025/1736163029389_634.pdf" r:id="rId1195"/>
    <hyperlink xmlns:r="http://schemas.openxmlformats.org/officeDocument/2006/relationships" ref="R432" display="https://www.sebi.gov.in/filings/public-issues/jan-2025/regaal-resources-limited_90544.html" r:id="rId1196"/>
    <hyperlink xmlns:r="http://schemas.openxmlformats.org/officeDocument/2006/relationships" ref="Q433" display="https://www.sebi.gov.in/sebi_data/attachdocs/jan-2025/1736148610420_632.pdf" r:id="rId1197"/>
    <hyperlink xmlns:r="http://schemas.openxmlformats.org/officeDocument/2006/relationships" ref="R433" display="https://www.sebi.gov.in/filings/public-issues/jan-2025/earthood-services-limited_90533.html" r:id="rId1198"/>
    <hyperlink xmlns:r="http://schemas.openxmlformats.org/officeDocument/2006/relationships" ref="AB433" r:id="rId1199"/>
    <hyperlink xmlns:r="http://schemas.openxmlformats.org/officeDocument/2006/relationships" ref="Q434" display="https://www.sebi.gov.in/sebi_data/attachdocs/jan-2025/1736148610420_633.pdf" r:id="rId1200"/>
    <hyperlink xmlns:r="http://schemas.openxmlformats.org/officeDocument/2006/relationships" ref="R434" display="https://www.sebi.gov.in/filings/public-issues/jan-2025/mangal-electrical-industries-limited_90535.html" r:id="rId1201"/>
    <hyperlink xmlns:r="http://schemas.openxmlformats.org/officeDocument/2006/relationships" ref="Q435" display="https://www.sebi.gov.in/sebi_data/attachdocs/jan-2025/1736148610420_631.pdf" r:id="rId1202"/>
    <hyperlink xmlns:r="http://schemas.openxmlformats.org/officeDocument/2006/relationships" ref="R435" display="https://www.sebi.gov.in/filings/public-issues/jan-2025/rajputana-stainless-limited_90531.html" r:id="rId1203"/>
    <hyperlink xmlns:r="http://schemas.openxmlformats.org/officeDocument/2006/relationships" ref="Q436" display="https://www.sebi.gov.in/sebi_data/attachdocs/jan-2025/1735867803605_630.pdf" r:id="rId1204"/>
    <hyperlink xmlns:r="http://schemas.openxmlformats.org/officeDocument/2006/relationships" ref="R436" display="https://www.sebi.gov.in/filings/public-issues/jan-2025/neelkanth-realtors-limited_90480.html" r:id="rId1205"/>
    <hyperlink xmlns:r="http://schemas.openxmlformats.org/officeDocument/2006/relationships" ref="AB436" r:id="rId1206"/>
    <hyperlink xmlns:r="http://schemas.openxmlformats.org/officeDocument/2006/relationships" ref="Q437" display="https://www.sebi.gov.in/sebi_data/attachdocs/jan-2025/1735731007416_629.pdf" r:id="rId1207"/>
    <hyperlink xmlns:r="http://schemas.openxmlformats.org/officeDocument/2006/relationships" ref="R437" display="https://www.sebi.gov.in/filings/public-issues/jan-2025/ajay-poly-limited_90441.html" r:id="rId1208"/>
    <hyperlink xmlns:r="http://schemas.openxmlformats.org/officeDocument/2006/relationships" ref="AB437" r:id="rId1209"/>
    <hyperlink xmlns:r="http://schemas.openxmlformats.org/officeDocument/2006/relationships" ref="Q438" display="https://www.sebi.gov.in/sebi_data/attachdocs/jan-2025/1735731007416_627.pdf" r:id="rId1210"/>
    <hyperlink xmlns:r="http://schemas.openxmlformats.org/officeDocument/2006/relationships" ref="R438" display="https://www.sebi.gov.in/filings/public-issues/jan-2025/neilsoft-limited_90437.html" r:id="rId1211"/>
    <hyperlink xmlns:r="http://schemas.openxmlformats.org/officeDocument/2006/relationships" ref="AB438" r:id="rId1212"/>
    <hyperlink xmlns:r="http://schemas.openxmlformats.org/officeDocument/2006/relationships" ref="Q439" display="https://www.sebi.gov.in/sebi_data/attachdocs/jan-2025/1735716619811_621.pdf" r:id="rId1213"/>
    <hyperlink xmlns:r="http://schemas.openxmlformats.org/officeDocument/2006/relationships" ref="R439" display="https://www.sebi.gov.in/filings/public-issues/jan-2025/seshaasai-technologies-limited_90410.html" r:id="rId1214"/>
    <hyperlink xmlns:r="http://schemas.openxmlformats.org/officeDocument/2006/relationships" ref="Q440" display="https://www.sebi.gov.in/sebi_data/attachdocs/dec-2024/1735630204952_620.pdf" r:id="rId1215"/>
    <hyperlink xmlns:r="http://schemas.openxmlformats.org/officeDocument/2006/relationships" ref="R440" display="https://www.sebi.gov.in/filings/public-issues/dec-2024/ganesh-consumer-products-limited_90382.html" r:id="rId1216"/>
    <hyperlink xmlns:r="http://schemas.openxmlformats.org/officeDocument/2006/relationships" ref="Q441" display="https://www.sebi.gov.in/sebi_data/attachdocs/dec-2024/1735558207871_619.pdf" r:id="rId1217"/>
    <hyperlink xmlns:r="http://schemas.openxmlformats.org/officeDocument/2006/relationships" ref="R441" display="https://www.sebi.gov.in/filings/public-issues/dec-2024/greaves-electric-mobility-limited_90332.html" r:id="rId1218"/>
    <hyperlink xmlns:r="http://schemas.openxmlformats.org/officeDocument/2006/relationships" ref="AB441" r:id="rId1219"/>
    <hyperlink xmlns:r="http://schemas.openxmlformats.org/officeDocument/2006/relationships" ref="Q442" display="https://www.sebi.gov.in/sebi_data/attachdocs/dec-2024/1735543813606_617.pdf" r:id="rId1220"/>
    <hyperlink xmlns:r="http://schemas.openxmlformats.org/officeDocument/2006/relationships" ref="R442" display="https://www.sebi.gov.in/filings/public-issues/dec-2024/indiqube-spaces-limited_90321.html" r:id="rId1221"/>
    <hyperlink xmlns:r="http://schemas.openxmlformats.org/officeDocument/2006/relationships" ref="Q443" display="https://www.sebi.gov.in/sebi_data/attachdocs/dec-2024/1735536319777.pdf" r:id="rId1222"/>
    <hyperlink xmlns:r="http://schemas.openxmlformats.org/officeDocument/2006/relationships" ref="R443" display="https://www.sebi.gov.in/filings/public-issues/dec-2024/smartworks-coworking-spaces-limited-addendum-to-drhp_90292.html" r:id="rId1223"/>
    <hyperlink xmlns:r="http://schemas.openxmlformats.org/officeDocument/2006/relationships" ref="Q444" display="https://www.sebi.gov.in/sebi_data/attachdocs/dec-2024/1735299005118_614.pdf" r:id="rId1224"/>
    <hyperlink xmlns:r="http://schemas.openxmlformats.org/officeDocument/2006/relationships" ref="R444" display="https://www.sebi.gov.in/filings/public-issues/dec-2024/jajoo-rashmi-refractories-limited_90225.html" r:id="rId1225"/>
    <hyperlink xmlns:r="http://schemas.openxmlformats.org/officeDocument/2006/relationships" ref="AB444" r:id="rId1226"/>
    <hyperlink xmlns:r="http://schemas.openxmlformats.org/officeDocument/2006/relationships" ref="Q445" display="https://www.sebi.gov.in/sebi_data/attachdocs/dec-2024/1735263006465_612.pdf" r:id="rId1227"/>
    <hyperlink xmlns:r="http://schemas.openxmlformats.org/officeDocument/2006/relationships" ref="R445" display="https://www.sebi.gov.in/filings/public-issues/dec-2024/gsp-crop-science-limited_90202.html" r:id="rId1228"/>
    <hyperlink xmlns:r="http://schemas.openxmlformats.org/officeDocument/2006/relationships" ref="Q446" display="https://www.sebi.gov.in/sebi_data/attachdocs/dec-2024/1735025406214_611.pdf" r:id="rId1229"/>
    <hyperlink xmlns:r="http://schemas.openxmlformats.org/officeDocument/2006/relationships" ref="R446" display="https://www.sebi.gov.in/filings/public-issues/dec-2024/laxmi-india-finance-limited_90148.html" r:id="rId1230"/>
    <hyperlink xmlns:r="http://schemas.openxmlformats.org/officeDocument/2006/relationships" ref="Q447" display="https://www.sebi.gov.in/sebi_data/attachdocs/dec-2024/1734939005590_610.pdf" r:id="rId1231"/>
    <hyperlink xmlns:r="http://schemas.openxmlformats.org/officeDocument/2006/relationships" ref="R447" display="https://www.sebi.gov.in/filings/public-issues/dec-2024/anand-rathi-share-and-stock-brokers-limited_90120.html" r:id="rId1232"/>
    <hyperlink xmlns:r="http://schemas.openxmlformats.org/officeDocument/2006/relationships" ref="Q448" display="https://www.sebi.gov.in/sebi_data/attachdocs/dec-2024/1734694208462_609.pdf" r:id="rId1233"/>
    <hyperlink xmlns:r="http://schemas.openxmlformats.org/officeDocument/2006/relationships" ref="R448" display="https://www.sebi.gov.in/filings/public-issues/dec-2024/aye-finance-limited_90095.html" r:id="rId1234"/>
    <hyperlink xmlns:r="http://schemas.openxmlformats.org/officeDocument/2006/relationships" ref="Q449" display="https://www.sebi.gov.in/sebi_data/attachdocs/dec-2024/1734685958143.PDF" r:id="rId1235"/>
    <hyperlink xmlns:r="http://schemas.openxmlformats.org/officeDocument/2006/relationships" ref="R449" display="https://www.sebi.gov.in/filings/public-issues/dec-2024/stallion-india-fluorochemicals-limited-addendum-to-drhp_90086.html" r:id="rId1236"/>
    <hyperlink xmlns:r="http://schemas.openxmlformats.org/officeDocument/2006/relationships" ref="Q450" display="https://www.sebi.gov.in/sebi_data/attachdocs/dec-2024/1734606993821.pdf" r:id="rId1237"/>
    <hyperlink xmlns:r="http://schemas.openxmlformats.org/officeDocument/2006/relationships" ref="R450" display="https://www.sebi.gov.in/filings/public-issues/dec-2024/indogulf-cropsciences-limited-corrigendum-to-drhp_90062.html" r:id="rId1238"/>
    <hyperlink xmlns:r="http://schemas.openxmlformats.org/officeDocument/2006/relationships" ref="Q451" display="https://www.sebi.gov.in/sebi_data/attachdocs/dec-2024/1734519144440.pdf" r:id="rId1239"/>
    <hyperlink xmlns:r="http://schemas.openxmlformats.org/officeDocument/2006/relationships" ref="R451" display="https://www.sebi.gov.in/filings/public-issues/dec-2024/aditya-infotech-limited-addendum-to-the-drhp_90029.html" r:id="rId1240"/>
    <hyperlink xmlns:r="http://schemas.openxmlformats.org/officeDocument/2006/relationships" ref="Q452" display="https://www.sebi.gov.in/sebi_data/attachdocs/dec-2024/1734504599498.pdf" r:id="rId1241"/>
    <hyperlink xmlns:r="http://schemas.openxmlformats.org/officeDocument/2006/relationships" ref="R452" display="https://www.sebi.gov.in/filings/public-issues/dec-2024/innovision-limited-drhp_90017.html" r:id="rId1242"/>
    <hyperlink xmlns:r="http://schemas.openxmlformats.org/officeDocument/2006/relationships" ref="Q453" display="https://www.sebi.gov.in/sebi_data/attachdocs/dec-2024/1734485404337_608.pdf" r:id="rId1243"/>
    <hyperlink xmlns:r="http://schemas.openxmlformats.org/officeDocument/2006/relationships" ref="R453" display="https://www.sebi.gov.in/filings/public-issues/dec-2024/gk-energy-limited_90002.html" r:id="rId1244"/>
    <hyperlink xmlns:r="http://schemas.openxmlformats.org/officeDocument/2006/relationships" ref="Q454" display="https://www.sebi.gov.in/sebi_data/attachdocs/dec-2024/1734435005760_607.pdf" r:id="rId1245"/>
    <hyperlink xmlns:r="http://schemas.openxmlformats.org/officeDocument/2006/relationships" ref="R454" display="https://www.sebi.gov.in/filings/public-issues/dec-2024/gng-electronics-limited_89988.html" r:id="rId1246"/>
    <hyperlink xmlns:r="http://schemas.openxmlformats.org/officeDocument/2006/relationships" ref="Q455" display="https://www.sebi.gov.in/sebi_data/attachdocs/dec-2024/1734348609680_606.pdf" r:id="rId1247"/>
    <hyperlink xmlns:r="http://schemas.openxmlformats.org/officeDocument/2006/relationships" ref="R455" display="https://www.sebi.gov.in/filings/public-issues/dec-2024/continuum-green-energy-limited_89969.html" r:id="rId1248"/>
    <hyperlink xmlns:r="http://schemas.openxmlformats.org/officeDocument/2006/relationships" ref="AB455" r:id="rId1249"/>
    <hyperlink xmlns:r="http://schemas.openxmlformats.org/officeDocument/2006/relationships" ref="Q456" display="https://www.sebi.gov.in/sebi_data/attachdocs/dec-2024/1734348609680_605.pdf" r:id="rId1250"/>
    <hyperlink xmlns:r="http://schemas.openxmlformats.org/officeDocument/2006/relationships" ref="R456" display="https://www.sebi.gov.in/filings/public-issues/dec-2024/travel-food-services-limited_89967.html" r:id="rId1251"/>
    <hyperlink xmlns:r="http://schemas.openxmlformats.org/officeDocument/2006/relationships" ref="Q457" display="https://www.sebi.gov.in/sebi_data/attachdocs/dec-2024/1734334208896_604.pdf" r:id="rId1252"/>
    <hyperlink xmlns:r="http://schemas.openxmlformats.org/officeDocument/2006/relationships" ref="R457" display="https://www.sebi.gov.in/filings/public-issues/dec-2024/bluestone-jewellery-and-lifestyle-limited_89962.html" r:id="rId1253"/>
    <hyperlink xmlns:r="http://schemas.openxmlformats.org/officeDocument/2006/relationships" ref="Q458" display="https://www.sebi.gov.in/sebi_data/attachdocs/dec-2024/1733815806552_599.pdf" r:id="rId1254"/>
    <hyperlink xmlns:r="http://schemas.openxmlformats.org/officeDocument/2006/relationships" ref="R458" display="https://www.sebi.gov.in/filings/public-issues/dec-2024/eaaa-india-alternatives-limited_89436.html" r:id="rId1255"/>
    <hyperlink xmlns:r="http://schemas.openxmlformats.org/officeDocument/2006/relationships" ref="AB458" r:id="rId1256"/>
    <hyperlink xmlns:r="http://schemas.openxmlformats.org/officeDocument/2006/relationships" ref="Q459" display="https://www.sebi.gov.in/sebi_data/attachdocs/dec-2024/1733743806550_598.pdf" r:id="rId1257"/>
    <hyperlink xmlns:r="http://schemas.openxmlformats.org/officeDocument/2006/relationships" ref="R459" display="https://www.sebi.gov.in/filings/public-issues/dec-2024/lg-electronics-india-limited_89411.html" r:id="rId1258"/>
    <hyperlink xmlns:r="http://schemas.openxmlformats.org/officeDocument/2006/relationships" ref="Q460" display="https://www.sebi.gov.in/sebi_data/attachdocs/dec-2024/1733729408090_597.pdf" r:id="rId1259"/>
    <hyperlink xmlns:r="http://schemas.openxmlformats.org/officeDocument/2006/relationships" ref="R460" display="https://www.sebi.gov.in/filings/public-issues/dec-2024/star-agriwarehousing-and-collateral-management-limited_89400.html" r:id="rId1260"/>
    <hyperlink xmlns:r="http://schemas.openxmlformats.org/officeDocument/2006/relationships" ref="AB460" r:id="rId1261"/>
    <hyperlink xmlns:r="http://schemas.openxmlformats.org/officeDocument/2006/relationships" ref="Q461" display="https://www.sebi.gov.in/sebi_data/attachdocs/dec-2024/1733383855765_595.pdf" r:id="rId1262"/>
    <hyperlink xmlns:r="http://schemas.openxmlformats.org/officeDocument/2006/relationships" ref="R461" display="https://www.sebi.gov.in/filings/public-issues/dec-2024/sfc-environmental-technologies-limited_89308.html" r:id="rId1263"/>
    <hyperlink xmlns:r="http://schemas.openxmlformats.org/officeDocument/2006/relationships" ref="AB461" r:id="rId1264"/>
    <hyperlink xmlns:r="http://schemas.openxmlformats.org/officeDocument/2006/relationships" ref="Q462" display="https://www.sebi.gov.in/sebi_data/attachdocs/dec-2024/1733133552014.pdf" r:id="rId1265"/>
    <hyperlink xmlns:r="http://schemas.openxmlformats.org/officeDocument/2006/relationships" ref="R462" display="https://www.sebi.gov.in/filings/public-issues/dec-2024/denta-water-and-infra-solutions-limited-addendum-to-drhp_89182.html" r:id="rId1266"/>
    <hyperlink xmlns:r="http://schemas.openxmlformats.org/officeDocument/2006/relationships" ref="Q463" display="https://www.sebi.gov.in/sebi_data/attachdocs/dec-2024/1733120168797.pdf" r:id="rId1267"/>
    <hyperlink xmlns:r="http://schemas.openxmlformats.org/officeDocument/2006/relationships" ref="R463" display="https://www.sebi.gov.in/filings/public-issues/dec-2024/sambhv-steel-tubes-limited-corrigendum-to-drhp_89172.html" r:id="rId1268"/>
    <hyperlink xmlns:r="http://schemas.openxmlformats.org/officeDocument/2006/relationships" ref="Q464" display="https://www.sebi.gov.in/sebi_data/attachdocs/nov-2024/1732605278167.pdf" r:id="rId1269"/>
    <hyperlink xmlns:r="http://schemas.openxmlformats.org/officeDocument/2006/relationships" ref="R464" display="https://www.sebi.gov.in/filings/public-issues/nov-2024/jaro-institute-of-technology-management-and-research-limited-addendum-cum-corrigendum-to-drhp_88770.html" r:id="rId1270"/>
    <hyperlink xmlns:r="http://schemas.openxmlformats.org/officeDocument/2006/relationships" ref="Q465" display="https://www.sebi.gov.in/sebi_data/attachdocs/nov-2024/1732534205066_587.pdf" r:id="rId1271"/>
    <hyperlink xmlns:r="http://schemas.openxmlformats.org/officeDocument/2006/relationships" ref="R465" display="https://www.sebi.gov.in/filings/public-issues/nov-2024/aegis-vopak-terminals-limited_88746.html" r:id="rId1272"/>
    <hyperlink xmlns:r="http://schemas.openxmlformats.org/officeDocument/2006/relationships" ref="Q466" display="https://www.sebi.gov.in/sebi_data/attachdocs/nov-2024/1732519804544_586.pdf" r:id="rId1273"/>
    <hyperlink xmlns:r="http://schemas.openxmlformats.org/officeDocument/2006/relationships" ref="R466" display="https://www.sebi.gov.in/filings/public-issues/nov-2024/saatvik-green-energy-limited_88728.html" r:id="rId1274"/>
    <hyperlink xmlns:r="http://schemas.openxmlformats.org/officeDocument/2006/relationships" ref="Q467" display="https://www.sebi.gov.in/sebi_data/attachdocs/nov-2024/1732275005817_584.pdf" r:id="rId1275"/>
    <hyperlink xmlns:r="http://schemas.openxmlformats.org/officeDocument/2006/relationships" ref="R467" display="https://www.sebi.gov.in/filings/public-issues/nov-2024/belrise-industries-limited_88690.html" r:id="rId1276"/>
    <hyperlink xmlns:r="http://schemas.openxmlformats.org/officeDocument/2006/relationships" ref="Q468" display="https://www.sebi.gov.in/sebi_data/attachdocs/nov-2024/1732186038798.pdf" r:id="rId1277"/>
    <hyperlink xmlns:r="http://schemas.openxmlformats.org/officeDocument/2006/relationships" ref="R468" display="https://www.sebi.gov.in/filings/public-issues/nov-2024/ciel-hr-services-limited-drhp_88653.html" r:id="rId1278"/>
    <hyperlink xmlns:r="http://schemas.openxmlformats.org/officeDocument/2006/relationships" ref="AB468" r:id="rId1279"/>
    <hyperlink xmlns:r="http://schemas.openxmlformats.org/officeDocument/2006/relationships" ref="Q469" display="https://www.sebi.gov.in/sebi_data/attachdocs/nov-2024/1732274929423.pdf" r:id="rId1280"/>
    <hyperlink xmlns:r="http://schemas.openxmlformats.org/officeDocument/2006/relationships" ref="R469" display="https://www.sebi.gov.in/filings/public-issues/nov-2024/crizac-limited-drhp_88688.html" r:id="rId1281"/>
    <hyperlink xmlns:r="http://schemas.openxmlformats.org/officeDocument/2006/relationships" ref="Q470" display="https://www.sebi.gov.in/sebi_data/attachdocs/nov-2024/1732015813217_580.pdf" r:id="rId1282"/>
    <hyperlink xmlns:r="http://schemas.openxmlformats.org/officeDocument/2006/relationships" ref="R470" display="https://www.sebi.gov.in/filings/public-issues/nov-2024/boranaweaveslimited_88608.html" r:id="rId1283"/>
    <hyperlink xmlns:r="http://schemas.openxmlformats.org/officeDocument/2006/relationships" ref="AB470" r:id="rId1284"/>
    <hyperlink xmlns:r="http://schemas.openxmlformats.org/officeDocument/2006/relationships" ref="Q471" display="https://www.sebi.gov.in/sebi_data/attachdocs/nov-2024/1731912116999.pdf" r:id="rId1285"/>
    <hyperlink xmlns:r="http://schemas.openxmlformats.org/officeDocument/2006/relationships" ref="R471" display="https://www.sebi.gov.in/filings/public-issues/nov-2024/arisinfra-solutions-limited-addendum-to-drhp_88526.html" r:id="rId1286"/>
    <hyperlink xmlns:r="http://schemas.openxmlformats.org/officeDocument/2006/relationships" ref="Q472" display="https://www.sebi.gov.in/sebi_data/attachdocs/nov-2024/1731396609603_578.pdf" r:id="rId1287"/>
    <hyperlink xmlns:r="http://schemas.openxmlformats.org/officeDocument/2006/relationships" ref="R472" display="https://www.sebi.gov.in/filings/public-issues/nov-2024/paramesu-biotech-limited_88375.html" r:id="rId1288"/>
    <hyperlink xmlns:r="http://schemas.openxmlformats.org/officeDocument/2006/relationships" ref="AB472" r:id="rId1289"/>
    <hyperlink xmlns:r="http://schemas.openxmlformats.org/officeDocument/2006/relationships" ref="Q473" display="https://www.sebi.gov.in/sebi_data/attachdocs/nov-2024/1731328477841.pdf" r:id="rId1290"/>
    <hyperlink xmlns:r="http://schemas.openxmlformats.org/officeDocument/2006/relationships" ref="R473" display="https://www.sebi.gov.in/filings/public-issues/nov-2024/indogulf-cropsciences-limited-corrigendum-to-drhp_88344.html" r:id="rId1291"/>
    <hyperlink xmlns:r="http://schemas.openxmlformats.org/officeDocument/2006/relationships" ref="Q474" display="https://www.sebi.gov.in/sebi_data/attachdocs/nov-2024/1730943005947_574.pdf" r:id="rId1292"/>
    <hyperlink xmlns:r="http://schemas.openxmlformats.org/officeDocument/2006/relationships" ref="R474" display="https://www.sebi.gov.in/filings/public-issues/nov-2024/brigade-hotel-ventures-limited_88270.html" r:id="rId1293"/>
    <hyperlink xmlns:r="http://schemas.openxmlformats.org/officeDocument/2006/relationships" ref="Q475" display="https://www.sebi.gov.in/sebi_data/attachdocs/nov-2024/1730791806554_562.pdf" r:id="rId1294"/>
    <hyperlink xmlns:r="http://schemas.openxmlformats.org/officeDocument/2006/relationships" ref="R475" display="https://www.sebi.gov.in/filings/public-issues/nov-2024/hdb-financial-services-limited_88226.html" r:id="rId1295"/>
    <hyperlink xmlns:r="http://schemas.openxmlformats.org/officeDocument/2006/relationships" ref="Q476" display="https://www.sebi.gov.in/sebi_data/attachdocs/nov-2024/1730797962025.PDF" r:id="rId1296"/>
    <hyperlink xmlns:r="http://schemas.openxmlformats.org/officeDocument/2006/relationships" ref="R476" display="https://www.sebi.gov.in/filings/public-issues/oct-2024/zinka-logistics-solutions-limited-addendum-to-the-drhp_88227.html" r:id="rId1297"/>
    <hyperlink xmlns:r="http://schemas.openxmlformats.org/officeDocument/2006/relationships" ref="Q477" display="https://www.sebi.gov.in/sebi_data/attachdocs/oct-2024/1729598563606.PDF" r:id="rId1298"/>
    <hyperlink xmlns:r="http://schemas.openxmlformats.org/officeDocument/2006/relationships" ref="R477" display="https://www.sebi.gov.in/filings/public-issues/oct-2024/smpp-limited-drhp_87861.html" r:id="rId1299"/>
    <hyperlink xmlns:r="http://schemas.openxmlformats.org/officeDocument/2006/relationships" ref="AB477" r:id="rId1300"/>
    <hyperlink xmlns:r="http://schemas.openxmlformats.org/officeDocument/2006/relationships" ref="Q478" display="https://www.sebi.gov.in/sebi_data/attachdocs/oct-2024/1729226055847.pdf" r:id="rId1301"/>
    <hyperlink xmlns:r="http://schemas.openxmlformats.org/officeDocument/2006/relationships" ref="R478" display="https://www.sebi.gov.in/filings/public-issues/oct-2024/vishal-mega-mart-limited-updated-draft-red-herring-prospectus-i_87742.html" r:id="rId1302"/>
    <hyperlink xmlns:r="http://schemas.openxmlformats.org/officeDocument/2006/relationships" ref="Q479" display="https://www.sebi.gov.in/sebi_data/attachdocs/oct-2024/1728977411006_557.pdf" r:id="rId1303"/>
    <hyperlink xmlns:r="http://schemas.openxmlformats.org/officeDocument/2006/relationships" ref="R479" display="https://www.sebi.gov.in/filings/public-issues/oct-2024/anlon-healthcare-limited_87538.html" r:id="rId1304"/>
    <hyperlink xmlns:r="http://schemas.openxmlformats.org/officeDocument/2006/relationships" ref="Q480" display="https://www.sebi.gov.in/sebi_data/attachdocs/oct-2024/1728465251938.pdf" r:id="rId1305"/>
    <hyperlink xmlns:r="http://schemas.openxmlformats.org/officeDocument/2006/relationships" ref="R480" display="https://www.sebi.gov.in/filings/public-issues/oct-2024/sagility-india-limited-corrigendum-to-drhp_87450.html" r:id="rId1306"/>
    <hyperlink xmlns:r="http://schemas.openxmlformats.org/officeDocument/2006/relationships" ref="Q481" display="https://www.sebi.gov.in/sebi_data/attachdocs/oct-2024/1728351004655_553.pdf" r:id="rId1307"/>
    <hyperlink xmlns:r="http://schemas.openxmlformats.org/officeDocument/2006/relationships" ref="R481" display="https://www.sebi.gov.in/filings/public-issues/oct-2024/dev-accelerator-limited_87400.html" r:id="rId1308"/>
    <hyperlink xmlns:r="http://schemas.openxmlformats.org/officeDocument/2006/relationships" ref="Q482" display="https://www.sebi.gov.in/sebi_data/attachdocs/oct-2024/1728285371308.pdf" r:id="rId1309"/>
    <hyperlink xmlns:r="http://schemas.openxmlformats.org/officeDocument/2006/relationships" ref="R482" display="https://www.sebi.gov.in/filings/public-issues/oct-2024/avanse-financial-services-limited-addendum-to-drhp_87374.html" r:id="rId1310"/>
    <hyperlink xmlns:r="http://schemas.openxmlformats.org/officeDocument/2006/relationships" ref="AB482" r:id="rId1311"/>
    <hyperlink xmlns:r="http://schemas.openxmlformats.org/officeDocument/2006/relationships" ref="Q483" display="https://www.sebi.gov.in/sebi_data/attachdocs/oct-2024/1728041405486_546.pdf" r:id="rId1312"/>
    <hyperlink xmlns:r="http://schemas.openxmlformats.org/officeDocument/2006/relationships" ref="R483" display="https://www.sebi.gov.in/filings/public-issues/oct-2024/viney-corporation-limited_87336.html" r:id="rId1313"/>
    <hyperlink xmlns:r="http://schemas.openxmlformats.org/officeDocument/2006/relationships" ref="AB483" r:id="rId1314"/>
    <hyperlink xmlns:r="http://schemas.openxmlformats.org/officeDocument/2006/relationships" ref="Q484" display="https://www.sebi.gov.in/sebi_data/attachdocs/oct-2024/1728027007106_545.pdf" r:id="rId1315"/>
    <hyperlink xmlns:r="http://schemas.openxmlformats.org/officeDocument/2006/relationships" ref="R484" display="https://www.sebi.gov.in/filings/public-issues/oct-2024/all-time-plastics-limited_87321.html" r:id="rId1316"/>
    <hyperlink xmlns:r="http://schemas.openxmlformats.org/officeDocument/2006/relationships" ref="Q485" display="https://www.sebi.gov.in/sebi_data/attachdocs/oct-2024/1728027007106_544.pdf" r:id="rId1317"/>
    <hyperlink xmlns:r="http://schemas.openxmlformats.org/officeDocument/2006/relationships" ref="R485" display="https://www.sebi.gov.in/filings/public-issues/oct-2024/ajax-engineering-limited_87319.html" r:id="rId1318"/>
    <hyperlink xmlns:r="http://schemas.openxmlformats.org/officeDocument/2006/relationships" ref="Q486" display="https://www.sebi.gov.in/sebi_data/attachdocs/oct-2024/1728027007106_543.pdf" r:id="rId1319"/>
    <hyperlink xmlns:r="http://schemas.openxmlformats.org/officeDocument/2006/relationships" ref="R486" display="https://www.sebi.gov.in/filings/public-issues/oct-2024/vikran-engineering-limited_87317.html" r:id="rId1320"/>
    <hyperlink xmlns:r="http://schemas.openxmlformats.org/officeDocument/2006/relationships" ref="Q487" display="https://www.sebi.gov.in/sebi_data/attachdocs/oct-2024/1728015990143.pdf" r:id="rId1321"/>
    <hyperlink xmlns:r="http://schemas.openxmlformats.org/officeDocument/2006/relationships" ref="R487" display="https://www.sebi.gov.in/filings/public-issues/oct-2024/niva-bupa-health-insurance-company-limited-drhp_87306.html" r:id="rId1322"/>
    <hyperlink xmlns:r="http://schemas.openxmlformats.org/officeDocument/2006/relationships" ref="Q488" display="https://www.sebi.gov.in/sebi_data/attachdocs/oct-2024/1727955078450_542.pdf" r:id="rId1323"/>
    <hyperlink xmlns:r="http://schemas.openxmlformats.org/officeDocument/2006/relationships" ref="R488" display="https://www.sebi.gov.in/filings/public-issues/oct-2024/jaro-institute-of-technology-management-and-research-limited_87300.html" r:id="rId1324"/>
    <hyperlink xmlns:r="http://schemas.openxmlformats.org/officeDocument/2006/relationships" ref="Q489" display="https://www.sebi.gov.in/sebi_data/attachdocs/oct-2024/1727955078450_541.pdf" r:id="rId1325"/>
    <hyperlink xmlns:r="http://schemas.openxmlformats.org/officeDocument/2006/relationships" ref="R489" display="https://www.sebi.gov.in/filings/public-issues/oct-2024/globe-civil-projects-limited_87298.html" r:id="rId1326"/>
    <hyperlink xmlns:r="http://schemas.openxmlformats.org/officeDocument/2006/relationships" ref="Q490" display="https://www.sebi.gov.in/sebi_data/attachdocs/oct-2024/1727955078450_540.pdf" r:id="rId1327"/>
    <hyperlink xmlns:r="http://schemas.openxmlformats.org/officeDocument/2006/relationships" ref="R490" display="https://www.sebi.gov.in/filings/public-issues/oct-2024/midwest-limited_87296.html" r:id="rId1328"/>
    <hyperlink xmlns:r="http://schemas.openxmlformats.org/officeDocument/2006/relationships" ref="Q491" display="https://www.sebi.gov.in/sebi_data/attachdocs/oct-2024/1727955078450_539.pdf" r:id="rId1329"/>
    <hyperlink xmlns:r="http://schemas.openxmlformats.org/officeDocument/2006/relationships" ref="R491" display="https://www.sebi.gov.in/filings/public-issues/oct-2024/prostarm-info-systems-limited_87294.html" r:id="rId1330"/>
    <hyperlink xmlns:r="http://schemas.openxmlformats.org/officeDocument/2006/relationships" ref="Q492" display="https://www.sebi.gov.in/sebi_data/attachdocs/oct-2024/1727955078450_537.pdf" r:id="rId1331"/>
    <hyperlink xmlns:r="http://schemas.openxmlformats.org/officeDocument/2006/relationships" ref="R492" display="https://www.sebi.gov.in/filings/public-issues/oct-2024/rahee-infratech-limited_87290.html" r:id="rId1332"/>
    <hyperlink xmlns:r="http://schemas.openxmlformats.org/officeDocument/2006/relationships" ref="AB492" r:id="rId1333"/>
    <hyperlink xmlns:r="http://schemas.openxmlformats.org/officeDocument/2006/relationships" ref="Q493" display="https://www.sebi.gov.in/sebi_data/attachdocs/oct-2024/1727955078450_538.pdf" r:id="rId1334"/>
    <hyperlink xmlns:r="http://schemas.openxmlformats.org/officeDocument/2006/relationships" ref="R493" display="https://www.sebi.gov.in/filings/public-issues/oct-2024/varindera-constructions-limited_87292.html" r:id="rId1335"/>
    <hyperlink xmlns:r="http://schemas.openxmlformats.org/officeDocument/2006/relationships" ref="AB493" r:id="rId1336"/>
    <hyperlink xmlns:r="http://schemas.openxmlformats.org/officeDocument/2006/relationships" ref="Q494" display="https://www.sebi.gov.in/sebi_data/attachdocs/oct-2024/1727955078450_536.pdf" r:id="rId1337"/>
    <hyperlink xmlns:r="http://schemas.openxmlformats.org/officeDocument/2006/relationships" ref="R494" display="https://www.sebi.gov.in/filings/public-issues/oct-2024/mouri-tech-limited_87288.html" r:id="rId1338"/>
    <hyperlink xmlns:r="http://schemas.openxmlformats.org/officeDocument/2006/relationships" ref="AB494" r:id="rId1339"/>
    <hyperlink xmlns:r="http://schemas.openxmlformats.org/officeDocument/2006/relationships" ref="Q495" display="https://www.sebi.gov.in/sebi_data/attachdocs/oct-2024/1727955078450_532.pdf" r:id="rId1340"/>
    <hyperlink xmlns:r="http://schemas.openxmlformats.org/officeDocument/2006/relationships" ref="R495" display="https://www.sebi.gov.in/filings/public-issues/oct-2024/aditya-infotech-limited_87280.html" r:id="rId1341"/>
    <hyperlink xmlns:r="http://schemas.openxmlformats.org/officeDocument/2006/relationships" ref="Q496" display="https://www.sebi.gov.in/sebi_data/attachdocs/oct-2024/1727955078450_533.pdf" r:id="rId1342"/>
    <hyperlink xmlns:r="http://schemas.openxmlformats.org/officeDocument/2006/relationships" ref="R496" display="https://www.sebi.gov.in/filings/public-issues/oct-2024/sambhv-steel-tubes-limited_87282.html" r:id="rId1343"/>
    <hyperlink xmlns:r="http://schemas.openxmlformats.org/officeDocument/2006/relationships" ref="Q497" display="https://www.sebi.gov.in/sebi_data/attachdocs/oct-2024/1727955078450_530.pdf" r:id="rId1344"/>
    <hyperlink xmlns:r="http://schemas.openxmlformats.org/officeDocument/2006/relationships" ref="R497" display="https://www.sebi.gov.in/filings/public-issues/oct-2024/indogulf-cropsciences-limited_87276.html" r:id="rId1345"/>
    <hyperlink xmlns:r="http://schemas.openxmlformats.org/officeDocument/2006/relationships" ref="Q498" display="https://www.sebi.gov.in/sebi_data/attachdocs/oct-2024/1727955078450_531.pdf" r:id="rId1346"/>
    <hyperlink xmlns:r="http://schemas.openxmlformats.org/officeDocument/2006/relationships" ref="R498" display="https://www.sebi.gov.in/filings/public-issues/oct-2024/vikram-solar-limited_87278.html" r:id="rId1347"/>
    <hyperlink xmlns:r="http://schemas.openxmlformats.org/officeDocument/2006/relationships" ref="Q499" display="https://www.sebi.gov.in/sebi_data/attachdocs/oct-2024/1727955078450_529.pdf" r:id="rId1348"/>
    <hyperlink xmlns:r="http://schemas.openxmlformats.org/officeDocument/2006/relationships" ref="R499" display="https://www.sebi.gov.in/filings/public-issues/oct-2024/vms-tmt-limited_87274.html" r:id="rId1349"/>
    <hyperlink xmlns:r="http://schemas.openxmlformats.org/officeDocument/2006/relationships" ref="Q500" display="https://www.sebi.gov.in/sebi_data/attachdocs/oct-2024/1727928892777.pdf" r:id="rId1350"/>
    <hyperlink xmlns:r="http://schemas.openxmlformats.org/officeDocument/2006/relationships" ref="R500" display="https://www.sebi.gov.in/filings/public-issues/oct-2024/kumar-arch-tech-limited-drhp_87225.html" r:id="rId1351"/>
    <hyperlink xmlns:r="http://schemas.openxmlformats.org/officeDocument/2006/relationships" ref="AB500" r:id="rId1352"/>
    <hyperlink xmlns:r="http://schemas.openxmlformats.org/officeDocument/2006/relationships" ref="Q501" display="https://www.sebi.gov.in/sebi_data/attachdocs/oct-2024/1727832657268_528.pdf" r:id="rId1353"/>
    <hyperlink xmlns:r="http://schemas.openxmlformats.org/officeDocument/2006/relationships" ref="R501" display="https://www.sebi.gov.in/filings/public-issues/oct-2024/scoda-tubes-limited_87223.html" r:id="rId1354"/>
    <hyperlink xmlns:r="http://schemas.openxmlformats.org/officeDocument/2006/relationships" ref="Q502" display="https://www.sebi.gov.in/sebi_data/attachdocs/oct-2024/1727832657268_525.pdf" r:id="rId1355"/>
    <hyperlink xmlns:r="http://schemas.openxmlformats.org/officeDocument/2006/relationships" ref="R502" display="https://www.sebi.gov.in/filings/public-issues/oct-2024/dr-agarwal-s-health-care-limited_87217.html" r:id="rId1356"/>
    <hyperlink xmlns:r="http://schemas.openxmlformats.org/officeDocument/2006/relationships" ref="Q503" display="https://www.sebi.gov.in/sebi_data/attachdocs/oct-2024/1727832657268_524.pdf" r:id="rId1357"/>
    <hyperlink xmlns:r="http://schemas.openxmlformats.org/officeDocument/2006/relationships" ref="R503" display="https://www.sebi.gov.in/filings/public-issues/oct-2024/solarworld-energy-solutions-limited_87215.html" r:id="rId1358"/>
    <hyperlink xmlns:r="http://schemas.openxmlformats.org/officeDocument/2006/relationships" ref="Q504" display="https://www.sebi.gov.in/sebi_data/attachdocs/oct-2024/1727832657268_523.pdf" r:id="rId1359"/>
    <hyperlink xmlns:r="http://schemas.openxmlformats.org/officeDocument/2006/relationships" ref="R504" display="https://www.sebi.gov.in/filings/public-issues/oct-2024/glottis-limited_87213.html" r:id="rId1360"/>
    <hyperlink xmlns:r="http://schemas.openxmlformats.org/officeDocument/2006/relationships" ref="Q505" display="https://www.sebi.gov.in/sebi_data/attachdocs/sep-2024/1727681408058_520.pdf" r:id="rId1361"/>
    <hyperlink xmlns:r="http://schemas.openxmlformats.org/officeDocument/2006/relationships" ref="R505" display="https://www.sebi.gov.in/filings/public-issues/sep-2024/amanta-healthcare-limited_87090.html" r:id="rId1362"/>
    <hyperlink xmlns:r="http://schemas.openxmlformats.org/officeDocument/2006/relationships" ref="Q506" display="https://www.sebi.gov.in/sebi_data/attachdocs/sep-2024/1727436605046_519.pdf" r:id="rId1363"/>
    <hyperlink xmlns:r="http://schemas.openxmlformats.org/officeDocument/2006/relationships" ref="R506" display="https://www.sebi.gov.in/filings/public-issues/sep-2024/highway-infrastructure-limited_87057.html" r:id="rId1364"/>
    <hyperlink xmlns:r="http://schemas.openxmlformats.org/officeDocument/2006/relationships" ref="Q507" display="https://www.sebi.gov.in/sebi_data/attachdocs/sep-2024/1727422205663_516.pdf" r:id="rId1365"/>
    <hyperlink xmlns:r="http://schemas.openxmlformats.org/officeDocument/2006/relationships" ref="R507" display="https://www.sebi.gov.in/filings/public-issues/sep-2024/m-and-b-engineering-limited_87048.html" r:id="rId1366"/>
    <hyperlink xmlns:r="http://schemas.openxmlformats.org/officeDocument/2006/relationships" ref="Q508" display="https://www.sebi.gov.in/sebi_data/attachdocs/sep-2024/1727416339523.pdf" r:id="rId1367"/>
    <hyperlink xmlns:r="http://schemas.openxmlformats.org/officeDocument/2006/relationships" ref="R508" display="https://www.sebi.gov.in/filings/public-issues/sep-2024/swiggy-limited-updated-drhp-i_87047.html" r:id="rId1368"/>
    <hyperlink xmlns:r="http://schemas.openxmlformats.org/officeDocument/2006/relationships" ref="Q509" display="https://www.sebi.gov.in/sebi_data/attachdocs/sep-2024/1727350212456_515.pdf" r:id="rId1369"/>
    <hyperlink xmlns:r="http://schemas.openxmlformats.org/officeDocument/2006/relationships" ref="R509" display="https://www.sebi.gov.in/filings/public-issues/sep-2024/glottis-limited_87019.html" r:id="rId1370"/>
    <hyperlink xmlns:r="http://schemas.openxmlformats.org/officeDocument/2006/relationships" ref="Q510" display="https://www.sebi.gov.in/sebi_data/attachdocs/sep-2024/1727163005636_513.pdf" r:id="rId1371"/>
    <hyperlink xmlns:r="http://schemas.openxmlformats.org/officeDocument/2006/relationships" ref="R510" display="https://www.sebi.gov.in/filings/public-issues/sep-2024/schloss-bangalore-limited_86948.html" r:id="rId1372"/>
    <hyperlink xmlns:r="http://schemas.openxmlformats.org/officeDocument/2006/relationships" ref="AB510" r:id="rId1373"/>
    <hyperlink xmlns:r="http://schemas.openxmlformats.org/officeDocument/2006/relationships" ref="Q511" display="https://www.sebi.gov.in/sebi_data/attachdocs/sep-2024/1727091006102_511.pdf" r:id="rId1374"/>
    <hyperlink xmlns:r="http://schemas.openxmlformats.org/officeDocument/2006/relationships" ref="R511" display="https://www.sebi.gov.in/filings/public-issues/sep-2024/casagrand-premier-builder-limited_86912.html" r:id="rId1375"/>
    <hyperlink xmlns:r="http://schemas.openxmlformats.org/officeDocument/2006/relationships" ref="AB511" r:id="rId1376"/>
    <hyperlink xmlns:r="http://schemas.openxmlformats.org/officeDocument/2006/relationships" ref="Q512" display="https://www.sebi.gov.in/sebi_data/attachdocs/sep-2024/1727076635928_509.pdf" r:id="rId1377"/>
    <hyperlink xmlns:r="http://schemas.openxmlformats.org/officeDocument/2006/relationships" ref="R512" display="https://www.sebi.gov.in/filings/public-issues/sep-2024/ellenbarrie-industrial-gases-limited_86902.html" r:id="rId1378"/>
    <hyperlink xmlns:r="http://schemas.openxmlformats.org/officeDocument/2006/relationships" ref="Q513" display="https://www.sebi.gov.in/sebi_data/attachdocs/sep-2024/1727076635928_506.pdf" r:id="rId1379"/>
    <hyperlink xmlns:r="http://schemas.openxmlformats.org/officeDocument/2006/relationships" ref="R513" display="https://www.sebi.gov.in/filings/public-issues/sep-2024/pmea-solar-tech-solutions-limited_86896.html" r:id="rId1380"/>
    <hyperlink xmlns:r="http://schemas.openxmlformats.org/officeDocument/2006/relationships" ref="AB513" r:id="rId1381"/>
    <hyperlink xmlns:r="http://schemas.openxmlformats.org/officeDocument/2006/relationships" ref="Q514" display="https://www.sebi.gov.in/sebi_data/attachdocs/sep-2024/1726831818736_504.pdf" r:id="rId1382"/>
    <hyperlink xmlns:r="http://schemas.openxmlformats.org/officeDocument/2006/relationships" ref="R514" display="https://www.sebi.gov.in/filings/public-issues/sep-2024/quality-power-electrical-equipments-limited_86877.html" r:id="rId1383"/>
    <hyperlink xmlns:r="http://schemas.openxmlformats.org/officeDocument/2006/relationships" ref="Q515" display="https://www.sebi.gov.in/sebi_data/attachdocs/sep-2024/1726831818736_503.pdf" r:id="rId1384"/>
    <hyperlink xmlns:r="http://schemas.openxmlformats.org/officeDocument/2006/relationships" ref="R515" display="https://www.sebi.gov.in/filings/public-issues/sep-2024/ntpc-green-energy-limited_86875.html" r:id="rId1385"/>
    <hyperlink xmlns:r="http://schemas.openxmlformats.org/officeDocument/2006/relationships" ref="Q516" display="https://www.sebi.gov.in/sebi_data/attachdocs/sep-2024/1726831818736_502.pdf" r:id="rId1386"/>
    <hyperlink xmlns:r="http://schemas.openxmlformats.org/officeDocument/2006/relationships" ref="R516" display="https://www.sebi.gov.in/filings/public-issues/sep-2024/oswal-pumps-limited_86873.html" r:id="rId1387"/>
    <hyperlink xmlns:r="http://schemas.openxmlformats.org/officeDocument/2006/relationships" ref="Q517" display="https://www.sebi.gov.in/sebi_data/attachdocs/sep-2024/1726795805717_500.pdf" r:id="rId1388"/>
    <hyperlink xmlns:r="http://schemas.openxmlformats.org/officeDocument/2006/relationships" ref="R517" display="https://www.sebi.gov.in/filings/public-issues/sep-2024/fabtech-technologies-limited_86808.html" r:id="rId1389"/>
    <hyperlink xmlns:r="http://schemas.openxmlformats.org/officeDocument/2006/relationships" ref="Q518" display="https://www.sebi.gov.in/sebi_data/attachdocs/sep-2024/1726795805717_501.pdf" r:id="rId1390"/>
    <hyperlink xmlns:r="http://schemas.openxmlformats.org/officeDocument/2006/relationships" ref="R518" display="https://www.sebi.gov.in/filings/public-issues/sep-2024/regreen-excel-epc-india-limited_86810.html" r:id="rId1391"/>
    <hyperlink xmlns:r="http://schemas.openxmlformats.org/officeDocument/2006/relationships" ref="AB518" r:id="rId1392"/>
    <hyperlink xmlns:r="http://schemas.openxmlformats.org/officeDocument/2006/relationships" ref="Q519" display="https://www.sebi.gov.in/sebi_data/attachdocs/sep-2024/1726731020171_499.pdf" r:id="rId1393"/>
    <hyperlink xmlns:r="http://schemas.openxmlformats.org/officeDocument/2006/relationships" ref="R519" display="https://www.sebi.gov.in/filings/public-issues/sep-2024/laxmi-dental-limited_86796.html" r:id="rId1394"/>
    <hyperlink xmlns:r="http://schemas.openxmlformats.org/officeDocument/2006/relationships" ref="Q520" display="https://www.sebi.gov.in/sebi_data/attachdocs/sep-2024/1726227537582.pdf" r:id="rId1395"/>
    <hyperlink xmlns:r="http://schemas.openxmlformats.org/officeDocument/2006/relationships" ref="R520" display="https://www.sebi.gov.in/filings/public-issues/sep-2024/hexaware-technologies-limited-drhp_86673.html" r:id="rId1396"/>
    <hyperlink xmlns:r="http://schemas.openxmlformats.org/officeDocument/2006/relationships" ref="Q521" display="https://www.sebi.gov.in/sebi_data/attachdocs/sep-2024/1726277408114_454.pdf" r:id="rId1397"/>
    <hyperlink xmlns:r="http://schemas.openxmlformats.org/officeDocument/2006/relationships" ref="R521" display="https://www.sebi.gov.in/filings/public-issues/sep-2024/ventive-hospitality-limited_86694.html" r:id="rId1398"/>
    <hyperlink xmlns:r="http://schemas.openxmlformats.org/officeDocument/2006/relationships" ref="Q522" display="https://www.sebi.gov.in/sebi_data/attachdocs/sep-2024/1726277408114_452.pdf" r:id="rId1399"/>
    <hyperlink xmlns:r="http://schemas.openxmlformats.org/officeDocument/2006/relationships" ref="R522" display="https://www.sebi.gov.in/filings/public-issues/sep-2024/hexaware-technologies-limited_86690.html" r:id="rId1400"/>
    <hyperlink xmlns:r="http://schemas.openxmlformats.org/officeDocument/2006/relationships" ref="Q523" display="https://www.sebi.gov.in/sebi_data/attachdocs/sep-2024/1726135446964.PDF" r:id="rId1401"/>
    <hyperlink xmlns:r="http://schemas.openxmlformats.org/officeDocument/2006/relationships" ref="R523" display="https://www.sebi.gov.in/filings/public-issues/sep-2024/bmw-ventures-limited-drhp_86603.html" r:id="rId1402"/>
    <hyperlink xmlns:r="http://schemas.openxmlformats.org/officeDocument/2006/relationships" ref="Q524" display="https://www.sebi.gov.in/sebi_data/attachdocs/sep-2024/1726054206064_451.pdf" r:id="rId1403"/>
    <hyperlink xmlns:r="http://schemas.openxmlformats.org/officeDocument/2006/relationships" ref="R524" display="https://www.sebi.gov.in/filings/public-issues/sep-2024/ather-energy-limited_86582.html" r:id="rId1404"/>
    <hyperlink xmlns:r="http://schemas.openxmlformats.org/officeDocument/2006/relationships" ref="Q525" display="https://www.sebi.gov.in/sebi_data/attachdocs/sep-2024/1725967808342_450.pdf" r:id="rId1405"/>
    <hyperlink xmlns:r="http://schemas.openxmlformats.org/officeDocument/2006/relationships" ref="R525" display="https://www.sebi.gov.in/filings/public-issues/sep-2024/ivalue-infosolutions-limited_86554.html" r:id="rId1406"/>
    <hyperlink xmlns:r="http://schemas.openxmlformats.org/officeDocument/2006/relationships" ref="Q526" display="https://www.sebi.gov.in/sebi_data/attachdocs/sep-2024/1725953407337_448.pdf" r:id="rId1407"/>
    <hyperlink xmlns:r="http://schemas.openxmlformats.org/officeDocument/2006/relationships" ref="R526" display="https://www.sebi.gov.in/filings/public-issues/sep-2024/dam-capital-advisors-limited_86541.html" r:id="rId1408"/>
    <hyperlink xmlns:r="http://schemas.openxmlformats.org/officeDocument/2006/relationships" ref="Q527" display="https://www.sebi.gov.in/sebi_data/attachdocs/sep-2024/1725528785359.pdf" r:id="rId1409"/>
    <hyperlink xmlns:r="http://schemas.openxmlformats.org/officeDocument/2006/relationships" ref="R527" display="https://www.sebi.gov.in/filings/public-issues/sep-2024/corrigendum-on-niva-bupa-health-insurance-company-limited_86464.html" r:id="rId1410"/>
    <hyperlink xmlns:r="http://schemas.openxmlformats.org/officeDocument/2006/relationships" ref="AB527" r:id="rId1411"/>
    <hyperlink xmlns:r="http://schemas.openxmlformats.org/officeDocument/2006/relationships" ref="Q528" display="https://www.sebi.gov.in/sebi_data/attachdocs/aug-2024/1725003011524_443.pdf" r:id="rId1412"/>
    <hyperlink xmlns:r="http://schemas.openxmlformats.org/officeDocument/2006/relationships" ref="R528" display="https://www.sebi.gov.in/filings/public-issues/aug-2024/concord-enviro-systems-limited_86346.html" r:id="rId1413"/>
    <hyperlink xmlns:r="http://schemas.openxmlformats.org/officeDocument/2006/relationships" ref="Q529" display="https://www.sebi.gov.in/sebi_data/attachdocs/aug-2024/1724844610206_440.pdf" r:id="rId1414"/>
    <hyperlink xmlns:r="http://schemas.openxmlformats.org/officeDocument/2006/relationships" ref="R529" display="https://www.sebi.gov.in/filings/public-issues/aug-2024/carraro-india-limited_86218.html" r:id="rId1415"/>
    <hyperlink xmlns:r="http://schemas.openxmlformats.org/officeDocument/2006/relationships" ref="Q530" display="https://www.sebi.gov.in/sebi_data/attachdocs/aug-2024/1724758229418_433.pdf" r:id="rId1416"/>
    <hyperlink xmlns:r="http://schemas.openxmlformats.org/officeDocument/2006/relationships" ref="R530" display="https://www.sebi.gov.in/filings/public-issues/aug-2024/international-gemmological-institute-india-limited_86157.html" r:id="rId1417"/>
    <hyperlink xmlns:r="http://schemas.openxmlformats.org/officeDocument/2006/relationships" ref="Q531" display="https://www.sebi.gov.in/sebi_data/attachdocs/aug-2024/1724670869826.pdf" r:id="rId1418"/>
    <hyperlink xmlns:r="http://schemas.openxmlformats.org/officeDocument/2006/relationships" ref="R531" display="https://www.sebi.gov.in/filings/public-issues/aug-2024/hero-motors-limited-drhp_86112.html" r:id="rId1419"/>
    <hyperlink xmlns:r="http://schemas.openxmlformats.org/officeDocument/2006/relationships" ref="AB531" r:id="rId1420"/>
    <hyperlink xmlns:r="http://schemas.openxmlformats.org/officeDocument/2006/relationships" ref="Q532" display="https://www.sebi.gov.in/sebi_data/attachdocs/aug-2024/1724398208705_427.pdf" r:id="rId1421"/>
    <hyperlink xmlns:r="http://schemas.openxmlformats.org/officeDocument/2006/relationships" ref="R532" display="https://www.sebi.gov.in/filings/public-issues/aug-2024/sanathan-textiles-limited_86063.html" r:id="rId1422"/>
    <hyperlink xmlns:r="http://schemas.openxmlformats.org/officeDocument/2006/relationships" ref="Q533" display="https://www.sebi.gov.in/sebi_data/attachdocs/aug-2024/1724326286102.PDF" r:id="rId1423"/>
    <hyperlink xmlns:r="http://schemas.openxmlformats.org/officeDocument/2006/relationships" ref="R533" display="https://www.sebi.gov.in/filings/public-issues/aug-2024/kalpataru-limited-drhp_86040.html" r:id="rId1424"/>
    <hyperlink xmlns:r="http://schemas.openxmlformats.org/officeDocument/2006/relationships" ref="Q534" display="https://www.sebi.gov.in/sebi_data/attachdocs/aug-2024/1724326207281_426.pdf" r:id="rId1425"/>
    <hyperlink xmlns:r="http://schemas.openxmlformats.org/officeDocument/2006/relationships" ref="R534" display="https://www.sebi.gov.in/filings/public-issues/aug-2024/manjushree-technopack-limited_86038.html" r:id="rId1426"/>
    <hyperlink xmlns:r="http://schemas.openxmlformats.org/officeDocument/2006/relationships" ref="AB534" r:id="rId1427"/>
    <hyperlink xmlns:r="http://schemas.openxmlformats.org/officeDocument/2006/relationships" ref="Q535" display="https://www.sebi.gov.in/sebi_data/attachdocs/aug-2024/1724290207324_424.pdf" r:id="rId1428"/>
    <hyperlink xmlns:r="http://schemas.openxmlformats.org/officeDocument/2006/relationships" ref="R535" display="https://www.sebi.gov.in/filings/public-issues/aug-2024/unimech-aerospace-and-manufacturing-limited_85994.html" r:id="rId1429"/>
    <hyperlink xmlns:r="http://schemas.openxmlformats.org/officeDocument/2006/relationships" ref="Q536" display="https://www.sebi.gov.in/sebi_data/attachdocs/aug-2024/1724225410045_422.pdf" r:id="rId1430"/>
    <hyperlink xmlns:r="http://schemas.openxmlformats.org/officeDocument/2006/relationships" ref="R536" display="https://www.sebi.gov.in/filings/public-issues/aug-2024/jsw-cement-limited_85982.html" r:id="rId1431"/>
    <hyperlink xmlns:r="http://schemas.openxmlformats.org/officeDocument/2006/relationships" ref="Q537" display="https://www.sebi.gov.in/sebi_data/attachdocs/aug-2024/1724225410045_421.pdf" r:id="rId1432"/>
    <hyperlink xmlns:r="http://schemas.openxmlformats.org/officeDocument/2006/relationships" ref="R537" display="https://www.sebi.gov.in/filings/public-issues/aug-2024/innovision-limited_85980.html" r:id="rId1433"/>
    <hyperlink xmlns:r="http://schemas.openxmlformats.org/officeDocument/2006/relationships" ref="Q538" display="https://www.sebi.gov.in/sebi_data/attachdocs/aug-2024/1724153409095_420.pdf" r:id="rId1434"/>
    <hyperlink xmlns:r="http://schemas.openxmlformats.org/officeDocument/2006/relationships" ref="R538" display="https://www.sebi.gov.in/filings/public-issues/aug-2024/trualt-bioenergy-limited_85963.html" r:id="rId1435"/>
    <hyperlink xmlns:r="http://schemas.openxmlformats.org/officeDocument/2006/relationships" ref="Q539" display="https://www.sebi.gov.in/sebi_data/attachdocs/aug-2024/1724067006923_419.pdf" r:id="rId1436"/>
    <hyperlink xmlns:r="http://schemas.openxmlformats.org/officeDocument/2006/relationships" ref="R539" display="https://www.sebi.gov.in/filings/public-issues/aug-2024/ecom-express-limited_85933.html" r:id="rId1437"/>
    <hyperlink xmlns:r="http://schemas.openxmlformats.org/officeDocument/2006/relationships" ref="AB539" r:id="rId1438"/>
    <hyperlink xmlns:r="http://schemas.openxmlformats.org/officeDocument/2006/relationships" ref="Q540" display="https://www.sebi.gov.in/sebi_data/attachdocs/aug-2024/1724052616977_417.pdf" r:id="rId1439"/>
    <hyperlink xmlns:r="http://schemas.openxmlformats.org/officeDocument/2006/relationships" ref="R540" display="https://www.sebi.gov.in/filings/public-issues/aug-2024/smartworks-coworking-spaces-limited_85838.html" r:id="rId1440"/>
    <hyperlink xmlns:r="http://schemas.openxmlformats.org/officeDocument/2006/relationships" ref="Q541" display="https://www.sebi.gov.in/sebi_data/attachdocs/aug-2024/1723635011579_398.pdf" r:id="rId1441"/>
    <hyperlink xmlns:r="http://schemas.openxmlformats.org/officeDocument/2006/relationships" ref="R541" display="https://www.sebi.gov.in/filings/public-issues/aug-2024/metalman-auto-limited_85671.html" r:id="rId1442"/>
    <hyperlink xmlns:r="http://schemas.openxmlformats.org/officeDocument/2006/relationships" ref="AB541" r:id="rId1443"/>
    <hyperlink xmlns:r="http://schemas.openxmlformats.org/officeDocument/2006/relationships" ref="Q542" display="https://www.sebi.gov.in/sebi_data/attachdocs/aug-2024/1723635011579_397.pdf" r:id="rId1444"/>
    <hyperlink xmlns:r="http://schemas.openxmlformats.org/officeDocument/2006/relationships" ref="R542" display="https://www.sebi.gov.in/filings/public-issues/aug-2024/inventurus-knowledge-solutions-limited_85669.html" r:id="rId1445"/>
    <hyperlink xmlns:r="http://schemas.openxmlformats.org/officeDocument/2006/relationships" ref="Q543" display="https://www.sebi.gov.in/sebi_data/attachdocs/aug-2024/1723620609645_396.pdf" r:id="rId1446"/>
    <hyperlink xmlns:r="http://schemas.openxmlformats.org/officeDocument/2006/relationships" ref="R543" display="https://www.sebi.gov.in/filings/public-issues/aug-2024/arisinfra-solutions-limited_85663.html" r:id="rId1447"/>
    <hyperlink xmlns:r="http://schemas.openxmlformats.org/officeDocument/2006/relationships" ref="Q544" display="https://www.sebi.gov.in/sebi_data/attachdocs/aug-2024/1722926461857.PDF" r:id="rId1448"/>
    <hyperlink xmlns:r="http://schemas.openxmlformats.org/officeDocument/2006/relationships" ref="R544" display="https://www.sebi.gov.in/filings/public-issues/aug-2024/quadrant-future-tek-limited-addendum-to-drhp_85495.html" r:id="rId1449"/>
    <hyperlink xmlns:r="http://schemas.openxmlformats.org/officeDocument/2006/relationships" ref="Q545" display="https://www.sebi.gov.in/sebi_data/attachdocs/aug-2024/1722843010781_395.pdf" r:id="rId1450"/>
    <hyperlink xmlns:r="http://schemas.openxmlformats.org/officeDocument/2006/relationships" ref="R545" display="https://www.sebi.gov.in/filings/public-issues/aug-2024/hero-fincorp-limited_85465.html" r:id="rId1451"/>
    <hyperlink xmlns:r="http://schemas.openxmlformats.org/officeDocument/2006/relationships" ref="AB545" r:id="rId1452"/>
    <hyperlink xmlns:r="http://schemas.openxmlformats.org/officeDocument/2006/relationships" ref="Q546" display="https://www.sebi.gov.in/sebi_data/attachdocs/aug-2024/1722843010781_394.pdf" r:id="rId1453"/>
    <hyperlink xmlns:r="http://schemas.openxmlformats.org/officeDocument/2006/relationships" ref="R546" display="https://www.sebi.gov.in/filings/public-issues/aug-2024/rubicon-research-limited_85463.html" r:id="rId1454"/>
    <hyperlink xmlns:r="http://schemas.openxmlformats.org/officeDocument/2006/relationships" ref="Q547" display="https://www.sebi.gov.in/sebi_data/attachdocs/aug-2024/1722838226776.pdf" r:id="rId1455"/>
    <hyperlink xmlns:r="http://schemas.openxmlformats.org/officeDocument/2006/relationships" ref="R547" display="https://www.sebi.gov.in/filings/public-issues/aug-2024/afcons-infrastructure-limited-addendum-to-drhp_85456.html" r:id="rId1456"/>
    <hyperlink xmlns:r="http://schemas.openxmlformats.org/officeDocument/2006/relationships" ref="Q548" display="https://www.sebi.gov.in/sebi_data/attachdocs/aug-2024/1722648607615_392.pdf" r:id="rId1457"/>
    <hyperlink xmlns:r="http://schemas.openxmlformats.org/officeDocument/2006/relationships" ref="R548" display="https://www.sebi.gov.in/filings/public-issues/aug-2024/paras-healthcare-limited_85419.html" r:id="rId1458"/>
    <hyperlink xmlns:r="http://schemas.openxmlformats.org/officeDocument/2006/relationships" ref="AB548" r:id="rId1459"/>
    <hyperlink xmlns:r="http://schemas.openxmlformats.org/officeDocument/2006/relationships" ref="Q549" display="https://www.sebi.gov.in/sebi_data/attachdocs/aug-2024/1722838642508.pdf" r:id="rId1460"/>
    <hyperlink xmlns:r="http://schemas.openxmlformats.org/officeDocument/2006/relationships" ref="R549" display="https://www.sebi.gov.in/filings/public-issues/jul-2024/avanse-financial-services-limited_85418.html" r:id="rId1461"/>
    <hyperlink xmlns:r="http://schemas.openxmlformats.org/officeDocument/2006/relationships" ref="AB549" r:id="rId1462"/>
    <hyperlink xmlns:r="http://schemas.openxmlformats.org/officeDocument/2006/relationships" ref="Q550" display="https://www.sebi.gov.in/sebi_data/attachdocs/jul-2024/1722425410997_386.pdf" r:id="rId1463"/>
    <hyperlink xmlns:r="http://schemas.openxmlformats.org/officeDocument/2006/relationships" ref="R550" display="https://www.sebi.gov.in/filings/public-issues/jul-2024/senores-pharmaceuticals-limited_85341.html" r:id="rId1464"/>
    <hyperlink xmlns:r="http://schemas.openxmlformats.org/officeDocument/2006/relationships" ref="Q551" display="https://www.sebi.gov.in/sebi_data/attachdocs/jul-2024/1722411009015_380.pdf" r:id="rId1465"/>
    <hyperlink xmlns:r="http://schemas.openxmlformats.org/officeDocument/2006/relationships" ref="R551" display="https://www.sebi.gov.in/filings/public-issues/jul-2024/suraksha-diagnostic-limited_85320.html" r:id="rId1466"/>
    <hyperlink xmlns:r="http://schemas.openxmlformats.org/officeDocument/2006/relationships" ref="Q552" display="https://www.sebi.gov.in/sebi_data/attachdocs/jul-2024/1722406830171.pdf" r:id="rId1467"/>
    <hyperlink xmlns:r="http://schemas.openxmlformats.org/officeDocument/2006/relationships" ref="R552" display="https://www.sebi.gov.in/filings/public-issues/jul-2024/sai-life-sciences-limited-drhp_85317.html" r:id="rId1468"/>
    <hyperlink xmlns:r="http://schemas.openxmlformats.org/officeDocument/2006/relationships" ref="Q553" display="https://www.sebi.gov.in/sebi_data/attachdocs/jul-2024/1722339011696_377.pdf" r:id="rId1469"/>
    <hyperlink xmlns:r="http://schemas.openxmlformats.org/officeDocument/2006/relationships" ref="R553" display="https://www.sebi.gov.in/filings/public-issues/jul-2024/standard-glass-lining-technology-limited_85281.html" r:id="rId1470"/>
    <hyperlink xmlns:r="http://schemas.openxmlformats.org/officeDocument/2006/relationships" ref="Q554" display="https://www.sebi.gov.in/sebi_data/attachdocs/jul-2024/1721179808702_366.pdf" r:id="rId1471"/>
    <hyperlink xmlns:r="http://schemas.openxmlformats.org/officeDocument/2006/relationships" ref="R554" display="https://www.sebi.gov.in/filings/public-issues/jul-2024/sai-life-sciences-limited_84804.html" r:id="rId1472"/>
    <hyperlink xmlns:r="http://schemas.openxmlformats.org/officeDocument/2006/relationships" ref="Q555" display="https://www.sebi.gov.in/sebi_data/attachdocs/jul-2024/1721107769405.pdf" r:id="rId1473"/>
    <hyperlink xmlns:r="http://schemas.openxmlformats.org/officeDocument/2006/relationships" ref="R555" display="https://www.sebi.gov.in/filings/public-issues/jul-2024/patel-retail-limited-addendum-to-drhp_84778.html" r:id="rId1474"/>
    <hyperlink xmlns:r="http://schemas.openxmlformats.org/officeDocument/2006/relationships" ref="Q556" display="https://www.sebi.gov.in/sebi_data/attachdocs/jul-2024/1720523479837.PDF" r:id="rId1475"/>
    <hyperlink xmlns:r="http://schemas.openxmlformats.org/officeDocument/2006/relationships" ref="R556" display="https://www.sebi.gov.in/filings/public-issues/jul-2024/bmw-ventures-limited-addendum-to-drhp_84674.html" r:id="rId1476"/>
    <hyperlink xmlns:r="http://schemas.openxmlformats.org/officeDocument/2006/relationships" ref="Q557" display="https://www.sebi.gov.in/sebi_data/attachdocs/jul-2024/1720438209970_359.pdf" r:id="rId1477"/>
    <hyperlink xmlns:r="http://schemas.openxmlformats.org/officeDocument/2006/relationships" ref="R557" display="https://www.sebi.gov.in/filings/public-issues/jul-2024/zinka-logistics-solutions-limited_84628.html" r:id="rId1478"/>
    <hyperlink xmlns:r="http://schemas.openxmlformats.org/officeDocument/2006/relationships" ref="Q558" display="https://www.sebi.gov.in/sebi_data/attachdocs/jul-2024/1720092608504_358.pdf" r:id="rId1479"/>
    <hyperlink xmlns:r="http://schemas.openxmlformats.org/officeDocument/2006/relationships" ref="R558" display="https://www.sebi.gov.in/filings/public-issues/jul-2024/acme-solar-holdings-limited_84595.html" r:id="rId1480"/>
    <hyperlink xmlns:r="http://schemas.openxmlformats.org/officeDocument/2006/relationships" ref="Q559" display="https://www.sebi.gov.in/sebi_data/attachdocs/jul-2024/1720078210393_357.pdf" r:id="rId1481"/>
    <hyperlink xmlns:r="http://schemas.openxmlformats.org/officeDocument/2006/relationships" ref="R559" display="https://www.sebi.gov.in/filings/public-issues/jul-2024/armee-infotech-limited_84584.html" r:id="rId1482"/>
    <hyperlink xmlns:r="http://schemas.openxmlformats.org/officeDocument/2006/relationships" ref="AB559" r:id="rId1483"/>
    <hyperlink xmlns:r="http://schemas.openxmlformats.org/officeDocument/2006/relationships" ref="Q560" display="https://www.sebi.gov.in/sebi_data/attachdocs/jul-2024/1720092539000.pdf" r:id="rId1484"/>
    <hyperlink xmlns:r="http://schemas.openxmlformats.org/officeDocument/2006/relationships" ref="R560" display="https://www.sebi.gov.in/filings/public-issues/jul-2024/transrail-lighting-limited-addendum-to-drhp_84593.html" r:id="rId1485"/>
    <hyperlink xmlns:r="http://schemas.openxmlformats.org/officeDocument/2006/relationships" ref="Q561" display="https://www.sebi.gov.in/sebi_data/attachdocs/jul-2024/1719991821965_356.pdf" r:id="rId1486"/>
    <hyperlink xmlns:r="http://schemas.openxmlformats.org/officeDocument/2006/relationships" ref="R561" display="https://www.sebi.gov.in/filings/public-issues/jul-2024/niva-bupa-health-insurance-company-limited_84557.html" r:id="rId1487"/>
    <hyperlink xmlns:r="http://schemas.openxmlformats.org/officeDocument/2006/relationships" ref="Q562" display="https://www.sebi.gov.in/sebi_data/attachdocs/jul-2024/1719991821965_355.pdf" r:id="rId1488"/>
    <hyperlink xmlns:r="http://schemas.openxmlformats.org/officeDocument/2006/relationships" ref="R562" display="https://www.sebi.gov.in/filings/public-issues/jul-2024/enviro-infra-engineers-limited_84555.html" r:id="rId1489"/>
    <hyperlink xmlns:r="http://schemas.openxmlformats.org/officeDocument/2006/relationships" ref="Q563" display="https://www.sebi.gov.in/sebi_data/attachdocs/jul-2024/1719919808817_352.pdf" r:id="rId1490"/>
    <hyperlink xmlns:r="http://schemas.openxmlformats.org/officeDocument/2006/relationships" ref="R563" display="https://www.sebi.gov.in/filings/public-issues/jul-2024/shivalik-engineering-industries-limited_84531.html" r:id="rId1491"/>
    <hyperlink xmlns:r="http://schemas.openxmlformats.org/officeDocument/2006/relationships" ref="AB563" r:id="rId1492"/>
    <hyperlink xmlns:r="http://schemas.openxmlformats.org/officeDocument/2006/relationships" ref="Q564" display="https://www.sebi.gov.in/sebi_data/attachdocs/jul-2024/1719905409805_351.pdf" r:id="rId1493"/>
    <hyperlink xmlns:r="http://schemas.openxmlformats.org/officeDocument/2006/relationships" ref="R564" display="https://www.sebi.gov.in/filings/public-issues/jul-2024/bmw-ventures-limited_84517.html" r:id="rId1494"/>
    <hyperlink xmlns:r="http://schemas.openxmlformats.org/officeDocument/2006/relationships" ref="Q565" display="https://www.sebi.gov.in/sebi_data/attachdocs/jul-2024/1719883808367_350.pdf" r:id="rId1495"/>
    <hyperlink xmlns:r="http://schemas.openxmlformats.org/officeDocument/2006/relationships" ref="R565" display="https://www.sebi.gov.in/filings/public-issues/jul-2024/sagility-india-limited_84513.html" r:id="rId1496"/>
    <hyperlink xmlns:r="http://schemas.openxmlformats.org/officeDocument/2006/relationships" ref="Q566" display="https://www.sebi.gov.in/sebi_data/attachdocs/jul-2024/1719833409129_349.pdf" r:id="rId1497"/>
    <hyperlink xmlns:r="http://schemas.openxmlformats.org/officeDocument/2006/relationships" ref="R566" display="https://www.sebi.gov.in/filings/public-issues/jul-2024/mamata-machinery-limited_84500.html" r:id="rId1498"/>
    <hyperlink xmlns:r="http://schemas.openxmlformats.org/officeDocument/2006/relationships" ref="Q567" display="https://www.sebi.gov.in/sebi_data/attachdocs/jun-2024/1718873279257.pdf" r:id="rId1499"/>
    <hyperlink xmlns:r="http://schemas.openxmlformats.org/officeDocument/2006/relationships" ref="R567" display="https://www.sebi.gov.in/filings/public-issues/jun-2024/bazaar-style-retail-limited-addendum-to-drhp_84307.html" r:id="rId1500"/>
    <hyperlink xmlns:r="http://schemas.openxmlformats.org/officeDocument/2006/relationships" ref="Q568" display="https://www.sebi.gov.in/sebi_data/attachdocs/jun-2024/1718702291792_334.pdf" r:id="rId1501"/>
    <hyperlink xmlns:r="http://schemas.openxmlformats.org/officeDocument/2006/relationships" ref="R568" display="https://www.sebi.gov.in/filings/public-issues/jun-2024/godavari-biorefineries-limited_84190.html" r:id="rId1502"/>
    <hyperlink xmlns:r="http://schemas.openxmlformats.org/officeDocument/2006/relationships" ref="Q569" display="https://www.sebi.gov.in/sebi_data/attachdocs/jun-2024/1718692993829.PDF" r:id="rId1503"/>
    <hyperlink xmlns:r="http://schemas.openxmlformats.org/officeDocument/2006/relationships" ref="R569" display="https://www.sebi.gov.in/filings/public-issues/jun-2024/hyundai-motor-india-limited-drhp_84186.html" r:id="rId1504"/>
    <hyperlink xmlns:r="http://schemas.openxmlformats.org/officeDocument/2006/relationships" ref="Q570" display="https://www.sebi.gov.in/sebi_data/attachdocs/jun-2024/1718362092516.pdf" r:id="rId1505"/>
    <hyperlink xmlns:r="http://schemas.openxmlformats.org/officeDocument/2006/relationships" ref="R570" display="https://www.sebi.gov.in/filings/public-issues/jun-2024/denta-water-and-infra-solutions-limited-addendum-to-drhp_84161.html" r:id="rId1506"/>
    <hyperlink xmlns:r="http://schemas.openxmlformats.org/officeDocument/2006/relationships" ref="Q571" display="https://www.sebi.gov.in/sebi_data/attachdocs/jun-2024/1718355674228.pdf" r:id="rId1507"/>
    <hyperlink xmlns:r="http://schemas.openxmlformats.org/officeDocument/2006/relationships" ref="R571" display="https://www.sebi.gov.in/filings/public-issues/jun-2024/ecos-india-mobility-and-hospitality-limited-addendum-to-the-drhp_84158.html" r:id="rId1508"/>
    <hyperlink xmlns:r="http://schemas.openxmlformats.org/officeDocument/2006/relationships" ref="Q572" display="https://www.sebi.gov.in/sebi_data/attachdocs/jun-2024/1718346025028.pdf" r:id="rId1509"/>
    <hyperlink xmlns:r="http://schemas.openxmlformats.org/officeDocument/2006/relationships" ref="R572" display="https://www.sebi.gov.in/filings/public-issues/jun-2024/bajaj-housing-finance-limited-drhp_84125.html" r:id="rId1510"/>
    <hyperlink xmlns:r="http://schemas.openxmlformats.org/officeDocument/2006/relationships" ref="Q573" display="https://www.sebi.gov.in/sebi_data/attachdocs/jun-2024/1718191808973_297.pdf" r:id="rId1511"/>
    <hyperlink xmlns:r="http://schemas.openxmlformats.org/officeDocument/2006/relationships" ref="R573" display="https://www.sebi.gov.in/filings/public-issues/jun-2024/quadrant-future-tek-limited_84099.html" r:id="rId1512"/>
    <hyperlink xmlns:r="http://schemas.openxmlformats.org/officeDocument/2006/relationships" ref="Q574" display="https://www.sebi.gov.in/sebi_data/attachdocs/jun-2024/1718021907406.pdf" r:id="rId1513"/>
    <hyperlink xmlns:r="http://schemas.openxmlformats.org/officeDocument/2006/relationships" ref="R574" display="https://www.sebi.gov.in/filings/public-issues/jun-2024/deepak-builders-and-engineers-india-limited-addendum-to-drhp_84062.html" r:id="rId1514"/>
    <hyperlink xmlns:r="http://schemas.openxmlformats.org/officeDocument/2006/relationships" ref="Q575" display="https://www.sebi.gov.in/sebi_data/attachdocs/jun-2024/1717738109883.pdf" r:id="rId1515"/>
    <hyperlink xmlns:r="http://schemas.openxmlformats.org/officeDocument/2006/relationships" ref="R575" display="https://www.sebi.gov.in/filings/public-issues/jun-2024/akums-drugs-and-pharmaceuticals-limited-corrigendum-cum-addendum-to-drhp_84012.html" r:id="rId1516"/>
    <hyperlink xmlns:r="http://schemas.openxmlformats.org/officeDocument/2006/relationships" ref="Q576" display="https://www.sebi.gov.in/sebi_data/attachdocs/jun-2024/1717577366448.pdf" r:id="rId1517"/>
    <hyperlink xmlns:r="http://schemas.openxmlformats.org/officeDocument/2006/relationships" ref="R576" display="https://www.sebi.gov.in/filings/public-issues/jun-2024/akums-drugs-and-pharmaceuticals-limited-addendum-to-drhp_83924.html" r:id="rId1518"/>
    <hyperlink xmlns:r="http://schemas.openxmlformats.org/officeDocument/2006/relationships" ref="Q577" display="https://www.sebi.gov.in/sebi_data/attachdocs/jun-2024/1717583869848.PDF" r:id="rId1519"/>
    <hyperlink xmlns:r="http://schemas.openxmlformats.org/officeDocument/2006/relationships" ref="R577" display="https://www.sebi.gov.in/filings/public-issues/jun-2024/garuda-construction-and-engineering-limited-drhp_83911.html" r:id="rId1520"/>
    <hyperlink xmlns:r="http://schemas.openxmlformats.org/officeDocument/2006/relationships" ref="Q578" display="https://www.sebi.gov.in/sebi_data/attachdocs/jun-2024/1717999771433.pdf" r:id="rId1521"/>
    <hyperlink xmlns:r="http://schemas.openxmlformats.org/officeDocument/2006/relationships" ref="R578" display="https://www.sebi.gov.in/filings/public-issues/jun-2024/unicommerce-esolutions-limited-addendum-to-the-drhp_84037.html" r:id="rId1522"/>
    <hyperlink xmlns:r="http://schemas.openxmlformats.org/officeDocument/2006/relationships" ref="Q579" display="https://www.sebi.gov.in/sebi_data/attachdocs/may-2024/1715599809307_237.pdf" r:id="rId1523"/>
    <hyperlink xmlns:r="http://schemas.openxmlformats.org/officeDocument/2006/relationships" ref="R579" display="https://www.sebi.gov.in/filings/public-issues/may-2024/sk-finance-limited_83326.html" r:id="rId1524"/>
    <hyperlink xmlns:r="http://schemas.openxmlformats.org/officeDocument/2006/relationships" ref="AB579" r:id="rId1525"/>
    <hyperlink xmlns:r="http://schemas.openxmlformats.org/officeDocument/2006/relationships" ref="Q580" display="https://www.sebi.gov.in/sebi_data/attachdocs/may-2024/1715336659871.pdf" r:id="rId1526"/>
    <hyperlink xmlns:r="http://schemas.openxmlformats.org/officeDocument/2006/relationships" ref="R580" display="https://www.sebi.gov.in/filings/public-issues/may-2024/belstar-microfinance-limited-drhp_83303.html" r:id="rId1527"/>
    <hyperlink xmlns:r="http://schemas.openxmlformats.org/officeDocument/2006/relationships" ref="AB580" r:id="rId1528"/>
    <hyperlink xmlns:r="http://schemas.openxmlformats.org/officeDocument/2006/relationships" ref="Q581" display="https://www.sebi.gov.in/sebi_data/attachdocs/may-2024/1714975180552.pdf" r:id="rId1529"/>
    <hyperlink xmlns:r="http://schemas.openxmlformats.org/officeDocument/2006/relationships" ref="R581" display="https://www.sebi.gov.in/filings/public-issues/may-2024/brainbees-solutions-limited-drhp_83166.html" r:id="rId1530"/>
    <hyperlink xmlns:r="http://schemas.openxmlformats.org/officeDocument/2006/relationships" ref="Q582" display="https://www.sebi.gov.in/sebi_data/attachdocs/may-2024/1714644769495.pdf" r:id="rId1531"/>
    <hyperlink xmlns:r="http://schemas.openxmlformats.org/officeDocument/2006/relationships" ref="R582" display="https://www.sebi.gov.in/filings/public-issues/may-2024/northern-arc-capital-limited-addendum-to-drhp_83136.html" r:id="rId1532"/>
    <hyperlink xmlns:r="http://schemas.openxmlformats.org/officeDocument/2006/relationships" ref="Q583" display="https://www.sebi.gov.in/sebi_data/attachdocs/apr-2024/1714390276512.pdf" r:id="rId1533"/>
    <hyperlink xmlns:r="http://schemas.openxmlformats.org/officeDocument/2006/relationships" ref="R583" display="https://www.sebi.gov.in/filings/public-issues/apr-2024/diffusion-engineers-limited-drhp_83088.html" r:id="rId1534"/>
    <hyperlink xmlns:r="http://schemas.openxmlformats.org/officeDocument/2006/relationships" ref="Q584" display="https://www.sebi.gov.in/sebi_data/attachdocs/apr-2024/1713869462252.pdf" r:id="rId1535"/>
    <hyperlink xmlns:r="http://schemas.openxmlformats.org/officeDocument/2006/relationships" ref="R584" display="https://www.sebi.gov.in/filings/public-issues/apr-2024/premier-energies-limited-drhp_82967.html" r:id="rId1536"/>
    <hyperlink xmlns:r="http://schemas.openxmlformats.org/officeDocument/2006/relationships" ref="Q585" display="https://www.sebi.gov.in/sebi_data/attachdocs/apr-2024/1713785406107_229.pdf" r:id="rId1537"/>
    <hyperlink xmlns:r="http://schemas.openxmlformats.org/officeDocument/2006/relationships" ref="R585" display="https://www.sebi.gov.in/filings/public-issues/apr-2024/sanathan-textiles-limited_82952.html" r:id="rId1538"/>
    <hyperlink xmlns:r="http://schemas.openxmlformats.org/officeDocument/2006/relationships" ref="Q586" display="https://www.sebi.gov.in/sebi_data/attachdocs/apr-2024/1713166205195_228.pdf" r:id="rId1539"/>
    <hyperlink xmlns:r="http://schemas.openxmlformats.org/officeDocument/2006/relationships" ref="R586" display="https://www.sebi.gov.in/filings/public-issues/apr-2024/deepak-builders-and-engineers-india-limited_82895.html" r:id="rId1540"/>
    <hyperlink xmlns:r="http://schemas.openxmlformats.org/officeDocument/2006/relationships" ref="Q587" display="https://www.sebi.gov.in/sebi_data/attachdocs/apr-2024/1712553177770.PDF" r:id="rId1541"/>
    <hyperlink xmlns:r="http://schemas.openxmlformats.org/officeDocument/2006/relationships" ref="R587" display="https://www.sebi.gov.in/filings/public-issues/apr-2024/tolin-tyres-limited-addendum-to-drhp_82798.html" r:id="rId1542"/>
    <hyperlink xmlns:r="http://schemas.openxmlformats.org/officeDocument/2006/relationships" ref="Q588" display="https://www.sebi.gov.in/sebi_data/attachdocs/apr-2024/1712295033208.pdf" r:id="rId1543"/>
    <hyperlink xmlns:r="http://schemas.openxmlformats.org/officeDocument/2006/relationships" ref="R588" display="https://www.sebi.gov.in/filings/public-issues/apr-2024/crizac-limited-drhp_82767.html" r:id="rId1544"/>
    <hyperlink xmlns:r="http://schemas.openxmlformats.org/officeDocument/2006/relationships" ref="Q589" display="https://www.sebi.gov.in/sebi_data/attachdocs/apr-2024/1712226750087.pdf" r:id="rId1545"/>
    <hyperlink xmlns:r="http://schemas.openxmlformats.org/officeDocument/2006/relationships" ref="R589" display="https://www.sebi.gov.in/filings/public-issues/apr-2024/patel-retail-limited-drhp_82710.html" r:id="rId1546"/>
    <hyperlink xmlns:r="http://schemas.openxmlformats.org/officeDocument/2006/relationships" ref="Q590" display="https://www.sebi.gov.in/sebi_data/attachdocs/apr-2024/1712207965090.pdf" r:id="rId1547"/>
    <hyperlink xmlns:r="http://schemas.openxmlformats.org/officeDocument/2006/relationships" ref="R590" display="https://www.sebi.gov.in/filings/public-issues/apr-2024/manba-finance-limited-addendum-to-drhp_82692.html" r:id="rId1548"/>
    <hyperlink xmlns:r="http://schemas.openxmlformats.org/officeDocument/2006/relationships" ref="Q591" display="https://www.sebi.gov.in/sebi_data/attachdocs/apr-2024/1712206879122.PDF" r:id="rId1549"/>
    <hyperlink xmlns:r="http://schemas.openxmlformats.org/officeDocument/2006/relationships" ref="R591" display="https://www.sebi.gov.in/filings/public-issues/apr-2024/raghuvir-exim-limited-drhp_82687.html" r:id="rId1550"/>
    <hyperlink xmlns:r="http://schemas.openxmlformats.org/officeDocument/2006/relationships" ref="AB591" r:id="rId1551"/>
    <hyperlink xmlns:r="http://schemas.openxmlformats.org/officeDocument/2006/relationships" ref="Q592" display="https://www.sebi.gov.in/sebi_data/attachdocs/apr-2024/1712194206944_209.pdf" r:id="rId1552"/>
    <hyperlink xmlns:r="http://schemas.openxmlformats.org/officeDocument/2006/relationships" ref="R592" display="https://www.sebi.gov.in/filings/public-issues/apr-2024/patel-retail-limited_82685.html" r:id="rId1553"/>
    <hyperlink xmlns:r="http://schemas.openxmlformats.org/officeDocument/2006/relationships" ref="Q593" display="https://www.sebi.gov.in/sebi_data/attachdocs/apr-2024/1712107807123_207.pdf" r:id="rId1554"/>
    <hyperlink xmlns:r="http://schemas.openxmlformats.org/officeDocument/2006/relationships" ref="R593" display="https://www.sebi.gov.in/filings/public-issues/apr-2024/vasuki-global-industries-limited_82658.html" r:id="rId1555"/>
    <hyperlink xmlns:r="http://schemas.openxmlformats.org/officeDocument/2006/relationships" ref="AB593" r:id="rId1556"/>
    <hyperlink xmlns:r="http://schemas.openxmlformats.org/officeDocument/2006/relationships" ref="Q594" display="https://www.sebi.gov.in/sebi_data/attachdocs/apr-2024/1712054083975.pdf" r:id="rId1557"/>
    <hyperlink xmlns:r="http://schemas.openxmlformats.org/officeDocument/2006/relationships" ref="R594" display="https://www.sebi.gov.in/filings/public-issues/apr-2024/ecos-india-mobility-and-hospitality-limited-drhp_82651.html" r:id="rId1558"/>
    <hyperlink xmlns:r="http://schemas.openxmlformats.org/officeDocument/2006/relationships" ref="Q595" display="https://www.sebi.gov.in/sebi_data/attachdocs/apr-2024/1712040582074.pdf" r:id="rId1559"/>
    <hyperlink xmlns:r="http://schemas.openxmlformats.org/officeDocument/2006/relationships" ref="R595" display="https://www.sebi.gov.in/filings/public-issues/apr-2024/afcons-infrastructure-limited_13596.html" r:id="rId1560"/>
    <hyperlink xmlns:r="http://schemas.openxmlformats.org/officeDocument/2006/relationships" ref="Q596" display="https://www.sebi.gov.in/sebi_data/attachdocs/apr-2024/1712123948559.PDF" r:id="rId1561"/>
    <hyperlink xmlns:r="http://schemas.openxmlformats.org/officeDocument/2006/relationships" ref="R596" display="https://www.sebi.gov.in/filings/public-issues/apr-2024/krn-heat-exchanger-and-refrigeration-limited-drhp_82668.html" r:id="rId1562"/>
    <hyperlink xmlns:r="http://schemas.openxmlformats.org/officeDocument/2006/relationships" ref="Q597" display="https://www.sebi.gov.in/sebi_data/attachdocs/mar-2024/1711629761734.pdf" r:id="rId1563"/>
    <hyperlink xmlns:r="http://schemas.openxmlformats.org/officeDocument/2006/relationships" ref="R597" display="https://www.sebi.gov.in/filings/public-issues/mar-2024/p-n-gadgil-jewellers-limited-drhp_82611.html" r:id="rId1564"/>
    <hyperlink xmlns:r="http://schemas.openxmlformats.org/officeDocument/2006/relationships" ref="Q598" display="https://www.sebi.gov.in/sebi_data/attachdocs/mar-2024/1711110860246.pdf" r:id="rId1565"/>
    <hyperlink xmlns:r="http://schemas.openxmlformats.org/officeDocument/2006/relationships" ref="R598" display="https://www.sebi.gov.in/filings/public-issues/mar-2024/shree-tirupati-balajee-agro-trading-company-limited-drhp_82507.html" r:id="rId1566"/>
    <hyperlink xmlns:r="http://schemas.openxmlformats.org/officeDocument/2006/relationships" ref="Q599" display="https://www.sebi.gov.in/sebi_data/attachdocs/mar-2024/1711110791647.pdf" r:id="rId1567"/>
    <hyperlink xmlns:r="http://schemas.openxmlformats.org/officeDocument/2006/relationships" ref="R599" display="https://www.sebi.gov.in/filings/public-issues/mar-2024/stallion-india-fluorochemicals-limited-drhp_82505.html" r:id="rId1568"/>
    <hyperlink xmlns:r="http://schemas.openxmlformats.org/officeDocument/2006/relationships" ref="Q600" display="https://www.sebi.gov.in/sebi_data/attachdocs/mar-2024/1711009103030.pdf" r:id="rId1569"/>
    <hyperlink xmlns:r="http://schemas.openxmlformats.org/officeDocument/2006/relationships" ref="R600" display="https://www.sebi.gov.in/filings/public-issues/mar-2024/interarch-building-products-limited-drhp_82452.html" r:id="rId1570"/>
    <hyperlink xmlns:r="http://schemas.openxmlformats.org/officeDocument/2006/relationships" ref="Q601" display="https://www.sebi.gov.in/sebi_data/attachdocs/mar-2024/1710917059066.pdf" r:id="rId1571"/>
    <hyperlink xmlns:r="http://schemas.openxmlformats.org/officeDocument/2006/relationships" ref="R601" display="https://www.sebi.gov.in/filings/public-issues/mar-2024/emcure-pharmaceuticals-limited-addendum-to-drhp_82408.html" r:id="rId1572"/>
    <hyperlink xmlns:r="http://schemas.openxmlformats.org/officeDocument/2006/relationships" ref="Q602" display="https://www.sebi.gov.in/sebi_data/attachdocs/mar-2024/1710765640937.pdf" r:id="rId1573"/>
    <hyperlink xmlns:r="http://schemas.openxmlformats.org/officeDocument/2006/relationships" ref="R602" display="https://www.sebi.gov.in/filings/public-issues/mar-2024/bazaar-style-retail-limited-drhp_82327.html" r:id="rId1574"/>
    <hyperlink xmlns:r="http://schemas.openxmlformats.org/officeDocument/2006/relationships" ref="Q603" display="https://www.sebi.gov.in/sebi_data/attachdocs/mar-2024/1710415806214_206.pdf" r:id="rId1575"/>
    <hyperlink xmlns:r="http://schemas.openxmlformats.org/officeDocument/2006/relationships" ref="R603" display="https://www.sebi.gov.in/filings/public-issues/mar-2024/transrail-lighting-limited_82266.html" r:id="rId1576"/>
    <hyperlink xmlns:r="http://schemas.openxmlformats.org/officeDocument/2006/relationships" ref="Q604" display="https://www.sebi.gov.in/sebi_data/attachdocs/mar-2024/1710415806214_205.pdf" r:id="rId1577"/>
    <hyperlink xmlns:r="http://schemas.openxmlformats.org/officeDocument/2006/relationships" ref="R604" display="https://www.sebi.gov.in/filings/public-issues/mar-2024/manba-finance-limited_82264.html" r:id="rId1578"/>
    <hyperlink xmlns:r="http://schemas.openxmlformats.org/officeDocument/2006/relationships" ref="Q605" display="https://www.sebi.gov.in/sebi_data/attachdocs/mar-2024/1709723234653.pdf" r:id="rId1579"/>
    <hyperlink xmlns:r="http://schemas.openxmlformats.org/officeDocument/2006/relationships" ref="R605" display="https://www.sebi.gov.in/filings/public-issues/mar-2024/ceigall-india-limited-drhp_82078.html" r:id="rId1580"/>
    <hyperlink xmlns:r="http://schemas.openxmlformats.org/officeDocument/2006/relationships" ref="Q606" display="https://www.sebi.gov.in/sebi_data/attachdocs/mar-2024/1709533403242.pdf" r:id="rId1581"/>
    <hyperlink xmlns:r="http://schemas.openxmlformats.org/officeDocument/2006/relationships" ref="R606" display="https://www.sebi.gov.in/filings/public-issues/mar-2024/vraj-iron-and-steel-limited-addendum-to-drhp_81942.html" r:id="rId1582"/>
    <hyperlink xmlns:r="http://schemas.openxmlformats.org/officeDocument/2006/relationships" ref="Q607" display="https://www.sebi.gov.in/sebi_data/attachdocs/feb-2024/1709007185760.pdf" r:id="rId1583"/>
    <hyperlink xmlns:r="http://schemas.openxmlformats.org/officeDocument/2006/relationships" ref="R607" display="https://www.sebi.gov.in/filings/public-issues/feb-2024/orient-technologies-limited-drhp_81751.html" r:id="rId1584"/>
    <hyperlink xmlns:r="http://schemas.openxmlformats.org/officeDocument/2006/relationships" ref="Q608" display="https://www.sebi.gov.in/sebi_data/attachdocs/feb-2024/1709209961840.pdf" r:id="rId1585"/>
    <hyperlink xmlns:r="http://schemas.openxmlformats.org/officeDocument/2006/relationships" ref="R608" display="https://www.sebi.gov.in/filings/public-issues/feb-2024/garuda-construction-and-engineering-limited-drhp_81845.html" r:id="rId1586"/>
    <hyperlink xmlns:r="http://schemas.openxmlformats.org/officeDocument/2006/relationships" ref="Q609" display="https://www.sebi.gov.in/sebi_data/attachdocs/feb-2024/1708947007287_198.pdf" r:id="rId1587"/>
    <hyperlink xmlns:r="http://schemas.openxmlformats.org/officeDocument/2006/relationships" ref="R609" display="https://www.sebi.gov.in/filings/public-issues/feb-2024/tolins-tyres-limited_81736.html" r:id="rId1588"/>
    <hyperlink xmlns:r="http://schemas.openxmlformats.org/officeDocument/2006/relationships" ref="Q610" display="https://www.sebi.gov.in/sebi_data/attachdocs/feb-2024/1708491659035.pdf" r:id="rId1589"/>
    <hyperlink xmlns:r="http://schemas.openxmlformats.org/officeDocument/2006/relationships" ref="R610" display="https://www.sebi.gov.in/filings/public-issues/feb-2024/gala-precision-engineering-limited-drhp_81588.html" r:id="rId1590"/>
    <hyperlink xmlns:r="http://schemas.openxmlformats.org/officeDocument/2006/relationships" ref="Q611" display="https://www.sebi.gov.in/sebi_data/attachdocs/feb-2024/1708425327186.PDF" r:id="rId1591"/>
    <hyperlink xmlns:r="http://schemas.openxmlformats.org/officeDocument/2006/relationships" ref="R611" display="https://www.sebi.gov.in/filings/public-issues/feb-2024/tbo-tek-ltd-addendum-to-drhp_81568.html" r:id="rId1592"/>
    <hyperlink xmlns:r="http://schemas.openxmlformats.org/officeDocument/2006/relationships" ref="Q612" display="https://www.sebi.gov.in/sebi_data/attachdocs/feb-2024/1708409708577.pdf" r:id="rId1593"/>
    <hyperlink xmlns:r="http://schemas.openxmlformats.org/officeDocument/2006/relationships" ref="R612" display="https://www.sebi.gov.in/filings/public-issues/feb-2024/asirvad-micro-finance-limited-addendum-to-the-drhp_81506.html" r:id="rId1594"/>
    <hyperlink xmlns:r="http://schemas.openxmlformats.org/officeDocument/2006/relationships" ref="AB612" r:id="rId1595"/>
    <hyperlink xmlns:r="http://schemas.openxmlformats.org/officeDocument/2006/relationships" ref="Q613" display="https://www.sebi.gov.in/sebi_data/attachdocs/feb-2024/1707994184221.pdf" r:id="rId1596"/>
    <hyperlink xmlns:r="http://schemas.openxmlformats.org/officeDocument/2006/relationships" ref="R613" display="https://www.sebi.gov.in/filings/public-issues/feb-2024/le-travenues-technology-limited-drhp_81469.html" r:id="rId1597"/>
    <hyperlink xmlns:r="http://schemas.openxmlformats.org/officeDocument/2006/relationships" ref="Q614" display="https://www.sebi.gov.in/sebi_data/attachdocs/feb-2024/1707813802003.pdf" r:id="rId1598"/>
    <hyperlink xmlns:r="http://schemas.openxmlformats.org/officeDocument/2006/relationships" ref="R614" display="https://www.sebi.gov.in/filings/public-issues/feb-2024/akums-drugs-and-pharmaceuticals-limited-drhp_81356.html" r:id="rId1599"/>
    <hyperlink xmlns:r="http://schemas.openxmlformats.org/officeDocument/2006/relationships" ref="Q615" display="https://www.sebi.gov.in/sebi_data/attachdocs/feb-2024/1707737247215.pdf" r:id="rId1600"/>
    <hyperlink xmlns:r="http://schemas.openxmlformats.org/officeDocument/2006/relationships" ref="R615" display="https://www.sebi.gov.in/filings/public-issues/feb-2024/gold-plus-glass-industry-limited-drhp_81338.html" r:id="rId1601"/>
    <hyperlink xmlns:r="http://schemas.openxmlformats.org/officeDocument/2006/relationships" ref="AB615" r:id="rId1602"/>
    <hyperlink xmlns:r="http://schemas.openxmlformats.org/officeDocument/2006/relationships" ref="Q616" display="https://www.sebi.gov.in/sebi_data/attachdocs/feb-2024/1707308536149.pdf" r:id="rId1603"/>
    <hyperlink xmlns:r="http://schemas.openxmlformats.org/officeDocument/2006/relationships" ref="R616" display="https://www.sebi.gov.in/filings/public-issues/feb-2024/aadhar-housing-finance-limited-drhp_81209.html" r:id="rId1604"/>
    <hyperlink xmlns:r="http://schemas.openxmlformats.org/officeDocument/2006/relationships" ref="Q617" display="https://www.sebi.gov.in/sebi_data/attachdocs/feb-2024/1707198294323.pdf" r:id="rId1605"/>
    <hyperlink xmlns:r="http://schemas.openxmlformats.org/officeDocument/2006/relationships" ref="R617" display="https://www.sebi.gov.in/filings/public-issues/feb-2024/northern-arc-capital-limited-drhp_81105.html" r:id="rId1606"/>
    <hyperlink xmlns:r="http://schemas.openxmlformats.org/officeDocument/2006/relationships" ref="Q618" display="https://www.sebi.gov.in/sebi_data/attachdocs/jan-2024/1706697897563.PDF" r:id="rId1607"/>
    <hyperlink xmlns:r="http://schemas.openxmlformats.org/officeDocument/2006/relationships" ref="R618" display="https://www.sebi.gov.in/filings/public-issues/jan-2024/kronox-lab-sciences-limited-drhp_80963.html" r:id="rId1608"/>
    <hyperlink xmlns:r="http://schemas.openxmlformats.org/officeDocument/2006/relationships" ref="Q619" display="https://www.sebi.gov.in/sebi_data/attachdocs/jan-2024/1705994678761.pdf" r:id="rId1609"/>
    <hyperlink xmlns:r="http://schemas.openxmlformats.org/officeDocument/2006/relationships" ref="R619" display="https://www.sebi.gov.in/filings/public-issues/jan-2024/bharti-hexacom-limited_80828.html" r:id="rId1610"/>
    <hyperlink xmlns:r="http://schemas.openxmlformats.org/officeDocument/2006/relationships" ref="Q620" display="https://www.sebi.gov.in/sebi_data/attachdocs/jan-2024/1705994158251.pdf" r:id="rId1611"/>
    <hyperlink xmlns:r="http://schemas.openxmlformats.org/officeDocument/2006/relationships" ref="R620" display="https://www.sebi.gov.in/filings/public-issues/jan-2024/bansal-wire-industries-limited-drhp_80825.html" r:id="rId1612"/>
    <hyperlink xmlns:r="http://schemas.openxmlformats.org/officeDocument/2006/relationships" ref="Q621" display="https://www.sebi.gov.in/sebi_data/attachdocs/jan-2024/1706076487601.PDF" r:id="rId1613"/>
    <hyperlink xmlns:r="http://schemas.openxmlformats.org/officeDocument/2006/relationships" ref="R621" display="https://www.sebi.gov.in/filings/public-issues/jan-2024/krn-heat-exchanger-and-refrigeration-limited_80846.html" r:id="rId1614"/>
    <hyperlink xmlns:r="http://schemas.openxmlformats.org/officeDocument/2006/relationships" ref="Q622" display="https://www.sebi.gov.in/sebi_data/attachdocs/jan-2024/1705570293944.PDF" r:id="rId1615"/>
    <hyperlink xmlns:r="http://schemas.openxmlformats.org/officeDocument/2006/relationships" ref="R622" display="https://www.sebi.gov.in/filings/public-issues/jan-2024/allied-blenders-and-distillers-limited-drhp_80708.html" r:id="rId1616"/>
    <hyperlink xmlns:r="http://schemas.openxmlformats.org/officeDocument/2006/relationships" ref="Q623" display="https://www.sebi.gov.in/sebi_data/attachdocs/jan-2024/1704794349865.PDF" r:id="rId1617"/>
    <hyperlink xmlns:r="http://schemas.openxmlformats.org/officeDocument/2006/relationships" ref="R623" display="https://www.sebi.gov.in/filings/public-issues/jan-2024/dee-development-engineers-limited-addendum-to-drhp_80493.html" r:id="rId1618"/>
    <hyperlink xmlns:r="http://schemas.openxmlformats.org/officeDocument/2006/relationships" ref="Q624" display="https://www.sebi.gov.in/sebi_data/attachdocs/jan-2024/1704710581631.pdf" r:id="rId1619"/>
    <hyperlink xmlns:r="http://schemas.openxmlformats.org/officeDocument/2006/relationships" ref="R624" display="https://www.sebi.gov.in/filings/public-issues/jan-2024/unicommerce-esolutions-limited_80463.html" r:id="rId1620"/>
    <hyperlink xmlns:r="http://schemas.openxmlformats.org/officeDocument/2006/relationships" ref="Q625" display="https://www.sebi.gov.in/sebi_data/attachdocs/jan-2024/1704504607838_168.pdf" r:id="rId1621"/>
    <hyperlink xmlns:r="http://schemas.openxmlformats.org/officeDocument/2006/relationships" ref="R625" display="https://www.sebi.gov.in/filings/public-issues/jan-2024/one-mobikwik-systems-limited_80450.html" r:id="rId1622"/>
    <hyperlink xmlns:r="http://schemas.openxmlformats.org/officeDocument/2006/relationships" ref="Q626" display="https://www.sebi.gov.in/sebi_data/attachdocs/jan-2024/1704369223582.PDF" r:id="rId1623"/>
    <hyperlink xmlns:r="http://schemas.openxmlformats.org/officeDocument/2006/relationships" ref="R626" display="https://www.sebi.gov.in/filings/public-issues/jan-2024/sanstar-limited-drhp_80414.html" r:id="rId1624"/>
    <hyperlink xmlns:r="http://schemas.openxmlformats.org/officeDocument/2006/relationships" ref="Q627" display="https://www.sebi.gov.in/sebi_data/attachdocs/jan-2024/1704369080201.pdf" r:id="rId1625"/>
    <hyperlink xmlns:r="http://schemas.openxmlformats.org/officeDocument/2006/relationships" ref="R627" display="https://www.sebi.gov.in/filings/public-issues/jan-2024/waaree-energies-limited-drhp_80409.html" r:id="rId1626"/>
    <hyperlink xmlns:r="http://schemas.openxmlformats.org/officeDocument/2006/relationships" ref="Q628" display="https://www.sebi.gov.in/sebi_data/attachdocs/jan-2024/1704264566291.pdf" r:id="rId1627"/>
    <hyperlink xmlns:r="http://schemas.openxmlformats.org/officeDocument/2006/relationships" ref="R628" display="https://www.sebi.gov.in/filings/public-issues/jan-2024/rays-power-infra-limited-drhp_80387.html" r:id="rId1628"/>
    <hyperlink xmlns:r="http://schemas.openxmlformats.org/officeDocument/2006/relationships" ref="AB628" r:id="rId1629"/>
    <hyperlink xmlns:r="http://schemas.openxmlformats.org/officeDocument/2006/relationships" ref="Q629" display="https://www.sebi.gov.in/sebi_data/attachdocs/jan-2024/1704185197037.pdf" r:id="rId1630"/>
    <hyperlink xmlns:r="http://schemas.openxmlformats.org/officeDocument/2006/relationships" ref="R629" display="https://www.sebi.gov.in/filings/public-issues/jan-2024/vraj-iron-and-steel-limited-drhp_80348.html" r:id="rId1631"/>
    <hyperlink xmlns:r="http://schemas.openxmlformats.org/officeDocument/2006/relationships" ref="Q630" display="https://www.sebi.gov.in/sebi_data/attachdocs/jan-2024/1704185137810.pdf" r:id="rId1632"/>
    <hyperlink xmlns:r="http://schemas.openxmlformats.org/officeDocument/2006/relationships" ref="R630" display="https://www.sebi.gov.in/filings/public-issues/jan-2024/shree-tirupati-balajee-agro-trading-company-limited-drhp_80347.html" r:id="rId1633"/>
    <hyperlink xmlns:r="http://schemas.openxmlformats.org/officeDocument/2006/relationships" ref="Q631" display="https://www.sebi.gov.in/sebi_data/attachdocs/jan-2024/1704110723922.PDF" r:id="rId1634"/>
    <hyperlink xmlns:r="http://schemas.openxmlformats.org/officeDocument/2006/relationships" ref="R631" display="https://www.sebi.gov.in/filings/public-issues/jan-2024/diffusion-engineers-limited-drhp_80291.html" r:id="rId1635"/>
    <hyperlink xmlns:r="http://schemas.openxmlformats.org/officeDocument/2006/relationships" ref="Q632" display="https://www.sebi.gov.in/sebi_data/attachdocs/jan-2024/1704281497043.pdf" r:id="rId1636"/>
    <hyperlink xmlns:r="http://schemas.openxmlformats.org/officeDocument/2006/relationships" ref="R632" display="https://www.sebi.gov.in/filings/public-issues/dec-2023/vibhor-steel-tubes-limited-addendum-to-drhp_80398.html" r:id="rId1637"/>
    <hyperlink xmlns:r="http://schemas.openxmlformats.org/officeDocument/2006/relationships" ref="AB632" r:id="rId1638"/>
    <hyperlink xmlns:r="http://schemas.openxmlformats.org/officeDocument/2006/relationships" ref="Q633" display="https://www.sebi.gov.in/sebi_data/attachdocs/dec-2023/1703849570967.pdf" r:id="rId1639"/>
    <hyperlink xmlns:r="http://schemas.openxmlformats.org/officeDocument/2006/relationships" ref="R633" display="https://www.sebi.gov.in/filings/public-issues/dec-2023/awfis-space-solutions-limited-drhp_80277.html" r:id="rId1640"/>
    <hyperlink xmlns:r="http://schemas.openxmlformats.org/officeDocument/2006/relationships" ref="Q634" display="https://www.sebi.gov.in/sebi_data/attachdocs/dec-2023/1703849505363.pdf" r:id="rId1641"/>
    <hyperlink xmlns:r="http://schemas.openxmlformats.org/officeDocument/2006/relationships" ref="R634" display="https://www.sebi.gov.in/filings/public-issues/dec-2023/brainbees-solutions-limited-drhp_80275.html" r:id="rId1642"/>
    <hyperlink xmlns:r="http://schemas.openxmlformats.org/officeDocument/2006/relationships" ref="Q635" display="https://www.sebi.gov.in/sebi_data/attachdocs/dec-2023/1703580725954.PDF" r:id="rId1643"/>
    <hyperlink xmlns:r="http://schemas.openxmlformats.org/officeDocument/2006/relationships" ref="R635" display="https://www.sebi.gov.in/filings/public-issues/dec-2023/ola-electric-mobility-limited-drhp_80215.html" r:id="rId1644"/>
    <hyperlink xmlns:r="http://schemas.openxmlformats.org/officeDocument/2006/relationships" ref="Q636" display="https://www.sebi.gov.in/sebi_data/attachdocs/dec-2023/1703228626909.pdf" r:id="rId1645"/>
    <hyperlink xmlns:r="http://schemas.openxmlformats.org/officeDocument/2006/relationships" ref="R636" display="https://www.sebi.gov.in/filings/public-issues/dec-2023/gretex-share-broking-limited-drhp_80178.html" r:id="rId1646"/>
    <hyperlink xmlns:r="http://schemas.openxmlformats.org/officeDocument/2006/relationships" ref="AB636" r:id="rId1647"/>
    <hyperlink xmlns:r="http://schemas.openxmlformats.org/officeDocument/2006/relationships" ref="Q637" display="https://www.sebi.gov.in/sebi_data/attachdocs/dec-2023/1703071663670.pdf" r:id="rId1648"/>
    <hyperlink xmlns:r="http://schemas.openxmlformats.org/officeDocument/2006/relationships" ref="R637" display="https://www.sebi.gov.in/filings/public-issues/dec-2023/emcure-pharmaceuticals-limited-drhp_80072.html" r:id="rId1649"/>
    <hyperlink xmlns:r="http://schemas.openxmlformats.org/officeDocument/2006/relationships" ref="Q638" display="https://www.sebi.gov.in/sebi_data/attachdocs/dec-2023/1702983438613.PDF" r:id="rId1650"/>
    <hyperlink xmlns:r="http://schemas.openxmlformats.org/officeDocument/2006/relationships" ref="R638" display="https://www.sebi.gov.in/filings/public-issues/dec-2023/stallion-india-fluorochemicals-limited-drhp_80009.html" r:id="rId1651"/>
    <hyperlink xmlns:r="http://schemas.openxmlformats.org/officeDocument/2006/relationships" ref="Q639" display="https://www.sebi.gov.in/sebi_data/attachdocs/dec-2023/1702445180827.pdf" r:id="rId1652"/>
    <hyperlink xmlns:r="http://schemas.openxmlformats.org/officeDocument/2006/relationships" ref="R639" display="https://www.sebi.gov.in/filings/public-issues/dec-2023/denta-water-and-infra-solutions-limited-drhp_79817.html" r:id="rId1653"/>
    <hyperlink xmlns:r="http://schemas.openxmlformats.org/officeDocument/2006/relationships" ref="Q640" display="https://www.sebi.gov.in/sebi_data/attachdocs/dec-2023/1701684884086.pdf" r:id="rId1654"/>
    <hyperlink xmlns:r="http://schemas.openxmlformats.org/officeDocument/2006/relationships" ref="R640" display="https://www.sebi.gov.in/filings/public-issues/dec-2023/kronox-lab-sciences-limited-drhp_79536.html" r:id="rId1655"/>
    <hyperlink xmlns:r="http://schemas.openxmlformats.org/officeDocument/2006/relationships" ref="Q641" display="https://www.sebi.gov.in/sebi_data/attachdocs/dec-2023/1701426739048.pdf" r:id="rId1656"/>
    <hyperlink xmlns:r="http://schemas.openxmlformats.org/officeDocument/2006/relationships" ref="R641" display="https://www.sebi.gov.in/filings/public-issues/dec-2023/kross-limited-drhp_79503.html" r:id="rId1657"/>
    <hyperlink xmlns:r="http://schemas.openxmlformats.org/officeDocument/2006/relationships" ref="Q642" display="https://www.sebi.gov.in/sebi_data/attachdocs/nov-2023/1700819557215.PDF" r:id="rId1658"/>
    <hyperlink xmlns:r="http://schemas.openxmlformats.org/officeDocument/2006/relationships" ref="R642" display="https://www.sebi.gov.in/filings/public-issues/nov-2023/gopal-snacks-limited-drhp_79319.html" r:id="rId1659"/>
    <hyperlink xmlns:r="http://schemas.openxmlformats.org/officeDocument/2006/relationships" ref="Q643" display="https://www.sebi.gov.in/sebi_data/attachdocs/nov-2023/1700471261335.PDF" r:id="rId1660"/>
    <hyperlink xmlns:r="http://schemas.openxmlformats.org/officeDocument/2006/relationships" ref="R643" display="https://www.sebi.gov.in/filings/public-issues/nov-2023/tbo-tek-limited-drhp_79211.html" r:id="rId1661"/>
    <hyperlink xmlns:r="http://schemas.openxmlformats.org/officeDocument/2006/relationships" ref="Q644" display="https://www.sebi.gov.in/sebi_data/attachdocs/nov-2023/1699876044670.pdf" r:id="rId1662"/>
    <hyperlink xmlns:r="http://schemas.openxmlformats.org/officeDocument/2006/relationships" ref="R644" display="https://www.sebi.gov.in/filings/public-issues/nov-2023/rk-swamy-limited-addendum-to-drhp_79086.html" r:id="rId1663"/>
    <hyperlink xmlns:r="http://schemas.openxmlformats.org/officeDocument/2006/relationships" ref="Q645" display="https://www.sebi.gov.in/sebi_data/attachdocs/nov-2023/1699616304302.pdf" r:id="rId1664"/>
    <hyperlink xmlns:r="http://schemas.openxmlformats.org/officeDocument/2006/relationships" ref="R645" display="https://www.sebi.gov.in/filings/public-issues/nov-2023/go-digit-general-insurance-limited-addendum-to-drhp_79068.html" r:id="rId1665"/>
    <hyperlink xmlns:r="http://schemas.openxmlformats.org/officeDocument/2006/relationships" ref="Q646" display="https://www.sebi.gov.in/sebi_data/attachdocs/nov-2023/1699250482759.pdf" r:id="rId1666"/>
    <hyperlink xmlns:r="http://schemas.openxmlformats.org/officeDocument/2006/relationships" ref="R646" display="https://www.sebi.gov.in/filings/public-issues/nov-2023/bls-e-services-limited-addendum-to-the-drhp_78756.html" r:id="rId1667"/>
    <hyperlink xmlns:r="http://schemas.openxmlformats.org/officeDocument/2006/relationships" ref="Q647" display="https://www.sebi.gov.in/sebi_data/attachdocs/oct-2023/1697628062099.pdf" r:id="rId1668"/>
    <hyperlink xmlns:r="http://schemas.openxmlformats.org/officeDocument/2006/relationships" ref="R647" display="https://www.sebi.gov.in/filings/public-issues/oct-2023/gpt-healthcare-limited-drhp_78170.html" r:id="rId1669"/>
    <hyperlink xmlns:r="http://schemas.openxmlformats.org/officeDocument/2006/relationships" ref="Q648" display="https://www.sebi.gov.in/sebi_data/attachdocs/oct-2023/1696572041590.pdf" r:id="rId1670"/>
    <hyperlink xmlns:r="http://schemas.openxmlformats.org/officeDocument/2006/relationships" ref="R648" display="https://www.sebi.gov.in/filings/public-issues/oct-2023/srm-contractors-limited-drhp_77731.html" r:id="rId1671"/>
    <hyperlink xmlns:r="http://schemas.openxmlformats.org/officeDocument/2006/relationships" ref="Q649" display="https://www.sebi.gov.in/sebi_data/attachdocs/oct-2023/1696567415411.pdf" r:id="rId1672"/>
    <hyperlink xmlns:r="http://schemas.openxmlformats.org/officeDocument/2006/relationships" ref="R649" display="https://www.sebi.gov.in/filings/public-issues/oct-2023/asirvad-micro-finance-limited-drhp_77706.html" r:id="rId1673"/>
    <hyperlink xmlns:r="http://schemas.openxmlformats.org/officeDocument/2006/relationships" ref="AB649" r:id="rId1674"/>
    <hyperlink xmlns:r="http://schemas.openxmlformats.org/officeDocument/2006/relationships" ref="Q650" display="https://www.sebi.gov.in/sebi_data/attachdocs/oct-2023/1696556596064_146.pdf" r:id="rId1675"/>
    <hyperlink xmlns:r="http://schemas.openxmlformats.org/officeDocument/2006/relationships" ref="R650" display="https://www.sebi.gov.in/filings/public-issues/oct-2023/cj-darcl-logistics-limited_77705.html" r:id="rId1676"/>
    <hyperlink xmlns:r="http://schemas.openxmlformats.org/officeDocument/2006/relationships" ref="AB650" r:id="rId1677"/>
    <hyperlink xmlns:r="http://schemas.openxmlformats.org/officeDocument/2006/relationships" ref="Q651" display="https://www.sebi.gov.in/sebi_data/attachdocs/oct-2023/1696556596064_145.pdf" r:id="rId1678"/>
    <hyperlink xmlns:r="http://schemas.openxmlformats.org/officeDocument/2006/relationships" ref="R651" display="https://www.sebi.gov.in/filings/public-issues/oct-2023/dee-development-engineers-limited_77703.html" r:id="rId1679"/>
    <hyperlink xmlns:r="http://schemas.openxmlformats.org/officeDocument/2006/relationships" ref="Q652" display="https://www.sebi.gov.in/sebi_data/attachdocs/oct-2023/1696556596064_144.pdf" r:id="rId1680"/>
    <hyperlink xmlns:r="http://schemas.openxmlformats.org/officeDocument/2006/relationships" ref="R652" display="https://www.sebi.gov.in/filings/public-issues/oct-2023/krystal-integrated-services-limited_77701.html" r:id="rId1681"/>
    <hyperlink xmlns:r="http://schemas.openxmlformats.org/officeDocument/2006/relationships" ref="Q653" display="https://www.sebi.gov.in/sebi_data/attachdocs/oct-2023/1696556596064_139.pdf" r:id="rId1682"/>
    <hyperlink xmlns:r="http://schemas.openxmlformats.org/officeDocument/2006/relationships" ref="R653" display="https://www.sebi.gov.in/filings/public-issues/oct-2023/agilus-diagnostics-limited_77699.html" r:id="rId1683"/>
    <hyperlink xmlns:r="http://schemas.openxmlformats.org/officeDocument/2006/relationships" ref="AB653" r:id="rId1684"/>
    <hyperlink xmlns:r="http://schemas.openxmlformats.org/officeDocument/2006/relationships" ref="Q654" display="https://www.sebi.gov.in/sebi_data/attachdocs/oct-2023/1696421574051.pdf" r:id="rId1685"/>
    <hyperlink xmlns:r="http://schemas.openxmlformats.org/officeDocument/2006/relationships" ref="R654" display="https://www.sebi.gov.in/filings/public-issues/oct-2023/polymatech-electronics-limited-drhp_77644.html" r:id="rId1686"/>
    <hyperlink xmlns:r="http://schemas.openxmlformats.org/officeDocument/2006/relationships" ref="AB654" r:id="rId1687"/>
    <hyperlink xmlns:r="http://schemas.openxmlformats.org/officeDocument/2006/relationships" ref="Q655" display="https://www.sebi.gov.in/sebi_data/attachdocs/oct-2023/1696399548036.pdf" r:id="rId1688"/>
    <hyperlink xmlns:r="http://schemas.openxmlformats.org/officeDocument/2006/relationships" ref="R655" display="https://www.sebi.gov.in/filings/public-issues/oct-2023/indo-farm-equipment-limited-drhp_77571.html" r:id="rId1689"/>
    <hyperlink xmlns:r="http://schemas.openxmlformats.org/officeDocument/2006/relationships" ref="Q656" display="https://www.sebi.gov.in/sebi_data/attachdocs/oct-2023/1696399496028.PDF" r:id="rId1690"/>
    <hyperlink xmlns:r="http://schemas.openxmlformats.org/officeDocument/2006/relationships" ref="R656" display="https://www.sebi.gov.in/filings/public-issues/oct-2023/popular-vehicles-and-services-limited-drhp_77569.html" r:id="rId1691"/>
    <hyperlink xmlns:r="http://schemas.openxmlformats.org/officeDocument/2006/relationships" ref="Q657" display="https://www.sebi.gov.in/sebi_data/attachdocs/oct-2023/1696332932402.pdf" r:id="rId1692"/>
    <hyperlink xmlns:r="http://schemas.openxmlformats.org/officeDocument/2006/relationships" ref="R657" display="https://www.sebi.gov.in/filings/public-issues/oct-2023/tata-technologies-limited-addendum-to-the-drhp_77550.html" r:id="rId1693"/>
    <hyperlink xmlns:r="http://schemas.openxmlformats.org/officeDocument/2006/relationships" ref="Q658" display="https://www.sebi.gov.in/sebi_data/attachdocs/oct-2023/1696332873231.pdf" r:id="rId1694"/>
    <hyperlink xmlns:r="http://schemas.openxmlformats.org/officeDocument/2006/relationships" ref="R658" display="https://www.sebi.gov.in/filings/public-issues/oct-2023/exicom-tele-systems-limited-drhp_77548.html" r:id="rId1695"/>
    <hyperlink xmlns:r="http://schemas.openxmlformats.org/officeDocument/2006/relationships" ref="Q659" display="https://www.sebi.gov.in/sebi_data/attachdocs/oct-2023/1696332838930.pdf" r:id="rId1696"/>
    <hyperlink xmlns:r="http://schemas.openxmlformats.org/officeDocument/2006/relationships" ref="R659" display="https://www.sebi.gov.in/filings/public-issues/oct-2023/vibhor-steel-tubes-limited-drhp_77547.html" r:id="rId1697"/>
    <hyperlink xmlns:r="http://schemas.openxmlformats.org/officeDocument/2006/relationships" ref="Q660" display="https://www.sebi.gov.in/sebi_data/attachdocs/oct-2023/1696332772834.pdf" r:id="rId1698"/>
    <hyperlink xmlns:r="http://schemas.openxmlformats.org/officeDocument/2006/relationships" ref="R660" display="https://www.sebi.gov.in/filings/public-issues/oct-2023/azad-engineering-limited-drhp_77546.html" r:id="rId1699"/>
    <hyperlink xmlns:r="http://schemas.openxmlformats.org/officeDocument/2006/relationships" ref="Q661" display="https://www.sebi.gov.in/sebi_data/attachdocs/oct-2023/1696332716690.pdf" r:id="rId1700"/>
    <hyperlink xmlns:r="http://schemas.openxmlformats.org/officeDocument/2006/relationships" ref="R661" display="https://www.sebi.gov.in/filings/public-issues/oct-2023/saraswati-saree-depot-limited-drhp_77544.html" r:id="rId1701"/>
    <hyperlink xmlns:r="http://schemas.openxmlformats.org/officeDocument/2006/relationships" ref="Q662" display="https://www.sebi.gov.in/sebi_data/attachdocs/oct-2023/1696332658057.pdf" r:id="rId1702"/>
    <hyperlink xmlns:r="http://schemas.openxmlformats.org/officeDocument/2006/relationships" ref="R662" display="https://www.sebi.gov.in/filings/public-issues/oct-2023/capital-small-finance-bank-limited-drhp_77543.html" r:id="rId1703"/>
    <hyperlink xmlns:r="http://schemas.openxmlformats.org/officeDocument/2006/relationships" ref="Q663" display="https://www.sebi.gov.in/sebi_data/attachdocs/oct-2023/1696332624558.pdf" r:id="rId1704"/>
    <hyperlink xmlns:r="http://schemas.openxmlformats.org/officeDocument/2006/relationships" ref="R663" display="https://www.sebi.gov.in/filings/public-issues/oct-2023/juniper-hotels-limited-drhp_77542.html" r:id="rId1705"/>
    <hyperlink xmlns:r="http://schemas.openxmlformats.org/officeDocument/2006/relationships" ref="Q664" display="https://www.sebi.gov.in/sebi_data/attachdocs/sep-2023/1695188931612.pdf" r:id="rId1706"/>
    <hyperlink xmlns:r="http://schemas.openxmlformats.org/officeDocument/2006/relationships" ref="R664" display="https://www.sebi.gov.in/filings/public-issues/sep-2023/entero-healthcare-solutions-limited-drhp_76961.html" r:id="rId1707"/>
    <hyperlink xmlns:r="http://schemas.openxmlformats.org/officeDocument/2006/relationships" ref="Q665" display="https://www.sebi.gov.in/sebi_data/attachdocs/sep-2023/1694753864099.PDF" r:id="rId1708"/>
    <hyperlink xmlns:r="http://schemas.openxmlformats.org/officeDocument/2006/relationships" ref="R665" display="https://www.sebi.gov.in/filings/public-issues/sep-2023/flair-writing-industries-limited-addendum-to-drhp_76927.html" r:id="rId1709"/>
    <hyperlink xmlns:r="http://schemas.openxmlformats.org/officeDocument/2006/relationships" ref="Q666" display="https://www.sebi.gov.in/sebi_data/attachdocs/sep-2023/1694582173546.pdf" r:id="rId1710"/>
    <hyperlink xmlns:r="http://schemas.openxmlformats.org/officeDocument/2006/relationships" ref="R666" display="https://www.sebi.gov.in/filings/public-issues/sep-2023/innova-captab-limited-addendum-to-drhp_76819.html" r:id="rId1711"/>
    <hyperlink xmlns:r="http://schemas.openxmlformats.org/officeDocument/2006/relationships" ref="Q667" display="https://www.sebi.gov.in/sebi_data/attachdocs/sep-2023/1694520772195.pdf" r:id="rId1712"/>
    <hyperlink xmlns:r="http://schemas.openxmlformats.org/officeDocument/2006/relationships" ref="R667" display="https://www.sebi.gov.in/filings/public-issues/sep-2023/indian-renewable-energy-development-agency-limited-drhp_76785.html" r:id="rId1713"/>
    <hyperlink xmlns:r="http://schemas.openxmlformats.org/officeDocument/2006/relationships" ref="Q668" display="https://www.sebi.gov.in/sebi_data/attachdocs/sep-2023/1693991827914.pdf" r:id="rId1714"/>
    <hyperlink xmlns:r="http://schemas.openxmlformats.org/officeDocument/2006/relationships" ref="R668" display="https://www.sebi.gov.in/filings/public-issues/sep-2023/stanley-lifestyles-limited-drhp_76320.html" r:id="rId1715"/>
    <hyperlink xmlns:r="http://schemas.openxmlformats.org/officeDocument/2006/relationships" ref="Q669" display="https://www.sebi.gov.in/sebi_data/attachdocs/sep-2023/1693903192757.PDF" r:id="rId1716"/>
    <hyperlink xmlns:r="http://schemas.openxmlformats.org/officeDocument/2006/relationships" ref="R669" display="https://www.sebi.gov.in/filings/public-issues/sep-2023/jyoti-cnc-automation-limited-drhp_76520.html" r:id="rId1717"/>
    <hyperlink xmlns:r="http://schemas.openxmlformats.org/officeDocument/2006/relationships" ref="Q670" display="https://www.sebi.gov.in/sebi_data/attachdocs/sep-2023/1693890814950.pdf" r:id="rId1718"/>
    <hyperlink xmlns:r="http://schemas.openxmlformats.org/officeDocument/2006/relationships" ref="R670" display="https://www.sebi.gov.in/filings/public-issues/sep-2023/arkade-developers-limited-drhp_76492.html" r:id="rId1719"/>
    <hyperlink xmlns:r="http://schemas.openxmlformats.org/officeDocument/2006/relationships" ref="Q671" display="https://www.sebi.gov.in/sebi_data/attachdocs/aug-2023/1693478637360.pdf" r:id="rId1720"/>
    <hyperlink xmlns:r="http://schemas.openxmlformats.org/officeDocument/2006/relationships" ref="R671" display="https://www.sebi.gov.in/filings/public-issues/aug-2023/inox-india-limited-drhp_76156.html" r:id="rId1721"/>
    <hyperlink xmlns:r="http://schemas.openxmlformats.org/officeDocument/2006/relationships" ref="Q672" display="https://www.sebi.gov.in/sebi_data/attachdocs/aug-2023/1693225648714.PDF" r:id="rId1722"/>
    <hyperlink xmlns:r="http://schemas.openxmlformats.org/officeDocument/2006/relationships" ref="R672" display="https://www.sebi.gov.in/filings/public-issues/aug-2023/medi-assist-healthcare-services-limited-drhp_75948.html" r:id="rId1723"/>
    <hyperlink xmlns:r="http://schemas.openxmlformats.org/officeDocument/2006/relationships" ref="Q673" display="https://www.sebi.gov.in/sebi_data/attachdocs/aug-2023/1692872283972.pdf" r:id="rId1724"/>
    <hyperlink xmlns:r="http://schemas.openxmlformats.org/officeDocument/2006/relationships" ref="R673" display="https://www.sebi.gov.in/filings/public-issues/aug-2023/jnk-india-limited-drhp_75836.html" r:id="rId1725"/>
    <hyperlink xmlns:r="http://schemas.openxmlformats.org/officeDocument/2006/relationships" ref="Q674" display="https://www.sebi.gov.in/sebi_data/attachdocs/aug-2023/1692782329929.pdf" r:id="rId1726"/>
    <hyperlink xmlns:r="http://schemas.openxmlformats.org/officeDocument/2006/relationships" ref="R674" display="https://www.sebi.gov.in/filings/public-issues/aug-2023/doms-industries-limited-drhp_75772.html" r:id="rId1727"/>
    <hyperlink xmlns:r="http://schemas.openxmlformats.org/officeDocument/2006/relationships" ref="Q675" display="https://www.sebi.gov.in/sebi_data/attachdocs/aug-2023/1692687672999.pdf" r:id="rId1728"/>
    <hyperlink xmlns:r="http://schemas.openxmlformats.org/officeDocument/2006/relationships" ref="R675" display="https://www.sebi.gov.in/filings/public-issues/aug-2023/shiva-pharmachem-limited-drhp_75514.html" r:id="rId1729"/>
    <hyperlink xmlns:r="http://schemas.openxmlformats.org/officeDocument/2006/relationships" ref="AB675" r:id="rId1730"/>
    <hyperlink xmlns:r="http://schemas.openxmlformats.org/officeDocument/2006/relationships" ref="Q676" display="https://www.sebi.gov.in/sebi_data/attachdocs/aug-2023/1692694441875.PDF" r:id="rId1731"/>
    <hyperlink xmlns:r="http://schemas.openxmlformats.org/officeDocument/2006/relationships" ref="R676" display="https://www.sebi.gov.in/filings/public-issues/aug-2023/apeejay-surrendra-park-hotels-limited-drhp_75516.html" r:id="rId1732"/>
    <hyperlink xmlns:r="http://schemas.openxmlformats.org/officeDocument/2006/relationships" ref="Q677" display="https://www.sebi.gov.in/sebi_data/attachdocs/aug-2023/1692687550571.pdf" r:id="rId1733"/>
    <hyperlink xmlns:r="http://schemas.openxmlformats.org/officeDocument/2006/relationships" ref="R677" display="https://www.sebi.gov.in/filings/public-issues/aug-2023/cello-world-limited-drhp_75512.html" r:id="rId1734"/>
    <hyperlink xmlns:r="http://schemas.openxmlformats.org/officeDocument/2006/relationships" ref="Q678" display="https://www.sebi.gov.in/sebi_data/attachdocs/aug-2023/1692683401706.PDF" r:id="rId1735"/>
    <hyperlink xmlns:r="http://schemas.openxmlformats.org/officeDocument/2006/relationships" ref="R678" display="https://www.sebi.gov.in/filings/public-issues/aug-2023/western-carriers-india-limited-corrigendum-to-drhp_75498.html" r:id="rId1736"/>
    <hyperlink xmlns:r="http://schemas.openxmlformats.org/officeDocument/2006/relationships" ref="Q679" display="https://www.sebi.gov.in/sebi_data/attachdocs/aug-2023/1692273078754.PDF" r:id="rId1737"/>
    <hyperlink xmlns:r="http://schemas.openxmlformats.org/officeDocument/2006/relationships" ref="R679" display="https://www.sebi.gov.in/filings/public-issues/aug-2023/happy-forgings-limited-drhp_75380.html" r:id="rId1738"/>
    <hyperlink xmlns:r="http://schemas.openxmlformats.org/officeDocument/2006/relationships" ref="Q680" display="https://www.sebi.gov.in/sebi_data/attachdocs/aug-2023/1692003687992.pdf" r:id="rId1739"/>
    <hyperlink xmlns:r="http://schemas.openxmlformats.org/officeDocument/2006/relationships" ref="R680" display="https://www.sebi.gov.in/filings/public-issues/aug-2023/signatureglobal-india-limited-addendum-to-the-drhp_75328.html" r:id="rId1740"/>
    <hyperlink xmlns:r="http://schemas.openxmlformats.org/officeDocument/2006/relationships" ref="Q681" display="https://www.sebi.gov.in/sebi_data/attachdocs/aug-2023/1692003643132.pdf" r:id="rId1741"/>
    <hyperlink xmlns:r="http://schemas.openxmlformats.org/officeDocument/2006/relationships" ref="R681" display="https://www.sebi.gov.in/filings/public-issues/aug-2023/samhi-hotels-limited-addendum-to-the-drhp_75326.html" r:id="rId1742"/>
    <hyperlink xmlns:r="http://schemas.openxmlformats.org/officeDocument/2006/relationships" ref="Q682" display="https://www.sebi.gov.in/sebi_data/attachdocs/aug-2023/1692003158727.pdf" r:id="rId1743"/>
    <hyperlink xmlns:r="http://schemas.openxmlformats.org/officeDocument/2006/relationships" ref="R682" display="https://www.sebi.gov.in/filings/public-issues/aug-2023/r-k-swamy-limited-drhp_75323.html" r:id="rId1744"/>
    <hyperlink xmlns:r="http://schemas.openxmlformats.org/officeDocument/2006/relationships" ref="Q683" display="https://www.sebi.gov.in/sebi_data/attachdocs/aug-2023/1692002893178.pdf" r:id="rId1745"/>
    <hyperlink xmlns:r="http://schemas.openxmlformats.org/officeDocument/2006/relationships" ref="R683" display="https://www.sebi.gov.in/filings/public-issues/aug-2023/epack-durable-limited-drhp_75321.html" r:id="rId1746"/>
    <hyperlink xmlns:r="http://schemas.openxmlformats.org/officeDocument/2006/relationships" ref="Q684" display="https://www.sebi.gov.in/sebi_data/attachdocs/aug-2023/1691993294169.PDF" r:id="rId1747"/>
    <hyperlink xmlns:r="http://schemas.openxmlformats.org/officeDocument/2006/relationships" ref="R684" display="https://www.sebi.gov.in/filings/public-issues/aug-2023/valiant-laboratories-limited-addendum-to-drhp_75301.html" r:id="rId1748"/>
    <hyperlink xmlns:r="http://schemas.openxmlformats.org/officeDocument/2006/relationships" ref="Q685" display="https://www.sebi.gov.in/sebi_data/attachdocs/sep-2023/1695778415032_124.pdf" r:id="rId1749"/>
    <hyperlink xmlns:r="http://schemas.openxmlformats.org/officeDocument/2006/relationships" ref="R685" display="https://www.sebi.gov.in/filings/public-issues/aug-2023/cell-point-india-limited_77355.html" r:id="rId1750"/>
    <hyperlink xmlns:r="http://schemas.openxmlformats.org/officeDocument/2006/relationships" ref="AB685" r:id="rId1751"/>
    <hyperlink xmlns:r="http://schemas.openxmlformats.org/officeDocument/2006/relationships" ref="Q686" display="https://www.sebi.gov.in/sebi_data/attachdocs/aug-2023/1691476310848.pdf" r:id="rId1752"/>
    <hyperlink xmlns:r="http://schemas.openxmlformats.org/officeDocument/2006/relationships" ref="R686" display="https://www.sebi.gov.in/filings/public-issues/aug-2023/bls-e-services-limited-drhp_75024.html" r:id="rId1753"/>
    <hyperlink xmlns:r="http://schemas.openxmlformats.org/officeDocument/2006/relationships" ref="Q687" display="https://www.sebi.gov.in/sebi_data/attachdocs/aug-2023/1691408632967.PDF" r:id="rId1754"/>
    <hyperlink xmlns:r="http://schemas.openxmlformats.org/officeDocument/2006/relationships" ref="R687" display="https://www.sebi.gov.in/filings/public-issues/aug-2023/india-shelter-finance-corporation-limited-drhp_74993.html" r:id="rId1755"/>
    <hyperlink xmlns:r="http://schemas.openxmlformats.org/officeDocument/2006/relationships" ref="Q688" display="https://www.sebi.gov.in/sebi_data/attachdocs/jul-2023/1690801962165.pdf" r:id="rId1756"/>
    <hyperlink xmlns:r="http://schemas.openxmlformats.org/officeDocument/2006/relationships" ref="R688" display="https://www.sebi.gov.in/filings/public-issues/jul-2023/onest-limited-drhp_74739.html" r:id="rId1757"/>
    <hyperlink xmlns:r="http://schemas.openxmlformats.org/officeDocument/2006/relationships" ref="AB688" r:id="rId1758"/>
    <hyperlink xmlns:r="http://schemas.openxmlformats.org/officeDocument/2006/relationships" ref="Q689" display="https://www.sebi.gov.in/sebi_data/attachdocs/jul-2023/1690794513117.pdf" r:id="rId1759"/>
    <hyperlink xmlns:r="http://schemas.openxmlformats.org/officeDocument/2006/relationships" ref="R689" display="https://www.sebi.gov.in/filings/public-issues/jul-2023/jana-small-finance-bank-limited-drhp_74692.html" r:id="rId1760"/>
    <hyperlink xmlns:r="http://schemas.openxmlformats.org/officeDocument/2006/relationships" ref="Q690" display="https://www.sebi.gov.in/sebi_data/attachdocs/jul-2023/1690794874974.PDF" r:id="rId1761"/>
    <hyperlink xmlns:r="http://schemas.openxmlformats.org/officeDocument/2006/relationships" ref="R690" display="https://www.sebi.gov.in/filings/public-issues/jul-2023/fedbank-financial-services-limited-drhp_74701.html" r:id="rId1762"/>
    <hyperlink xmlns:r="http://schemas.openxmlformats.org/officeDocument/2006/relationships" ref="Q691" display="https://www.sebi.gov.in/sebi_data/attachdocs/jul-2023/1690372979813.pdf" r:id="rId1763"/>
    <hyperlink xmlns:r="http://schemas.openxmlformats.org/officeDocument/2006/relationships" ref="R691" display="https://www.sebi.gov.in/filings/public-issues/jul-2023/sai-silks-kalamandi-limited-addendum-to-the-drhp_74376.html" r:id="rId1764"/>
    <hyperlink xmlns:r="http://schemas.openxmlformats.org/officeDocument/2006/relationships" ref="Q692" display="https://www.sebi.gov.in/sebi_data/attachdocs/jul-2023/1690372907676.pdf" r:id="rId1765"/>
    <hyperlink xmlns:r="http://schemas.openxmlformats.org/officeDocument/2006/relationships" ref="R692" display="https://www.sebi.gov.in/filings/public-issues/jul-2023/mukka-proteins-limited-addendum-to-the-drhp_74375.html" r:id="rId1766"/>
    <hyperlink xmlns:r="http://schemas.openxmlformats.org/officeDocument/2006/relationships" ref="Q693" display="https://www.sebi.gov.in/sebi_data/attachdocs/jul-2023/1690372846450.PDF" r:id="rId1767"/>
    <hyperlink xmlns:r="http://schemas.openxmlformats.org/officeDocument/2006/relationships" ref="R693" display="https://www.sebi.gov.in/filings/public-issues/jul-2023/suraj-estate-developers-limited-drhp_74373.html" r:id="rId1768"/>
    <hyperlink xmlns:r="http://schemas.openxmlformats.org/officeDocument/2006/relationships" ref="Q694" display="https://www.sebi.gov.in/sebi_data/attachdocs/jul-2023/1690189770026.PDF" r:id="rId1769"/>
    <hyperlink xmlns:r="http://schemas.openxmlformats.org/officeDocument/2006/relationships" ref="R694" display="https://www.sebi.gov.in/filings/public-issues/jul-2023/updater-services-limited-addendum-to-drhp_74255.html" r:id="rId1770"/>
    <hyperlink xmlns:r="http://schemas.openxmlformats.org/officeDocument/2006/relationships" ref="Q695" display="https://www.sebi.gov.in/sebi_data/attachdocs/sep-2023/1695778415032_120.pdf" r:id="rId1771"/>
    <hyperlink xmlns:r="http://schemas.openxmlformats.org/officeDocument/2006/relationships" ref="R695" display="https://www.sebi.gov.in/filings/public-issues/jul-2023/kaka-industries-limited_77353.html" r:id="rId1772"/>
    <hyperlink xmlns:r="http://schemas.openxmlformats.org/officeDocument/2006/relationships" ref="AB695" r:id="rId1773"/>
    <hyperlink xmlns:r="http://schemas.openxmlformats.org/officeDocument/2006/relationships" ref="Q696" display="https://www.sebi.gov.in/sebi_data/attachdocs/jul-2023/1689675851873.PDF" r:id="rId1774"/>
    <hyperlink xmlns:r="http://schemas.openxmlformats.org/officeDocument/2006/relationships" ref="R696" display="https://www.sebi.gov.in/filings/public-issues/jul-2023/flair-writing-industries-limited-drhp_74080.html" r:id="rId1775"/>
    <hyperlink xmlns:r="http://schemas.openxmlformats.org/officeDocument/2006/relationships" ref="Q697" display="https://www.sebi.gov.in/sebi_data/attachdocs/jul-2023/1689661883249.pdf" r:id="rId1776"/>
    <hyperlink xmlns:r="http://schemas.openxmlformats.org/officeDocument/2006/relationships" ref="R697" display="https://www.sebi.gov.in/filings/public-issues/jul-2023/credo-brands-marketing-limited-drhp_74077.html" r:id="rId1777"/>
    <hyperlink xmlns:r="http://schemas.openxmlformats.org/officeDocument/2006/relationships" ref="Q698" display="https://www.sebi.gov.in/sebi_data/attachdocs/jul-2023/1689310532463.pdf" r:id="rId1778"/>
    <hyperlink xmlns:r="http://schemas.openxmlformats.org/officeDocument/2006/relationships" ref="R698" display="https://www.sebi.gov.in/filings/public-issues/jul-2023/platinum-industries-limited-drhp_73942.html" r:id="rId1779"/>
    <hyperlink xmlns:r="http://schemas.openxmlformats.org/officeDocument/2006/relationships" ref="Q699" display="https://www.sebi.gov.in/sebi_data/attachdocs/sep-2023/1695778415032_118.pdf" r:id="rId1780"/>
    <hyperlink xmlns:r="http://schemas.openxmlformats.org/officeDocument/2006/relationships" ref="R699" display="https://www.sebi.gov.in/filings/public-issues/jul-2023/acceleratebs-india-limited_77351.html" r:id="rId1781"/>
    <hyperlink xmlns:r="http://schemas.openxmlformats.org/officeDocument/2006/relationships" ref="AB699" r:id="rId1782"/>
    <hyperlink xmlns:r="http://schemas.openxmlformats.org/officeDocument/2006/relationships" ref="Q700" display="https://www.sebi.gov.in/sebi_data/attachdocs/jul-2023/1688988952568.PDF" r:id="rId1783"/>
    <hyperlink xmlns:r="http://schemas.openxmlformats.org/officeDocument/2006/relationships" ref="R700" display="https://www.sebi.gov.in/filings/public-issues/jul-2023/national-securities-depository-limited-drhp_73701.html" r:id="rId1784"/>
    <hyperlink xmlns:r="http://schemas.openxmlformats.org/officeDocument/2006/relationships" ref="AB700" r:id="rId1785"/>
    <hyperlink xmlns:r="http://schemas.openxmlformats.org/officeDocument/2006/relationships" ref="Q701" display="https://www.sebi.gov.in/sebi_data/attachdocs/jul-2023/1688988515793.PDF" r:id="rId1786"/>
    <hyperlink xmlns:r="http://schemas.openxmlformats.org/officeDocument/2006/relationships" ref="R701" display="https://www.sebi.gov.in/filings/public-issues/jul-2023/aeroflex-industries-limited-addendum-to-drhp_73698.html" r:id="rId1787"/>
    <hyperlink xmlns:r="http://schemas.openxmlformats.org/officeDocument/2006/relationships" ref="Q702" display="https://www.sebi.gov.in/sebi_data/attachdocs/jul-2023/1688985423010.PDF" r:id="rId1788"/>
    <hyperlink xmlns:r="http://schemas.openxmlformats.org/officeDocument/2006/relationships" ref="R702" display="https://www.sebi.gov.in/filings/public-issues/jul-2023/esaf-small-finance-bank-limited-drhp_73679.html" r:id="rId1789"/>
    <hyperlink xmlns:r="http://schemas.openxmlformats.org/officeDocument/2006/relationships" ref="Q703" display="https://www.sebi.gov.in/sebi_data/attachdocs/jul-2023/1688731221733_115.pdf" r:id="rId1790"/>
    <hyperlink xmlns:r="http://schemas.openxmlformats.org/officeDocument/2006/relationships" ref="R703" display="https://www.sebi.gov.in/filings/public-issues/jul-2023/alphalogic-industries-limited_73636.html" r:id="rId1791"/>
    <hyperlink xmlns:r="http://schemas.openxmlformats.org/officeDocument/2006/relationships" ref="AB703" r:id="rId1792"/>
    <hyperlink xmlns:r="http://schemas.openxmlformats.org/officeDocument/2006/relationships" ref="Q704" display="https://www.sebi.gov.in/sebi_data/attachdocs/jul-2023/1688616114525.PDF" r:id="rId1793"/>
    <hyperlink xmlns:r="http://schemas.openxmlformats.org/officeDocument/2006/relationships" ref="R704" display="https://www.sebi.gov.in/filings/public-issues/jul-2023/balaji-speciality-chemicals-limited-addendum-to-drhp_73526.html" r:id="rId1794"/>
    <hyperlink xmlns:r="http://schemas.openxmlformats.org/officeDocument/2006/relationships" ref="AB704" r:id="rId1795"/>
    <hyperlink xmlns:r="http://schemas.openxmlformats.org/officeDocument/2006/relationships" ref="Q705" display="https://www.sebi.gov.in/sebi_data/attachdocs/jul-2023/1688532204838.pdf" r:id="rId1796"/>
    <hyperlink xmlns:r="http://schemas.openxmlformats.org/officeDocument/2006/relationships" ref="R705" display="https://www.sebi.gov.in/filings/public-issues/jul-2023/motisons-jewellers-limited-addendum-to-drhp_73453.html" r:id="rId1797"/>
    <hyperlink xmlns:r="http://schemas.openxmlformats.org/officeDocument/2006/relationships" ref="Q706" display="https://www.sebi.gov.in/sebi_data/attachdocs/jul-2023/1688448970241.pdf" r:id="rId1798"/>
    <hyperlink xmlns:r="http://schemas.openxmlformats.org/officeDocument/2006/relationships" ref="R706" display="https://www.sebi.gov.in/filings/public-issues/jul-2023/muthoot-microfin-limited-drhp_73421.html" r:id="rId1799"/>
    <hyperlink xmlns:r="http://schemas.openxmlformats.org/officeDocument/2006/relationships" ref="Q707" display="https://www.sebi.gov.in/sebi_data/attachdocs/jul-2023/1688374136806.PDF" r:id="rId1800"/>
    <hyperlink xmlns:r="http://schemas.openxmlformats.org/officeDocument/2006/relationships" ref="R707" display="https://www.sebi.gov.in/filings/public-issues/jul-2023/akme-fintrade-india-limited-drhp_73372.html" r:id="rId1801"/>
    <hyperlink xmlns:r="http://schemas.openxmlformats.org/officeDocument/2006/relationships" ref="Q708" display="https://www.sebi.gov.in/sebi_data/attachdocs/jun-2023/1687953609609_108.pdf" r:id="rId1802"/>
    <hyperlink xmlns:r="http://schemas.openxmlformats.org/officeDocument/2006/relationships" ref="R708" display="https://www.sebi.gov.in/filings/public-issues/jun-2023/tridhya-tech-limited_73260.html" r:id="rId1803"/>
    <hyperlink xmlns:r="http://schemas.openxmlformats.org/officeDocument/2006/relationships" ref="Q709" display="https://www.sebi.gov.in/sebi_data/attachdocs/jun-2023/1687775088856.pdf" r:id="rId1804"/>
    <hyperlink xmlns:r="http://schemas.openxmlformats.org/officeDocument/2006/relationships" ref="R709" display="https://www.sebi.gov.in/filings/public-issues/jun-2023/pyramid-technoplast-limited-addendum-to-the-drhp_73074.html" r:id="rId1805"/>
    <hyperlink xmlns:r="http://schemas.openxmlformats.org/officeDocument/2006/relationships" ref="Q710" display="https://www.sebi.gov.in/sebi_data/attachdocs/jun-2023/1687254492875.pdf" r:id="rId1806"/>
    <hyperlink xmlns:r="http://schemas.openxmlformats.org/officeDocument/2006/relationships" ref="R710" display="https://www.sebi.gov.in/filings/public-issues/jun-2023/mukka-proteins-limited-drhp_72824.html" r:id="rId1807"/>
    <hyperlink xmlns:r="http://schemas.openxmlformats.org/officeDocument/2006/relationships" ref="Q711" display="https://www.sebi.gov.in/sebi_data/attachdocs/jun-2023/1687608017479_106.pdf" r:id="rId1808"/>
    <hyperlink xmlns:r="http://schemas.openxmlformats.org/officeDocument/2006/relationships" ref="R711" display="https://www.sebi.gov.in/filings/public-issues/jun-2023/aatmaj-healthcare-limited_73068.html" r:id="rId1809"/>
    <hyperlink xmlns:r="http://schemas.openxmlformats.org/officeDocument/2006/relationships" ref="Q712" display="https://www.sebi.gov.in/sebi_data/attachdocs/jun-2023/1687608017479_107.pdf" r:id="rId1810"/>
    <hyperlink xmlns:r="http://schemas.openxmlformats.org/officeDocument/2006/relationships" ref="R712" display="https://www.sebi.gov.in/filings/public-issues/jun-2023/vilin-bio-med-limited_73070.html" r:id="rId1811"/>
    <hyperlink xmlns:r="http://schemas.openxmlformats.org/officeDocument/2006/relationships" ref="AB712" r:id="rId1812"/>
    <hyperlink xmlns:r="http://schemas.openxmlformats.org/officeDocument/2006/relationships" ref="Q713" display="https://www.sebi.gov.in/sebi_data/attachdocs/jun-2023/1687608017479_105.pdf" r:id="rId1813"/>
    <hyperlink xmlns:r="http://schemas.openxmlformats.org/officeDocument/2006/relationships" ref="R713" display="https://www.sebi.gov.in/filings/public-issues/jun-2023/veefin-solutions-limited_73066.html" r:id="rId1814"/>
    <hyperlink xmlns:r="http://schemas.openxmlformats.org/officeDocument/2006/relationships" ref="Q714" display="https://www.sebi.gov.in/sebi_data/attachdocs/jun-2023/1687254609377.pdf" r:id="rId1815"/>
    <hyperlink xmlns:r="http://schemas.openxmlformats.org/officeDocument/2006/relationships" ref="R714" display="https://www.sebi.gov.in/filings/public-issues/jun-2023/rbz-jewellers-limited-drhp_72825.html" r:id="rId1816"/>
    <hyperlink xmlns:r="http://schemas.openxmlformats.org/officeDocument/2006/relationships" ref="Q715" display="https://www.sebi.gov.in/sebi_data/attachdocs/jun-2023/1686911107445.PDF" r:id="rId1817"/>
    <hyperlink xmlns:r="http://schemas.openxmlformats.org/officeDocument/2006/relationships" ref="R715" display="https://www.sebi.gov.in/filings/public-issues/jun-2023/ask-automotive-ltd-drhp_72673.html" r:id="rId1818"/>
    <hyperlink xmlns:r="http://schemas.openxmlformats.org/officeDocument/2006/relationships" ref="Q716" display="https://www.sebi.gov.in/sebi_data/attachdocs/jun-2023/1687608017479_102.pdf" r:id="rId1819"/>
    <hyperlink xmlns:r="http://schemas.openxmlformats.org/officeDocument/2006/relationships" ref="R716" display="https://www.sebi.gov.in/filings/public-issues/jun-2023/sonalis-consumer-products-limited_73064.html" r:id="rId1820"/>
    <hyperlink xmlns:r="http://schemas.openxmlformats.org/officeDocument/2006/relationships" ref="AB716" r:id="rId1821"/>
    <hyperlink xmlns:r="http://schemas.openxmlformats.org/officeDocument/2006/relationships" ref="Q717" display="https://www.sebi.gov.in/sebi_data/attachdocs/jun-2023/1687608017479_101.pdf" r:id="rId1822"/>
    <hyperlink xmlns:r="http://schemas.openxmlformats.org/officeDocument/2006/relationships" ref="R717" display="https://www.sebi.gov.in/filings/public-issues/jun-2023/spectrum-talent-management-limited_73062.html" r:id="rId1823"/>
    <hyperlink xmlns:r="http://schemas.openxmlformats.org/officeDocument/2006/relationships" ref="AB717" r:id="rId1824"/>
    <hyperlink xmlns:r="http://schemas.openxmlformats.org/officeDocument/2006/relationships" ref="Q718" display="https://www.sebi.gov.in/sebi_data/attachdocs/jun-2023/1687608017479_100.pdf" r:id="rId1825"/>
    <hyperlink xmlns:r="http://schemas.openxmlformats.org/officeDocument/2006/relationships" ref="R718" display="https://www.sebi.gov.in/filings/public-issues/jun-2023/sahana-system-limited_73060.html" r:id="rId1826"/>
    <hyperlink xmlns:r="http://schemas.openxmlformats.org/officeDocument/2006/relationships" ref="AB718" r:id="rId1827"/>
    <hyperlink xmlns:r="http://schemas.openxmlformats.org/officeDocument/2006/relationships" ref="Q719" display="https://www.sebi.gov.in/sebi_data/attachdocs/jun-2023/1686657609955_99.pdf" r:id="rId1828"/>
    <hyperlink xmlns:r="http://schemas.openxmlformats.org/officeDocument/2006/relationships" ref="R719" display="https://www.sebi.gov.in/filings/public-issues/jun-2023/crayons-advertising-limited_72503.html" r:id="rId1829"/>
    <hyperlink xmlns:r="http://schemas.openxmlformats.org/officeDocument/2006/relationships" ref="AB719" r:id="rId1830"/>
    <hyperlink xmlns:r="http://schemas.openxmlformats.org/officeDocument/2006/relationships" ref="Q720" display="https://www.sebi.gov.in/sebi_data/attachdocs/jun-2023/1686655767869.pdf" r:id="rId1831"/>
    <hyperlink xmlns:r="http://schemas.openxmlformats.org/officeDocument/2006/relationships" ref="R720" display="https://www.sebi.gov.in/filings/public-issues/jun-2023/western-carriers-india-limited-drhp_72492.html" r:id="rId1832"/>
    <hyperlink xmlns:r="http://schemas.openxmlformats.org/officeDocument/2006/relationships" ref="Q721" display="https://www.sebi.gov.in/sebi_data/attachdocs/jun-2023/1686204253802.PDF" r:id="rId1833"/>
    <hyperlink xmlns:r="http://schemas.openxmlformats.org/officeDocument/2006/relationships" ref="R721" display="https://www.sebi.gov.in/filings/public-issues/jun-2023/valiant-laboratories-limited-drhp_72352.html" r:id="rId1834"/>
    <hyperlink xmlns:r="http://schemas.openxmlformats.org/officeDocument/2006/relationships" ref="Q722" display="https://www.sebi.gov.in/sebi_data/attachdocs/jun-2023/1685681262177.pdf" r:id="rId1835"/>
    <hyperlink xmlns:r="http://schemas.openxmlformats.org/officeDocument/2006/relationships" ref="R722" display="https://www.sebi.gov.in/filings/public-issues/jun-2023/ebixcash-limited-addendum-to-drhp_72220.html" r:id="rId1836"/>
    <hyperlink xmlns:r="http://schemas.openxmlformats.org/officeDocument/2006/relationships" ref="AB722" r:id="rId1837"/>
    <hyperlink xmlns:r="http://schemas.openxmlformats.org/officeDocument/2006/relationships" ref="Q723" display="https://www.sebi.gov.in/sebi_data/attachdocs/may-2023/1684756814905_93.pdf" r:id="rId1838"/>
    <hyperlink xmlns:r="http://schemas.openxmlformats.org/officeDocument/2006/relationships" ref="R723" display="https://www.sebi.gov.in/filings/public-issues/may-2023/infollion-research-services-limited_71491.html" r:id="rId1839"/>
    <hyperlink xmlns:r="http://schemas.openxmlformats.org/officeDocument/2006/relationships" ref="Q724" display="https://www.sebi.gov.in/sebi_data/attachdocs/may-2023/1684756814905_91.pdf" r:id="rId1840"/>
    <hyperlink xmlns:r="http://schemas.openxmlformats.org/officeDocument/2006/relationships" ref="R724" display="https://www.sebi.gov.in/filings/public-issues/may-2023/crayons-advertising-limited_71487.html" r:id="rId1841"/>
    <hyperlink xmlns:r="http://schemas.openxmlformats.org/officeDocument/2006/relationships" ref="Q725" display="https://www.sebi.gov.in/sebi_data/attachdocs/may-2023/1684756814905_92.pdf" r:id="rId1842"/>
    <hyperlink xmlns:r="http://schemas.openxmlformats.org/officeDocument/2006/relationships" ref="R725" display="https://www.sebi.gov.in/filings/public-issues/may-2023/hemant-surgical-industries-limited_71489.html" r:id="rId1843"/>
    <hyperlink xmlns:r="http://schemas.openxmlformats.org/officeDocument/2006/relationships" ref="Q726" display="https://www.sebi.gov.in/sebi_data/attachdocs/may-2023/1684753283230.PDF" r:id="rId1844"/>
    <hyperlink xmlns:r="http://schemas.openxmlformats.org/officeDocument/2006/relationships" ref="R726" display="https://www.sebi.gov.in/filings/public-issues/may-2023/nova-agritech-limited-addendum-to-drhp_71465.html" r:id="rId1845"/>
    <hyperlink xmlns:r="http://schemas.openxmlformats.org/officeDocument/2006/relationships" ref="Q727" display="https://www.sebi.gov.in/sebi_data/attachdocs/may-2023/1684408732919.PDF" r:id="rId1846"/>
    <hyperlink xmlns:r="http://schemas.openxmlformats.org/officeDocument/2006/relationships" ref="R727" display="https://www.sebi.gov.in/filings/public-issues/may-2023/netweb-technologies-india-limited-corrigendum-to-drhp_71377.html" r:id="rId1847"/>
    <hyperlink xmlns:r="http://schemas.openxmlformats.org/officeDocument/2006/relationships" ref="Q728" display="https://www.sebi.gov.in/sebi_data/attachdocs/may-2023/1684323197879.pdf" r:id="rId1848"/>
    <hyperlink xmlns:r="http://schemas.openxmlformats.org/officeDocument/2006/relationships" ref="R728" display="https://www.sebi.gov.in/filings/public-issues/may-2023/jupiter-life-line-hospitals-limited-drhp_71267.html" r:id="rId1849"/>
    <hyperlink xmlns:r="http://schemas.openxmlformats.org/officeDocument/2006/relationships" ref="Q729" display="https://www.sebi.gov.in/sebi_data/attachdocs/may-2023/1683716794791.pdf" r:id="rId1850"/>
    <hyperlink xmlns:r="http://schemas.openxmlformats.org/officeDocument/2006/relationships" ref="R729" display="https://www.sebi.gov.in/filings/public-issues/may-2023/jsw-infrastructure-limited-drhp_71056.html" r:id="rId1851"/>
    <hyperlink xmlns:r="http://schemas.openxmlformats.org/officeDocument/2006/relationships" ref="Q730" display="https://www.sebi.gov.in/sebi_data/attachdocs/may-2023/1683621492177.PDF" r:id="rId1852"/>
    <hyperlink xmlns:r="http://schemas.openxmlformats.org/officeDocument/2006/relationships" ref="R730" display="https://www.sebi.gov.in/filings/public-issues/may-2023/r-r-kabel-limited-drhp_71012.html" r:id="rId1853"/>
    <hyperlink xmlns:r="http://schemas.openxmlformats.org/officeDocument/2006/relationships" ref="Q731" display="https://www.sebi.gov.in/sebi_data/attachdocs/may-2023/1683116014796.pdf" r:id="rId1854"/>
    <hyperlink xmlns:r="http://schemas.openxmlformats.org/officeDocument/2006/relationships" ref="R731" display="https://www.sebi.gov.in/filings/public-issues/may-2023/tvs-supply-chain-solutions-limited-drhp_70876.html" r:id="rId1855"/>
    <hyperlink xmlns:r="http://schemas.openxmlformats.org/officeDocument/2006/relationships" ref="Q732" display="https://www.sebi.gov.in/sebi_data/attachdocs/may-2023/1683096289229.pdf" r:id="rId1856"/>
    <hyperlink xmlns:r="http://schemas.openxmlformats.org/officeDocument/2006/relationships" ref="R732" display="https://www.sebi.gov.in/filings/public-issues/may-2023/fincare-small-finance-bank-limited-drhp_70850.html" r:id="rId1857"/>
    <hyperlink xmlns:r="http://schemas.openxmlformats.org/officeDocument/2006/relationships" ref="AB732" r:id="rId1858"/>
    <hyperlink xmlns:r="http://schemas.openxmlformats.org/officeDocument/2006/relationships" ref="Q733" display="https://www.sebi.gov.in/sebi_data/attachdocs/apr-2023/1682655967651.pdf" r:id="rId1859"/>
    <hyperlink xmlns:r="http://schemas.openxmlformats.org/officeDocument/2006/relationships" ref="R733" display="https://www.sebi.gov.in/filings/public-issues/apr-2023/protean-egov-technologies-limited-addendum-ii-to-the-drhp_70669.html" r:id="rId1860"/>
    <hyperlink xmlns:r="http://schemas.openxmlformats.org/officeDocument/2006/relationships" ref="Q734" display="https://www.sebi.gov.in/sebi_data/attachdocs/apr-2023/1681905621467_88.pdf" r:id="rId1861"/>
    <hyperlink xmlns:r="http://schemas.openxmlformats.org/officeDocument/2006/relationships" ref="R734" display="https://www.sebi.gov.in/filings/public-issues/apr-2023/vishnu-prakash-r-punglia-limited_70322.html" r:id="rId1862"/>
    <hyperlink xmlns:r="http://schemas.openxmlformats.org/officeDocument/2006/relationships" ref="Q735" display="https://www.sebi.gov.in/sebi_data/attachdocs/apr-2023/1682078412067_87.pdf" r:id="rId1863"/>
    <hyperlink xmlns:r="http://schemas.openxmlformats.org/officeDocument/2006/relationships" ref="R735" display="https://www.sebi.gov.in/filings/public-issues/apr-2023/platinumone-business-services-limited_70447.html" r:id="rId1864"/>
    <hyperlink xmlns:r="http://schemas.openxmlformats.org/officeDocument/2006/relationships" ref="AB735" r:id="rId1865"/>
    <hyperlink xmlns:r="http://schemas.openxmlformats.org/officeDocument/2006/relationships" ref="Q736" display="https://www.sebi.gov.in/sebi_data/attachdocs/apr-2023/1681210724670.pdf" r:id="rId1866"/>
    <hyperlink xmlns:r="http://schemas.openxmlformats.org/officeDocument/2006/relationships" ref="R736" display="https://www.sebi.gov.in/filings/public-issues/apr-2023/ems-limited-drhp_70016.html" r:id="rId1867"/>
    <hyperlink xmlns:r="http://schemas.openxmlformats.org/officeDocument/2006/relationships" ref="Q737" display="https://www.sebi.gov.in/sebi_data/attachdocs/apr-2023/1680765082765.pdf" r:id="rId1868"/>
    <hyperlink xmlns:r="http://schemas.openxmlformats.org/officeDocument/2006/relationships" ref="R737" display="https://www.sebi.gov.in/filings/public-issues/apr-2023/go-digit-general-insurance-limited-drhp_69822.html" r:id="rId1869"/>
    <hyperlink xmlns:r="http://schemas.openxmlformats.org/officeDocument/2006/relationships" ref="Q738" display="https://www.sebi.gov.in/sebi_data/attachdocs/apr-2023/1680697115479.pdf" r:id="rId1870"/>
    <hyperlink xmlns:r="http://schemas.openxmlformats.org/officeDocument/2006/relationships" ref="R738" display="https://www.sebi.gov.in/filings/public-issues/apr-2023/samhi-hotels-limited-drhp_69808.html" r:id="rId1871"/>
    <hyperlink xmlns:r="http://schemas.openxmlformats.org/officeDocument/2006/relationships" ref="Q739" display="https://www.sebi.gov.in/sebi_data/attachdocs/apr-2023/1680523220624_82.pdf" r:id="rId1872"/>
    <hyperlink xmlns:r="http://schemas.openxmlformats.org/officeDocument/2006/relationships" ref="R739" display="https://www.sebi.gov.in/filings/public-issues/apr-2023/aeroflex-industries-limited_69721.html" r:id="rId1873"/>
    <hyperlink xmlns:r="http://schemas.openxmlformats.org/officeDocument/2006/relationships" ref="Q740" display="https://www.sebi.gov.in/sebi_data/attachdocs/apr-2023/1680523220624_81.pdf" r:id="rId1874"/>
    <hyperlink xmlns:r="http://schemas.openxmlformats.org/officeDocument/2006/relationships" ref="R740" display="https://www.sebi.gov.in/filings/public-issues/apr-2023/sancode-technologies-limited_69719.html" r:id="rId1875"/>
    <hyperlink xmlns:r="http://schemas.openxmlformats.org/officeDocument/2006/relationships" ref="AB740" r:id="rId1876"/>
    <hyperlink xmlns:r="http://schemas.openxmlformats.org/officeDocument/2006/relationships" ref="Q741" display="https://www.sebi.gov.in/sebi_data/attachdocs/apr-2023/1680765001825.pdf" r:id="rId1877"/>
    <hyperlink xmlns:r="http://schemas.openxmlformats.org/officeDocument/2006/relationships" ref="R741" display="https://www.sebi.gov.in/filings/public-issues/apr-2023/pyramid-technoplast-limited-drhp_69688.html" r:id="rId1878"/>
    <hyperlink xmlns:r="http://schemas.openxmlformats.org/officeDocument/2006/relationships" ref="Q742" display="https://www.sebi.gov.in/sebi_data/attachdocs/mar-2023/1680264041781_80.pdf" r:id="rId1879"/>
    <hyperlink xmlns:r="http://schemas.openxmlformats.org/officeDocument/2006/relationships" ref="R742" display="https://www.sebi.gov.in/filings/public-issues/mar-2023/updater-services-limited_69634.html" r:id="rId1880"/>
    <hyperlink xmlns:r="http://schemas.openxmlformats.org/officeDocument/2006/relationships" ref="Q743" display="https://www.sebi.gov.in/sebi_data/attachdocs/mar-2023/1680236918309.pdf" r:id="rId1881"/>
    <hyperlink xmlns:r="http://schemas.openxmlformats.org/officeDocument/2006/relationships" ref="R743" display="https://www.sebi.gov.in/filings/public-issues/mar-2023/spc-life-sciences-limited-drhp_69567.html" r:id="rId1882"/>
    <hyperlink xmlns:r="http://schemas.openxmlformats.org/officeDocument/2006/relationships" ref="AB743" r:id="rId1883"/>
    <hyperlink xmlns:r="http://schemas.openxmlformats.org/officeDocument/2006/relationships" ref="Q744" display="https://www.sebi.gov.in/sebi_data/attachdocs/mar-2023/1680257780744.PDF" r:id="rId1884"/>
    <hyperlink xmlns:r="http://schemas.openxmlformats.org/officeDocument/2006/relationships" ref="R744" display="https://www.sebi.gov.in/filings/public-issues/mar-2023/netweb-technologies-india-limited-drhp_69580.html" r:id="rId1885"/>
    <hyperlink xmlns:r="http://schemas.openxmlformats.org/officeDocument/2006/relationships" ref="Q745" display="https://www.sebi.gov.in/sebi_data/attachdocs/mar-2023/1679900321115.pdf" r:id="rId1886"/>
    <hyperlink xmlns:r="http://schemas.openxmlformats.org/officeDocument/2006/relationships" ref="R745" display="https://www.sebi.gov.in/filings/public-issues/mar-2023/motisons-jewellers-limited-drhp_69335.html" r:id="rId1887"/>
    <hyperlink xmlns:r="http://schemas.openxmlformats.org/officeDocument/2006/relationships" ref="Q746" display="https://www.sebi.gov.in/sebi_data/attachdocs/mar-2023/1679659218079_76.pdf" r:id="rId1888"/>
    <hyperlink xmlns:r="http://schemas.openxmlformats.org/officeDocument/2006/relationships" ref="R746" display="https://www.sebi.gov.in/filings/public-issues/mar-2023/infinium-pharmachem-limited_69297.html" r:id="rId1889"/>
    <hyperlink xmlns:r="http://schemas.openxmlformats.org/officeDocument/2006/relationships" ref="Q747" display="https://www.sebi.gov.in/sebi_data/attachdocs/mar-2023/1679906630033.pdf" r:id="rId1890"/>
    <hyperlink xmlns:r="http://schemas.openxmlformats.org/officeDocument/2006/relationships" ref="R747" display="https://www.sebi.gov.in/filings/public-issues/mar-2023/sbfc-finance-limited-drhp_69343.html" r:id="rId1891"/>
    <hyperlink xmlns:r="http://schemas.openxmlformats.org/officeDocument/2006/relationships" ref="Q748" display="https://www.sebi.gov.in/sebi_data/attachdocs/mar-2023/1679486410438_74.pdf" r:id="rId1892"/>
    <hyperlink xmlns:r="http://schemas.openxmlformats.org/officeDocument/2006/relationships" ref="R748" display="https://www.sebi.gov.in/filings/public-issues/mar-2023/svj-enterprises-limited_69201.html" r:id="rId1893"/>
    <hyperlink xmlns:r="http://schemas.openxmlformats.org/officeDocument/2006/relationships" ref="AB748" r:id="rId1894"/>
    <hyperlink xmlns:r="http://schemas.openxmlformats.org/officeDocument/2006/relationships" ref="Q749" display="https://www.sebi.gov.in/sebi_data/attachdocs/mar-2023/1678708849713_63.pdf" r:id="rId1895"/>
    <hyperlink xmlns:r="http://schemas.openxmlformats.org/officeDocument/2006/relationships" ref="R749" display="https://www.sebi.gov.in/filings/public-issues/mar-2023/tata-technologies-limited_68881.html" r:id="rId1896"/>
    <hyperlink xmlns:r="http://schemas.openxmlformats.org/officeDocument/2006/relationships" ref="Q750" display="https://www.sebi.gov.in/sebi_data/attachdocs/mar-2023/1678686404640.pdf" r:id="rId1897"/>
    <hyperlink xmlns:r="http://schemas.openxmlformats.org/officeDocument/2006/relationships" ref="R750" display="https://www.sebi.gov.in/filings/public-issues/mar-2023/healthvista-india-limited-addendum-to-drhp_68837.html" r:id="rId1898"/>
    <hyperlink xmlns:r="http://schemas.openxmlformats.org/officeDocument/2006/relationships" ref="AB750" r:id="rId1899"/>
    <hyperlink xmlns:r="http://schemas.openxmlformats.org/officeDocument/2006/relationships" ref="Q751" display="https://www.sebi.gov.in/sebi_data/attachdocs/mar-2023/1678099410372.pdf" r:id="rId1900"/>
    <hyperlink xmlns:r="http://schemas.openxmlformats.org/officeDocument/2006/relationships" ref="R751" display="https://www.sebi.gov.in/filings/public-issues/mar-2023/nova-agritech-limited-drhp_68706.html" r:id="rId1901"/>
    <hyperlink xmlns:r="http://schemas.openxmlformats.org/officeDocument/2006/relationships" ref="Q752" display="https://www.sebi.gov.in/sebi_data/attachdocs/feb-2023/1676540623342.pdf" r:id="rId1902"/>
    <hyperlink xmlns:r="http://schemas.openxmlformats.org/officeDocument/2006/relationships" ref="R752" display="https://www.sebi.gov.in/filings/public-issues/feb-2023/ideaforge-technology-limited-drhp_68081.html" r:id="rId1903"/>
    <hyperlink xmlns:r="http://schemas.openxmlformats.org/officeDocument/2006/relationships" ref="Q753" display="https://www.sebi.gov.in/sebi_data/attachdocs/feb-2023/1676529180210.pdf" r:id="rId1904"/>
    <hyperlink xmlns:r="http://schemas.openxmlformats.org/officeDocument/2006/relationships" ref="R753" display="https://www.sebi.gov.in/filings/public-issues/feb-2023/akme-fintrade-india-limited-drhp_68071.html" r:id="rId1905"/>
    <hyperlink xmlns:r="http://schemas.openxmlformats.org/officeDocument/2006/relationships" ref="AB753" r:id="rId1906"/>
    <hyperlink xmlns:r="http://schemas.openxmlformats.org/officeDocument/2006/relationships" ref="Q754" display="https://www.sebi.gov.in/sebi_data/attachdocs/feb-2023/1676009092199.pdf" r:id="rId1907"/>
    <hyperlink xmlns:r="http://schemas.openxmlformats.org/officeDocument/2006/relationships" ref="R754" display="https://www.sebi.gov.in/filings/public-issues/feb-2023/corrtech-international-limited_67950.html" r:id="rId1908"/>
    <hyperlink xmlns:r="http://schemas.openxmlformats.org/officeDocument/2006/relationships" ref="AB754" r:id="rId1909"/>
    <hyperlink xmlns:r="http://schemas.openxmlformats.org/officeDocument/2006/relationships" ref="Q755" display="https://www.sebi.gov.in/sebi_data/attachdocs/jan-2023/1675074421849.pdf" r:id="rId1910"/>
    <hyperlink xmlns:r="http://schemas.openxmlformats.org/officeDocument/2006/relationships" ref="R755" display="https://www.sebi.gov.in/filings/public-issues/jan-2023/firstmeridian-business-services-limited-drhp_67602.html" r:id="rId1911"/>
    <hyperlink xmlns:r="http://schemas.openxmlformats.org/officeDocument/2006/relationships" ref="AB755" r:id="rId1912"/>
    <hyperlink xmlns:r="http://schemas.openxmlformats.org/officeDocument/2006/relationships" ref="Q756" display="https://www.sebi.gov.in/sebi_data/attachdocs/jan-2023/1674822071523.pdf" r:id="rId1913"/>
    <hyperlink xmlns:r="http://schemas.openxmlformats.org/officeDocument/2006/relationships" ref="R756" display="https://www.sebi.gov.in/filings/public-issues/jan-2023/ratnaveer-precision-engineering-limited_67585.html" r:id="rId1914"/>
    <hyperlink xmlns:r="http://schemas.openxmlformats.org/officeDocument/2006/relationships" ref="Q757" display="https://www.sebi.gov.in/sebi_data/attachdocs/jan-2023/1674213565033.PDF" r:id="rId1915"/>
    <hyperlink xmlns:r="http://schemas.openxmlformats.org/officeDocument/2006/relationships" ref="R757" display="https://www.sebi.gov.in/filings/public-issues/jan-2023/rashi-peripherals-limited_67397.html" r:id="rId1916"/>
    <hyperlink xmlns:r="http://schemas.openxmlformats.org/officeDocument/2006/relationships" ref="Q758" display="https://www.sebi.gov.in/sebi_data/attachdocs/jan-2023/1673352015580_49.pdf" r:id="rId1917"/>
    <hyperlink xmlns:r="http://schemas.openxmlformats.org/officeDocument/2006/relationships" ref="R758" display="https://www.sebi.gov.in/filings/public-issues/jan-2023/cyient-dlm-limited_67167.html" r:id="rId1918"/>
    <hyperlink xmlns:r="http://schemas.openxmlformats.org/officeDocument/2006/relationships" ref="Q759" display="https://www.sebi.gov.in/sebi_data/attachdocs/jan-2023/1672994402870_48.pdf" r:id="rId1919"/>
    <hyperlink xmlns:r="http://schemas.openxmlformats.org/officeDocument/2006/relationships" ref="R759" display="https://www.sebi.gov.in/filings/public-issues/jan-2023/j-g-chemicals-limited_67061.html" r:id="rId1920"/>
    <hyperlink xmlns:r="http://schemas.openxmlformats.org/officeDocument/2006/relationships" ref="Q760" display="https://www.sebi.gov.in/sebi_data/attachdocs/jan-2023/1672640689987.pdf" r:id="rId1921"/>
    <hyperlink xmlns:r="http://schemas.openxmlformats.org/officeDocument/2006/relationships" ref="R760" display="https://www.sebi.gov.in/filings/public-issues/jan-2023/rishabh-instruments-limited-drhp_66824.html" r:id="rId1922"/>
    <hyperlink xmlns:r="http://schemas.openxmlformats.org/officeDocument/2006/relationships" ref="Q761" display="https://www.sebi.gov.in/sebi_data/attachdocs/dec-2022/1672393990129.pdf" r:id="rId1923"/>
    <hyperlink xmlns:r="http://schemas.openxmlformats.org/officeDocument/2006/relationships" ref="R761" display="https://www.sebi.gov.in/filings/public-issues/dec-2022/survival-technologies-limited-drhp_66782.html" r:id="rId1924"/>
    <hyperlink xmlns:r="http://schemas.openxmlformats.org/officeDocument/2006/relationships" ref="AB761" r:id="rId1925"/>
    <hyperlink xmlns:r="http://schemas.openxmlformats.org/officeDocument/2006/relationships" ref="Q762" display="https://www.sebi.gov.in/sebi_data/attachdocs/dec-2022/1672380661526.pdf" r:id="rId1926"/>
    <hyperlink xmlns:r="http://schemas.openxmlformats.org/officeDocument/2006/relationships" ref="R762" display="https://www.sebi.gov.in/filings/public-issues/dec-2022/honasa-consumer-limited-drhp_66770.html" r:id="rId1927"/>
    <hyperlink xmlns:r="http://schemas.openxmlformats.org/officeDocument/2006/relationships" ref="Q763" display="https://www.sebi.gov.in/sebi_data/attachdocs/dec-2022/1672139791587.pdf" r:id="rId1928"/>
    <hyperlink xmlns:r="http://schemas.openxmlformats.org/officeDocument/2006/relationships" ref="R763" display="https://www.sebi.gov.in/filings/public-issues/dec-2022/balaji-solutions-limited-corrigendum-to-drhp_66617.html" r:id="rId1929"/>
    <hyperlink xmlns:r="http://schemas.openxmlformats.org/officeDocument/2006/relationships" ref="AB763" r:id="rId1930"/>
    <hyperlink xmlns:r="http://schemas.openxmlformats.org/officeDocument/2006/relationships" ref="Q764" display="https://www.sebi.gov.in/sebi_data/attachdocs/dec-2022/1671796408126.pdf" r:id="rId1931"/>
    <hyperlink xmlns:r="http://schemas.openxmlformats.org/officeDocument/2006/relationships" ref="R764" display="https://www.sebi.gov.in/filings/public-issues/dec-2022/gandhar-oil-refinery-india-limited-drhp_66570.html" r:id="rId1932"/>
    <hyperlink xmlns:r="http://schemas.openxmlformats.org/officeDocument/2006/relationships" ref="Q765" display="https://www.sebi.gov.in/sebi_data/attachdocs/dec-2022/1671620784576.pdf" r:id="rId1933"/>
    <hyperlink xmlns:r="http://schemas.openxmlformats.org/officeDocument/2006/relationships" ref="R765" display="https://www.sebi.gov.in/filings/public-issues/dec-2022/zaggle-prepaid-ocean-services-limited-drhp_66440.html" r:id="rId1934"/>
    <hyperlink xmlns:r="http://schemas.openxmlformats.org/officeDocument/2006/relationships" ref="Q766" display="https://www.sebi.gov.in/sebi_data/attachdocs/dec-2022/1671190032394.pdf" r:id="rId1935"/>
    <hyperlink xmlns:r="http://schemas.openxmlformats.org/officeDocument/2006/relationships" ref="R766" display="https://www.sebi.gov.in/filings/public-issues/dec-2022/indegene-limited-drhp_66254.html" r:id="rId1936"/>
    <hyperlink xmlns:r="http://schemas.openxmlformats.org/officeDocument/2006/relationships" ref="Q767" display="https://www.sebi.gov.in/sebi_data/attachdocs/dec-2022/1671168829456.pdf" r:id="rId1937"/>
    <hyperlink xmlns:r="http://schemas.openxmlformats.org/officeDocument/2006/relationships" ref="R767" display="https://www.sebi.gov.in/filings/public-issues/dec-2022/irm-energy-limited-drhp_66245.html" r:id="rId1938"/>
    <hyperlink xmlns:r="http://schemas.openxmlformats.org/officeDocument/2006/relationships" ref="Q768" display="https://www.sebi.gov.in/sebi_data/attachdocs/nov-2022/1669616284896.PDF" r:id="rId1939"/>
    <hyperlink xmlns:r="http://schemas.openxmlformats.org/officeDocument/2006/relationships" ref="R768" display="https://www.sebi.gov.in/filings/public-issues/nov-2022/tvs-supply-chain-solutions-limited-addendum-to-drhp_65519.html" r:id="rId1940"/>
    <hyperlink xmlns:r="http://schemas.openxmlformats.org/officeDocument/2006/relationships" ref="Q769" display="https://www.sebi.gov.in/sebi_data/attachdocs/nov-2022/1669613102669.pdf" r:id="rId1941"/>
    <hyperlink xmlns:r="http://schemas.openxmlformats.org/officeDocument/2006/relationships" ref="R769" display="https://www.sebi.gov.in/filings/public-issues/nov-2022/oravel-stays-limited-addendum-to-the-drhp_65503.html" r:id="rId1942"/>
    <hyperlink xmlns:r="http://schemas.openxmlformats.org/officeDocument/2006/relationships" ref="AB769" r:id="rId1943"/>
    <hyperlink xmlns:r="http://schemas.openxmlformats.org/officeDocument/2006/relationships" ref="Q770" display="https://www.sebi.gov.in/sebi_data/attachdocs/nov-2022/1669203009231.pdf" r:id="rId1944"/>
    <hyperlink xmlns:r="http://schemas.openxmlformats.org/officeDocument/2006/relationships" ref="R770" display="https://www.sebi.gov.in/filings/public-issues/nov-2022/addendum-to-drhp-of-cogent-e-services-limited_65364.html" r:id="rId1945"/>
    <hyperlink xmlns:r="http://schemas.openxmlformats.org/officeDocument/2006/relationships" ref="AB770" r:id="rId1946"/>
    <hyperlink xmlns:r="http://schemas.openxmlformats.org/officeDocument/2006/relationships" ref="Q771" display="https://www.sebi.gov.in/sebi_data/attachdocs/nov-2022/1667978603422.pdf" r:id="rId1947"/>
    <hyperlink xmlns:r="http://schemas.openxmlformats.org/officeDocument/2006/relationships" ref="R771" display="https://www.sebi.gov.in/filings/public-issues/nov-2022/fabindia-limited-corrigendum-to-drhp_64776.html" r:id="rId1948"/>
    <hyperlink xmlns:r="http://schemas.openxmlformats.org/officeDocument/2006/relationships" ref="AB771" r:id="rId1949"/>
    <hyperlink xmlns:r="http://schemas.openxmlformats.org/officeDocument/2006/relationships" ref="Q772" display="https://www.sebi.gov.in/sebi_data/attachdocs/nov-2022/1668054674080.pdf" r:id="rId1950"/>
    <hyperlink xmlns:r="http://schemas.openxmlformats.org/officeDocument/2006/relationships" ref="R772" display="https://www.sebi.gov.in/filings/public-issues/nov-2022/drhp-of-sbfc-finance-limited_64817.html" r:id="rId1951"/>
    <hyperlink xmlns:r="http://schemas.openxmlformats.org/officeDocument/2006/relationships" ref="AB772" r:id="rId1952"/>
    <hyperlink xmlns:r="http://schemas.openxmlformats.org/officeDocument/2006/relationships" ref="Q773" display="https://www.sebi.gov.in/sebi_data/attachdocs/nov-2022/1667821034088.pdf" r:id="rId1953"/>
    <hyperlink xmlns:r="http://schemas.openxmlformats.org/officeDocument/2006/relationships" ref="R773" display="https://www.sebi.gov.in/filings/public-issues/nov-2022/ease-of-operational-procedure_64739.html" r:id="rId1954"/>
    <hyperlink xmlns:r="http://schemas.openxmlformats.org/officeDocument/2006/relationships" ref="Q774" display="https://www.sebi.gov.in/sebi_data/attachdocs/oct-2022/1666940625609.pdf" r:id="rId1955"/>
    <hyperlink xmlns:r="http://schemas.openxmlformats.org/officeDocument/2006/relationships" ref="R774" display="https://www.sebi.gov.in/filings/public-issues/oct-2022/indiafirst-life-insurance-company-limited-drhp_64424.html" r:id="rId1956"/>
    <hyperlink xmlns:r="http://schemas.openxmlformats.org/officeDocument/2006/relationships" ref="AB774" r:id="rId1957"/>
    <hyperlink xmlns:r="http://schemas.openxmlformats.org/officeDocument/2006/relationships" ref="Q775" display="https://www.sebi.gov.in/sebi_data/attachdocs/oct-2022/1665029967837.pdf" r:id="rId1958"/>
    <hyperlink xmlns:r="http://schemas.openxmlformats.org/officeDocument/2006/relationships" ref="R775" display="https://www.sebi.gov.in/filings/public-issues/oct-2022/motisons-jewellers-limited-drhp_63720.html" r:id="rId1959"/>
    <hyperlink xmlns:r="http://schemas.openxmlformats.org/officeDocument/2006/relationships" ref="Q776" display="https://www.sebi.gov.in/sebi_data/attachdocs/oct-2022/1664860712075.pdf" r:id="rId1960"/>
    <hyperlink xmlns:r="http://schemas.openxmlformats.org/officeDocument/2006/relationships" ref="R776" display="https://www.sebi.gov.in/filings/public-issues/oct-2022/ikio-lighting-limited-drhp_63658.html" r:id="rId1961"/>
    <hyperlink xmlns:r="http://schemas.openxmlformats.org/officeDocument/2006/relationships" ref="Q777" display="https://www.sebi.gov.in/sebi_data/attachdocs/oct-2022/1664789602888.pdf" r:id="rId1962"/>
    <hyperlink xmlns:r="http://schemas.openxmlformats.org/officeDocument/2006/relationships" ref="R777" display="https://www.sebi.gov.in/filings/public-issues/oct-2022/r-and-b-infra-limited-drhp_63623.html" r:id="rId1963"/>
    <hyperlink xmlns:r="http://schemas.openxmlformats.org/officeDocument/2006/relationships" ref="AB777" r:id="rId1964"/>
    <hyperlink xmlns:r="http://schemas.openxmlformats.org/officeDocument/2006/relationships" ref="Q778" display="https://www.sebi.gov.in/sebi_data/attachdocs/oct-2022/1664779518143.pdf" r:id="rId1965"/>
    <hyperlink xmlns:r="http://schemas.openxmlformats.org/officeDocument/2006/relationships" ref="R778" display="https://www.sebi.gov.in/filings/public-issues/sep-2022/airox-technologies-limited-drhp_63605.html" r:id="rId1966"/>
    <hyperlink xmlns:r="http://schemas.openxmlformats.org/officeDocument/2006/relationships" ref="AB778" r:id="rId1967"/>
    <hyperlink xmlns:r="http://schemas.openxmlformats.org/officeDocument/2006/relationships" ref="Q779" display="https://www.sebi.gov.in/sebi_data/attachdocs/oct-2022/1664773998401.PDF" r:id="rId1968"/>
    <hyperlink xmlns:r="http://schemas.openxmlformats.org/officeDocument/2006/relationships" ref="R779" display="https://www.sebi.gov.in/filings/public-issues/sep-2022/lohia-corp-limited-drhp_63601.html" r:id="rId1969"/>
    <hyperlink xmlns:r="http://schemas.openxmlformats.org/officeDocument/2006/relationships" ref="AB779" r:id="rId1970"/>
    <hyperlink xmlns:r="http://schemas.openxmlformats.org/officeDocument/2006/relationships" ref="Q780" display="https://www.sebi.gov.in/sebi_data/attachdocs/sep-2022/1664517282750.pdf" r:id="rId1971"/>
    <hyperlink xmlns:r="http://schemas.openxmlformats.org/officeDocument/2006/relationships" ref="R780" display="https://www.sebi.gov.in/filings/public-issues/sep-2022/enviro-infra-engineers-limited-drhp_63529.html" r:id="rId1972"/>
    <hyperlink xmlns:r="http://schemas.openxmlformats.org/officeDocument/2006/relationships" ref="AB780" r:id="rId1973"/>
    <hyperlink xmlns:r="http://schemas.openxmlformats.org/officeDocument/2006/relationships" ref="Q781" display="https://www.sebi.gov.in/sebi_data/attachdocs/sep-2022/1664427888261.pdf" r:id="rId1974"/>
    <hyperlink xmlns:r="http://schemas.openxmlformats.org/officeDocument/2006/relationships" ref="R781" display="https://www.sebi.gov.in/filings/public-issues/sep-2022/udayshivakumar-infra-limited-drhp_63457.html" r:id="rId1975"/>
    <hyperlink xmlns:r="http://schemas.openxmlformats.org/officeDocument/2006/relationships" ref="Q782" display="https://www.sebi.gov.in/sebi_data/attachdocs/sep-2022/1664270325636.pdf" r:id="rId1976"/>
    <hyperlink xmlns:r="http://schemas.openxmlformats.org/officeDocument/2006/relationships" ref="R782" display="https://www.sebi.gov.in/filings/public-issues/sep-2022/wapcos-limited_63398.html" r:id="rId1977"/>
    <hyperlink xmlns:r="http://schemas.openxmlformats.org/officeDocument/2006/relationships" ref="AB782" r:id="rId1978"/>
    <hyperlink xmlns:r="http://schemas.openxmlformats.org/officeDocument/2006/relationships" ref="Q783" display="https://www.sebi.gov.in/sebi_data/attachdocs/sep-2022/1664430377326.PDF" r:id="rId1979"/>
    <hyperlink xmlns:r="http://schemas.openxmlformats.org/officeDocument/2006/relationships" ref="R783" display="https://www.sebi.gov.in/filings/public-issues/sep-2022/dharmaj-crop-guard-limited-addendum-to-drhp_63458.html" r:id="rId1980"/>
    <hyperlink xmlns:r="http://schemas.openxmlformats.org/officeDocument/2006/relationships" ref="Q784" display="https://www.sebi.gov.in/sebi_data/attachdocs/sep-2022/1663923007921.PDF" r:id="rId1981"/>
    <hyperlink xmlns:r="http://schemas.openxmlformats.org/officeDocument/2006/relationships" ref="R784" display="https://www.sebi.gov.in/filings/public-issues/sep-2022/divgi-torqtransfer-systems-limited-drhp_63303.html" r:id="rId1982"/>
    <hyperlink xmlns:r="http://schemas.openxmlformats.org/officeDocument/2006/relationships" ref="Q785" display="https://www.sebi.gov.in/sebi_data/attachdocs/sep-2022/1663916527724.pdf" r:id="rId1983"/>
    <hyperlink xmlns:r="http://schemas.openxmlformats.org/officeDocument/2006/relationships" ref="R785" display="https://www.sebi.gov.in/filings/public-issues/sep-2022/puranik-builders-limited-addendum-to-drhp_63297.html" r:id="rId1984"/>
    <hyperlink xmlns:r="http://schemas.openxmlformats.org/officeDocument/2006/relationships" ref="AB785" r:id="rId1985"/>
    <hyperlink xmlns:r="http://schemas.openxmlformats.org/officeDocument/2006/relationships" ref="Q786" display="https://www.sebi.gov.in/sebi_data/attachdocs/sep-2022/1663658220973.pdf" r:id="rId1986"/>
    <hyperlink xmlns:r="http://schemas.openxmlformats.org/officeDocument/2006/relationships" ref="R786" display="https://www.sebi.gov.in/filings/public-issues/sep-2022/addendum-to-drhp-of-plaza-wires-limited_63061.html" r:id="rId1987"/>
    <hyperlink xmlns:r="http://schemas.openxmlformats.org/officeDocument/2006/relationships" ref="AB786" r:id="rId1988"/>
    <hyperlink xmlns:r="http://schemas.openxmlformats.org/officeDocument/2006/relationships" ref="Q787" display="https://www.sebi.gov.in/sebi_data/attachdocs/sep-2022/1663559912097.pdf" r:id="rId1989"/>
    <hyperlink xmlns:r="http://schemas.openxmlformats.org/officeDocument/2006/relationships" ref="R787" display="https://www.sebi.gov.in/filings/public-issues/sep-2022/oravel-stays-limited-addendum-to-the-drhp_63023.html" r:id="rId1990"/>
    <hyperlink xmlns:r="http://schemas.openxmlformats.org/officeDocument/2006/relationships" ref="AB787" r:id="rId1991"/>
    <hyperlink xmlns:r="http://schemas.openxmlformats.org/officeDocument/2006/relationships" ref="Q788" display="https://www.sebi.gov.in/sebi_data/attachdocs/sep-2022/1663321983909.pdf" r:id="rId1992"/>
    <hyperlink xmlns:r="http://schemas.openxmlformats.org/officeDocument/2006/relationships" ref="R788" display="https://www.sebi.gov.in/filings/public-issues/sep-2022/mankind-pharma-ltd-drhp_63010.html" r:id="rId1993"/>
    <hyperlink xmlns:r="http://schemas.openxmlformats.org/officeDocument/2006/relationships" ref="Q789" display="https://www.sebi.gov.in/sebi_data/attachdocs/sep-2022/1663152481684.PDF" r:id="rId1994"/>
    <hyperlink xmlns:r="http://schemas.openxmlformats.org/officeDocument/2006/relationships" ref="R789" display="https://www.sebi.gov.in/filings/public-issues/sep-2022/capital-small-finance-bank-limited-addendum-to-the-drhp_62952.html" r:id="rId1995"/>
    <hyperlink xmlns:r="http://schemas.openxmlformats.org/officeDocument/2006/relationships" ref="Q790" display="https://www.sebi.gov.in/sebi_data/attachdocs/sep-2022/1662972579788.pdf" r:id="rId1996"/>
    <hyperlink xmlns:r="http://schemas.openxmlformats.org/officeDocument/2006/relationships" ref="R790" display="https://www.sebi.gov.in/filings/public-issues/sep-2022/le-travenues-technology-limited-addendum-to-drhp_62873.html" r:id="rId1997"/>
    <hyperlink xmlns:r="http://schemas.openxmlformats.org/officeDocument/2006/relationships" ref="Q791" display="https://www.sebi.gov.in/sebi_data/attachdocs/sep-2022/1662637007311.pdf" r:id="rId1998"/>
    <hyperlink xmlns:r="http://schemas.openxmlformats.org/officeDocument/2006/relationships" ref="R791" display="https://www.sebi.gov.in/filings/public-issues/sep-2022/aprameya-engineering-limited-drhp_62841.html" r:id="rId1999"/>
    <hyperlink xmlns:r="http://schemas.openxmlformats.org/officeDocument/2006/relationships" ref="Q792" display="https://www.sebi.gov.in/sebi_data/attachdocs/sep-2022/1662540902220.pdf" r:id="rId2000"/>
    <hyperlink xmlns:r="http://schemas.openxmlformats.org/officeDocument/2006/relationships" ref="R792" display="https://www.sebi.gov.in/filings/public-issues/sep-2022/manoj-vaibhav-gems-n-jewellers-limited-drhp_62727.html" r:id="rId2001"/>
    <hyperlink xmlns:r="http://schemas.openxmlformats.org/officeDocument/2006/relationships" ref="Q793" display="https://www.sebi.gov.in/sebi_data/attachdocs/sep-2022/1662522066376.PDF" r:id="rId2002"/>
    <hyperlink xmlns:r="http://schemas.openxmlformats.org/officeDocument/2006/relationships" ref="R793" display="https://www.sebi.gov.in/filings/public-issues/sep-2022/sah-polymers-limited-addendum-to-drhp_62723.html" r:id="rId2003"/>
    <hyperlink xmlns:r="http://schemas.openxmlformats.org/officeDocument/2006/relationships" ref="Q794" display="https://www.sebi.gov.in/sebi_data/attachdocs/sep-2022/1662371991171.pdf" r:id="rId2004"/>
    <hyperlink xmlns:r="http://schemas.openxmlformats.org/officeDocument/2006/relationships" ref="R794" display="https://www.sebi.gov.in/filings/public-issues/sep-2022/blue-jet-healthcare-limited_62646.html" r:id="rId2005"/>
    <hyperlink xmlns:r="http://schemas.openxmlformats.org/officeDocument/2006/relationships" ref="Q795" display="https://www.sebi.gov.in/sebi_data/attachdocs/aug-2022/1661849591625.pdf" r:id="rId2006"/>
    <hyperlink xmlns:r="http://schemas.openxmlformats.org/officeDocument/2006/relationships" ref="R795" display="https://www.sebi.gov.in/filings/public-issues/aug-2022/addendum-to-drhp-of-navi-technologies-limited_62459.html" r:id="rId2007"/>
    <hyperlink xmlns:r="http://schemas.openxmlformats.org/officeDocument/2006/relationships" ref="AB795" r:id="rId2008"/>
    <hyperlink xmlns:r="http://schemas.openxmlformats.org/officeDocument/2006/relationships" ref="Q796" display="https://www.sebi.gov.in/sebi_data/attachdocs/aug-2022/1660732945575.pdf" r:id="rId2009"/>
    <hyperlink xmlns:r="http://schemas.openxmlformats.org/officeDocument/2006/relationships" ref="R796" display="https://www.sebi.gov.in/filings/public-issues/aug-2022/balaji-solutions-limited_61974.html" r:id="rId2010"/>
    <hyperlink xmlns:r="http://schemas.openxmlformats.org/officeDocument/2006/relationships" ref="AB796" r:id="rId2011"/>
    <hyperlink xmlns:r="http://schemas.openxmlformats.org/officeDocument/2006/relationships" ref="Q797" display="https://www.sebi.gov.in/sebi_data/attachdocs/aug-2022/1660725516098.PDF" r:id="rId2012"/>
    <hyperlink xmlns:r="http://schemas.openxmlformats.org/officeDocument/2006/relationships" ref="R797" display="https://www.sebi.gov.in/filings/public-issues/aug-2022/go-digit-general-insurance-limited_61970.html" r:id="rId2013"/>
    <hyperlink xmlns:r="http://schemas.openxmlformats.org/officeDocument/2006/relationships" ref="Q798" display="https://www.sebi.gov.in/sebi_data/attachdocs/aug-2022/1660714052191.pdf" r:id="rId2014"/>
    <hyperlink xmlns:r="http://schemas.openxmlformats.org/officeDocument/2006/relationships" ref="R798" display="https://www.sebi.gov.in/filings/public-issues/aug-2022/concord-biotech-limited_61961.html" r:id="rId2015"/>
    <hyperlink xmlns:r="http://schemas.openxmlformats.org/officeDocument/2006/relationships" ref="Q799" display="https://www.sebi.gov.in/sebi_data/attachdocs/aug-2022/1660298640346.pdf" r:id="rId2016"/>
    <hyperlink xmlns:r="http://schemas.openxmlformats.org/officeDocument/2006/relationships" ref="R799" display="https://www.sebi.gov.in/filings/public-issues/aug-2022/balaji-speciality-chemicals-limited-drhp_61929.html" r:id="rId2017"/>
    <hyperlink xmlns:r="http://schemas.openxmlformats.org/officeDocument/2006/relationships" ref="AB799" r:id="rId2018"/>
    <hyperlink xmlns:r="http://schemas.openxmlformats.org/officeDocument/2006/relationships" ref="Q800" display="https://www.sebi.gov.in/sebi_data/attachdocs/aug-2022/1660200896282.PDF" r:id="rId2019"/>
    <hyperlink xmlns:r="http://schemas.openxmlformats.org/officeDocument/2006/relationships" ref="R800" display="https://www.sebi.gov.in/filings/public-issues/aug-2022/avalon-technologies-limited_61872.html" r:id="rId2020"/>
    <hyperlink xmlns:r="http://schemas.openxmlformats.org/officeDocument/2006/relationships" ref="Q801" display="https://www.sebi.gov.in/sebi_data/attachdocs/aug-2022/1659942966902.pdf" r:id="rId2021"/>
    <hyperlink xmlns:r="http://schemas.openxmlformats.org/officeDocument/2006/relationships" ref="R801" display="https://www.sebi.gov.in/filings/public-issues/aug-2022/fincare-small-finance-bank-limited_61794.html" r:id="rId2022"/>
    <hyperlink xmlns:r="http://schemas.openxmlformats.org/officeDocument/2006/relationships" ref="AB801" r:id="rId2023"/>
    <hyperlink xmlns:r="http://schemas.openxmlformats.org/officeDocument/2006/relationships" ref="Q802" display="https://www.sebi.gov.in/sebi_data/attachdocs/aug-2022/1659433623186.pdf" r:id="rId2024"/>
    <hyperlink xmlns:r="http://schemas.openxmlformats.org/officeDocument/2006/relationships" ref="R802" display="https://www.sebi.gov.in/filings/public-issues/aug-2022/utkarsh-small-finance-bank-ltd_61497.html" r:id="rId2025"/>
    <hyperlink xmlns:r="http://schemas.openxmlformats.org/officeDocument/2006/relationships" ref="Q803" display="https://www.sebi.gov.in/sebi_data/attachdocs/aug-2022/1659418620527.pdf" r:id="rId2026"/>
    <hyperlink xmlns:r="http://schemas.openxmlformats.org/officeDocument/2006/relationships" ref="R803" display="https://www.sebi.gov.in/filings/public-issues/aug-2022/ssba-innovations-limited_61474.html" r:id="rId2027"/>
    <hyperlink xmlns:r="http://schemas.openxmlformats.org/officeDocument/2006/relationships" ref="AB803" r:id="rId2028"/>
    <hyperlink xmlns:r="http://schemas.openxmlformats.org/officeDocument/2006/relationships" ref="Q804" display="https://www.sebi.gov.in/sebi_data/attachdocs/jul-2022/1659005306568.pdf" r:id="rId2029"/>
    <hyperlink xmlns:r="http://schemas.openxmlformats.org/officeDocument/2006/relationships" ref="R804" display="https://www.sebi.gov.in/filings/public-issues/jul-2022/biba-fashions-limited-addendum-to-the-drhp_61285.html" r:id="rId2030"/>
    <hyperlink xmlns:r="http://schemas.openxmlformats.org/officeDocument/2006/relationships" ref="AB804" r:id="rId2031"/>
    <hyperlink xmlns:r="http://schemas.openxmlformats.org/officeDocument/2006/relationships" ref="Q805" display="https://www.sebi.gov.in/sebi_data/attachdocs/jul-2022/1658900123833.pdf" r:id="rId2032"/>
    <hyperlink xmlns:r="http://schemas.openxmlformats.org/officeDocument/2006/relationships" ref="R805" display="https://www.sebi.gov.in/filings/public-issues/jul-2022/uniparts-india-limited-addendum-to-the-drhp_61214.html" r:id="rId2033"/>
    <hyperlink xmlns:r="http://schemas.openxmlformats.org/officeDocument/2006/relationships" ref="Q806" display="https://www.sebi.gov.in/sebi_data/attachdocs/jul-2022/1658818653116.pdf" r:id="rId2034"/>
    <hyperlink xmlns:r="http://schemas.openxmlformats.org/officeDocument/2006/relationships" ref="R806" display="https://www.sebi.gov.in/filings/public-issues/jul-2022/sai-silk-kalamandir-limited-drhp_61175.html" r:id="rId2035"/>
    <hyperlink xmlns:r="http://schemas.openxmlformats.org/officeDocument/2006/relationships" ref="AB806" r:id="rId2036"/>
    <hyperlink xmlns:r="http://schemas.openxmlformats.org/officeDocument/2006/relationships" ref="Q807" display="https://www.sebi.gov.in/sebi_data/attachdocs/jul-2022/1658137325541.PDF" r:id="rId2037"/>
    <hyperlink xmlns:r="http://schemas.openxmlformats.org/officeDocument/2006/relationships" ref="R807" display="https://www.sebi.gov.in/filings/public-issues/jul-2022/sula-vineyards-limited_60878.html" r:id="rId2038"/>
    <hyperlink xmlns:r="http://schemas.openxmlformats.org/officeDocument/2006/relationships" ref="Q808" display="https://www.sebi.gov.in/sebi_data/attachdocs/jul-2022/1657860250451.pdf" r:id="rId2039"/>
    <hyperlink xmlns:r="http://schemas.openxmlformats.org/officeDocument/2006/relationships" ref="R808" display="https://www.sebi.gov.in/filings/public-issues/jul-2022/signature-global-india-limited-drhp_60808.html" r:id="rId2040"/>
    <hyperlink xmlns:r="http://schemas.openxmlformats.org/officeDocument/2006/relationships" ref="Q809" display="https://www.sebi.gov.in/sebi_data/attachdocs/jul-2022/1657692732674.pdf" r:id="rId2041"/>
    <hyperlink xmlns:r="http://schemas.openxmlformats.org/officeDocument/2006/relationships" ref="R809" display="https://www.sebi.gov.in/filings/public-issues/jul-2022/sah-polymers-limited-corrigendum-to-draft-red-herring-prospectus_60756.html" r:id="rId2042"/>
    <hyperlink xmlns:r="http://schemas.openxmlformats.org/officeDocument/2006/relationships" ref="Q810" display="https://www.sebi.gov.in/sebi_data/attachdocs/jul-2022/1657187215936.pdf" r:id="rId2043"/>
    <hyperlink xmlns:r="http://schemas.openxmlformats.org/officeDocument/2006/relationships" ref="R810" display="https://www.sebi.gov.in/filings/public-issues/jul-2022/mitsu-chem-plast-limited_60645.html" r:id="rId2044"/>
    <hyperlink xmlns:r="http://schemas.openxmlformats.org/officeDocument/2006/relationships" ref="AB810" r:id="rId2045"/>
    <hyperlink xmlns:r="http://schemas.openxmlformats.org/officeDocument/2006/relationships" ref="Q811" display="https://www.sebi.gov.in/sebi_data/attachdocs/jul-2022/1656669957126.PDF" r:id="rId2046"/>
    <hyperlink xmlns:r="http://schemas.openxmlformats.org/officeDocument/2006/relationships" ref="R811" display="https://www.sebi.gov.in/filings/public-issues/jul-2022/healthvista-india-limited-drhp_60506.html" r:id="rId2047"/>
    <hyperlink xmlns:r="http://schemas.openxmlformats.org/officeDocument/2006/relationships" ref="AB811" r:id="rId2048"/>
    <hyperlink xmlns:r="http://schemas.openxmlformats.org/officeDocument/2006/relationships" ref="Q812" display="https://www.sebi.gov.in/sebi_data/attachdocs/jul-2022/1656653167014.pdf" r:id="rId2049"/>
    <hyperlink xmlns:r="http://schemas.openxmlformats.org/officeDocument/2006/relationships" ref="R812" display="https://www.sebi.gov.in/filings/public-issues/jul-2022/concord-enviro-systems-limited_60500.html" r:id="rId2050"/>
    <hyperlink xmlns:r="http://schemas.openxmlformats.org/officeDocument/2006/relationships" ref="AB812" r:id="rId2051"/>
    <hyperlink xmlns:r="http://schemas.openxmlformats.org/officeDocument/2006/relationships" ref="Q813" display="https://www.sebi.gov.in/sebi_data/attachdocs/jun-2022/1656578776098.pdf" r:id="rId2052"/>
    <hyperlink xmlns:r="http://schemas.openxmlformats.org/officeDocument/2006/relationships" ref="R813" display="https://www.sebi.gov.in/filings/public-issues/jun-2022/innova-captab-limited-drhp_60404.html" r:id="rId2053"/>
    <hyperlink xmlns:r="http://schemas.openxmlformats.org/officeDocument/2006/relationships" ref="Q814" display="https://www.sebi.gov.in/sebi_data/attachdocs/jun-2022/1656405876894.pdf" r:id="rId2054"/>
    <hyperlink xmlns:r="http://schemas.openxmlformats.org/officeDocument/2006/relationships" ref="R814" display="https://www.sebi.gov.in/filings/public-issues/jun-2022/allied-blenders-and-distillers-limited-drhp_60292.html" r:id="rId2055"/>
    <hyperlink xmlns:r="http://schemas.openxmlformats.org/officeDocument/2006/relationships" ref="Q815" display="https://www.sebi.gov.in/sebi_data/attachdocs/jun-2022/1656400680973.pdf" r:id="rId2056"/>
    <hyperlink xmlns:r="http://schemas.openxmlformats.org/officeDocument/2006/relationships" ref="R815" display="https://www.sebi.gov.in/filings/public-issues/jun-2022/global-surfaces-limited_60289.html" r:id="rId2057"/>
    <hyperlink xmlns:r="http://schemas.openxmlformats.org/officeDocument/2006/relationships" ref="Q816" display="https://www.sebi.gov.in/sebi_data/attachdocs/jun-2022/1656319694106.pdf" r:id="rId2058"/>
    <hyperlink xmlns:r="http://schemas.openxmlformats.org/officeDocument/2006/relationships" ref="R816" display="https://www.sebi.gov.in/filings/public-issues/jun-2022/corrigendum-to-drhp-of-plaza-wires-limited_60197.html" r:id="rId2059"/>
    <hyperlink xmlns:r="http://schemas.openxmlformats.org/officeDocument/2006/relationships" ref="AB816" r:id="rId2060"/>
    <hyperlink xmlns:r="http://schemas.openxmlformats.org/officeDocument/2006/relationships" ref="Q817" display="https://www.sebi.gov.in/sebi_data/attachdocs/jun-2022/1656308835091.PDF" r:id="rId2061"/>
    <hyperlink xmlns:r="http://schemas.openxmlformats.org/officeDocument/2006/relationships" ref="R817" display="https://www.sebi.gov.in/filings/public-issues/jun-2022/sah-polymers-limited-addendum-to-drhp_60146.html" r:id="rId2062"/>
    <hyperlink xmlns:r="http://schemas.openxmlformats.org/officeDocument/2006/relationships" ref="Q818" display="https://www.sebi.gov.in/sebi_data/attachdocs/jun-2022/1655982257046.pdf" r:id="rId2063"/>
    <hyperlink xmlns:r="http://schemas.openxmlformats.org/officeDocument/2006/relationships" ref="R818" display="https://www.sebi.gov.in/filings/public-issues/jun-2022/global-health-limited-addendum-to-the-drhp-_59963.html" r:id="rId2064"/>
    <hyperlink xmlns:r="http://schemas.openxmlformats.org/officeDocument/2006/relationships" ref="Q819" display="https://www.sebi.gov.in/sebi_data/attachdocs/jun-2022/1655876827634.pdf" r:id="rId2065"/>
    <hyperlink xmlns:r="http://schemas.openxmlformats.org/officeDocument/2006/relationships" ref="R819" display="https://www.sebi.gov.in/filings/public-issues/jun-2022/bharat-fih-limited-addendum-to-the-drhp_59903.html" r:id="rId2066"/>
    <hyperlink xmlns:r="http://schemas.openxmlformats.org/officeDocument/2006/relationships" ref="AB819" r:id="rId2067"/>
    <hyperlink xmlns:r="http://schemas.openxmlformats.org/officeDocument/2006/relationships" ref="Q820" display="https://www.sebi.gov.in/sebi_data/attachdocs/jun-2022/1655725396233.pdf" r:id="rId2068"/>
    <hyperlink xmlns:r="http://schemas.openxmlformats.org/officeDocument/2006/relationships" ref="R820" display="https://www.sebi.gov.in/filings/public-issues/jun-2022/stitched-textiles-limited_59831.html" r:id="rId2069"/>
    <hyperlink xmlns:r="http://schemas.openxmlformats.org/officeDocument/2006/relationships" ref="AB820" r:id="rId2070"/>
    <hyperlink xmlns:r="http://schemas.openxmlformats.org/officeDocument/2006/relationships" ref="Q821" display="https://www.sebi.gov.in/sebi_data/attachdocs/jun-2022/1655725142192.pdf" r:id="rId2071"/>
    <hyperlink xmlns:r="http://schemas.openxmlformats.org/officeDocument/2006/relationships" ref="R821" display="https://www.sebi.gov.in/filings/public-issues/jun-2022/inox-green-energy-services-limited_59829.html" r:id="rId2072"/>
    <hyperlink xmlns:r="http://schemas.openxmlformats.org/officeDocument/2006/relationships" ref="Q822" display="https://www.sebi.gov.in/sebi_data/attachdocs/jun-2022/1655459382467.pdf" r:id="rId2073"/>
    <hyperlink xmlns:r="http://schemas.openxmlformats.org/officeDocument/2006/relationships" ref="R822" display="https://www.sebi.gov.in/filings/public-issues/jun-2022/deltatech-gaming-limited-drhp_59791.html" r:id="rId2074"/>
    <hyperlink xmlns:r="http://schemas.openxmlformats.org/officeDocument/2006/relationships" ref="AB822" r:id="rId2075"/>
    <hyperlink xmlns:r="http://schemas.openxmlformats.org/officeDocument/2006/relationships" ref="Q823" display="https://www.sebi.gov.in/sebi_data/attachdocs/jun-2022/1655095999372.pdf" r:id="rId2076"/>
    <hyperlink xmlns:r="http://schemas.openxmlformats.org/officeDocument/2006/relationships" ref="R823" display="https://www.sebi.gov.in/filings/public-issues/jun-2022/keystone-realtors-limited-drhp_59686.html" r:id="rId2077"/>
    <hyperlink xmlns:r="http://schemas.openxmlformats.org/officeDocument/2006/relationships" ref="Q824" display="https://www.sebi.gov.in/sebi_data/attachdocs/jun-2022/1654756574549.pdf" r:id="rId2078"/>
    <hyperlink xmlns:r="http://schemas.openxmlformats.org/officeDocument/2006/relationships" ref="R824" display="https://www.sebi.gov.in/filings/public-issues/jun-2022/five-star-business-finance-limited-addendum-to-the-drhp_59600.html" r:id="rId2079"/>
    <hyperlink xmlns:r="http://schemas.openxmlformats.org/officeDocument/2006/relationships" ref="Q825" display="https://www.sebi.gov.in/sebi_data/attachdocs/jun-2022/1654085904201.pdf" r:id="rId2080"/>
    <hyperlink xmlns:r="http://schemas.openxmlformats.org/officeDocument/2006/relationships" ref="R825" display="https://www.sebi.gov.in/filings/public-issues/jun-2022/gemini-edibles-and-fats-india-limited-addendum-to-the-drhp-_59457.html" r:id="rId2081"/>
    <hyperlink xmlns:r="http://schemas.openxmlformats.org/officeDocument/2006/relationships" ref="AB825" r:id="rId2082"/>
    <hyperlink xmlns:r="http://schemas.openxmlformats.org/officeDocument/2006/relationships" ref="Q826" display="https://www.sebi.gov.in/sebi_data/attachdocs/may-2022/1653895122418.pdf" r:id="rId2083"/>
    <hyperlink xmlns:r="http://schemas.openxmlformats.org/officeDocument/2006/relationships" ref="R826" display="https://www.sebi.gov.in/filings/public-issues/may-2022/paymate-india-limited-drhp_59313.html" r:id="rId2084"/>
    <hyperlink xmlns:r="http://schemas.openxmlformats.org/officeDocument/2006/relationships" ref="AB826" r:id="rId2085"/>
    <hyperlink xmlns:r="http://schemas.openxmlformats.org/officeDocument/2006/relationships" ref="Q827" display="https://www.sebi.gov.in/sebi_data/attachdocs/may-2022/1653371532879.PDF" r:id="rId2086"/>
    <hyperlink xmlns:r="http://schemas.openxmlformats.org/officeDocument/2006/relationships" ref="R827" display="https://www.sebi.gov.in/filings/public-issues/may-2022/addendum-to-drhp-of-fusion-micro-finance-limited_59119.html" r:id="rId2087"/>
    <hyperlink xmlns:r="http://schemas.openxmlformats.org/officeDocument/2006/relationships" ref="AB827" r:id="rId2088"/>
    <hyperlink xmlns:r="http://schemas.openxmlformats.org/officeDocument/2006/relationships" ref="Q828" display="https://www.sebi.gov.in/sebi_data/attachdocs/may-2022/1652423343024.pdf" r:id="rId2089"/>
    <hyperlink xmlns:r="http://schemas.openxmlformats.org/officeDocument/2006/relationships" ref="R828" display="https://www.sebi.gov.in/filings/public-issues/may-2022/pristine-logistics-and-infraprojects-limited-drhp_58907.html" r:id="rId2090"/>
    <hyperlink xmlns:r="http://schemas.openxmlformats.org/officeDocument/2006/relationships" ref="AB828" r:id="rId2091"/>
    <hyperlink xmlns:r="http://schemas.openxmlformats.org/officeDocument/2006/relationships" ref="Q829" display="https://www.sebi.gov.in/sebi_data/attachdocs/may-2022/1652349605720.pdf" r:id="rId2092"/>
    <hyperlink xmlns:r="http://schemas.openxmlformats.org/officeDocument/2006/relationships" ref="R829" display="https://www.sebi.gov.in/filings/public-issues/may-2022/firstmeridian-business-services-limited-drhp_58894.html" r:id="rId2093"/>
    <hyperlink xmlns:r="http://schemas.openxmlformats.org/officeDocument/2006/relationships" ref="AB829" r:id="rId2094"/>
    <hyperlink xmlns:r="http://schemas.openxmlformats.org/officeDocument/2006/relationships" ref="Q830" display="https://www.sebi.gov.in/sebi_data/attachdocs/may-2022/1652161383291.pdf" r:id="rId2095"/>
    <hyperlink xmlns:r="http://schemas.openxmlformats.org/officeDocument/2006/relationships" ref="R830" display="https://www.sebi.gov.in/filings/public-issues/may-2022/plaza-wires-limited_58799.html" r:id="rId2096"/>
    <hyperlink xmlns:r="http://schemas.openxmlformats.org/officeDocument/2006/relationships" ref="Q831" display="https://www.sebi.gov.in/sebi_data/attachdocs/may-2022/1651746906727.pdf" r:id="rId2097"/>
    <hyperlink xmlns:r="http://schemas.openxmlformats.org/officeDocument/2006/relationships" ref="R831" display="https://www.sebi.gov.in/filings/public-issues/apr-2022/uniparts-india-ltd-drhp_58720.html" r:id="rId2098"/>
    <hyperlink xmlns:r="http://schemas.openxmlformats.org/officeDocument/2006/relationships" ref="Q832" display="https://www.sebi.gov.in/sebi_data/attachdocs/apr-2022/1651122905344.PDF" r:id="rId2099"/>
    <hyperlink xmlns:r="http://schemas.openxmlformats.org/officeDocument/2006/relationships" ref="R832" display="https://www.sebi.gov.in/filings/public-issues/apr-2022/protean-egov-technologies-limited-addendum-to-the-drhp_58494.html" r:id="rId2100"/>
    <hyperlink xmlns:r="http://schemas.openxmlformats.org/officeDocument/2006/relationships" ref="Q833" display="https://www.sebi.gov.in/sebi_data/attachdocs/apr-2022/1650949750064.pdf" r:id="rId2101"/>
    <hyperlink xmlns:r="http://schemas.openxmlformats.org/officeDocument/2006/relationships" ref="R833" display="https://www.sebi.gov.in/filings/public-issues/apr-2022/sah-polymers-limited-drhp_58383.html" r:id="rId2102"/>
    <hyperlink xmlns:r="http://schemas.openxmlformats.org/officeDocument/2006/relationships" ref="Q834" display="https://www.sebi.gov.in/sebi_data/attachdocs/apr-2022/1650361305479.PDF" r:id="rId2103"/>
    <hyperlink xmlns:r="http://schemas.openxmlformats.org/officeDocument/2006/relationships" ref="R834" display="https://www.sebi.gov.in/filings/public-issues/apr-2022/prasol-chemicals-limited-drhp_58196.html" r:id="rId2104"/>
    <hyperlink xmlns:r="http://schemas.openxmlformats.org/officeDocument/2006/relationships" ref="AB834" r:id="rId2105"/>
    <hyperlink xmlns:r="http://schemas.openxmlformats.org/officeDocument/2006/relationships" ref="Q835" display="https://www.sebi.gov.in/sebi_data/attachdocs/apr-2022/1650279468468.PDF" r:id="rId2106"/>
    <hyperlink xmlns:r="http://schemas.openxmlformats.org/officeDocument/2006/relationships" ref="R835" display="https://www.sebi.gov.in/filings/public-issues/apr-2022/kaynes-technology-india-limited-drhp_58131.html" r:id="rId2107"/>
    <hyperlink xmlns:r="http://schemas.openxmlformats.org/officeDocument/2006/relationships" ref="Q836" display="https://www.sebi.gov.in/sebi_data/attachdocs/apr-2022/1650272025516.pdf" r:id="rId2108"/>
    <hyperlink xmlns:r="http://schemas.openxmlformats.org/officeDocument/2006/relationships" ref="R836" display="https://www.sebi.gov.in/filings/public-issues/apr-2022/senco-gold-limited-drhp_58130.html" r:id="rId2109"/>
    <hyperlink xmlns:r="http://schemas.openxmlformats.org/officeDocument/2006/relationships" ref="Q837" display="https://www.sebi.gov.in/sebi_data/attachdocs/apr-2022/1649740255603.pdf" r:id="rId2110"/>
    <hyperlink xmlns:r="http://schemas.openxmlformats.org/officeDocument/2006/relationships" ref="R837" display="https://www.sebi.gov.in/filings/public-issues/apr-2022/biba-fashion-limited-drhp_57967.html" r:id="rId2111"/>
    <hyperlink xmlns:r="http://schemas.openxmlformats.org/officeDocument/2006/relationships" ref="Q838" display="https://www.sebi.gov.in/sebi_data/attachdocs/apr-2022/1649669575753.pdf" r:id="rId2112"/>
    <hyperlink xmlns:r="http://schemas.openxmlformats.org/officeDocument/2006/relationships" ref="R838" display="https://www.sebi.gov.in/filings/public-issues/apr-2022/gold-plus-glass-industry-limited-drhp_57911.html" r:id="rId2113"/>
    <hyperlink xmlns:r="http://schemas.openxmlformats.org/officeDocument/2006/relationships" ref="AB838" r:id="rId2114"/>
    <hyperlink xmlns:r="http://schemas.openxmlformats.org/officeDocument/2006/relationships" ref="Q839" display="https://www.sebi.gov.in/sebi_data/attachdocs/apr-2022/1649222063715.pdf" r:id="rId2115"/>
    <hyperlink xmlns:r="http://schemas.openxmlformats.org/officeDocument/2006/relationships" ref="R839" display="https://www.sebi.gov.in/filings/public-issues/apr-2022/aadhar-housing-finance-limited-addendum_57639.html" r:id="rId2116"/>
    <hyperlink xmlns:r="http://schemas.openxmlformats.org/officeDocument/2006/relationships" ref="AB839" r:id="rId2117"/>
    <hyperlink xmlns:r="http://schemas.openxmlformats.org/officeDocument/2006/relationships" ref="Q840" display="https://www.sebi.gov.in/sebi_data/attachdocs/apr-2022/1649217556348.pdf" r:id="rId2118"/>
    <hyperlink xmlns:r="http://schemas.openxmlformats.org/officeDocument/2006/relationships" ref="R840" display="https://www.sebi.gov.in/filings/public-issues/apr-2022/dcx-systems-limited_57631.html" r:id="rId2119"/>
    <hyperlink xmlns:r="http://schemas.openxmlformats.org/officeDocument/2006/relationships" ref="Q841" display="https://www.sebi.gov.in/sebi_data/attachdocs/apr-2022/1649149837349.pdf" r:id="rId2120"/>
    <hyperlink xmlns:r="http://schemas.openxmlformats.org/officeDocument/2006/relationships" ref="R841" display="https://www.sebi.gov.in/filings/public-issues/apr-2022/yatharth-hospital-and-trauma-care-services-limited_57585.html" r:id="rId2121"/>
    <hyperlink xmlns:r="http://schemas.openxmlformats.org/officeDocument/2006/relationships" ref="Q842" display="https://www.sebi.gov.in/sebi_data/attachdocs/apr-2022/1649061896992.PDF" r:id="rId2122"/>
    <hyperlink xmlns:r="http://schemas.openxmlformats.org/officeDocument/2006/relationships" ref="R842" display="https://www.sebi.gov.in/filings/public-issues/apr-2022/kfin-technologies-limited_57539.html" r:id="rId2123"/>
    <hyperlink xmlns:r="http://schemas.openxmlformats.org/officeDocument/2006/relationships" ref="Q843" display="https://www.sebi.gov.in/sebi_data/attachdocs/mar-2022/1648632326825.pdf" r:id="rId2124"/>
    <hyperlink xmlns:r="http://schemas.openxmlformats.org/officeDocument/2006/relationships" ref="R843" display="https://www.sebi.gov.in/filings/public-issues/mar-2022/hemani-industries-limited_57349.html" r:id="rId2125"/>
    <hyperlink xmlns:r="http://schemas.openxmlformats.org/officeDocument/2006/relationships" ref="AB843" r:id="rId2126"/>
    <hyperlink xmlns:r="http://schemas.openxmlformats.org/officeDocument/2006/relationships" ref="Q844" display="https://www.sebi.gov.in/sebi_data/attachdocs/mar-2022/1648550617486.pdf" r:id="rId2127"/>
    <hyperlink xmlns:r="http://schemas.openxmlformats.org/officeDocument/2006/relationships" ref="R844" display="https://www.sebi.gov.in/filings/public-issues/mar-2022/gujarat-polysol-chemicals-limited_57298.html" r:id="rId2128"/>
    <hyperlink xmlns:r="http://schemas.openxmlformats.org/officeDocument/2006/relationships" ref="AB844" r:id="rId2129"/>
    <hyperlink xmlns:r="http://schemas.openxmlformats.org/officeDocument/2006/relationships" ref="Q845" display="https://www.sebi.gov.in/sebi_data/attachdocs/mar-2022/1648451411816.pdf" r:id="rId2130"/>
    <hyperlink xmlns:r="http://schemas.openxmlformats.org/officeDocument/2006/relationships" ref="R845" display="https://www.sebi.gov.in/filings/public-issues/mar-2022/joyalukkas-india-limited_57219.html" r:id="rId2131"/>
    <hyperlink xmlns:r="http://schemas.openxmlformats.org/officeDocument/2006/relationships" ref="AB845" r:id="rId2132"/>
    <hyperlink xmlns:r="http://schemas.openxmlformats.org/officeDocument/2006/relationships" ref="Q846" display="https://www.sebi.gov.in/sebi_data/attachdocs/mar-2022/1648451219761.pdf" r:id="rId2133"/>
    <hyperlink xmlns:r="http://schemas.openxmlformats.org/officeDocument/2006/relationships" ref="R846" display="https://www.sebi.gov.in/filings/public-issues/mar-2022/yatra-online-limited_57218.html" r:id="rId2134"/>
    <hyperlink xmlns:r="http://schemas.openxmlformats.org/officeDocument/2006/relationships" ref="Q847" display="https://www.sebi.gov.in/sebi_data/attachdocs/mar-2022/1648442915512.pdf" r:id="rId2135"/>
    <hyperlink xmlns:r="http://schemas.openxmlformats.org/officeDocument/2006/relationships" ref="R847" display="https://www.sebi.gov.in/filings/public-issues/mar-2022/hma-agro-industries-limited_57195.html" r:id="rId2136"/>
    <hyperlink xmlns:r="http://schemas.openxmlformats.org/officeDocument/2006/relationships" ref="Q848" display="https://www.sebi.gov.in/sebi_data/attachdocs/mar-2022/1648118634631.pdf" r:id="rId2137"/>
    <hyperlink xmlns:r="http://schemas.openxmlformats.org/officeDocument/2006/relationships" ref="R848" display="https://www.sebi.gov.in/filings/public-issues/mar-2022/vikram-solar-limited-drhp_57110.html" r:id="rId2138"/>
    <hyperlink xmlns:r="http://schemas.openxmlformats.org/officeDocument/2006/relationships" ref="AB848" r:id="rId2139"/>
    <hyperlink xmlns:r="http://schemas.openxmlformats.org/officeDocument/2006/relationships" ref="Q849" display="https://www.sebi.gov.in/sebi_data/attachdocs/mar-2022/1648115477416.pdf" r:id="rId2140"/>
    <hyperlink xmlns:r="http://schemas.openxmlformats.org/officeDocument/2006/relationships" ref="R849" display="https://www.sebi.gov.in/filings/public-issues/mar-2022/pkh-ventures-limited_57108.html" r:id="rId2141"/>
    <hyperlink xmlns:r="http://schemas.openxmlformats.org/officeDocument/2006/relationships" ref="AB849" r:id="rId2142"/>
    <hyperlink xmlns:r="http://schemas.openxmlformats.org/officeDocument/2006/relationships" ref="Q850" display="https://www.sebi.gov.in/sebi_data/attachdocs/mar-2022/1647922049984.pdf" r:id="rId2143"/>
    <hyperlink xmlns:r="http://schemas.openxmlformats.org/officeDocument/2006/relationships" ref="R850" display="https://www.sebi.gov.in/filings/public-issues/mar-2022/mukka-proteins-limited_57014.html" r:id="rId2144"/>
    <hyperlink xmlns:r="http://schemas.openxmlformats.org/officeDocument/2006/relationships" ref="Q851" display="https://www.sebi.gov.in/sebi_data/attachdocs/mar-2022/1647520140209.PDF" r:id="rId2145"/>
    <hyperlink xmlns:r="http://schemas.openxmlformats.org/officeDocument/2006/relationships" ref="R851" display="https://www.sebi.gov.in/filings/public-issues/mar-2022/corrtech-international-limited_56996.html" r:id="rId2146"/>
    <hyperlink xmlns:r="http://schemas.openxmlformats.org/officeDocument/2006/relationships" ref="AB851" r:id="rId2147"/>
    <hyperlink xmlns:r="http://schemas.openxmlformats.org/officeDocument/2006/relationships" ref="Q852" display="https://www.sebi.gov.in/sebi_data/attachdocs/mar-2022/1647250417596.pdf" r:id="rId2148"/>
    <hyperlink xmlns:r="http://schemas.openxmlformats.org/officeDocument/2006/relationships" ref="R852" display="https://www.sebi.gov.in/filings/public-issues/mar-2022/navi-technologies-limited_56853.html" r:id="rId2149"/>
    <hyperlink xmlns:r="http://schemas.openxmlformats.org/officeDocument/2006/relationships" ref="AB852" r:id="rId2150"/>
    <hyperlink xmlns:r="http://schemas.openxmlformats.org/officeDocument/2006/relationships" ref="Q853" display="https://www.sebi.gov.in/sebi_data/attachdocs/mar-2022/1646902016643.PDF" r:id="rId2151"/>
    <hyperlink xmlns:r="http://schemas.openxmlformats.org/officeDocument/2006/relationships" ref="R853" display="https://www.sebi.gov.in/filings/public-issues/mar-2022/ebixcash-limited_56719.html" r:id="rId2152"/>
    <hyperlink xmlns:r="http://schemas.openxmlformats.org/officeDocument/2006/relationships" ref="AB853" r:id="rId2153"/>
    <hyperlink xmlns:r="http://schemas.openxmlformats.org/officeDocument/2006/relationships" ref="Q854" display="https://www.sebi.gov.in/sebi_data/attachdocs/mar-2022/1646821102490.PDF" r:id="rId2154"/>
    <hyperlink xmlns:r="http://schemas.openxmlformats.org/officeDocument/2006/relationships" ref="R854" display="https://www.sebi.gov.in/filings/public-issues/mar-2022/india-exposition-mart-limited_56684.html" r:id="rId2155"/>
    <hyperlink xmlns:r="http://schemas.openxmlformats.org/officeDocument/2006/relationships" ref="AB854" r:id="rId2156"/>
    <hyperlink xmlns:r="http://schemas.openxmlformats.org/officeDocument/2006/relationships" ref="Q855" display="https://www.sebi.gov.in/sebi_data/attachdocs/mar-2022/1646631081824.pdf" r:id="rId2157"/>
    <hyperlink xmlns:r="http://schemas.openxmlformats.org/officeDocument/2006/relationships" ref="R855" display="https://www.sebi.gov.in/filings/public-issues/mar-2022/suraj-estate-developers-limited-drhp_56639.html" r:id="rId2158"/>
    <hyperlink xmlns:r="http://schemas.openxmlformats.org/officeDocument/2006/relationships" ref="Q856" display="https://www.sebi.gov.in/sebi_data/attachdocs/feb-2022/1645595502807.pdf" r:id="rId2159"/>
    <hyperlink xmlns:r="http://schemas.openxmlformats.org/officeDocument/2006/relationships" ref="R856" display="https://www.sebi.gov.in/filings/public-issues/feb-2022/bikaji-foods-international-limited_56321.html" r:id="rId2160"/>
    <hyperlink xmlns:r="http://schemas.openxmlformats.org/officeDocument/2006/relationships" ref="Q857" display="https://www.sebi.gov.in/sebi_data/attachdocs/feb-2022/1645505802717.pdf" r:id="rId2161"/>
    <hyperlink xmlns:r="http://schemas.openxmlformats.org/officeDocument/2006/relationships" ref="R857" display="https://www.sebi.gov.in/filings/public-issues/feb-2022/fedbank-financial-services-limited_56273.html" r:id="rId2162"/>
    <hyperlink xmlns:r="http://schemas.openxmlformats.org/officeDocument/2006/relationships" ref="Q858" display="https://www.sebi.gov.in/sebi_data/attachdocs/feb-2022/1645434836236.PDF" r:id="rId2163"/>
    <hyperlink xmlns:r="http://schemas.openxmlformats.org/officeDocument/2006/relationships" ref="R858" display="https://www.sebi.gov.in/filings/public-issues/feb-2022/archean-chemical-industries-limited_56255.html" r:id="rId2164"/>
    <hyperlink xmlns:r="http://schemas.openxmlformats.org/officeDocument/2006/relationships" ref="Q859" display="https://www.sebi.gov.in/sebi_data/attachdocs/feb-2022/1644990054346.pdf" r:id="rId2165"/>
    <hyperlink xmlns:r="http://schemas.openxmlformats.org/officeDocument/2006/relationships" ref="R859" display="https://www.sebi.gov.in/filings/public-issues/feb-2022/life-insurance-corporation-of-india-corrigendum-to-drhp_56092.html" r:id="rId2166"/>
    <hyperlink xmlns:r="http://schemas.openxmlformats.org/officeDocument/2006/relationships" ref="Q860" display="https://www.sebi.gov.in/sebi_data/attachdocs/feb-2022/1644925771350.PDF" r:id="rId2167"/>
    <hyperlink xmlns:r="http://schemas.openxmlformats.org/officeDocument/2006/relationships" ref="R860" display="https://www.sebi.gov.in/filings/public-issues/feb-2022/tvs-supply-chain-solutions-limited_56081.html" r:id="rId2168"/>
    <hyperlink xmlns:r="http://schemas.openxmlformats.org/officeDocument/2006/relationships" ref="Q861" display="https://www.sebi.gov.in/sebi_data/attachdocs/feb-2022/1644915066679.PDF" r:id="rId2169"/>
    <hyperlink xmlns:r="http://schemas.openxmlformats.org/officeDocument/2006/relationships" ref="R861" display="https://www.sebi.gov.in/filings/public-issues/feb-2022/macleods-pharmaceuticals-limited_56072.html" r:id="rId2170"/>
    <hyperlink xmlns:r="http://schemas.openxmlformats.org/officeDocument/2006/relationships" ref="AB861" r:id="rId2171"/>
    <hyperlink xmlns:r="http://schemas.openxmlformats.org/officeDocument/2006/relationships" ref="Q862" display="https://www.sebi.gov.in/sebi_data/attachdocs/feb-2022/1644761029168.pdf" r:id="rId2172"/>
    <hyperlink xmlns:r="http://schemas.openxmlformats.org/officeDocument/2006/relationships" ref="R862" display="https://www.sebi.gov.in/filings/public-issues/feb-2022/life-insurance-corporation-of-india_56035.html" r:id="rId2173"/>
    <hyperlink xmlns:r="http://schemas.openxmlformats.org/officeDocument/2006/relationships" ref="Q863" display="https://www.sebi.gov.in/sebi_data/attachdocs/feb-2022/1644577140463.pdf" r:id="rId2174"/>
    <hyperlink xmlns:r="http://schemas.openxmlformats.org/officeDocument/2006/relationships" ref="R863" display="https://www.sebi.gov.in/filings/public-issues/feb-2022/kids-clinic-india-limited_56011.html" r:id="rId2175"/>
    <hyperlink xmlns:r="http://schemas.openxmlformats.org/officeDocument/2006/relationships" ref="AB863" r:id="rId2176"/>
    <hyperlink xmlns:r="http://schemas.openxmlformats.org/officeDocument/2006/relationships" ref="Q864" display="https://www.sebi.gov.in/sebi_data/attachdocs/feb-2022/1644388324612.PDF" r:id="rId2177"/>
    <hyperlink xmlns:r="http://schemas.openxmlformats.org/officeDocument/2006/relationships" ref="R864" display="https://www.sebi.gov.in/filings/public-issues/feb-2022/cogent-e-services-limited_55966.html" r:id="rId2178"/>
    <hyperlink xmlns:r="http://schemas.openxmlformats.org/officeDocument/2006/relationships" ref="AB864" r:id="rId2179"/>
    <hyperlink xmlns:r="http://schemas.openxmlformats.org/officeDocument/2006/relationships" ref="Q865" display="https://www.sebi.gov.in/sebi_data/attachdocs/feb-2022/1644388087350.pdf" r:id="rId2180"/>
    <hyperlink xmlns:r="http://schemas.openxmlformats.org/officeDocument/2006/relationships" ref="R865" display="https://www.sebi.gov.in/filings/public-issues/feb-2022/harsha-engineers-international-limited_55965.html" r:id="rId2181"/>
    <hyperlink xmlns:r="http://schemas.openxmlformats.org/officeDocument/2006/relationships" ref="Q866" display="https://www.sebi.gov.in/sebi_data/attachdocs/feb-2022/1644320501889.pdf" r:id="rId2182"/>
    <hyperlink xmlns:r="http://schemas.openxmlformats.org/officeDocument/2006/relationships" ref="R866" display="https://www.sebi.gov.in/filings/public-issues/feb-2022/inox-green-energy-services-limited_55952.html" r:id="rId2183"/>
    <hyperlink xmlns:r="http://schemas.openxmlformats.org/officeDocument/2006/relationships" ref="Q867" display="https://www.sebi.gov.in/sebi_data/attachdocs/feb-2022/1643704377168.pdf" r:id="rId2184"/>
    <hyperlink xmlns:r="http://schemas.openxmlformats.org/officeDocument/2006/relationships" ref="R867" display="https://www.sebi.gov.in/filings/public-issues/feb-2022/ethos-limited_55804.html" r:id="rId2185"/>
    <hyperlink xmlns:r="http://schemas.openxmlformats.org/officeDocument/2006/relationships" ref="Q868" display="https://www.sebi.gov.in/sebi_data/attachdocs/jan-2022/1643625050275.pdf" r:id="rId2186"/>
    <hyperlink xmlns:r="http://schemas.openxmlformats.org/officeDocument/2006/relationships" ref="R868" display="https://www.sebi.gov.in/filings/public-issues/jan-2022/adani-wilmar-limited-corrigendum_55746.html" r:id="rId2187"/>
    <hyperlink xmlns:r="http://schemas.openxmlformats.org/officeDocument/2006/relationships" ref="AB868" r:id="rId2188"/>
    <hyperlink xmlns:r="http://schemas.openxmlformats.org/officeDocument/2006/relationships" ref="Q869" display="https://www.sebi.gov.in/sebi_data/attachdocs/jan-2022/1643600980018.pdf" r:id="rId2189"/>
    <hyperlink xmlns:r="http://schemas.openxmlformats.org/officeDocument/2006/relationships" ref="R869" display="https://www.sebi.gov.in/filings/public-issues/jan-2022/dharmaj-crop-guard-limited_55731.html" r:id="rId2190"/>
    <hyperlink xmlns:r="http://schemas.openxmlformats.org/officeDocument/2006/relationships" ref="Q870" display="https://www.sebi.gov.in/sebi_data/attachdocs/jan-2022/1643353844101.PDF" r:id="rId2191"/>
    <hyperlink xmlns:r="http://schemas.openxmlformats.org/officeDocument/2006/relationships" ref="R870" display="https://www.sebi.gov.in/filings/public-issues/jan-2022/imagine-marketing-limited_55666.html" r:id="rId2192"/>
    <hyperlink xmlns:r="http://schemas.openxmlformats.org/officeDocument/2006/relationships" ref="AB870" r:id="rId2193"/>
    <hyperlink xmlns:r="http://schemas.openxmlformats.org/officeDocument/2006/relationships" ref="Q871" display="https://www.sebi.gov.in/sebi_data/attachdocs/jan-2022/1643089255412.pdf" r:id="rId2194"/>
    <hyperlink xmlns:r="http://schemas.openxmlformats.org/officeDocument/2006/relationships" ref="R871" display="https://www.sebi.gov.in/filings/public-issues/jan-2022/fabindia-limited_55532.html" r:id="rId2195"/>
    <hyperlink xmlns:r="http://schemas.openxmlformats.org/officeDocument/2006/relationships" ref="AB871" r:id="rId2196"/>
    <hyperlink xmlns:r="http://schemas.openxmlformats.org/officeDocument/2006/relationships" ref="Q872" display="https://www.sebi.gov.in/sebi_data/attachdocs/jan-2022/1643024252581.PDF" r:id="rId2197"/>
    <hyperlink xmlns:r="http://schemas.openxmlformats.org/officeDocument/2006/relationships" ref="R872" display="https://www.sebi.gov.in/filings/public-issues/jan-2022/dreamfolks-services-limited_55509.html" r:id="rId2198"/>
    <hyperlink xmlns:r="http://schemas.openxmlformats.org/officeDocument/2006/relationships" ref="Q873" display="https://www.sebi.gov.in/sebi_data/attachdocs/jan-2022/1643024168944.pdf" r:id="rId2199"/>
    <hyperlink xmlns:r="http://schemas.openxmlformats.org/officeDocument/2006/relationships" ref="R873" display="https://www.sebi.gov.in/filings/public-issues/jan-2022/nandan-terry-limited-corrigendum_55508.html" r:id="rId2200"/>
    <hyperlink xmlns:r="http://schemas.openxmlformats.org/officeDocument/2006/relationships" ref="AB873" r:id="rId2201"/>
    <hyperlink xmlns:r="http://schemas.openxmlformats.org/officeDocument/2006/relationships" ref="Q874" display="https://www.sebi.gov.in/sebi_data/attachdocs/jan-2022/1642660211430.pdf" r:id="rId2202"/>
    <hyperlink xmlns:r="http://schemas.openxmlformats.org/officeDocument/2006/relationships" ref="R874" display="https://www.sebi.gov.in/filings/public-issues/jan-2022/landmark-cars-limited_55417.html" r:id="rId2203"/>
    <hyperlink xmlns:r="http://schemas.openxmlformats.org/officeDocument/2006/relationships" ref="Q875" display="https://www.sebi.gov.in/sebi_data/attachdocs/jan-2022/1641882492892.pdf" r:id="rId2204"/>
    <hyperlink xmlns:r="http://schemas.openxmlformats.org/officeDocument/2006/relationships" ref="R875" display="https://www.sebi.gov.in/filings/public-issues/jan-2022/sresta-natural-bioproducts-limited_55257.html" r:id="rId2205"/>
    <hyperlink xmlns:r="http://schemas.openxmlformats.org/officeDocument/2006/relationships" ref="AB875" r:id="rId2206"/>
    <hyperlink xmlns:r="http://schemas.openxmlformats.org/officeDocument/2006/relationships" ref="Q876" display="https://www.sebi.gov.in/sebi_data/attachdocs/may-2023/1684477689622.pdf" r:id="rId2207"/>
    <hyperlink xmlns:r="http://schemas.openxmlformats.org/officeDocument/2006/relationships" ref="R876" display="https://www.sebi.gov.in/filings/public-issues/jan-2022/sanathan-textiles-limited_55255.html" r:id="rId2208"/>
    <hyperlink xmlns:r="http://schemas.openxmlformats.org/officeDocument/2006/relationships" ref="AB876" r:id="rId2209"/>
    <hyperlink xmlns:r="http://schemas.openxmlformats.org/officeDocument/2006/relationships" ref="Q877" display="https://www.sebi.gov.in/sebi_data/attachdocs/apr-2023/1682055984160.pdf" r:id="rId2210"/>
    <hyperlink xmlns:r="http://schemas.openxmlformats.org/officeDocument/2006/relationships" ref="R877" display="https://www.sebi.gov.in/filings/public-issues/jan-2022/course5-intelligence-limited_55249.html" r:id="rId2211"/>
    <hyperlink xmlns:r="http://schemas.openxmlformats.org/officeDocument/2006/relationships" ref="AB877" r:id="rId2212"/>
    <hyperlink xmlns:r="http://schemas.openxmlformats.org/officeDocument/2006/relationships" ref="Q878" display="https://www.sebi.gov.in/sebi_data/attachdocs/dec-2021/1640926829917.PDF" r:id="rId2213"/>
    <hyperlink xmlns:r="http://schemas.openxmlformats.org/officeDocument/2006/relationships" ref="R878" display="https://www.sebi.gov.in/filings/public-issues/dec-2021/aether-industries-limited_55116.html" r:id="rId2214"/>
    <hyperlink xmlns:r="http://schemas.openxmlformats.org/officeDocument/2006/relationships" ref="Q879" display="https://www.sebi.gov.in/sebi_data/attachdocs/dec-2021/1640691609915.pdf" r:id="rId2215"/>
    <hyperlink xmlns:r="http://schemas.openxmlformats.org/officeDocument/2006/relationships" ref="R879" display="https://www.sebi.gov.in/filings/public-issues/dec-2021/rainbow-childrens-medicare-limited_55030.html" r:id="rId2216"/>
    <hyperlink xmlns:r="http://schemas.openxmlformats.org/officeDocument/2006/relationships" ref="Q880" display="https://www.sebi.gov.in/sebi_data/attachdocs/dec-2021/1640667337266.PDF" r:id="rId2217"/>
    <hyperlink xmlns:r="http://schemas.openxmlformats.org/officeDocument/2006/relationships" ref="R880" display="https://www.sebi.gov.in/filings/public-issues/dec-2021/protean-egov-technologies-limited_55005.html" r:id="rId2218"/>
    <hyperlink xmlns:r="http://schemas.openxmlformats.org/officeDocument/2006/relationships" ref="Q881" display="https://www.sebi.gov.in/sebi_data/attachdocs/may-2023/1684478101993.pdf" r:id="rId2219"/>
    <hyperlink xmlns:r="http://schemas.openxmlformats.org/officeDocument/2006/relationships" ref="R881" display="https://www.sebi.gov.in/filings/public-issues/dec-2021/campus-activewear-limited_54993.html" r:id="rId2220"/>
    <hyperlink xmlns:r="http://schemas.openxmlformats.org/officeDocument/2006/relationships" ref="Q882" display="https://www.sebi.gov.in/sebi_data/attachdocs/dec-2021/1640598942536.pdf" r:id="rId2221"/>
    <hyperlink xmlns:r="http://schemas.openxmlformats.org/officeDocument/2006/relationships" ref="R882" display="https://www.sebi.gov.in/filings/public-issues/dec-2021/bharat-fih-limited_54984.html" r:id="rId2222"/>
    <hyperlink xmlns:r="http://schemas.openxmlformats.org/officeDocument/2006/relationships" ref="AB882" r:id="rId2223"/>
    <hyperlink xmlns:r="http://schemas.openxmlformats.org/officeDocument/2006/relationships" ref="Q883" display="https://www.sebi.gov.in/sebi_data/attachdocs/mar-2023/1680236774794.pdf" r:id="rId2224"/>
    <hyperlink xmlns:r="http://schemas.openxmlformats.org/officeDocument/2006/relationships" ref="R883" display="https://www.sebi.gov.in/filings/public-issues/dec-2021/venus-pipes-and-tubes-limited_54981.html" r:id="rId2225"/>
    <hyperlink xmlns:r="http://schemas.openxmlformats.org/officeDocument/2006/relationships" ref="Q884" display="https://www.sebi.gov.in/sebi_data/attachdocs/apr-2023/1682056189212.pdf" r:id="rId2226"/>
    <hyperlink xmlns:r="http://schemas.openxmlformats.org/officeDocument/2006/relationships" ref="R884" display="https://www.sebi.gov.in/filings/public-issues/dec-2021/tbo-tek-limited_54978.html" r:id="rId2227"/>
    <hyperlink xmlns:r="http://schemas.openxmlformats.org/officeDocument/2006/relationships" ref="AB884" r:id="rId2228"/>
    <hyperlink xmlns:r="http://schemas.openxmlformats.org/officeDocument/2006/relationships" ref="Q885" display="https://www.sebi.gov.in/sebi_data/attachdocs/dec-2021/1640597265468.pdf" r:id="rId2229"/>
    <hyperlink xmlns:r="http://schemas.openxmlformats.org/officeDocument/2006/relationships" ref="R885" display="https://www.sebi.gov.in/filings/public-issues/dec-2021/capillary-technologies-india-limited_54977.html" r:id="rId2230"/>
    <hyperlink xmlns:r="http://schemas.openxmlformats.org/officeDocument/2006/relationships" ref="AB885" r:id="rId2231"/>
    <hyperlink xmlns:r="http://schemas.openxmlformats.org/officeDocument/2006/relationships" ref="Q886" display="https://www.sebi.gov.in/sebi_data/attachdocs/apr-2023/1681708455360.pdf" r:id="rId2232"/>
    <hyperlink xmlns:r="http://schemas.openxmlformats.org/officeDocument/2006/relationships" ref="R886" display="https://www.sebi.gov.in/filings/public-issues/dec-2021/hexagon-nutrition-limited_54958.html" r:id="rId2233"/>
    <hyperlink xmlns:r="http://schemas.openxmlformats.org/officeDocument/2006/relationships" ref="AB886" r:id="rId2234"/>
    <hyperlink xmlns:r="http://schemas.openxmlformats.org/officeDocument/2006/relationships" ref="Q887" display="https://www.sebi.gov.in/sebi_data/attachdocs/apr-2023/1682056359774.pdf" r:id="rId2235"/>
    <hyperlink xmlns:r="http://schemas.openxmlformats.org/officeDocument/2006/relationships" ref="R887" display="https://www.sebi.gov.in/filings/public-issues/dec-2021/asianet-satellite-communications-limited_54857.html" r:id="rId2236"/>
    <hyperlink xmlns:r="http://schemas.openxmlformats.org/officeDocument/2006/relationships" ref="AB887" r:id="rId2237"/>
    <hyperlink xmlns:r="http://schemas.openxmlformats.org/officeDocument/2006/relationships" ref="Q888" display="https://www.sebi.gov.in/sebi_data/attachdocs/dec-2021/1640066533522.pdf" r:id="rId2238"/>
    <hyperlink xmlns:r="http://schemas.openxmlformats.org/officeDocument/2006/relationships" ref="R888" display="https://www.sebi.gov.in/filings/public-issues/dec-2021/snapdeal-limited-drhp_54826.html" r:id="rId2239"/>
    <hyperlink xmlns:r="http://schemas.openxmlformats.org/officeDocument/2006/relationships" ref="AB888" r:id="rId2240"/>
    <hyperlink xmlns:r="http://schemas.openxmlformats.org/officeDocument/2006/relationships" ref="Q889" display="https://www.sebi.gov.in/sebi_data/attachdocs/apr-2023/1681728325244.pdf" r:id="rId2241"/>
    <hyperlink xmlns:r="http://schemas.openxmlformats.org/officeDocument/2006/relationships" ref="R889" display="https://www.sebi.gov.in/filings/public-issues/dec-2021/syrma-sgs-technology-limited_54635.html" r:id="rId2242"/>
    <hyperlink xmlns:r="http://schemas.openxmlformats.org/officeDocument/2006/relationships" ref="Q890" display="https://www.sebi.gov.in/sebi_data/attachdocs/jun-2023/1687844703232.pdf" r:id="rId2243"/>
    <hyperlink xmlns:r="http://schemas.openxmlformats.org/officeDocument/2006/relationships" ref="R890" display="https://www.sebi.gov.in/filings/public-issues/dec-2021/nandan-terry-limited_54588.html" r:id="rId2244"/>
    <hyperlink xmlns:r="http://schemas.openxmlformats.org/officeDocument/2006/relationships" ref="AB890" r:id="rId2245"/>
    <hyperlink xmlns:r="http://schemas.openxmlformats.org/officeDocument/2006/relationships" ref="Q891" display="https://www.sebi.gov.in/sebi_data/attachdocs/may-2023/1684478880364.pdf" r:id="rId2246"/>
    <hyperlink xmlns:r="http://schemas.openxmlformats.org/officeDocument/2006/relationships" ref="R891" display="https://www.sebi.gov.in/filings/public-issues/dec-2021/maini-precision-products-ltd_54615.html" r:id="rId2247"/>
    <hyperlink xmlns:r="http://schemas.openxmlformats.org/officeDocument/2006/relationships" ref="AB891" r:id="rId2248"/>
    <hyperlink xmlns:r="http://schemas.openxmlformats.org/officeDocument/2006/relationships" ref="Q892" display="https://www.sebi.gov.in/sebi_data/attachdocs/dec-2021/1639117458686.pdf" r:id="rId2249"/>
    <hyperlink xmlns:r="http://schemas.openxmlformats.org/officeDocument/2006/relationships" ref="R892" display="https://www.sebi.gov.in/filings/public-issues/dec-2021/cmr-green-technologies-limited-addendum-cum-corrigendum_54525.html" r:id="rId2250"/>
    <hyperlink xmlns:r="http://schemas.openxmlformats.org/officeDocument/2006/relationships" ref="AB892" r:id="rId2251"/>
    <hyperlink xmlns:r="http://schemas.openxmlformats.org/officeDocument/2006/relationships" ref="Q893" display="https://www.sebi.gov.in/sebi_data/attachdocs/dec-2021/1639044167121.pdf" r:id="rId2252"/>
    <hyperlink xmlns:r="http://schemas.openxmlformats.org/officeDocument/2006/relationships" ref="R893" display="https://www.sebi.gov.in/filings/public-issues/dec-2021/jk-files-and-engineering-limited_54514.html" r:id="rId2253"/>
    <hyperlink xmlns:r="http://schemas.openxmlformats.org/officeDocument/2006/relationships" ref="AB893" r:id="rId2254"/>
    <hyperlink xmlns:r="http://schemas.openxmlformats.org/officeDocument/2006/relationships" ref="Q894" display="https://www.sebi.gov.in/sebi_data/attachdocs/may-2023/1684478187166.pdf" r:id="rId2255"/>
    <hyperlink xmlns:r="http://schemas.openxmlformats.org/officeDocument/2006/relationships" ref="R894" display="https://www.sebi.gov.in/filings/public-issues/nov-2021/jesons-industries-limited-drhp_54222.html" r:id="rId2256"/>
    <hyperlink xmlns:r="http://schemas.openxmlformats.org/officeDocument/2006/relationships" ref="AB894" r:id="rId2257"/>
    <hyperlink xmlns:r="http://schemas.openxmlformats.org/officeDocument/2006/relationships" ref="Q895" display="https://www.sebi.gov.in/sebi_data/attachdocs/nov-2021/1637659122113.pdf" r:id="rId2258"/>
    <hyperlink xmlns:r="http://schemas.openxmlformats.org/officeDocument/2006/relationships" ref="R895" display="https://www.sebi.gov.in/filings/public-issues/nov-2021/go-airlines-india-limited-second-addendum-to-the-drhp_54128.html" r:id="rId2259"/>
    <hyperlink xmlns:r="http://schemas.openxmlformats.org/officeDocument/2006/relationships" ref="AB895" r:id="rId2260"/>
    <hyperlink xmlns:r="http://schemas.openxmlformats.org/officeDocument/2006/relationships" ref="Q896" display="https://www.sebi.gov.in/sebi_data/attachdocs/nov-2021/1637573093024.pdf" r:id="rId2261"/>
    <hyperlink xmlns:r="http://schemas.openxmlformats.org/officeDocument/2006/relationships" ref="R896" display="https://www.sebi.gov.in/filings/public-issues/nov-2021/adani-wilmar-limited-corrigendum_54098.html" r:id="rId2262"/>
    <hyperlink xmlns:r="http://schemas.openxmlformats.org/officeDocument/2006/relationships" ref="Q897" display="https://www.sebi.gov.in/sebi_data/attachdocs/apr-2023/1682057447460.pdf" r:id="rId2263"/>
    <hyperlink xmlns:r="http://schemas.openxmlformats.org/officeDocument/2006/relationships" ref="R897" display="https://www.sebi.gov.in/filings/public-issues/nov-2021/elin-electronics-limited_54076.html" r:id="rId2264"/>
    <hyperlink xmlns:r="http://schemas.openxmlformats.org/officeDocument/2006/relationships" ref="Q898" display="https://www.sebi.gov.in/sebi_data/attachdocs/may-2023/1683610115492.pdf" r:id="rId2265"/>
    <hyperlink xmlns:r="http://schemas.openxmlformats.org/officeDocument/2006/relationships" ref="R898" display="https://www.sebi.gov.in/filings/public-issues/nov-2021/droom-technology-limited_53946.html" r:id="rId2266"/>
    <hyperlink xmlns:r="http://schemas.openxmlformats.org/officeDocument/2006/relationships" ref="AB898" r:id="rId2267"/>
    <hyperlink xmlns:r="http://schemas.openxmlformats.org/officeDocument/2006/relationships" ref="Q899" display="https://www.sebi.gov.in/sebi_data/attachdocs/apr-2023/1681727908413.pdf" r:id="rId2268"/>
    <hyperlink xmlns:r="http://schemas.openxmlformats.org/officeDocument/2006/relationships" ref="R899" display="https://www.sebi.gov.in/filings/public-issues/nov-2021/emudhra-limited_53934.html" r:id="rId2269"/>
    <hyperlink xmlns:r="http://schemas.openxmlformats.org/officeDocument/2006/relationships" ref="Q900" display="https://www.sebi.gov.in/sebi_data/attachdocs/may-2023/1684485971694.pdf" r:id="rId2270"/>
    <hyperlink xmlns:r="http://schemas.openxmlformats.org/officeDocument/2006/relationships" ref="R900" display="https://www.sebi.gov.in/filings/public-issues/nov-2021/five-star-business-finance-limited_53885.html" r:id="rId2271"/>
    <hyperlink xmlns:r="http://schemas.openxmlformats.org/officeDocument/2006/relationships" ref="Q901" display="https://www.sebi.gov.in/sebi_data/attachdocs/apr-2023/1681124791057.pdf" r:id="rId2272"/>
    <hyperlink xmlns:r="http://schemas.openxmlformats.org/officeDocument/2006/relationships" ref="R901" display="https://www.sebi.gov.in/filings/public-issues/nov-2021/veranda-learning-solutions-limited_53868.html" r:id="rId2273"/>
    <hyperlink xmlns:r="http://schemas.openxmlformats.org/officeDocument/2006/relationships" ref="Q902" display="https://www.sebi.gov.in/sebi_data/attachdocs/nov-2021/1636605933124.pdf" r:id="rId2274"/>
    <hyperlink xmlns:r="http://schemas.openxmlformats.org/officeDocument/2006/relationships" ref="R902" display="https://www.sebi.gov.in/filings/public-issues/nov-2021/api-holdings-limited-ipo-drhp_53850.html" r:id="rId2275"/>
    <hyperlink xmlns:r="http://schemas.openxmlformats.org/officeDocument/2006/relationships" ref="AB902" r:id="rId2276"/>
    <hyperlink xmlns:r="http://schemas.openxmlformats.org/officeDocument/2006/relationships" ref="Q903" display="https://www.sebi.gov.in/sebi_data/attachdocs/nov-2021/1636527663772.pdf" r:id="rId2277"/>
    <hyperlink xmlns:r="http://schemas.openxmlformats.org/officeDocument/2006/relationships" ref="R903" display="https://www.sebi.gov.in/filings/public-issues/nov-2021/go-airlines-india-limited-addendum-to-drhp_53827.html" r:id="rId2278"/>
    <hyperlink xmlns:r="http://schemas.openxmlformats.org/officeDocument/2006/relationships" ref="AB903" r:id="rId2279"/>
    <hyperlink xmlns:r="http://schemas.openxmlformats.org/officeDocument/2006/relationships" ref="Q904" display="https://www.sebi.gov.in/sebi_data/attachdocs/nov-2021/1635921144635.pdf" r:id="rId2280"/>
    <hyperlink xmlns:r="http://schemas.openxmlformats.org/officeDocument/2006/relationships" ref="R904" display="https://www.sebi.gov.in/filings/public-issues/nov-2021/delhivery-limited_53741.html" r:id="rId2281"/>
    <hyperlink xmlns:r="http://schemas.openxmlformats.org/officeDocument/2006/relationships" ref="Q905" display="https://www.sebi.gov.in/sebi_data/attachdocs/jun-2023/1687844519514.pdf" r:id="rId2282"/>
    <hyperlink xmlns:r="http://schemas.openxmlformats.org/officeDocument/2006/relationships" ref="R905" display="https://www.sebi.gov.in/filings/public-issues/nov-2021/capital-small-finance-bank-limited_53666.html" r:id="rId2283"/>
    <hyperlink xmlns:r="http://schemas.openxmlformats.org/officeDocument/2006/relationships" ref="AB905" r:id="rId2284"/>
    <hyperlink xmlns:r="http://schemas.openxmlformats.org/officeDocument/2006/relationships" ref="Q906" display="https://www.sebi.gov.in/sebi_data/attachdocs/apr-2023/1681728121033.PDF" r:id="rId2285"/>
    <hyperlink xmlns:r="http://schemas.openxmlformats.org/officeDocument/2006/relationships" ref="R906" display="https://www.sebi.gov.in/filings/public-issues/oct-2021/gpt-healthcare-limited_53315.html" r:id="rId2286"/>
    <hyperlink xmlns:r="http://schemas.openxmlformats.org/officeDocument/2006/relationships" ref="AB906" r:id="rId2287"/>
    <hyperlink xmlns:r="http://schemas.openxmlformats.org/officeDocument/2006/relationships" ref="Q907" display="https://www.sebi.gov.in/sebi_data/attachdocs/apr-2023/1681729285497.pdf" r:id="rId2288"/>
    <hyperlink xmlns:r="http://schemas.openxmlformats.org/officeDocument/2006/relationships" ref="R907" display="https://www.sebi.gov.in/filings/public-issues/oct-2021/radiant-cash-management-services-limited_53262.html" r:id="rId2289"/>
    <hyperlink xmlns:r="http://schemas.openxmlformats.org/officeDocument/2006/relationships" ref="Q908" display="https://www.sebi.gov.in/sebi_data/attachdocs/oct-2021/1634115848881.pdf" r:id="rId2290"/>
    <hyperlink xmlns:r="http://schemas.openxmlformats.org/officeDocument/2006/relationships" ref="R908" display="https://www.sebi.gov.in/filings/public-issues/oct-2021/easing-of-operational-procedure_53257.html" r:id="rId2291"/>
    <hyperlink xmlns:r="http://schemas.openxmlformats.org/officeDocument/2006/relationships" ref="Q909" display="https://www.sebi.gov.in/sebi_data/attachdocs/oct-2021/1633086336012.pdf" r:id="rId2292"/>
    <hyperlink xmlns:r="http://schemas.openxmlformats.org/officeDocument/2006/relationships" ref="R909" display="https://www.sebi.gov.in/filings/public-issues/oct-2021/oravel-stays-limited_53084.html" r:id="rId2293"/>
    <hyperlink xmlns:r="http://schemas.openxmlformats.org/officeDocument/2006/relationships" ref="AB909" r:id="rId2294"/>
    <hyperlink xmlns:r="http://schemas.openxmlformats.org/officeDocument/2006/relationships" ref="Q910" display="https://www.sebi.gov.in/sebi_data/attachdocs/may-2023/1683610288276.pdf" r:id="rId2295"/>
    <hyperlink xmlns:r="http://schemas.openxmlformats.org/officeDocument/2006/relationships" ref="R910" display="https://www.sebi.gov.in/filings/public-issues/oct-2021/bvg-india-limited_53072.html" r:id="rId2296"/>
    <hyperlink xmlns:r="http://schemas.openxmlformats.org/officeDocument/2006/relationships" ref="AB910" r:id="rId2297"/>
    <hyperlink xmlns:r="http://schemas.openxmlformats.org/officeDocument/2006/relationships" ref="Q911" display="https://www.sebi.gov.in/sebi_data/attachdocs/oct-2021/1633068598567.pdf" r:id="rId2298"/>
    <hyperlink xmlns:r="http://schemas.openxmlformats.org/officeDocument/2006/relationships" ref="R911" display="https://www.sebi.gov.in/filings/public-issues/oct-2021/uma-exports-limited_53071.html" r:id="rId2299"/>
    <hyperlink xmlns:r="http://schemas.openxmlformats.org/officeDocument/2006/relationships" ref="Q912" display="https://www.sebi.gov.in/sebi_data/attachdocs/oct-2021/1633066313151.pdf" r:id="rId2300"/>
    <hyperlink xmlns:r="http://schemas.openxmlformats.org/officeDocument/2006/relationships" ref="R912" display="https://www.sebi.gov.in/filings/public-issues/oct-2021/wellness-forever-medicare-limited_53070.html" r:id="rId2301"/>
    <hyperlink xmlns:r="http://schemas.openxmlformats.org/officeDocument/2006/relationships" ref="AB912" r:id="rId2302"/>
    <hyperlink xmlns:r="http://schemas.openxmlformats.org/officeDocument/2006/relationships" ref="Q913" display="https://www.sebi.gov.in/sebi_data/attachdocs/oct-2021/1633065250451.pdf" r:id="rId2303"/>
    <hyperlink xmlns:r="http://schemas.openxmlformats.org/officeDocument/2006/relationships" ref="R913" display="https://www.sebi.gov.in/filings/public-issues/oct-2021/pkh-ventures-limited_53069.html" r:id="rId2304"/>
    <hyperlink xmlns:r="http://schemas.openxmlformats.org/officeDocument/2006/relationships" ref="AB913" r:id="rId2305"/>
    <hyperlink xmlns:r="http://schemas.openxmlformats.org/officeDocument/2006/relationships" ref="Q914" display="https://www.sebi.gov.in/sebi_data/attachdocs/sep-2021/1632991079985.pdf" r:id="rId2306"/>
    <hyperlink xmlns:r="http://schemas.openxmlformats.org/officeDocument/2006/relationships" ref="R914" display="https://www.sebi.gov.in/filings/public-issues/sep-2021/global-health-limited_53030.html" r:id="rId2307"/>
    <hyperlink xmlns:r="http://schemas.openxmlformats.org/officeDocument/2006/relationships" ref="Q915" display="https://www.sebi.gov.in/sebi_data/attachdocs/sep-2021/1632978355924.pdf" r:id="rId2308"/>
    <hyperlink xmlns:r="http://schemas.openxmlformats.org/officeDocument/2006/relationships" ref="R915" display="https://www.sebi.gov.in/filings/public-issues/sep-2021/abans-holdings-limited_53019.html" r:id="rId2309"/>
    <hyperlink xmlns:r="http://schemas.openxmlformats.org/officeDocument/2006/relationships" ref="Q916" display="https://www.sebi.gov.in/sebi_data/attachdocs/apr-2023/1682057747724.PDF" r:id="rId2310"/>
    <hyperlink xmlns:r="http://schemas.openxmlformats.org/officeDocument/2006/relationships" ref="R916" display="https://www.sebi.gov.in/filings/public-issues/sep-2021/sahajanand-medical-technologies-limited_52996.html" r:id="rId2311"/>
    <hyperlink xmlns:r="http://schemas.openxmlformats.org/officeDocument/2006/relationships" ref="AB916" r:id="rId2312"/>
    <hyperlink xmlns:r="http://schemas.openxmlformats.org/officeDocument/2006/relationships" ref="Q917" display="https://www.sebi.gov.in/sebi_data/attachdocs/sep-2021/1632912125249.pdf" r:id="rId2313"/>
    <hyperlink xmlns:r="http://schemas.openxmlformats.org/officeDocument/2006/relationships" ref="R917" display="https://www.sebi.gov.in/filings/public-issues/sep-2021/veeda-clinical-research-limited_52985.html" r:id="rId2314"/>
    <hyperlink xmlns:r="http://schemas.openxmlformats.org/officeDocument/2006/relationships" ref="AB917" r:id="rId2315"/>
    <hyperlink xmlns:r="http://schemas.openxmlformats.org/officeDocument/2006/relationships" ref="Q918" display="https://www.sebi.gov.in/sebi_data/attachdocs/apr-2023/1682058378328.PDF" r:id="rId2316"/>
    <hyperlink xmlns:r="http://schemas.openxmlformats.org/officeDocument/2006/relationships" ref="R918" display="https://www.sebi.gov.in/filings/public-issues/sep-2021/waaree-energies-limited_52983.html" r:id="rId2317"/>
    <hyperlink xmlns:r="http://schemas.openxmlformats.org/officeDocument/2006/relationships" ref="AB918" r:id="rId2318"/>
    <hyperlink xmlns:r="http://schemas.openxmlformats.org/officeDocument/2006/relationships" ref="Q919" display="https://www.sebi.gov.in/sebi_data/attachdocs/apr-2023/1682057845662.PDF" r:id="rId2319"/>
    <hyperlink xmlns:r="http://schemas.openxmlformats.org/officeDocument/2006/relationships" ref="R919" display="https://www.sebi.gov.in/filings/public-issues/sep-2021/lava-international-limited_52980.html" r:id="rId2320"/>
    <hyperlink xmlns:r="http://schemas.openxmlformats.org/officeDocument/2006/relationships" ref="AB919" r:id="rId2321"/>
    <hyperlink xmlns:r="http://schemas.openxmlformats.org/officeDocument/2006/relationships" ref="Q920" display="https://www.sebi.gov.in/sebi_data/attachdocs/may-2023/1683610487738.pdf" r:id="rId2322"/>
    <hyperlink xmlns:r="http://schemas.openxmlformats.org/officeDocument/2006/relationships" ref="R920" display="https://www.sebi.gov.in/filings/public-issues/sep-2021/cmr-green-technologies-limited_52979.html" r:id="rId2323"/>
    <hyperlink xmlns:r="http://schemas.openxmlformats.org/officeDocument/2006/relationships" ref="AB920" r:id="rId2324"/>
    <hyperlink xmlns:r="http://schemas.openxmlformats.org/officeDocument/2006/relationships" ref="Q921" display="https://www.sebi.gov.in/sebi_data/attachdocs/apr-2023/1681713289967.pdf" r:id="rId2325"/>
    <hyperlink xmlns:r="http://schemas.openxmlformats.org/officeDocument/2006/relationships" ref="R921" display="https://www.sebi.gov.in/filings/public-issues/sep-2021/godavari-biorefineries-limited_52933.html" r:id="rId2326"/>
    <hyperlink xmlns:r="http://schemas.openxmlformats.org/officeDocument/2006/relationships" ref="AB921" r:id="rId2327"/>
    <hyperlink xmlns:r="http://schemas.openxmlformats.org/officeDocument/2006/relationships" ref="Q922" display="https://www.sebi.gov.in/sebi_data/attachdocs/apr-2023/1681726875378.pdf" r:id="rId2328"/>
    <hyperlink xmlns:r="http://schemas.openxmlformats.org/officeDocument/2006/relationships" ref="R922" display="https://www.sebi.gov.in/filings/public-issues/sep-2021/electronics-mart-india-limited_52760.html" r:id="rId2329"/>
    <hyperlink xmlns:r="http://schemas.openxmlformats.org/officeDocument/2006/relationships" ref="Q923" display="https://www.sebi.gov.in/sebi_data/attachdocs/may-2023/1684483816065.pdf" r:id="rId2330"/>
    <hyperlink xmlns:r="http://schemas.openxmlformats.org/officeDocument/2006/relationships" ref="R923" display="https://www.sebi.gov.in/filings/public-issues/sep-2021/data-patterns-india-limited_52759.html" r:id="rId2331"/>
    <hyperlink xmlns:r="http://schemas.openxmlformats.org/officeDocument/2006/relationships" ref="Q924" display="https://www.sebi.gov.in/sebi_data/attachdocs/sep-2021/1632208724120.pdf" r:id="rId2332"/>
    <hyperlink xmlns:r="http://schemas.openxmlformats.org/officeDocument/2006/relationships" ref="R924" display="https://www.sebi.gov.in/filings/public-issues/sep-2021/puranik-builders-limited_52737.html" r:id="rId2333"/>
    <hyperlink xmlns:r="http://schemas.openxmlformats.org/officeDocument/2006/relationships" ref="AB924" r:id="rId2334"/>
    <hyperlink xmlns:r="http://schemas.openxmlformats.org/officeDocument/2006/relationships" ref="Q925" display="https://www.sebi.gov.in/sebi_data/attachdocs/apr-2023/1681727033745.pdf" r:id="rId2335"/>
    <hyperlink xmlns:r="http://schemas.openxmlformats.org/officeDocument/2006/relationships" ref="R925" display="https://www.sebi.gov.in/filings/public-issues/sep-2021/hariom-pipe-industries-limited_52718.html" r:id="rId2336"/>
    <hyperlink xmlns:r="http://schemas.openxmlformats.org/officeDocument/2006/relationships" ref="Q926" display="https://www.sebi.gov.in/sebi_data/attachdocs/apr-2023/1682060315396.pdf" r:id="rId2337"/>
    <hyperlink xmlns:r="http://schemas.openxmlformats.org/officeDocument/2006/relationships" ref="R926" display="https://www.sebi.gov.in/filings/public-issues/sep-2021/vedant-fashions-limited_52555.html" r:id="rId2338"/>
    <hyperlink xmlns:r="http://schemas.openxmlformats.org/officeDocument/2006/relationships" ref="Q927" display="https://www.sebi.gov.in/sebi_data/attachdocs/sep-2021/1631013990540.PDF" r:id="rId2339"/>
    <hyperlink xmlns:r="http://schemas.openxmlformats.org/officeDocument/2006/relationships" ref="R927" display="https://www.sebi.gov.in/filings/public-issues/sep-2021/healthium-medtech-limited-drhp_52453.html" r:id="rId2340"/>
    <hyperlink xmlns:r="http://schemas.openxmlformats.org/officeDocument/2006/relationships" ref="AB927" r:id="rId2341"/>
    <hyperlink xmlns:r="http://schemas.openxmlformats.org/officeDocument/2006/relationships" ref="Q928" display="https://www.sebi.gov.in/sebi_data/attachdocs/sep-2021/1631013813872.pdf" r:id="rId2342"/>
    <hyperlink xmlns:r="http://schemas.openxmlformats.org/officeDocument/2006/relationships" ref="R928" display="https://www.sebi.gov.in/filings/public-issues/sep-2021/india1-payments-limited-drhp_52451.html" r:id="rId2343"/>
    <hyperlink xmlns:r="http://schemas.openxmlformats.org/officeDocument/2006/relationships" ref="AB928" r:id="rId2344"/>
    <hyperlink xmlns:r="http://schemas.openxmlformats.org/officeDocument/2006/relationships" ref="Q929" display="https://www.sebi.gov.in/sebi_data/attachdocs/sep-2021/1630994629026.pdf" r:id="rId2345"/>
    <hyperlink xmlns:r="http://schemas.openxmlformats.org/officeDocument/2006/relationships" ref="R929" display="https://www.sebi.gov.in/filings/public-issues/sep-2021/tamilnad-mercantile-bank-limited_52434.html" r:id="rId2346"/>
    <hyperlink xmlns:r="http://schemas.openxmlformats.org/officeDocument/2006/relationships" ref="Q930" display="https://www.sebi.gov.in/sebi_data/attachdocs/apr-2023/1682058494706.pdf" r:id="rId2347"/>
    <hyperlink xmlns:r="http://schemas.openxmlformats.org/officeDocument/2006/relationships" ref="R930" display="https://www.sebi.gov.in/filings/public-issues/sep-2021/esds-software-solutions-limited_52398.html" r:id="rId2348"/>
    <hyperlink xmlns:r="http://schemas.openxmlformats.org/officeDocument/2006/relationships" ref="AB930" r:id="rId2349"/>
    <hyperlink xmlns:r="http://schemas.openxmlformats.org/officeDocument/2006/relationships" ref="Q931" display="https://www.sebi.gov.in/sebi_data/attachdocs/sep-2021/1630664390458.pdf" r:id="rId2350"/>
    <hyperlink xmlns:r="http://schemas.openxmlformats.org/officeDocument/2006/relationships" ref="R931" display="https://www.sebi.gov.in/filings/public-issues/sep-2021/d-k-enterprises-global-limited_52364.html" r:id="rId2351"/>
    <hyperlink xmlns:r="http://schemas.openxmlformats.org/officeDocument/2006/relationships" ref="Q932" display="https://www.sebi.gov.in/sebi_data/attachdocs/sep-2021/1630660650926.pdf" r:id="rId2352"/>
    <hyperlink xmlns:r="http://schemas.openxmlformats.org/officeDocument/2006/relationships" ref="R932" display="https://www.sebi.gov.in/filings/public-issues/sep-2021/avyukta-dairy-products-limited_52362.html" r:id="rId2353"/>
    <hyperlink xmlns:r="http://schemas.openxmlformats.org/officeDocument/2006/relationships" ref="AB932" r:id="rId2354"/>
    <hyperlink xmlns:r="http://schemas.openxmlformats.org/officeDocument/2006/relationships" ref="Q933" display="https://www.sebi.gov.in/sebi_data/attachdocs/apr-2023/1682059822787.pdf" r:id="rId2355"/>
    <hyperlink xmlns:r="http://schemas.openxmlformats.org/officeDocument/2006/relationships" ref="R933" display="https://www.sebi.gov.in/filings/public-issues/sep-2021/c-e-info-systems-limited-drhp_52321.html" r:id="rId2356"/>
    <hyperlink xmlns:r="http://schemas.openxmlformats.org/officeDocument/2006/relationships" ref="Q934" display="https://www.sebi.gov.in/sebi_data/attachdocs/sep-2021/1630484305586.pdf" r:id="rId2357"/>
    <hyperlink xmlns:r="http://schemas.openxmlformats.org/officeDocument/2006/relationships" ref="R934" display="https://www.sebi.gov.in/filings/public-issues/sep-2021/aditya-birla-sun-life-amc-corrigendum-to-drhp_52304.html" r:id="rId2358"/>
    <hyperlink xmlns:r="http://schemas.openxmlformats.org/officeDocument/2006/relationships" ref="Q935" display="https://www.sebi.gov.in/sebi_data/attachdocs/sep-2021/1630484205106.pdf" r:id="rId2359"/>
    <hyperlink xmlns:r="http://schemas.openxmlformats.org/officeDocument/2006/relationships" ref="R935" display="https://www.sebi.gov.in/filings/public-issues/sep-2021/infinion-biopharma-limited_52303.html" r:id="rId2360"/>
    <hyperlink xmlns:r="http://schemas.openxmlformats.org/officeDocument/2006/relationships" ref="AB935" r:id="rId2361"/>
    <hyperlink xmlns:r="http://schemas.openxmlformats.org/officeDocument/2006/relationships" ref="Q936" display="https://www.sebi.gov.in/sebi_data/attachdocs/aug-2021/1630066435746.pdf" r:id="rId2362"/>
    <hyperlink xmlns:r="http://schemas.openxmlformats.org/officeDocument/2006/relationships" ref="R936" display="https://www.sebi.gov.in/filings/public-issues/aug-2021/maximus-international-limited_52143.html" r:id="rId2363"/>
    <hyperlink xmlns:r="http://schemas.openxmlformats.org/officeDocument/2006/relationships" ref="AB936" r:id="rId2364"/>
    <hyperlink xmlns:r="http://schemas.openxmlformats.org/officeDocument/2006/relationships" ref="Q937" display="https://www.sebi.gov.in/sebi_data/attachdocs/may-2023/1683093571163.pdf" r:id="rId2365"/>
    <hyperlink xmlns:r="http://schemas.openxmlformats.org/officeDocument/2006/relationships" ref="R937" display="https://www.sebi.gov.in/filings/public-issues/aug-2021/prudent-corporate-advisory-services-limited_52022.html" r:id="rId2366"/>
    <hyperlink xmlns:r="http://schemas.openxmlformats.org/officeDocument/2006/relationships" ref="Q938" display="https://www.sebi.gov.in/sebi_data/attachdocs/apr-2023/1681886073770.pdf" r:id="rId2367"/>
    <hyperlink xmlns:r="http://schemas.openxmlformats.org/officeDocument/2006/relationships" ref="R938" display="https://www.sebi.gov.in/filings/public-issues/aug-2021/metro-brands-limited_52009.html" r:id="rId2368"/>
    <hyperlink xmlns:r="http://schemas.openxmlformats.org/officeDocument/2006/relationships" ref="Q939" display="https://www.sebi.gov.in/sebi_data/attachdocs/may-2023/1683612171593.pdf" r:id="rId2369"/>
    <hyperlink xmlns:r="http://schemas.openxmlformats.org/officeDocument/2006/relationships" ref="R939" display="https://www.sebi.gov.in/filings/public-issues/aug-2021/ags-transact-technologies-limited_51981.html" r:id="rId2370"/>
    <hyperlink xmlns:r="http://schemas.openxmlformats.org/officeDocument/2006/relationships" ref="Q940" display="https://www.sebi.gov.in/sebi_data/attachdocs/apr-2023/1681883610977.pdf" r:id="rId2371"/>
    <hyperlink xmlns:r="http://schemas.openxmlformats.org/officeDocument/2006/relationships" ref="R940" display="https://www.sebi.gov.in/filings/public-issues/aug-2021/emcure-pharmaceuticals-limited_51971.html" r:id="rId2372"/>
    <hyperlink xmlns:r="http://schemas.openxmlformats.org/officeDocument/2006/relationships" ref="AB940" r:id="rId2373"/>
    <hyperlink xmlns:r="http://schemas.openxmlformats.org/officeDocument/2006/relationships" ref="Q941" display="https://www.sebi.gov.in/sebi_data/attachdocs/apr-2023/1681883356106.pdf" r:id="rId2374"/>
    <hyperlink xmlns:r="http://schemas.openxmlformats.org/officeDocument/2006/relationships" ref="R941" display="https://www.sebi.gov.in/filings/public-issues/aug-2021/medplus-health-services-limited_51966.html" r:id="rId2375"/>
    <hyperlink xmlns:r="http://schemas.openxmlformats.org/officeDocument/2006/relationships" ref="Q942" display="https://www.sebi.gov.in/sebi_data/attachdocs/aug-2021/1629284268385.pdf" r:id="rId2376"/>
    <hyperlink xmlns:r="http://schemas.openxmlformats.org/officeDocument/2006/relationships" ref="R942" display="https://www.sebi.gov.in/filings/public-issues/aug-2021/sterlite-power-transmissions-limited-drhp_51956.html" r:id="rId2377"/>
    <hyperlink xmlns:r="http://schemas.openxmlformats.org/officeDocument/2006/relationships" ref="AB942" r:id="rId2378"/>
    <hyperlink xmlns:r="http://schemas.openxmlformats.org/officeDocument/2006/relationships" ref="Q943" display="https://www.sebi.gov.in/sebi_data/attachdocs/apr-2023/1681883056051.pdf" r:id="rId2379"/>
    <hyperlink xmlns:r="http://schemas.openxmlformats.org/officeDocument/2006/relationships" ref="R943" display="https://www.sebi.gov.in/filings/public-issues/aug-2021/tega-industries-limited-drhp_51954.html" r:id="rId2380"/>
    <hyperlink xmlns:r="http://schemas.openxmlformats.org/officeDocument/2006/relationships" ref="Q944" display="https://www.sebi.gov.in/sebi_data/attachdocs/aug-2021/1629278801573.pdf" r:id="rId2381"/>
    <hyperlink xmlns:r="http://schemas.openxmlformats.org/officeDocument/2006/relationships" ref="R944" display="https://www.sebi.gov.in/filings/public-issues/aug-2021/rategain-travel-technologies-limited_51940.html" r:id="rId2382"/>
    <hyperlink xmlns:r="http://schemas.openxmlformats.org/officeDocument/2006/relationships" ref="Q945" display="https://www.sebi.gov.in/sebi_data/attachdocs/apr-2023/1681883512747.pdf" r:id="rId2383"/>
    <hyperlink xmlns:r="http://schemas.openxmlformats.org/officeDocument/2006/relationships" ref="R945" display="https://www.sebi.gov.in/filings/public-issues/aug-2021/inspira-enterprise-india-limited_51934.html" r:id="rId2384"/>
    <hyperlink xmlns:r="http://schemas.openxmlformats.org/officeDocument/2006/relationships" ref="AB945" r:id="rId2385"/>
    <hyperlink xmlns:r="http://schemas.openxmlformats.org/officeDocument/2006/relationships" ref="Q946" display="https://www.sebi.gov.in/sebi_data/attachdocs/aug-2021/1629264527205.pdf" r:id="rId2386"/>
    <hyperlink xmlns:r="http://schemas.openxmlformats.org/officeDocument/2006/relationships" ref="R946" display="https://www.sebi.gov.in/filings/public-issues/aug-2021/aditya-birla-sun-life-amc-addendum-to-drhp_51930.html" r:id="rId2387"/>
    <hyperlink xmlns:r="http://schemas.openxmlformats.org/officeDocument/2006/relationships" ref="Q947" display="https://www.sebi.gov.in/sebi_data/attachdocs/apr-2023/1681728022374.pdf" r:id="rId2388"/>
    <hyperlink xmlns:r="http://schemas.openxmlformats.org/officeDocument/2006/relationships" ref="R947" display="https://www.sebi.gov.in/filings/public-issues/aug-2021/tracxn-technologies-limited_51961.html" r:id="rId2389"/>
    <hyperlink xmlns:r="http://schemas.openxmlformats.org/officeDocument/2006/relationships" ref="Q948" display="https://www.sebi.gov.in/sebi_data/attachdocs/may-2023/1683091160982.pdf" r:id="rId2390"/>
    <hyperlink xmlns:r="http://schemas.openxmlformats.org/officeDocument/2006/relationships" ref="R948" display="https://www.sebi.gov.in/filings/public-issues/aug-2021/vlcc-health-care-limited_51901.html" r:id="rId2391"/>
    <hyperlink xmlns:r="http://schemas.openxmlformats.org/officeDocument/2006/relationships" ref="AB948" r:id="rId2392"/>
    <hyperlink xmlns:r="http://schemas.openxmlformats.org/officeDocument/2006/relationships" ref="Q949" display="https://www.sebi.gov.in/sebi_data/attachdocs/may-2023/1685435181878.pdf" r:id="rId2393"/>
    <hyperlink xmlns:r="http://schemas.openxmlformats.org/officeDocument/2006/relationships" ref="R949" display="https://www.sebi.gov.in/filings/public-issues/aug-2021/go-fashion-india-limited-drhp_51887.html" r:id="rId2394"/>
    <hyperlink xmlns:r="http://schemas.openxmlformats.org/officeDocument/2006/relationships" ref="Q950" display="https://www.sebi.gov.in/sebi_data/attachdocs/aug-2021/1629175422290.pdf" r:id="rId2395"/>
    <hyperlink xmlns:r="http://schemas.openxmlformats.org/officeDocument/2006/relationships" ref="R950" display="https://www.sebi.gov.in/filings/public-issues/aug-2021/paradeep-phosphates-limited_51883.html" r:id="rId2396"/>
    <hyperlink xmlns:r="http://schemas.openxmlformats.org/officeDocument/2006/relationships" ref="Q951" display="https://www.sebi.gov.in/sebi_data/attachdocs/aug-2021/1629174551568.pdf" r:id="rId2397"/>
    <hyperlink xmlns:r="http://schemas.openxmlformats.org/officeDocument/2006/relationships" ref="R951" display="https://www.sebi.gov.in/filings/public-issues/aug-2021/cms-info-systems-limited-drhp_51874.html" r:id="rId2398"/>
    <hyperlink xmlns:r="http://schemas.openxmlformats.org/officeDocument/2006/relationships" ref="Q952" display="https://www.sebi.gov.in/sebi_data/attachdocs/apr-2023/1681883825138.pdf" r:id="rId2399"/>
    <hyperlink xmlns:r="http://schemas.openxmlformats.org/officeDocument/2006/relationships" ref="R952" display="https://www.sebi.gov.in/filings/public-issues/aug-2021/latent-view-analytics-limited_51900.html" r:id="rId2400"/>
    <hyperlink xmlns:r="http://schemas.openxmlformats.org/officeDocument/2006/relationships" ref="Q953" display="https://www.sebi.gov.in/sebi_data/attachdocs/aug-2021/1628842822688.pdf" r:id="rId2401"/>
    <hyperlink xmlns:r="http://schemas.openxmlformats.org/officeDocument/2006/relationships" ref="R953" display="https://www.sebi.gov.in/filings/public-issues/aug-2021/le-travenues-technology-limited-drhp_51830.html" r:id="rId2402"/>
    <hyperlink xmlns:r="http://schemas.openxmlformats.org/officeDocument/2006/relationships" ref="AB953" r:id="rId2403"/>
    <hyperlink xmlns:r="http://schemas.openxmlformats.org/officeDocument/2006/relationships" ref="Q954" display="https://www.sebi.gov.in/sebi_data/attachdocs/aug-2021/1628744638556.pdf" r:id="rId2404"/>
    <hyperlink xmlns:r="http://schemas.openxmlformats.org/officeDocument/2006/relationships" ref="R954" display="https://www.sebi.gov.in/filings/public-issues/aug-2021/sapphire-foods-india-limited-drhp_51813.html" r:id="rId2405"/>
    <hyperlink xmlns:r="http://schemas.openxmlformats.org/officeDocument/2006/relationships" ref="Q955" display="https://www.sebi.gov.in/sebi_data/attachdocs/aug-2021/1628655252340.pdf" r:id="rId2406"/>
    <hyperlink xmlns:r="http://schemas.openxmlformats.org/officeDocument/2006/relationships" ref="R955" display="https://www.sebi.gov.in/filings/public-issues/aug-2021/easing-of-operational-procedure_51777.html" r:id="rId2407"/>
    <hyperlink xmlns:r="http://schemas.openxmlformats.org/officeDocument/2006/relationships" ref="Q956" display="https://www.sebi.gov.in/sebi_data/attachdocs/may-2023/1683090800507.pdf" r:id="rId2408"/>
    <hyperlink xmlns:r="http://schemas.openxmlformats.org/officeDocument/2006/relationships" ref="R956" display="https://www.sebi.gov.in/filings/public-issues/aug-2021/tarsons-products-limited_51774.html" r:id="rId2409"/>
    <hyperlink xmlns:r="http://schemas.openxmlformats.org/officeDocument/2006/relationships" ref="Q957" display="https://www.sebi.gov.in/sebi_data/attachdocs/aug-2021/1628654919955.pdf" r:id="rId2410"/>
    <hyperlink xmlns:r="http://schemas.openxmlformats.org/officeDocument/2006/relationships" ref="R957" display="https://www.sebi.gov.in/filings/public-issues/aug-2021/sigachi-industries-limited_51775.html" r:id="rId2411"/>
    <hyperlink xmlns:r="http://schemas.openxmlformats.org/officeDocument/2006/relationships" ref="Q958" display="https://www.sebi.gov.in/sebi_data/attachdocs/may-2023/1684478703627.pdf" r:id="rId2412"/>
    <hyperlink xmlns:r="http://schemas.openxmlformats.org/officeDocument/2006/relationships" ref="R958" display="https://www.sebi.gov.in/filings/public-issues/aug-2021/keventer-agro-limited-drhp_51756.html" r:id="rId2413"/>
    <hyperlink xmlns:r="http://schemas.openxmlformats.org/officeDocument/2006/relationships" ref="AB958" r:id="rId2414"/>
    <hyperlink xmlns:r="http://schemas.openxmlformats.org/officeDocument/2006/relationships" ref="Q959" display="https://www.sebi.gov.in/sebi_data/attachdocs/may-2023/1684485520346.PDF" r:id="rId2415"/>
    <hyperlink xmlns:r="http://schemas.openxmlformats.org/officeDocument/2006/relationships" ref="R959" display="https://www.sebi.gov.in/filings/public-issues/aug-2021/fusion-micro-finance-limited_51753.html" r:id="rId2416"/>
    <hyperlink xmlns:r="http://schemas.openxmlformats.org/officeDocument/2006/relationships" ref="Q960" display="https://www.sebi.gov.in/sebi_data/attachdocs/apr-2023/1681881260338.PDF" r:id="rId2417"/>
    <hyperlink xmlns:r="http://schemas.openxmlformats.org/officeDocument/2006/relationships" ref="R960" display="https://www.sebi.gov.in/filings/public-issues/aug-2021/gemini-edibles-and-fats-india-limited-drhp_51728.html" r:id="rId2418"/>
    <hyperlink xmlns:r="http://schemas.openxmlformats.org/officeDocument/2006/relationships" ref="AB960" r:id="rId2419"/>
    <hyperlink xmlns:r="http://schemas.openxmlformats.org/officeDocument/2006/relationships" ref="Q961" display="https://www.sebi.gov.in/sebi_data/attachdocs/apr-2023/1681881395807.pdf" r:id="rId2420"/>
    <hyperlink xmlns:r="http://schemas.openxmlformats.org/officeDocument/2006/relationships" ref="R961" display="https://www.sebi.gov.in/filings/public-issues/aug-2021/popular-vehicles-and-services-limited_51669.html" r:id="rId2421"/>
    <hyperlink xmlns:r="http://schemas.openxmlformats.org/officeDocument/2006/relationships" ref="Q962" display="https://www.sebi.gov.in/sebi_data/attachdocs/aug-2021/1627982722189.PDF" r:id="rId2422"/>
    <hyperlink xmlns:r="http://schemas.openxmlformats.org/officeDocument/2006/relationships" ref="R962" display="https://www.sebi.gov.in/filings/public-issues/aug-2021/adani-wilmar-limited_51577.html" r:id="rId2423"/>
    <hyperlink xmlns:r="http://schemas.openxmlformats.org/officeDocument/2006/relationships" ref="Q963" display="https://www.sebi.gov.in/sebi_data/attachdocs/aug-2021/1627980678999.pdf" r:id="rId2424"/>
    <hyperlink xmlns:r="http://schemas.openxmlformats.org/officeDocument/2006/relationships" ref="R963" display="https://www.sebi.gov.in/filings/public-issues/aug-2021/fsn-e-commerce-ventures-limited_51574.html" r:id="rId2425"/>
    <hyperlink xmlns:r="http://schemas.openxmlformats.org/officeDocument/2006/relationships" ref="Q964" display="https://www.sebi.gov.in/sebi_data/attachdocs/aug-2021/1627894921606.pdf" r:id="rId2426"/>
    <hyperlink xmlns:r="http://schemas.openxmlformats.org/officeDocument/2006/relationships" ref="R964" display="https://www.sebi.gov.in/filings/public-issues/aug-2021/pb-fintech-limited-drhp_51551.html" r:id="rId2427"/>
    <hyperlink xmlns:r="http://schemas.openxmlformats.org/officeDocument/2006/relationships" ref="Q965" display="https://www.sebi.gov.in/sebi_data/attachdocs/aug-2021/1627879493797.pdf" r:id="rId2428"/>
    <hyperlink xmlns:r="http://schemas.openxmlformats.org/officeDocument/2006/relationships" ref="R965" display="https://www.sebi.gov.in/filings/public-issues/aug-2021/fino-payments-bank-limited-drhp_51537.html" r:id="rId2429"/>
    <hyperlink xmlns:r="http://schemas.openxmlformats.org/officeDocument/2006/relationships" ref="Q966" display="https://www.sebi.gov.in/sebi_data/attachdocs/apr-2023/1681881733916.PDF" r:id="rId2430"/>
    <hyperlink xmlns:r="http://schemas.openxmlformats.org/officeDocument/2006/relationships" ref="R966" display="https://www.sebi.gov.in/filings/public-issues/jul-2021/sjs-enterprises-limited-drhp_51425.html" r:id="rId2431"/>
    <hyperlink xmlns:r="http://schemas.openxmlformats.org/officeDocument/2006/relationships" ref="Q967" display="https://www.sebi.gov.in/sebi_data/attachdocs/jul-2021/1627281939111.pdf" r:id="rId2432"/>
    <hyperlink xmlns:r="http://schemas.openxmlformats.org/officeDocument/2006/relationships" ref="R967" display="https://www.sebi.gov.in/filings/public-issues/jul-2021/esaf-small-finance-bank-limited-drhp_51383.html" r:id="rId2433"/>
    <hyperlink xmlns:r="http://schemas.openxmlformats.org/officeDocument/2006/relationships" ref="AB967" r:id="rId2434"/>
    <hyperlink xmlns:r="http://schemas.openxmlformats.org/officeDocument/2006/relationships" ref="Q968" display="https://www.sebi.gov.in/sebi_data/attachdocs/jul-2021/1627036206572.pdf" r:id="rId2435"/>
    <hyperlink xmlns:r="http://schemas.openxmlformats.org/officeDocument/2006/relationships" ref="R968" display="https://www.sebi.gov.in/filings/public-issues/jul-2021/star-health-and-allied-insurance-company-limited-drhp_51323.html" r:id="rId2436"/>
    <hyperlink xmlns:r="http://schemas.openxmlformats.org/officeDocument/2006/relationships" ref="Q969" display="https://www.sebi.gov.in/sebi_data/attachdocs/apr-2023/1681710901338.pdf" r:id="rId2437"/>
    <hyperlink xmlns:r="http://schemas.openxmlformats.org/officeDocument/2006/relationships" ref="R969" display="https://www.sebi.gov.in/filings/public-issues/jul-2021/anand-rathi-wealth-limited_51249.html" r:id="rId2438"/>
    <hyperlink xmlns:r="http://schemas.openxmlformats.org/officeDocument/2006/relationships" ref="Q970" display="https://www.sebi.gov.in/sebi_data/attachdocs/may-2023/1684478374985.pdf" r:id="rId2439"/>
    <hyperlink xmlns:r="http://schemas.openxmlformats.org/officeDocument/2006/relationships" ref="R970" display="https://www.sebi.gov.in/filings/public-issues/jul-2021/chemspec-chemicals-limited_51232.html" r:id="rId2440"/>
    <hyperlink xmlns:r="http://schemas.openxmlformats.org/officeDocument/2006/relationships" ref="AB970" r:id="rId2441"/>
    <hyperlink xmlns:r="http://schemas.openxmlformats.org/officeDocument/2006/relationships" ref="Q971" display="https://www.sebi.gov.in/sebi_data/attachdocs/jul-2021/1626680438413.pdf" r:id="rId2442"/>
    <hyperlink xmlns:r="http://schemas.openxmlformats.org/officeDocument/2006/relationships" ref="R971" display="https://www.sebi.gov.in/filings/public-issues/jul-2021/hp-adhesives-limited_51229.html" r:id="rId2443"/>
    <hyperlink xmlns:r="http://schemas.openxmlformats.org/officeDocument/2006/relationships" ref="Q972" display="https://www.sebi.gov.in/sebi_data/attachdocs/jul-2021/1626426805246.pdf" r:id="rId2444"/>
    <hyperlink xmlns:r="http://schemas.openxmlformats.org/officeDocument/2006/relationships" ref="R972" display="https://www.sebi.gov.in/filings/public-issues/jul-2021/one-97-communications-limited_51156.html" r:id="rId2445"/>
    <hyperlink xmlns:r="http://schemas.openxmlformats.org/officeDocument/2006/relationships" ref="Q973" display="https://www.sebi.gov.in/sebi_data/attachdocs/jul-2021/1626414845763.PDF" r:id="rId2446"/>
    <hyperlink xmlns:r="http://schemas.openxmlformats.org/officeDocument/2006/relationships" ref="R973" display="https://www.sebi.gov.in/filings/public-issues/jul-2021/northern-arc-capital-limited_51118.html" r:id="rId2447"/>
    <hyperlink xmlns:r="http://schemas.openxmlformats.org/officeDocument/2006/relationships" ref="AB973" r:id="rId2448"/>
    <hyperlink xmlns:r="http://schemas.openxmlformats.org/officeDocument/2006/relationships" ref="Q974" display="https://www.sebi.gov.in/sebi_data/attachdocs/may-2023/1683091053319.pdf" r:id="rId2449"/>
    <hyperlink xmlns:r="http://schemas.openxmlformats.org/officeDocument/2006/relationships" ref="R974" display="https://www.sebi.gov.in/filings/public-issues/jul-2021/one-mobikwik-systems-limited_51019.html" r:id="rId2450"/>
    <hyperlink xmlns:r="http://schemas.openxmlformats.org/officeDocument/2006/relationships" ref="AB974" r:id="rId2451"/>
    <hyperlink xmlns:r="http://schemas.openxmlformats.org/officeDocument/2006/relationships" ref="Q975" display="https://www.sebi.gov.in/sebi_data/attachdocs/apr-2023/1681707959879.pdf" r:id="rId2452"/>
    <hyperlink xmlns:r="http://schemas.openxmlformats.org/officeDocument/2006/relationships" ref="R975" display="https://www.sebi.gov.in/filings/public-issues/jul-2021/shri-bajrang-power-and-ispat-limited_51017.html" r:id="rId2453"/>
    <hyperlink xmlns:r="http://schemas.openxmlformats.org/officeDocument/2006/relationships" ref="AB975" r:id="rId2454"/>
    <hyperlink xmlns:r="http://schemas.openxmlformats.org/officeDocument/2006/relationships" ref="Q976" display="https://www.sebi.gov.in/sebi_data/attachdocs/jul-2021/1625734748891.pdf" r:id="rId2455"/>
    <hyperlink xmlns:r="http://schemas.openxmlformats.org/officeDocument/2006/relationships" ref="R976" display="https://www.sebi.gov.in/filings/public-issues/jul-2021/utkarsh-small-finance-bank-limited-addendum-to-drhp_50954.html" r:id="rId2456"/>
    <hyperlink xmlns:r="http://schemas.openxmlformats.org/officeDocument/2006/relationships" ref="AB976" r:id="rId2457"/>
    <hyperlink xmlns:r="http://schemas.openxmlformats.org/officeDocument/2006/relationships" ref="Q977" display="https://www.sebi.gov.in/sebi_data/attachdocs/jul-2021/1625647160172.pdf" r:id="rId2458"/>
    <hyperlink xmlns:r="http://schemas.openxmlformats.org/officeDocument/2006/relationships" ref="R977" display="https://www.sebi.gov.in/filings/public-issues/jul-2021/uma-converter-limited-drhp_50936.html" r:id="rId2459"/>
    <hyperlink xmlns:r="http://schemas.openxmlformats.org/officeDocument/2006/relationships" ref="Q978" display="https://www.sebi.gov.in/sebi_data/attachdocs/jun-2021/1624870811964.pdf" r:id="rId2460"/>
    <hyperlink xmlns:r="http://schemas.openxmlformats.org/officeDocument/2006/relationships" ref="R978" display="https://www.sebi.gov.in/filings/public-issues/jun-2021/skanray-technologies-limited_50724.html" r:id="rId2461"/>
    <hyperlink xmlns:r="http://schemas.openxmlformats.org/officeDocument/2006/relationships" ref="AB978" r:id="rId2462"/>
    <hyperlink xmlns:r="http://schemas.openxmlformats.org/officeDocument/2006/relationships" ref="Q979" display="https://www.sebi.gov.in/sebi_data/attachdocs/apr-2023/1681728772799.pdf" r:id="rId2463"/>
    <hyperlink xmlns:r="http://schemas.openxmlformats.org/officeDocument/2006/relationships" ref="R979" display="https://www.sebi.gov.in/filings/public-issues/jun-2021/ruchi-soya-industries-limited_50522.html" r:id="rId2464"/>
    <hyperlink xmlns:r="http://schemas.openxmlformats.org/officeDocument/2006/relationships" ref="Q980" display="https://www.sebi.gov.in/sebi_data/attachdocs/may-2023/1683091344512.pdf" r:id="rId2465"/>
    <hyperlink xmlns:r="http://schemas.openxmlformats.org/officeDocument/2006/relationships" ref="R980" display="https://www.sebi.gov.in/filings/public-issues/jun-2021/sansera-engineering-limited_50499.html" r:id="rId2466"/>
    <hyperlink xmlns:r="http://schemas.openxmlformats.org/officeDocument/2006/relationships" ref="Q981" display="https://www.sebi.gov.in/sebi_data/attachdocs/jun-2021/1623223411196.pdf" r:id="rId2467"/>
    <hyperlink xmlns:r="http://schemas.openxmlformats.org/officeDocument/2006/relationships" ref="R981" display="https://www.sebi.gov.in/filings/public-issues/jun-2021/ab-cotspin-india-limited-sme-ipo_50465.html" r:id="rId2468"/>
    <hyperlink xmlns:r="http://schemas.openxmlformats.org/officeDocument/2006/relationships" ref="Q982" display="https://www.sebi.gov.in/sebi_data/attachdocs/jun-2023/1687843606945.pdf" r:id="rId2469"/>
    <hyperlink xmlns:r="http://schemas.openxmlformats.org/officeDocument/2006/relationships" ref="R982" display="https://www.sebi.gov.in/filings/public-issues/jun-2021/ami-organics-limited-drhp_50456.html" r:id="rId2470"/>
    <hyperlink xmlns:r="http://schemas.openxmlformats.org/officeDocument/2006/relationships" ref="Q983" display="https://www.sebi.gov.in/sebi_data/attachdocs/may-2023/1683095460609.pdf" r:id="rId2471"/>
    <hyperlink xmlns:r="http://schemas.openxmlformats.org/officeDocument/2006/relationships" ref="R983" display="https://www.sebi.gov.in/filings/public-issues/jun-2021/vijaya-diagnostic-centre-limited_50437.html" r:id="rId2472"/>
    <hyperlink xmlns:r="http://schemas.openxmlformats.org/officeDocument/2006/relationships" ref="Q984" display="https://www.sebi.gov.in/sebi_data/attachdocs/apr-2023/1681728638471.pdf" r:id="rId2473"/>
    <hyperlink xmlns:r="http://schemas.openxmlformats.org/officeDocument/2006/relationships" ref="R984" display="https://www.sebi.gov.in/filings/public-issues/may-2021/windlas-biotech-limited_50158.html" r:id="rId2474"/>
    <hyperlink xmlns:r="http://schemas.openxmlformats.org/officeDocument/2006/relationships" ref="Q985" display="https://www.sebi.gov.in/sebi_data/attachdocs/may-2023/1683089249059.pdf" r:id="rId2475"/>
    <hyperlink xmlns:r="http://schemas.openxmlformats.org/officeDocument/2006/relationships" ref="R985" display="https://www.sebi.gov.in/filings/public-issues/may-2021/supriya-lifescience-limited_50137.html" r:id="rId2476"/>
    <hyperlink xmlns:r="http://schemas.openxmlformats.org/officeDocument/2006/relationships" ref="Q986" display="https://www.sebi.gov.in/sebi_data/attachdocs/may-2021/1621233522211.pdf" r:id="rId2477"/>
    <hyperlink xmlns:r="http://schemas.openxmlformats.org/officeDocument/2006/relationships" ref="R986" display="https://www.sebi.gov.in/filings/public-issues/may-2021/devyani-international-limited_50136.html" r:id="rId2478"/>
    <hyperlink xmlns:r="http://schemas.openxmlformats.org/officeDocument/2006/relationships" ref="Q987" display="https://www.sebi.gov.in/sebi_data/attachdocs/may-2023/1683611856071.pdf" r:id="rId2479"/>
    <hyperlink xmlns:r="http://schemas.openxmlformats.org/officeDocument/2006/relationships" ref="R987" display="https://www.sebi.gov.in/filings/public-issues/may-2021/aptus-value-housing-finance-india-limited_50135.html" r:id="rId2480"/>
    <hyperlink xmlns:r="http://schemas.openxmlformats.org/officeDocument/2006/relationships" ref="Q988" display="https://www.sebi.gov.in/sebi_data/attachdocs/may-2021/1621232058140.pdf" r:id="rId2481"/>
    <hyperlink xmlns:r="http://schemas.openxmlformats.org/officeDocument/2006/relationships" ref="R988" display="https://www.sebi.gov.in/filings/public-issues/may-2021/cartrade-tech-limited-drhp_50134.html" r:id="rId2482"/>
    <hyperlink xmlns:r="http://schemas.openxmlformats.org/officeDocument/2006/relationships" ref="Q989" display="https://www.sebi.gov.in/sebi_data/attachdocs/may-2023/1684479827992.pdf" r:id="rId2483"/>
    <hyperlink xmlns:r="http://schemas.openxmlformats.org/officeDocument/2006/relationships" ref="R989" display="https://www.sebi.gov.in/filings/public-issues/may-2021/krsnaa-diagnostics-limited_50149.html" r:id="rId2484"/>
    <hyperlink xmlns:r="http://schemas.openxmlformats.org/officeDocument/2006/relationships" ref="Q990" display="https://www.sebi.gov.in/sebi_data/attachdocs/may-2023/1684477607868.pdf" r:id="rId2485"/>
    <hyperlink xmlns:r="http://schemas.openxmlformats.org/officeDocument/2006/relationships" ref="R990" display="https://www.sebi.gov.in/filings/public-issues/may-2021/penna-cement-industries-limited_50123.html" r:id="rId2486"/>
    <hyperlink xmlns:r="http://schemas.openxmlformats.org/officeDocument/2006/relationships" ref="AB990" r:id="rId2487"/>
    <hyperlink xmlns:r="http://schemas.openxmlformats.org/officeDocument/2006/relationships" ref="Q991" display="https://www.sebi.gov.in/sebi_data/attachdocs/may-2023/1684479007171.pdf" r:id="rId2488"/>
    <hyperlink xmlns:r="http://schemas.openxmlformats.org/officeDocument/2006/relationships" ref="R991" display="https://www.sebi.gov.in/filings/public-issues/may-2021/go-airlines-india-limited-drhp_50122.html" r:id="rId2489"/>
    <hyperlink xmlns:r="http://schemas.openxmlformats.org/officeDocument/2006/relationships" ref="AB991" r:id="rId2490"/>
    <hyperlink xmlns:r="http://schemas.openxmlformats.org/officeDocument/2006/relationships" ref="Q992" display="https://www.sebi.gov.in/sebi_data/attachdocs/apr-2023/1681818840108.pdf" r:id="rId2491"/>
    <hyperlink xmlns:r="http://schemas.openxmlformats.org/officeDocument/2006/relationships" ref="R992" display="https://www.sebi.gov.in/filings/public-issues/may-2021/medi-assist-healthcare-services-limited_50115.html" r:id="rId2492"/>
    <hyperlink xmlns:r="http://schemas.openxmlformats.org/officeDocument/2006/relationships" ref="Q993" display="https://www.sebi.gov.in/sebi_data/attachdocs/may-2021/1620645846903.pdf" r:id="rId2493"/>
    <hyperlink xmlns:r="http://schemas.openxmlformats.org/officeDocument/2006/relationships" ref="R993" display="https://www.sebi.gov.in/filings/public-issues/may-2021/fincare-small-finance-bank-limited_50091.html" r:id="rId2494"/>
    <hyperlink xmlns:r="http://schemas.openxmlformats.org/officeDocument/2006/relationships" ref="AB993" r:id="rId2495"/>
    <hyperlink xmlns:r="http://schemas.openxmlformats.org/officeDocument/2006/relationships" ref="Q994" display="https://www.sebi.gov.in/sebi_data/attachdocs/may-2023/1684484764300.pdf" r:id="rId2496"/>
    <hyperlink xmlns:r="http://schemas.openxmlformats.org/officeDocument/2006/relationships" ref="R994" display="https://www.sebi.gov.in/filings/public-issues/may-2021/nuvoco-vistas-corporation-limited_50076.html" r:id="rId2497"/>
    <hyperlink xmlns:r="http://schemas.openxmlformats.org/officeDocument/2006/relationships" ref="Q995" display="https://www.sebi.gov.in/sebi_data/attachdocs/may-2021/1620030645369.pdf" r:id="rId2498"/>
    <hyperlink xmlns:r="http://schemas.openxmlformats.org/officeDocument/2006/relationships" ref="R995" display="https://www.sebi.gov.in/filings/public-issues/may-2021/chemplast-sanmar-limited_50032.html" r:id="rId2499"/>
    <hyperlink xmlns:r="http://schemas.openxmlformats.org/officeDocument/2006/relationships" ref="Q996" display="https://www.sebi.gov.in/sebi_data/attachdocs/apr-2021/1619584567739.pdf" r:id="rId2500"/>
    <hyperlink xmlns:r="http://schemas.openxmlformats.org/officeDocument/2006/relationships" ref="R996" display="https://www.sebi.gov.in/filings/public-issues/apr-2021/zomato-limited-drhp_49956.html" r:id="rId2501"/>
    <hyperlink xmlns:r="http://schemas.openxmlformats.org/officeDocument/2006/relationships" ref="Q997" display="https://www.sebi.gov.in/sebi_data/attachdocs/apr-2021/1618900186387.PDF" r:id="rId2502"/>
    <hyperlink xmlns:r="http://schemas.openxmlformats.org/officeDocument/2006/relationships" ref="R997" display="https://www.sebi.gov.in/filings/public-issues/apr-2021/aditya-birla-sun-life-amc-limited_49880.html" r:id="rId2503"/>
    <hyperlink xmlns:r="http://schemas.openxmlformats.org/officeDocument/2006/relationships" ref="Q998" display="https://www.sebi.gov.in/sebi_data/attachdocs/apr-2021/1618814754067.pdf" r:id="rId2504"/>
    <hyperlink xmlns:r="http://schemas.openxmlformats.org/officeDocument/2006/relationships" ref="R998" display="https://www.sebi.gov.in/filings/public-issues/apr-2021/glenmark-life-sciences-limited_49859.html" r:id="rId2505"/>
    <hyperlink xmlns:r="http://schemas.openxmlformats.org/officeDocument/2006/relationships" ref="Q999" display="https://www.sebi.gov.in/sebi_data/attachdocs/apr-2021/1618569865941.pdf" r:id="rId2506"/>
    <hyperlink xmlns:r="http://schemas.openxmlformats.org/officeDocument/2006/relationships" ref="R999" display="https://www.sebi.gov.in/filings/public-issues/apr-2021/g-r-infraprojects-limited-draft-red-herring-prospectus_49840.html" r:id="rId2507"/>
    <hyperlink xmlns:r="http://schemas.openxmlformats.org/officeDocument/2006/relationships" ref="Q1000" display="https://www.sebi.gov.in/sebi_data/attachdocs/apr-2023/1681818993862.pdf" r:id="rId2508"/>
    <hyperlink xmlns:r="http://schemas.openxmlformats.org/officeDocument/2006/relationships" ref="R1000" display="https://www.sebi.gov.in/filings/public-issues/apr-2021/shriram-properties-limited_49810.html" r:id="rId2509"/>
    <hyperlink xmlns:r="http://schemas.openxmlformats.org/officeDocument/2006/relationships" ref="Q1001" display="https://www.sebi.gov.in/sebi_data/attachdocs/apr-2023/1681818593843.pdf" r:id="rId2510"/>
    <hyperlink xmlns:r="http://schemas.openxmlformats.org/officeDocument/2006/relationships" ref="R1001" display="https://www.sebi.gov.in/filings/public-issues/apr-2021/clean-science-and-technology-limited-drhp_49777.html" r:id="rId2511"/>
    <hyperlink xmlns:r="http://schemas.openxmlformats.org/officeDocument/2006/relationships" ref="Q1002" display="https://www.sebi.gov.in/sebi_data/attachdocs/may-2023/1683095701736.pdf" r:id="rId2512"/>
    <hyperlink xmlns:r="http://schemas.openxmlformats.org/officeDocument/2006/relationships" ref="R1002" display="https://www.sebi.gov.in/filings/public-issues/apr-2021/tatva-chintan-pharma-drhp_49757.html" r:id="rId2513"/>
    <hyperlink xmlns:r="http://schemas.openxmlformats.org/officeDocument/2006/relationships" ref="Q1003" display="https://www.sebi.gov.in/sebi_data/attachdocs/apr-2021/1617948141178.pdf" r:id="rId2514"/>
    <hyperlink xmlns:r="http://schemas.openxmlformats.org/officeDocument/2006/relationships" ref="R1003" display="https://www.sebi.gov.in/filings/public-issues/apr-2021/v-marc-india-limited-sme-ipo-drhp_49796.html" r:id="rId2515"/>
    <hyperlink xmlns:r="http://schemas.openxmlformats.org/officeDocument/2006/relationships" ref="Q1004" display="https://www.sebi.gov.in/sebi_data/attachdocs/apr-2021/1617255348598.pdf" r:id="rId2516"/>
    <hyperlink xmlns:r="http://schemas.openxmlformats.org/officeDocument/2006/relationships" ref="R1004" display="https://www.sebi.gov.in/filings/public-issues/apr-2021/jana-small-finance-bank-limited_49730.html" r:id="rId2517"/>
    <hyperlink xmlns:r="http://schemas.openxmlformats.org/officeDocument/2006/relationships" ref="AB1004" r:id="rId2518"/>
    <hyperlink xmlns:r="http://schemas.openxmlformats.org/officeDocument/2006/relationships" ref="Q1005" display="https://www.sebi.gov.in/sebi_data/attachdocs/mar-2021/1617099157053.pdf" r:id="rId2519"/>
    <hyperlink xmlns:r="http://schemas.openxmlformats.org/officeDocument/2006/relationships" ref="R1005" display="https://www.sebi.gov.in/filings/public-issues/mar-2021/maks-energy-solutions-india-limited_49688.html" r:id="rId2520"/>
    <hyperlink xmlns:r="http://schemas.openxmlformats.org/officeDocument/2006/relationships" ref="Q1006" display="https://www.sebi.gov.in/sebi_data/attachdocs/mar-2021/1616042080442.pdf" r:id="rId2521"/>
    <hyperlink xmlns:r="http://schemas.openxmlformats.org/officeDocument/2006/relationships" ref="R1006" display="https://www.sebi.gov.in/filings/public-issues/mar-2021/exxaro-tiles-limited-drhp_49534.html" r:id="rId2522"/>
    <hyperlink xmlns:r="http://schemas.openxmlformats.org/officeDocument/2006/relationships" ref="Q1007" display="https://www.sebi.gov.in/sebi_data/attachdocs/apr-2023/1681710560649.pdf" r:id="rId2523"/>
    <hyperlink xmlns:r="http://schemas.openxmlformats.org/officeDocument/2006/relationships" ref="R1007" display="https://www.sebi.gov.in/filings/public-issues/mar-2021/rolex-rings-limited-drhp_49544.html" r:id="rId2524"/>
    <hyperlink xmlns:r="http://schemas.openxmlformats.org/officeDocument/2006/relationships" ref="Q1008" display="https://www.sebi.gov.in/sebi_data/attachdocs/jun-2023/1687843934119.pdf" r:id="rId2525"/>
    <hyperlink xmlns:r="http://schemas.openxmlformats.org/officeDocument/2006/relationships" ref="R1008" display="https://www.sebi.gov.in/filings/public-issues/mar-2021/paras-defence-and-space-technologies-limited_49418.html" r:id="rId2526"/>
    <hyperlink xmlns:r="http://schemas.openxmlformats.org/officeDocument/2006/relationships" ref="Q1009" display="https://www.sebi.gov.in/sebi_data/attachdocs/mar-2021/1615177612049.pdf" r:id="rId2527"/>
    <hyperlink xmlns:r="http://schemas.openxmlformats.org/officeDocument/2006/relationships" ref="R1009" display="https://www.sebi.gov.in/filings/public-issues/mar-2021/montecarlo-limited-update-in-the-objects-of-the-issue_49411.html" r:id="rId2528"/>
    <hyperlink xmlns:r="http://schemas.openxmlformats.org/officeDocument/2006/relationships" ref="AB1009" r:id="rId2529"/>
    <hyperlink xmlns:r="http://schemas.openxmlformats.org/officeDocument/2006/relationships" ref="Q1010" display="https://www.sebi.gov.in/sebi_data/attachdocs/mar-2021/1614924914132.pdf" r:id="rId2530"/>
    <hyperlink xmlns:r="http://schemas.openxmlformats.org/officeDocument/2006/relationships" ref="R1010" display="https://www.sebi.gov.in/filings/public-issues/mar-2021/utkarsh-small-finance-bank-limited-drhp_49398.html" r:id="rId2531"/>
    <hyperlink xmlns:r="http://schemas.openxmlformats.org/officeDocument/2006/relationships" ref="AB1010" r:id="rId2532"/>
    <hyperlink xmlns:r="http://schemas.openxmlformats.org/officeDocument/2006/relationships" ref="Q1011" display="https://www.sebi.gov.in/sebi_data/attachdocs/mar-2021/1614565972050.pdf" r:id="rId2533"/>
    <hyperlink xmlns:r="http://schemas.openxmlformats.org/officeDocument/2006/relationships" ref="R1011" display="https://www.sebi.gov.in/filings/public-issues/feb-2021/krishna-institute-of-medical-sciences-limited-drhp_49322.html" r:id="rId2534"/>
    <hyperlink xmlns:r="http://schemas.openxmlformats.org/officeDocument/2006/relationships" ref="Q1012" display="https://www.sebi.gov.in/sebi_data/attachdocs/may-2023/1683086405416.pdf" r:id="rId2535"/>
    <hyperlink xmlns:r="http://schemas.openxmlformats.org/officeDocument/2006/relationships" ref="R1012" display="https://www.sebi.gov.in/filings/public-issues/feb-2021/shyam-metalics-and-energy-limited_49305.html" r:id="rId2536"/>
    <hyperlink xmlns:r="http://schemas.openxmlformats.org/officeDocument/2006/relationships" ref="Q1013" display="https://www.sebi.gov.in/sebi_data/attachdocs/feb-2021/1614163178341.pdf" r:id="rId2537"/>
    <hyperlink xmlns:r="http://schemas.openxmlformats.org/officeDocument/2006/relationships" ref="R1013" display="https://www.sebi.gov.in/filings/public-issues/feb-2021/sona-blw-precision-forgings-limited_49256.html" r:id="rId2538"/>
    <hyperlink xmlns:r="http://schemas.openxmlformats.org/officeDocument/2006/relationships" ref="Q1014" display="https://www.sebi.gov.in/sebi_data/attachdocs/feb-2021/1614062386224.pdf" r:id="rId2539"/>
    <hyperlink xmlns:r="http://schemas.openxmlformats.org/officeDocument/2006/relationships" ref="R1014" display="https://www.sebi.gov.in/filings/public-issues/feb-2021/aadhar-housing-finance-limited-corrigendum_49228.html" r:id="rId2540"/>
    <hyperlink xmlns:r="http://schemas.openxmlformats.org/officeDocument/2006/relationships" ref="AB1014" r:id="rId2541"/>
    <hyperlink xmlns:r="http://schemas.openxmlformats.org/officeDocument/2006/relationships" ref="Q1015" display="https://www.sebi.gov.in/sebi_data/attachdocs/apr-2023/1681818049692.pdf" r:id="rId2542"/>
    <hyperlink xmlns:r="http://schemas.openxmlformats.org/officeDocument/2006/relationships" ref="R1015" display="https://www.sebi.gov.in/filings/public-issues/feb-2021/macrotech-developers-limited_49172.html" r:id="rId2543"/>
    <hyperlink xmlns:r="http://schemas.openxmlformats.org/officeDocument/2006/relationships" ref="Q1016" display="https://www.sebi.gov.in/sebi_data/attachdocs/may-2023/1683611315129.pdf" r:id="rId2544"/>
    <hyperlink xmlns:r="http://schemas.openxmlformats.org/officeDocument/2006/relationships" ref="R1016" display="https://www.sebi.gov.in/filings/public-issues/feb-2021/dodla-dairy-limited-drhp_49197.html" r:id="rId2545"/>
    <hyperlink xmlns:r="http://schemas.openxmlformats.org/officeDocument/2006/relationships" ref="Q1017" display="https://www.sebi.gov.in/sebi_data/attachdocs/feb-2021/1613373596700.pdf" r:id="rId2546"/>
    <hyperlink xmlns:r="http://schemas.openxmlformats.org/officeDocument/2006/relationships" ref="R1017" display="https://www.sebi.gov.in/filings/public-issues/feb-2021/arohan-financial-services-limited_49148.html" r:id="rId2547"/>
    <hyperlink xmlns:r="http://schemas.openxmlformats.org/officeDocument/2006/relationships" ref="AB1017" r:id="rId2548"/>
    <hyperlink xmlns:r="http://schemas.openxmlformats.org/officeDocument/2006/relationships" ref="Q1018" display="https://www.sebi.gov.in/sebi_data/attachdocs/may-2023/1684478290179.pdf" r:id="rId2549"/>
    <hyperlink xmlns:r="http://schemas.openxmlformats.org/officeDocument/2006/relationships" ref="R1018" display="https://www.sebi.gov.in/filings/public-issues/feb-2021/seven-islands-shipping-limited-drhp_49146.html" r:id="rId2550"/>
    <hyperlink xmlns:r="http://schemas.openxmlformats.org/officeDocument/2006/relationships" ref="AB1018" r:id="rId2551"/>
    <hyperlink xmlns:r="http://schemas.openxmlformats.org/officeDocument/2006/relationships" ref="Q1019" display="https://www.sebi.gov.in/sebi_data/attachdocs/apr-2023/1681360369818.pdf" r:id="rId2552"/>
    <hyperlink xmlns:r="http://schemas.openxmlformats.org/officeDocument/2006/relationships" ref="R1019" display="https://www.sebi.gov.in/filings/public-issues/feb-2021/india-pesticides-limited-drhp_49103.html" r:id="rId2553"/>
    <hyperlink xmlns:r="http://schemas.openxmlformats.org/officeDocument/2006/relationships" ref="Q1020" display="https://www.sebi.gov.in/sebi_data/attachdocs/feb-2021/1612849058075.pdf" r:id="rId2554"/>
    <hyperlink xmlns:r="http://schemas.openxmlformats.org/officeDocument/2006/relationships" ref="R1020" display="https://www.sebi.gov.in/filings/public-issues/feb-2021/suryoday-small-finance-bank-limited-addendum-to-drhp_49054.html" r:id="rId2555"/>
    <hyperlink xmlns:r="http://schemas.openxmlformats.org/officeDocument/2006/relationships" ref="Q1021" display="https://www.sebi.gov.in/sebi_data/attachdocs/feb-2021/1612440230653.pdf" r:id="rId2556"/>
    <hyperlink xmlns:r="http://schemas.openxmlformats.org/officeDocument/2006/relationships" ref="R1021" display="https://www.sebi.gov.in/filings/public-issues/feb-2021/ashapuri-gold-ornament-limited_49013.html" r:id="rId2557"/>
    <hyperlink xmlns:r="http://schemas.openxmlformats.org/officeDocument/2006/relationships" ref="Q1022" display="https://www.sebi.gov.in/sebi_data/attachdocs/jan-2021/1611557799393.pdf" r:id="rId2558"/>
    <hyperlink xmlns:r="http://schemas.openxmlformats.org/officeDocument/2006/relationships" ref="R1022" display="https://www.sebi.gov.in/filings/public-issues/jan-2021/aadhar-housing-finance-limited_48869.html" r:id="rId2559"/>
    <hyperlink xmlns:r="http://schemas.openxmlformats.org/officeDocument/2006/relationships" ref="AB1022" r:id="rId2560"/>
    <hyperlink xmlns:r="http://schemas.openxmlformats.org/officeDocument/2006/relationships" ref="Q1023" display="https://www.sebi.gov.in/sebi_data/attachdocs/may-2023/1684484450159.pdf" r:id="rId2561"/>
    <hyperlink xmlns:r="http://schemas.openxmlformats.org/officeDocument/2006/relationships" ref="R1023" display="https://www.sebi.gov.in/filings/public-issues/jan-2021/nazara-technologies-limited_48816.html" r:id="rId2562"/>
    <hyperlink xmlns:r="http://schemas.openxmlformats.org/officeDocument/2006/relationships" ref="Q1024" display="https://www.sebi.gov.in/sebi_data/attachdocs/jan-2021/1610540459702.pdf" r:id="rId2563"/>
    <hyperlink xmlns:r="http://schemas.openxmlformats.org/officeDocument/2006/relationships" ref="R1024" display="https://www.sebi.gov.in/filings/public-issues/jan-2021/addendum-ii-stove-kraft-limited_48753.html" r:id="rId2564"/>
    <hyperlink xmlns:r="http://schemas.openxmlformats.org/officeDocument/2006/relationships" ref="AB1024" r:id="rId2565"/>
    <hyperlink xmlns:r="http://schemas.openxmlformats.org/officeDocument/2006/relationships" ref="Q1025" display="https://www.sebi.gov.in/sebi_data/attachdocs/apr-2023/1681360837560.pdf" r:id="rId2566"/>
    <hyperlink xmlns:r="http://schemas.openxmlformats.org/officeDocument/2006/relationships" ref="R1025" display="https://www.sebi.gov.in/filings/public-issues/dec-2020/anupam-rasayan-india-limited_48559.html" r:id="rId2567"/>
    <hyperlink xmlns:r="http://schemas.openxmlformats.org/officeDocument/2006/relationships" ref="Q1026" display="https://www.sebi.gov.in/sebi_data/attachdocs/may-2023/1684480191283.pdf" r:id="rId2568"/>
    <hyperlink xmlns:r="http://schemas.openxmlformats.org/officeDocument/2006/relationships" ref="R1026" display="https://www.sebi.gov.in/filings/public-issues/dec-2020/mtar-technologies-limited_48488.html" r:id="rId2569"/>
    <hyperlink xmlns:r="http://schemas.openxmlformats.org/officeDocument/2006/relationships" ref="Q1027" display="https://www.sebi.gov.in/sebi_data/attachdocs/apr-2023/1681361130856.PDF" r:id="rId2570"/>
    <hyperlink xmlns:r="http://schemas.openxmlformats.org/officeDocument/2006/relationships" ref="R1027" display="https://www.sebi.gov.in/filings/public-issues/dec-2020/craftsman-automation-limited_48450.html" r:id="rId2571"/>
    <hyperlink xmlns:r="http://schemas.openxmlformats.org/officeDocument/2006/relationships" ref="Q1028" display="https://www.sebi.gov.in/sebi_data/attachdocs/apr-2023/1681361684845.pdf" r:id="rId2572"/>
    <hyperlink xmlns:r="http://schemas.openxmlformats.org/officeDocument/2006/relationships" ref="R1028" display="https://www.sebi.gov.in/filings/public-issues/dec-2020/laxmi-organic-industries-limited-drhp_48448.html" r:id="rId2573"/>
    <hyperlink xmlns:r="http://schemas.openxmlformats.org/officeDocument/2006/relationships" ref="Q1029" display="https://www.sebi.gov.in/sebi_data/attachdocs/dec-2020/1606806251037.pdf" r:id="rId2574"/>
    <hyperlink xmlns:r="http://schemas.openxmlformats.org/officeDocument/2006/relationships" ref="R1029" display="https://www.sebi.gov.in/filings/public-issues/dec-2020/esaf-small-finance-bank-limited-addendum-to-drhp_48320.html" r:id="rId2575"/>
    <hyperlink xmlns:r="http://schemas.openxmlformats.org/officeDocument/2006/relationships" ref="AB1029" r:id="rId2576"/>
    <hyperlink xmlns:r="http://schemas.openxmlformats.org/officeDocument/2006/relationships" ref="Q1030" display="https://www.sebi.gov.in/sebi_data/attachdocs/nov-2020/1606456332643.pdf" r:id="rId2577"/>
    <hyperlink xmlns:r="http://schemas.openxmlformats.org/officeDocument/2006/relationships" ref="R1030" display="https://www.sebi.gov.in/filings/public-issues/nov-2020/home-first-finance-company-india-ltd-addendum_48295.html" r:id="rId2578"/>
    <hyperlink xmlns:r="http://schemas.openxmlformats.org/officeDocument/2006/relationships" ref="Q1031" display="https://www.sebi.gov.in/sebi_data/attachdocs/nov-2020/1606125030670.pdf" r:id="rId2579"/>
    <hyperlink xmlns:r="http://schemas.openxmlformats.org/officeDocument/2006/relationships" ref="R1031" display="https://www.sebi.gov.in/filings/public-issues/nov-2020/stove-kraft-ltd-addendum-to-drhp_48233.html" r:id="rId2580"/>
    <hyperlink xmlns:r="http://schemas.openxmlformats.org/officeDocument/2006/relationships" ref="Q1032" display="https://www.sebi.gov.in/sebi_data/attachdocs/apr-2023/1681727502176.pdf" r:id="rId2581"/>
    <hyperlink xmlns:r="http://schemas.openxmlformats.org/officeDocument/2006/relationships" ref="R1032" display="https://www.sebi.gov.in/filings/public-issues/nov-2020/nureca-limited_48168.html" r:id="rId2582"/>
    <hyperlink xmlns:r="http://schemas.openxmlformats.org/officeDocument/2006/relationships" ref="Q1033" display="https://www.sebi.gov.in/sebi_data/attachdocs/nov-2020/1605244575800.pdf" r:id="rId2583"/>
    <hyperlink xmlns:r="http://schemas.openxmlformats.org/officeDocument/2006/relationships" ref="R1033" display="https://www.sebi.gov.in/filings/public-issues/nov-2020/indigo-paints-limited-drhp_48167.html" r:id="rId2584"/>
    <hyperlink xmlns:r="http://schemas.openxmlformats.org/officeDocument/2006/relationships" ref="Q1034" display="https://www.sebi.gov.in/sebi_data/attachdocs/oct-2020/1603351828724.pdf" r:id="rId2585"/>
    <hyperlink xmlns:r="http://schemas.openxmlformats.org/officeDocument/2006/relationships" ref="R1034" display="https://www.sebi.gov.in/filings/public-issues/oct-2020/burger-king-india-ltd-addendum-to-drhp_47935.html" r:id="rId2586"/>
    <hyperlink xmlns:r="http://schemas.openxmlformats.org/officeDocument/2006/relationships" ref="Q1035" display="https://www.sebi.gov.in/sebi_data/attachdocs/apr-2023/1681729763578.pdf" r:id="rId2587"/>
    <hyperlink xmlns:r="http://schemas.openxmlformats.org/officeDocument/2006/relationships" ref="R1035" display="https://www.sebi.gov.in/filings/public-issues/oct-2020/mrs-bectors-food-specialities-limited-drhp_47901.html" r:id="rId2588"/>
    <hyperlink xmlns:r="http://schemas.openxmlformats.org/officeDocument/2006/relationships" ref="Q1036" display="https://www.sebi.gov.in/sebi_data/attachdocs/apr-2023/1681362096079.pdf" r:id="rId2589"/>
    <hyperlink xmlns:r="http://schemas.openxmlformats.org/officeDocument/2006/relationships" ref="R1036" display="https://www.sebi.gov.in/filings/public-issues/oct-2020/suryoday-small-finance-bank-limited_47774.html" r:id="rId2590"/>
    <hyperlink xmlns:r="http://schemas.openxmlformats.org/officeDocument/2006/relationships" ref="Q1037" display="https://www.sebi.gov.in/sebi_data/attachdocs/oct-2020/1601887225837.pdf" r:id="rId2591"/>
    <hyperlink xmlns:r="http://schemas.openxmlformats.org/officeDocument/2006/relationships" ref="R1037" display="https://www.sebi.gov.in/filings/public-issues/sep-2020/railtel-corporation-of-india-limited-draft-red-herring-prospectus_47788.html" r:id="rId2592"/>
    <hyperlink xmlns:r="http://schemas.openxmlformats.org/officeDocument/2006/relationships" ref="Q1038" display="https://www.sebi.gov.in/sebi_data/attachdocs/apr-2023/1681707416612.pdf" r:id="rId2593"/>
    <hyperlink xmlns:r="http://schemas.openxmlformats.org/officeDocument/2006/relationships" ref="R1038" display="https://www.sebi.gov.in/filings/public-issues/sep-2020/antony-waste-handling-cell-ltd-_47784.html" r:id="rId2594"/>
    <hyperlink xmlns:r="http://schemas.openxmlformats.org/officeDocument/2006/relationships" ref="Q1039" display="https://www.sebi.gov.in/sebi_data/attachdocs/oct-2020/1601561683347.pdf" r:id="rId2595"/>
    <hyperlink xmlns:r="http://schemas.openxmlformats.org/officeDocument/2006/relationships" ref="R1039" display="https://www.sebi.gov.in/filings/public-issues/sep-2020/heranba-industries-limited_47782.html" r:id="rId2596"/>
    <hyperlink xmlns:r="http://schemas.openxmlformats.org/officeDocument/2006/relationships" ref="Q1040" display="https://www.sebi.gov.in/sebi_data/attachdocs/sep-2020/1601287570698.pdf" r:id="rId2597"/>
    <hyperlink xmlns:r="http://schemas.openxmlformats.org/officeDocument/2006/relationships" ref="R1040" display="https://www.sebi.gov.in/filings/public-issues/sep-2020/sigachi-industries-limited_47691.html" r:id="rId2598"/>
    <hyperlink xmlns:r="http://schemas.openxmlformats.org/officeDocument/2006/relationships" ref="Q1041" display="https://www.sebi.gov.in/sebi_data/attachdocs/sep-2020/1601009157778.pdf" r:id="rId2599"/>
    <hyperlink xmlns:r="http://schemas.openxmlformats.org/officeDocument/2006/relationships" ref="R1041" display="https://www.sebi.gov.in/filings/public-issues/sep-2020/equitas-small-finance-bank-addendum-to-drhp_47659.html" r:id="rId2600"/>
    <hyperlink xmlns:r="http://schemas.openxmlformats.org/officeDocument/2006/relationships" ref="Q1042" display="https://www.sebi.gov.in/sebi_data/attachdocs/sep-2020/1599454014113.pdf" r:id="rId2601"/>
    <hyperlink xmlns:r="http://schemas.openxmlformats.org/officeDocument/2006/relationships" ref="R1042" display="https://www.sebi.gov.in/filings/public-issues/sep-2020/mazagon-dock-shipbuilders-limited-addendum-to-the-drhp_47497.html" r:id="rId2602"/>
    <hyperlink xmlns:r="http://schemas.openxmlformats.org/officeDocument/2006/relationships" ref="Q1043" display="https://www.sebi.gov.in/sebi_data/attachdocs/apr-2023/1681362731759.pdf" r:id="rId2603"/>
    <hyperlink xmlns:r="http://schemas.openxmlformats.org/officeDocument/2006/relationships" ref="R1043" display="https://www.sebi.gov.in/filings/public-issues/aug-2020/kalyan-jewellers-india-limited_47390.html" r:id="rId2604"/>
    <hyperlink xmlns:r="http://schemas.openxmlformats.org/officeDocument/2006/relationships" ref="Q1044" display="https://www.sebi.gov.in/sebi_data/attachdocs/jul-2020/1594448799112.pdf" r:id="rId2605"/>
    <hyperlink xmlns:r="http://schemas.openxmlformats.org/officeDocument/2006/relationships" ref="R1044" display="https://www.sebi.gov.in/filings/public-issues/jul-2020/gland-pharma-limited_47048.html" r:id="rId2606"/>
    <hyperlink xmlns:r="http://schemas.openxmlformats.org/officeDocument/2006/relationships" ref="Q1045" display="https://www.sebi.gov.in/sebi_data/attachdocs/may-2023/1684485212884.pdf" r:id="rId2607"/>
    <hyperlink xmlns:r="http://schemas.openxmlformats.org/officeDocument/2006/relationships" ref="R1045" display="https://www.sebi.gov.in/filings/public-issues/jun-2020/happiest-minds-technologies-limited_46843.html" r:id="rId2608"/>
    <hyperlink xmlns:r="http://schemas.openxmlformats.org/officeDocument/2006/relationships" ref="Q1046" display="https://www.sebi.gov.in/sebi_data/attachdocs/jun-2020/1591341524067.pdf" r:id="rId2609"/>
    <hyperlink xmlns:r="http://schemas.openxmlformats.org/officeDocument/2006/relationships" ref="R1046" display="https://www.sebi.gov.in/filings/public-issues/jun-2020/jaikumar-constructions-ltd-drhp_46774.html" r:id="rId2610"/>
    <hyperlink xmlns:r="http://schemas.openxmlformats.org/officeDocument/2006/relationships" ref="AB1046" r:id="rId2611"/>
    <hyperlink xmlns:r="http://schemas.openxmlformats.org/officeDocument/2006/relationships" ref="Q1047" display="https://www.sebi.gov.in/sebi_data/attachdocs/may-2020/1588567958454.pdf" r:id="rId2612"/>
    <hyperlink xmlns:r="http://schemas.openxmlformats.org/officeDocument/2006/relationships" ref="R1047" display="https://www.sebi.gov.in/filings/public-issues/may-2020/ksolves-india-limited_46644.html" r:id="rId2613"/>
    <hyperlink xmlns:r="http://schemas.openxmlformats.org/officeDocument/2006/relationships" ref="Q1048" display="https://www.sebi.gov.in/sebi_data/attachdocs/mar-2020/1585303778620.pdf" r:id="rId2614"/>
    <hyperlink xmlns:r="http://schemas.openxmlformats.org/officeDocument/2006/relationships" ref="R1048" display="https://www.sebi.gov.in/filings/public-issues/mar-2020/easing-of-operational-procedure-division-of-issues-and-listing-cfd_46443.html" r:id="rId2615"/>
    <hyperlink xmlns:r="http://schemas.openxmlformats.org/officeDocument/2006/relationships" ref="Q1049" display="https://www.sebi.gov.in/sebi_data/attachdocs/feb-2020/1582197103291.PDF" r:id="rId2616"/>
    <hyperlink xmlns:r="http://schemas.openxmlformats.org/officeDocument/2006/relationships" ref="R1049" display="https://www.sebi.gov.in/filings/public-issues/feb-2020/barbeque-nation-hospitality-limited_46043.html" r:id="rId2617"/>
    <hyperlink xmlns:r="http://schemas.openxmlformats.org/officeDocument/2006/relationships" ref="Q1050" display="https://www.sebi.gov.in/sebi_data/attachdocs/feb-2020/1581516794147.pdf" r:id="rId2618"/>
    <hyperlink xmlns:r="http://schemas.openxmlformats.org/officeDocument/2006/relationships" ref="R1050" display="https://www.sebi.gov.in/filings/public-issues/feb-2020/national-commodity-and-derivatives-exchange-limited_45970.html" r:id="rId2619"/>
    <hyperlink xmlns:r="http://schemas.openxmlformats.org/officeDocument/2006/relationships" ref="AB1050" r:id="rId2620"/>
    <hyperlink xmlns:r="http://schemas.openxmlformats.org/officeDocument/2006/relationships" ref="Q1051" display="https://www.sebi.gov.in/sebi_data/attachdocs/jun-2023/1687844257165.pdf" r:id="rId2621"/>
    <hyperlink xmlns:r="http://schemas.openxmlformats.org/officeDocument/2006/relationships" ref="R1051" display="https://www.sebi.gov.in/filings/public-issues/feb-2020/stove-kraft-limited_45894.html" r:id="rId2622"/>
    <hyperlink xmlns:r="http://schemas.openxmlformats.org/officeDocument/2006/relationships" ref="Q1052" display="https://www.sebi.gov.in/sebi_data/attachdocs/jan-2020/1579667742592.pdf" r:id="rId2623"/>
    <hyperlink xmlns:r="http://schemas.openxmlformats.org/officeDocument/2006/relationships" ref="R1052" display="https://www.sebi.gov.in/filings/public-issues/jan-2020/indian-railway-finance-corporation-limited_45739.html" r:id="rId2624"/>
    <hyperlink xmlns:r="http://schemas.openxmlformats.org/officeDocument/2006/relationships" ref="Q1053" display="https://www.sebi.gov.in/sebi_data/attachdocs/jan-2020/1578913939132.pdf" r:id="rId2625"/>
    <hyperlink xmlns:r="http://schemas.openxmlformats.org/officeDocument/2006/relationships" ref="R1053" display="https://www.sebi.gov.in/filings/public-issues/jan-2020/likhitha-infrastructure-limited_45651.html" r:id="rId2626"/>
    <hyperlink xmlns:r="http://schemas.openxmlformats.org/officeDocument/2006/relationships" ref="Q1054" display="https://www.sebi.gov.in/sebi_data/attachdocs/jan-2020/1578660547821.pdf" r:id="rId2627"/>
    <hyperlink xmlns:r="http://schemas.openxmlformats.org/officeDocument/2006/relationships" ref="R1054" display="https://www.sebi.gov.in/filings/public-issues/jan-2020/computer-age-management-services-limited_45631.html" r:id="rId2628"/>
    <hyperlink xmlns:r="http://schemas.openxmlformats.org/officeDocument/2006/relationships" ref="Q1055" display="https://www.sebi.gov.in/sebi_data/attachdocs/apr-2023/1681364502739.pdf" r:id="rId2629"/>
    <hyperlink xmlns:r="http://schemas.openxmlformats.org/officeDocument/2006/relationships" ref="R1055" display="https://www.sebi.gov.in/filings/public-issues/jan-2020/esaf-small-finance-bank-limited_45604.html" r:id="rId2630"/>
    <hyperlink xmlns:r="http://schemas.openxmlformats.org/officeDocument/2006/relationships" ref="AB1055" r:id="rId2631"/>
    <hyperlink xmlns:r="http://schemas.openxmlformats.org/officeDocument/2006/relationships" ref="Q1056" display="https://www.sebi.gov.in/sebi_data/attachdocs/may-2023/1683610619410.pdf" r:id="rId2632"/>
    <hyperlink xmlns:r="http://schemas.openxmlformats.org/officeDocument/2006/relationships" ref="R1056" display="https://www.sebi.gov.in/filings/public-issues/jan-2020/apeejay-surrendra-park-hotels-limited_45539.html" r:id="rId2633"/>
    <hyperlink xmlns:r="http://schemas.openxmlformats.org/officeDocument/2006/relationships" ref="AB1056" r:id="rId2634"/>
    <hyperlink xmlns:r="http://schemas.openxmlformats.org/officeDocument/2006/relationships" ref="Q1057" display="https://www.sebi.gov.in/sebi_data/attachdocs/jan-2020/1577871159537.pdf" r:id="rId2635"/>
    <hyperlink xmlns:r="http://schemas.openxmlformats.org/officeDocument/2006/relationships" ref="R1057" display="https://www.sebi.gov.in/filings/public-issues/dec-2019/ro-jewels-limited_45518.html" r:id="rId2636"/>
    <hyperlink xmlns:r="http://schemas.openxmlformats.org/officeDocument/2006/relationships" ref="Q1058" display="https://www.sebi.gov.in/sebi_data/attachdocs/apr-2023/1681365034384.pdf" r:id="rId2637"/>
    <hyperlink xmlns:r="http://schemas.openxmlformats.org/officeDocument/2006/relationships" ref="R1058" display="https://www.sebi.gov.in/filings/public-issues/dec-2019/rossari-biotech-limited_45405.html" r:id="rId2638"/>
    <hyperlink xmlns:r="http://schemas.openxmlformats.org/officeDocument/2006/relationships" ref="Q1059" display="https://www.sebi.gov.in/sebi_data/attachdocs/dec-2019/1577109330084.pdf" r:id="rId2639"/>
    <hyperlink xmlns:r="http://schemas.openxmlformats.org/officeDocument/2006/relationships" ref="R1059" display="https://www.sebi.gov.in/filings/public-issues/dec-2019/uti-asset-management-company-limited_45426.html" r:id="rId2640"/>
    <hyperlink xmlns:r="http://schemas.openxmlformats.org/officeDocument/2006/relationships" ref="Q1060" display="https://www.sebi.gov.in/sebi_data/attachdocs/dec-2019/1576647333973.pdf" r:id="rId2641"/>
    <hyperlink xmlns:r="http://schemas.openxmlformats.org/officeDocument/2006/relationships" ref="R1060" display="https://www.sebi.gov.in/filings/public-issues/dec-2019/equitas-small-finance-bank-limited_45353.html" r:id="rId2642"/>
    <hyperlink xmlns:r="http://schemas.openxmlformats.org/officeDocument/2006/relationships" ref="Q1061" display="https://www.sebi.gov.in/sebi_data/attachdocs/apr-2023/1681125913749.pdf" r:id="rId2643"/>
    <hyperlink xmlns:r="http://schemas.openxmlformats.org/officeDocument/2006/relationships" ref="R1061" display="https://www.sebi.gov.in/filings/public-issues/dec-2019/icl-organic-dairy-products-limited_45336.html" r:id="rId2644"/>
    <hyperlink xmlns:r="http://schemas.openxmlformats.org/officeDocument/2006/relationships" ref="Q1062" display="https://www.sebi.gov.in/sebi_data/attachdocs/dec-2019/1576817027159.PDF" r:id="rId2645"/>
    <hyperlink xmlns:r="http://schemas.openxmlformats.org/officeDocument/2006/relationships" ref="R1062" display="https://www.sebi.gov.in/filings/public-issues/dec-2019/madhav-copper-limited_45393.html" r:id="rId2646"/>
    <hyperlink xmlns:r="http://schemas.openxmlformats.org/officeDocument/2006/relationships" ref="Q1063" display="https://www.sebi.gov.in/sebi_data/attachdocs/apr-2023/1681212063911.pdf" r:id="rId2647"/>
    <hyperlink xmlns:r="http://schemas.openxmlformats.org/officeDocument/2006/relationships" ref="R1063" display="https://www.sebi.gov.in/filings/public-issues/dec-2019/easy-trip-planners-limited_45323.html" r:id="rId2648"/>
    <hyperlink xmlns:r="http://schemas.openxmlformats.org/officeDocument/2006/relationships" ref="Q1064" display="https://www.sebi.gov.in/sebi_data/attachdocs/dec-2019/1575274673139.pdf" r:id="rId2649"/>
    <hyperlink xmlns:r="http://schemas.openxmlformats.org/officeDocument/2006/relationships" ref="R1064" display="https://www.sebi.gov.in/filings/public-issues/dec-2019/home-first-finance-company-india-limited_45165.html" r:id="rId2650"/>
    <hyperlink xmlns:r="http://schemas.openxmlformats.org/officeDocument/2006/relationships" ref="Q1065" display="https://www.sebi.gov.in/sebi_data/attachdocs/dec-2019/1575268925170.PDF" r:id="rId2651"/>
    <hyperlink xmlns:r="http://schemas.openxmlformats.org/officeDocument/2006/relationships" ref="R1065" display="https://www.sebi.gov.in/filings/public-issues/dec-2019/sbi-cards-and-payment-services-limited_45160.html" r:id="rId2652"/>
    <hyperlink xmlns:r="http://schemas.openxmlformats.org/officeDocument/2006/relationships" ref="Q1066" display="https://www.sebi.gov.in/sebi_data/attachdocs/may-2023/1684477803458.pdf" r:id="rId2653"/>
    <hyperlink xmlns:r="http://schemas.openxmlformats.org/officeDocument/2006/relationships" ref="R1066" display="https://www.sebi.gov.in/filings/public-issues/nov-2019/puranik-builders-limited_45050.html" r:id="rId2654"/>
    <hyperlink xmlns:r="http://schemas.openxmlformats.org/officeDocument/2006/relationships" ref="AB1066" r:id="rId2655"/>
    <hyperlink xmlns:r="http://schemas.openxmlformats.org/officeDocument/2006/relationships" ref="Q1067" display="https://www.sebi.gov.in/sebi_data/attachdocs/nov-2019/1573013898727.pdf" r:id="rId2656"/>
    <hyperlink xmlns:r="http://schemas.openxmlformats.org/officeDocument/2006/relationships" ref="R1067" display="https://www.sebi.gov.in/filings/public-issues/nov-2019/burger-king-india-limited_44876.html" r:id="rId2657"/>
    <hyperlink xmlns:r="http://schemas.openxmlformats.org/officeDocument/2006/relationships" ref="Q1068" display="https://www.sebi.gov.in/sebi_data/attachdocs/oct-2019/1572410055177.pdf" r:id="rId2658"/>
    <hyperlink xmlns:r="http://schemas.openxmlformats.org/officeDocument/2006/relationships" ref="R1068" display="https://www.sebi.gov.in/filings/public-issues/oct-2019/mangalam-global-enterprise-limited_44795.html" r:id="rId2659"/>
    <hyperlink xmlns:r="http://schemas.openxmlformats.org/officeDocument/2006/relationships" ref="Q1069" display="https://www.sebi.gov.in/sebi_data/attachdocs/oct-2019/1572002560483.pdf" r:id="rId2660"/>
    <hyperlink xmlns:r="http://schemas.openxmlformats.org/officeDocument/2006/relationships" ref="R1069" display="https://www.sebi.gov.in/filings/public-issues/oct-2019/bonlon-industries-limited_44778.html" r:id="rId2661"/>
    <hyperlink xmlns:r="http://schemas.openxmlformats.org/officeDocument/2006/relationships" ref="Q1070" display="https://www.sebi.gov.in/sebi_data/attachdocs/oct-2019/1571917589761.PDF" r:id="rId2662"/>
    <hyperlink xmlns:r="http://schemas.openxmlformats.org/officeDocument/2006/relationships" ref="R1070" display="https://www.sebi.gov.in/filings/public-issues/oct-2019/ramsons-food-products-limited_44753.html" r:id="rId2663"/>
    <hyperlink xmlns:r="http://schemas.openxmlformats.org/officeDocument/2006/relationships" ref="Q1071" display="https://www.sebi.gov.in/sebi_data/attachdocs/oct-2019/1571745925606.PDF" r:id="rId2664"/>
    <hyperlink xmlns:r="http://schemas.openxmlformats.org/officeDocument/2006/relationships" ref="R1071" display="https://www.sebi.gov.in/filings/public-issues/oct-2019/rainbow-crop-health-limited_44714.html" r:id="rId2665"/>
    <hyperlink xmlns:r="http://schemas.openxmlformats.org/officeDocument/2006/relationships" ref="AB1071" r:id="rId2666"/>
    <hyperlink xmlns:r="http://schemas.openxmlformats.org/officeDocument/2006/relationships" ref="Q1072" display="https://www.sebi.gov.in/sebi_data/attachdocs/oct-2019/1570183901946.pdf" r:id="rId2667"/>
    <hyperlink xmlns:r="http://schemas.openxmlformats.org/officeDocument/2006/relationships" ref="R1072" display="https://www.sebi.gov.in/filings/public-issues/oct-2019/nilshikhaa-projects-ltd-_44577.html" r:id="rId2668"/>
    <hyperlink xmlns:r="http://schemas.openxmlformats.org/officeDocument/2006/relationships" ref="AB1072" r:id="rId2669"/>
    <hyperlink xmlns:r="http://schemas.openxmlformats.org/officeDocument/2006/relationships" ref="Q1073" display="https://www.sebi.gov.in/sebi_data/attachdocs/oct-2019/1570183832734.pdf" r:id="rId2670"/>
    <hyperlink xmlns:r="http://schemas.openxmlformats.org/officeDocument/2006/relationships" ref="R1073" display="https://www.sebi.gov.in/filings/public-issues/oct-2019/zircar-refractories-ltd-_44576.html" r:id="rId2671"/>
    <hyperlink xmlns:r="http://schemas.openxmlformats.org/officeDocument/2006/relationships" ref="AB1073" r:id="rId2672"/>
    <hyperlink xmlns:r="http://schemas.openxmlformats.org/officeDocument/2006/relationships" ref="Q1074" display="https://www.sebi.gov.in/sebi_data/attachdocs/may-2023/1683095174184.pdf" r:id="rId2673"/>
    <hyperlink xmlns:r="http://schemas.openxmlformats.org/officeDocument/2006/relationships" ref="R1074" display="https://www.sebi.gov.in/filings/public-issues/oct-2019/route-mobile-limited_44646.html" r:id="rId2674"/>
    <hyperlink xmlns:r="http://schemas.openxmlformats.org/officeDocument/2006/relationships" ref="Q1075" display="https://www.sebi.gov.in/sebi_data/attachdocs/oct-2019/1569921982503.pdf" r:id="rId2675"/>
    <hyperlink xmlns:r="http://schemas.openxmlformats.org/officeDocument/2006/relationships" ref="R1075" display="https://www.sebi.gov.in/filings/public-issues/oct-2019/mukesh-trends-life-style-limited_44548.html" r:id="rId2676"/>
    <hyperlink xmlns:r="http://schemas.openxmlformats.org/officeDocument/2006/relationships" ref="AB1075" r:id="rId2677"/>
    <hyperlink xmlns:r="http://schemas.openxmlformats.org/officeDocument/2006/relationships" ref="Q1076" display="https://www.sebi.gov.in/sebi_data/attachdocs/may-2023/1684477400672.pdf" r:id="rId2678"/>
    <hyperlink xmlns:r="http://schemas.openxmlformats.org/officeDocument/2006/relationships" ref="R1076" display="https://www.sebi.gov.in/filings/public-issues/sep-2019/montecarlo-limited_44529.html" r:id="rId2679"/>
    <hyperlink xmlns:r="http://schemas.openxmlformats.org/officeDocument/2006/relationships" ref="AB1076" r:id="rId2680"/>
    <hyperlink xmlns:r="http://schemas.openxmlformats.org/officeDocument/2006/relationships" ref="Q1077" display="https://www.sebi.gov.in/sebi_data/attachdocs/oct-2019/1570084748102.pdf" r:id="rId2681"/>
    <hyperlink xmlns:r="http://schemas.openxmlformats.org/officeDocument/2006/relationships" ref="R1077" display="https://www.sebi.gov.in/filings/public-issues/sep-2019/samhi-hotels-limited_44561.html" r:id="rId2682"/>
    <hyperlink xmlns:r="http://schemas.openxmlformats.org/officeDocument/2006/relationships" ref="AB1077" r:id="rId2683"/>
    <hyperlink xmlns:r="http://schemas.openxmlformats.org/officeDocument/2006/relationships" ref="Q1078" display="https://www.sebi.gov.in/sebi_data/attachdocs/sep-2019/1568803208643.pdf" r:id="rId2684"/>
    <hyperlink xmlns:r="http://schemas.openxmlformats.org/officeDocument/2006/relationships" ref="R1078" display="https://www.sebi.gov.in/filings/public-issues/sep-2019/gensol-engineering-limited_44284.html" r:id="rId2685"/>
    <hyperlink xmlns:r="http://schemas.openxmlformats.org/officeDocument/2006/relationships" ref="Q1079" display="https://www.sebi.gov.in/sebi_data/attachdocs/oct-2019/1570163328439.pdf" r:id="rId2686"/>
    <hyperlink xmlns:r="http://schemas.openxmlformats.org/officeDocument/2006/relationships" ref="R1079" display="https://www.sebi.gov.in/filings/public-issues/sep-2019/unidrug-innovative-pharma-technologies-limited_44566.html" r:id="rId2687"/>
    <hyperlink xmlns:r="http://schemas.openxmlformats.org/officeDocument/2006/relationships" ref="AB1079" r:id="rId2688"/>
    <hyperlink xmlns:r="http://schemas.openxmlformats.org/officeDocument/2006/relationships" ref="Q1080" display="https://www.sebi.gov.in/sebi_data/attachdocs/aug-2019/1566449751846.pdf" r:id="rId2689"/>
    <hyperlink xmlns:r="http://schemas.openxmlformats.org/officeDocument/2006/relationships" ref="R1080" display="https://www.sebi.gov.in/filings/public-issues/aug-2019/indian-railway-catering-and-tourism-corporation-limited_43981.html" r:id="rId2690"/>
    <hyperlink xmlns:r="http://schemas.openxmlformats.org/officeDocument/2006/relationships" ref="Q1081" display="https://www.sebi.gov.in/sebi_data/attachdocs/aug-2019/1566450897703.PDF" r:id="rId2691"/>
    <hyperlink xmlns:r="http://schemas.openxmlformats.org/officeDocument/2006/relationships" ref="R1081" display="https://www.sebi.gov.in/filings/public-issues/aug-2019/ujjivan-small-finance-bank-limited_43982.html" r:id="rId2692"/>
    <hyperlink xmlns:r="http://schemas.openxmlformats.org/officeDocument/2006/relationships" ref="Q1082" display="https://www.sebi.gov.in/sebi_data/attachdocs/aug-2019/1565675210432.PDF" r:id="rId2693"/>
    <hyperlink xmlns:r="http://schemas.openxmlformats.org/officeDocument/2006/relationships" ref="R1082" display="https://www.sebi.gov.in/filings/public-issues/aug-2019/csb-bank-limited_43872.html" r:id="rId2694"/>
    <hyperlink xmlns:r="http://schemas.openxmlformats.org/officeDocument/2006/relationships" ref="Q1083" display="https://www.sebi.gov.in/sebi_data/attachdocs/aug-2019/1565331596490.pdf" r:id="rId2695"/>
    <hyperlink xmlns:r="http://schemas.openxmlformats.org/officeDocument/2006/relationships" ref="R1083" display="https://www.sebi.gov.in/filings/public-issues/aug-2019/chemcon-speciality-chemicals-ltd-_43860.html" r:id="rId2696"/>
    <hyperlink xmlns:r="http://schemas.openxmlformats.org/officeDocument/2006/relationships" ref="Q1084" display="https://www.sebi.gov.in/sebi_data/attachdocs/aug-2019/1565270005228.pdf" r:id="rId2697"/>
    <hyperlink xmlns:r="http://schemas.openxmlformats.org/officeDocument/2006/relationships" ref="R1084" display="https://www.sebi.gov.in/filings/public-issues/aug-2019/mazagon-dock-shipbuilders-limited-drhp_43848.html" r:id="rId2698"/>
    <hyperlink xmlns:r="http://schemas.openxmlformats.org/officeDocument/2006/relationships" ref="Q1085" display="https://www.sebi.gov.in/sebi_data/attachdocs/jul-2019/1564575726252.pdf" r:id="rId2699"/>
    <hyperlink xmlns:r="http://schemas.openxmlformats.org/officeDocument/2006/relationships" ref="R1085" display="https://www.sebi.gov.in/filings/public-issues/jul-2019/indian-renewable-energy-development-agency-limited_43772.html" r:id="rId2700"/>
    <hyperlink xmlns:r="http://schemas.openxmlformats.org/officeDocument/2006/relationships" ref="AB1085" r:id="rId2701"/>
    <hyperlink xmlns:r="http://schemas.openxmlformats.org/officeDocument/2006/relationships" ref="Q1086" display="https://www.sebi.gov.in/sebi_data/attachdocs/jul-2019/1563338426844.pdf" r:id="rId2702"/>
    <hyperlink xmlns:r="http://schemas.openxmlformats.org/officeDocument/2006/relationships" ref="R1086" display="https://www.sebi.gov.in/filings/public-issues/jul-2019/wonder-fibromats-limited_43585.html" r:id="rId2703"/>
    <hyperlink xmlns:r="http://schemas.openxmlformats.org/officeDocument/2006/relationships" ref="Q1087" display="https://www.sebi.gov.in/sebi_data/attachdocs/apr-2023/1681212317639.pdf" r:id="rId2704"/>
    <hyperlink xmlns:r="http://schemas.openxmlformats.org/officeDocument/2006/relationships" ref="R1087" display="https://www.sebi.gov.in/filings/public-issues/jun-2019/shyam-steel-industries-limited_43188.html" r:id="rId2705"/>
    <hyperlink xmlns:r="http://schemas.openxmlformats.org/officeDocument/2006/relationships" ref="AB1087" r:id="rId2706"/>
    <hyperlink xmlns:r="http://schemas.openxmlformats.org/officeDocument/2006/relationships" ref="Q1088" display="https://www.sebi.gov.in/sebi_data/attachdocs/may-2019/1556793606287.pdf" r:id="rId2707"/>
    <hyperlink xmlns:r="http://schemas.openxmlformats.org/officeDocument/2006/relationships" ref="R1088" display="https://www.sebi.gov.in/filings/public-issues/may-2019/sbc-exports-limited_42903.html" r:id="rId2708"/>
    <hyperlink xmlns:r="http://schemas.openxmlformats.org/officeDocument/2006/relationships" ref="Q1089" display="https://www.sebi.gov.in/sebi_data/attachdocs/may-2023/1683087698716.pdf" r:id="rId2709"/>
    <hyperlink xmlns:r="http://schemas.openxmlformats.org/officeDocument/2006/relationships" ref="R1089" display="https://www.sebi.gov.in/filings/public-issues/apr-2019/sterling-and-wilson-solar-limited_42763.html" r:id="rId2710"/>
    <hyperlink xmlns:r="http://schemas.openxmlformats.org/officeDocument/2006/relationships" ref="Q1090" display="https://www.sebi.gov.in/sebi_data/attachdocs/may-2023/1684477298748.pdf" r:id="rId2711"/>
    <hyperlink xmlns:r="http://schemas.openxmlformats.org/officeDocument/2006/relationships" ref="R1090" display="https://www.sebi.gov.in/filings/public-issues/apr-2019/bajaj-energy-limited_42638.html" r:id="rId2712"/>
    <hyperlink xmlns:r="http://schemas.openxmlformats.org/officeDocument/2006/relationships" ref="AB1090" r:id="rId2713"/>
    <hyperlink xmlns:r="http://schemas.openxmlformats.org/officeDocument/2006/relationships" ref="Q1091" display="https://www.sebi.gov.in/sebi_data/attachdocs/apr-2019/1554175454973.pdf" r:id="rId2714"/>
    <hyperlink xmlns:r="http://schemas.openxmlformats.org/officeDocument/2006/relationships" ref="R1091" display="https://www.sebi.gov.in/filings/public-issues/apr-2019/annai-infra-developers-limited_42585.html" r:id="rId2715"/>
    <hyperlink xmlns:r="http://schemas.openxmlformats.org/officeDocument/2006/relationships" ref="AB1091" r:id="rId2716"/>
    <hyperlink xmlns:r="http://schemas.openxmlformats.org/officeDocument/2006/relationships" ref="Q1092" display="https://www.sebi.gov.in/sebi_data/attachdocs/mar-2019/1553064316857.pdf" r:id="rId2717"/>
    <hyperlink xmlns:r="http://schemas.openxmlformats.org/officeDocument/2006/relationships" ref="R1092" display="https://www.sebi.gov.in/filings/public-issues/mar-2019/satyasai-pressure-vessels-limited_42423.html" r:id="rId2718"/>
    <hyperlink xmlns:r="http://schemas.openxmlformats.org/officeDocument/2006/relationships" ref="AB1092" r:id="rId2719"/>
    <hyperlink xmlns:r="http://schemas.openxmlformats.org/officeDocument/2006/relationships" ref="Q1093" display="https://www.sebi.gov.in/sebi_data/attachdocs/may-2023/1683090960086.pdf" r:id="rId2720"/>
    <hyperlink xmlns:r="http://schemas.openxmlformats.org/officeDocument/2006/relationships" ref="R1093" display="https://www.sebi.gov.in/filings/public-issues/mar-2019/powerica-limited_42371.html" r:id="rId2721"/>
    <hyperlink xmlns:r="http://schemas.openxmlformats.org/officeDocument/2006/relationships" ref="AB1093" r:id="rId2722"/>
    <hyperlink xmlns:r="http://schemas.openxmlformats.org/officeDocument/2006/relationships" ref="Q1094" display="https://www.sebi.gov.in/sebi_data/attachdocs/feb-2019/1550719259598.pdf" r:id="rId2723"/>
    <hyperlink xmlns:r="http://schemas.openxmlformats.org/officeDocument/2006/relationships" ref="R1094" display="https://www.sebi.gov.in/filings/public-issues/feb-2019/m-k-roy-and-bros-projects-limited_42102.html" r:id="rId2724"/>
    <hyperlink xmlns:r="http://schemas.openxmlformats.org/officeDocument/2006/relationships" ref="AB1094" r:id="rId2725"/>
    <hyperlink xmlns:r="http://schemas.openxmlformats.org/officeDocument/2006/relationships" ref="Q1095" display="https://www.sebi.gov.in/sebi_data/attachdocs/apr-2023/1681124400398.pdf" r:id="rId2726"/>
    <hyperlink xmlns:r="http://schemas.openxmlformats.org/officeDocument/2006/relationships" ref="R1095" display="https://www.sebi.gov.in/filings/public-issues/feb-2019/mahip-industries-limited-_42091.html" r:id="rId2727"/>
    <hyperlink xmlns:r="http://schemas.openxmlformats.org/officeDocument/2006/relationships" ref="Q1096" display="https://www.sebi.gov.in/sebi_data/attachdocs/feb-2019/1550059208223_13.pdf" r:id="rId2728"/>
    <hyperlink xmlns:r="http://schemas.openxmlformats.org/officeDocument/2006/relationships" ref="R1096" display="https://www.sebi.gov.in/filings/public-issues/feb-2019/reliance-general-insurance-company-limited_42061.html" r:id="rId2729"/>
    <hyperlink xmlns:r="http://schemas.openxmlformats.org/officeDocument/2006/relationships" ref="AB1096" r:id="rId2730"/>
    <hyperlink xmlns:r="http://schemas.openxmlformats.org/officeDocument/2006/relationships" ref="Q1097" display="https://www.sebi.gov.in/sebi_data/attachdocs/feb-2019/1550030004468.pdf" r:id="rId2731"/>
    <hyperlink xmlns:r="http://schemas.openxmlformats.org/officeDocument/2006/relationships" ref="R1097" display="https://www.sebi.gov.in/filings/public-issues/feb-2019/welpar-pharmbizz-limited_42053.html" r:id="rId2732"/>
    <hyperlink xmlns:r="http://schemas.openxmlformats.org/officeDocument/2006/relationships" ref="AB1097" r:id="rId2733"/>
    <hyperlink xmlns:r="http://schemas.openxmlformats.org/officeDocument/2006/relationships" ref="Q1098" display="https://www.sebi.gov.in/sebi_data/attachdocs/feb-2019/1549426044617.pdf" r:id="rId2734"/>
    <hyperlink xmlns:r="http://schemas.openxmlformats.org/officeDocument/2006/relationships" ref="R1098" display="https://www.sebi.gov.in/filings/public-issues/feb-2019/humming-bird-education-limited_41979.html" r:id="rId2735"/>
    <hyperlink xmlns:r="http://schemas.openxmlformats.org/officeDocument/2006/relationships" ref="Q1099" display="https://www.sebi.gov.in/sebi_data/attachdocs/feb-2019/1549274383844.pdf" r:id="rId2736"/>
    <hyperlink xmlns:r="http://schemas.openxmlformats.org/officeDocument/2006/relationships" ref="R1099" display="https://www.sebi.gov.in/filings/public-issues/feb-2019/mstc-limited_41966.html" r:id="rId2737"/>
    <hyperlink xmlns:r="http://schemas.openxmlformats.org/officeDocument/2006/relationships" ref="Q1100" display="https://www.sebi.gov.in/sebi_data/attachdocs/apr-2023/1681124360045.pdf" r:id="rId2738"/>
    <hyperlink xmlns:r="http://schemas.openxmlformats.org/officeDocument/2006/relationships" ref="R1100" display="https://www.sebi.gov.in/filings/public-issues/jan-2019/northern-spirits-limited_41863.html" r:id="rId2739"/>
    <hyperlink xmlns:r="http://schemas.openxmlformats.org/officeDocument/2006/relationships" ref="Q1101" display="https://www.sebi.gov.in/sebi_data/attachdocs/jan-2019/1546581784822.pdf" r:id="rId2740"/>
    <hyperlink xmlns:r="http://schemas.openxmlformats.org/officeDocument/2006/relationships" ref="R1101" display="https://www.sebi.gov.in/filings/public-issues/jan-2019/kranti-industries-limited_41537.html" r:id="rId2741"/>
    <hyperlink xmlns:r="http://schemas.openxmlformats.org/officeDocument/2006/relationships" ref="Q1102" display="https://www.sebi.gov.in/sebi_data/attachdocs/apr-2023/1681707020351.pdf" r:id="rId2742"/>
    <hyperlink xmlns:r="http://schemas.openxmlformats.org/officeDocument/2006/relationships" ref="R1102" display="https://www.sebi.gov.in/filings/public-issues/jan-2019/antony-waste-handling-cell-limited_41518.html" r:id="rId2743"/>
    <hyperlink xmlns:r="http://schemas.openxmlformats.org/officeDocument/2006/relationships" ref="Q1103" display="https://www.sebi.gov.in/sebi_data/attachdocs/apr-2023/1681818971633.pdf" r:id="rId2744"/>
    <hyperlink xmlns:r="http://schemas.openxmlformats.org/officeDocument/2006/relationships" ref="R1103" display="https://www.sebi.gov.in/filings/public-issues/dec-2018/shriram-properties-limited_41454.html" r:id="rId2745"/>
    <hyperlink xmlns:r="http://schemas.openxmlformats.org/officeDocument/2006/relationships" ref="AB1103" r:id="rId2746"/>
    <hyperlink xmlns:r="http://schemas.openxmlformats.org/officeDocument/2006/relationships" ref="Q1104" display="https://www.sebi.gov.in/sebi_data/attachdocs/apr-2023/1681212442052.pdf" r:id="rId2747"/>
    <hyperlink xmlns:r="http://schemas.openxmlformats.org/officeDocument/2006/relationships" ref="R1104" display="https://www.sebi.gov.in/filings/public-issues/dec-2018/uniparts-india-limited_41250.html" r:id="rId2748"/>
    <hyperlink xmlns:r="http://schemas.openxmlformats.org/officeDocument/2006/relationships" ref="AB1104" r:id="rId2749"/>
    <hyperlink xmlns:r="http://schemas.openxmlformats.org/officeDocument/2006/relationships" ref="Q1105" display="https://www.sebi.gov.in/sebi_data/attachdocs/nov-2018/1543549582524.pdf" r:id="rId2750"/>
    <hyperlink xmlns:r="http://schemas.openxmlformats.org/officeDocument/2006/relationships" ref="R1105" display="https://www.sebi.gov.in/filings/public-issues/nov-2018/coldex-limited_41154.html" r:id="rId2751"/>
    <hyperlink xmlns:r="http://schemas.openxmlformats.org/officeDocument/2006/relationships" ref="AB1105" r:id="rId2752"/>
    <hyperlink xmlns:r="http://schemas.openxmlformats.org/officeDocument/2006/relationships" ref="Q1106" display="https://www.sebi.gov.in/sebi_data/attachdocs/nov-2018/1542278014804.pdf" r:id="rId2753"/>
    <hyperlink xmlns:r="http://schemas.openxmlformats.org/officeDocument/2006/relationships" ref="R1106" display="https://www.sebi.gov.in/filings/public-issues/nov-2018/penna-cement-industries-limited_41004.html" r:id="rId2754"/>
    <hyperlink xmlns:r="http://schemas.openxmlformats.org/officeDocument/2006/relationships" ref="AB1106" r:id="rId2755"/>
    <hyperlink xmlns:r="http://schemas.openxmlformats.org/officeDocument/2006/relationships" ref="Q1107" display="https://www.sebi.gov.in/sebi_data/attachdocs/nov-2018/1541419209760_7.pdf" r:id="rId2756"/>
    <hyperlink xmlns:r="http://schemas.openxmlformats.org/officeDocument/2006/relationships" ref="R1107" display="https://www.sebi.gov.in/filings/public-issues/nov-2018/neogen-chemicals-limited_40952.html" r:id="rId2757"/>
    <hyperlink xmlns:r="http://schemas.openxmlformats.org/officeDocument/2006/relationships" ref="Q1108" display="https://www.sebi.gov.in/sebi_data/attachdocs/nov-2018/1541160009196_6.pdf" r:id="rId2758"/>
    <hyperlink xmlns:r="http://schemas.openxmlformats.org/officeDocument/2006/relationships" ref="R1108" display="https://www.sebi.gov.in/filings/public-issues/nov-2018/polycab-india-limited_40933.html" r:id="rId2759"/>
    <hyperlink xmlns:r="http://schemas.openxmlformats.org/officeDocument/2006/relationships" ref="Q1109" display="https://www.sebi.gov.in/sebi_data/attachdocs/oct-2018/1539777610868_5.pdf" r:id="rId2760"/>
    <hyperlink xmlns:r="http://schemas.openxmlformats.org/officeDocument/2006/relationships" ref="R1109" display="https://www.sebi.gov.in/filings/public-issues/oct-2018/prince-pipes-and-fittings-limited_40754.html" r:id="rId2761"/>
    <hyperlink xmlns:r="http://schemas.openxmlformats.org/officeDocument/2006/relationships" ref="Q1110" display="https://www.sebi.gov.in/sebi_data/attachdocs/oct-2018/1539666184545.pdf" r:id="rId2762"/>
    <hyperlink xmlns:r="http://schemas.openxmlformats.org/officeDocument/2006/relationships" ref="R1110" display="https://www.sebi.gov.in/filings/public-issues/oct-2018/narmada-bio-chem-limited_40732.html" r:id="rId2763"/>
    <hyperlink xmlns:r="http://schemas.openxmlformats.org/officeDocument/2006/relationships" ref="AB1110" r:id="rId2764"/>
    <hyperlink xmlns:r="http://schemas.openxmlformats.org/officeDocument/2006/relationships" ref="Q1111" display="https://www.sebi.gov.in/sebi_data/attachdocs/oct-2018/1539578504153.pdf" r:id="rId2765"/>
    <hyperlink xmlns:r="http://schemas.openxmlformats.org/officeDocument/2006/relationships" ref="R1111" display="https://www.sebi.gov.in/filings/public-issues/oct-2018/emami-cement-limited_40726.html" r:id="rId2766"/>
    <hyperlink xmlns:r="http://schemas.openxmlformats.org/officeDocument/2006/relationships" ref="AB1111" r:id="rId2767"/>
    <hyperlink xmlns:r="http://schemas.openxmlformats.org/officeDocument/2006/relationships" ref="Q1112" display="https://www.sebi.gov.in/sebi_data/attachdocs/oct-2018/1538393293334.pdf" r:id="rId2768"/>
    <hyperlink xmlns:r="http://schemas.openxmlformats.org/officeDocument/2006/relationships" ref="R1112" display="https://www.sebi.gov.in/filings/public-issues/oct-2018/heranba-industries-limited_40572.html" r:id="rId2769"/>
    <hyperlink xmlns:r="http://schemas.openxmlformats.org/officeDocument/2006/relationships" ref="AB1112" r:id="rId2770"/>
    <hyperlink xmlns:r="http://schemas.openxmlformats.org/officeDocument/2006/relationships" ref="Q1113" display="https://www.sebi.gov.in/sebi_data/attachdocs/oct-2018/1538393281700.pdf" r:id="rId2771"/>
    <hyperlink xmlns:r="http://schemas.openxmlformats.org/officeDocument/2006/relationships" ref="R1113" display="https://www.sebi.gov.in/filings/public-issues/oct-2018/chartered-speed-limited_40571.html" r:id="rId2772"/>
    <hyperlink xmlns:r="http://schemas.openxmlformats.org/officeDocument/2006/relationships" ref="AB1113" r:id="rId2773"/>
    <hyperlink xmlns:r="http://schemas.openxmlformats.org/officeDocument/2006/relationships" ref="Q1114" display="https://www.sebi.gov.in/sebi_data/attachdocs/sep-2018/1538145015018.pdf" r:id="rId2774"/>
    <hyperlink xmlns:r="http://schemas.openxmlformats.org/officeDocument/2006/relationships" ref="R1114" display="https://www.sebi.gov.in/filings/public-issues/sep-2018/neccon-power-and-infra-limited_40543.html" r:id="rId2775"/>
    <hyperlink xmlns:r="http://schemas.openxmlformats.org/officeDocument/2006/relationships" ref="AB1114" r:id="rId2776"/>
    <hyperlink xmlns:r="http://schemas.openxmlformats.org/officeDocument/2006/relationships" ref="Q1115" display="https://www.sebi.gov.in/sebi_data/attachdocs/sep-2018/1538144892170.pdf" r:id="rId2777"/>
    <hyperlink xmlns:r="http://schemas.openxmlformats.org/officeDocument/2006/relationships" ref="R1115" display="https://www.sebi.gov.in/filings/public-issues/sep-2018/stove-kraft-limited_40540.html" r:id="rId2778"/>
    <hyperlink xmlns:r="http://schemas.openxmlformats.org/officeDocument/2006/relationships" ref="AB1115" r:id="rId2779"/>
    <hyperlink xmlns:r="http://schemas.openxmlformats.org/officeDocument/2006/relationships" ref="Q1116" display="https://www.sebi.gov.in/sebi_data/attachdocs/sep-2018/1538132305423.pdf" r:id="rId2780"/>
    <hyperlink xmlns:r="http://schemas.openxmlformats.org/officeDocument/2006/relationships" ref="R1116" display="https://www.sebi.gov.in/filings/public-issues/sep-2018/metropolis-healthcare-limited_40520.html" r:id="rId2781"/>
    <hyperlink xmlns:r="http://schemas.openxmlformats.org/officeDocument/2006/relationships" ref="Q1117" display="https://www.sebi.gov.in/sebi_data/attachdocs/sep-2018/1538127439555.pdf" r:id="rId2782"/>
    <hyperlink xmlns:r="http://schemas.openxmlformats.org/officeDocument/2006/relationships" ref="R1117" display="https://www.sebi.gov.in/filings/public-issues/sep-2018/iti-limited_40510.html" r:id="rId2783"/>
    <hyperlink xmlns:r="http://schemas.openxmlformats.org/officeDocument/2006/relationships" ref="AB1117" r:id="rId2784"/>
    <hyperlink xmlns:r="http://schemas.openxmlformats.org/officeDocument/2006/relationships" ref="Q1118" display="https://www.sebi.gov.in/sebi_data/attachdocs/sep-2018/1538127118589.pdf" r:id="rId2785"/>
    <hyperlink xmlns:r="http://schemas.openxmlformats.org/officeDocument/2006/relationships" ref="R1118" display="https://www.sebi.gov.in/filings/public-issues/sep-2018/narmada-biochem-limited_40508.html" r:id="rId2786"/>
    <hyperlink xmlns:r="http://schemas.openxmlformats.org/officeDocument/2006/relationships" ref="AB1118" r:id="rId2787"/>
    <hyperlink xmlns:r="http://schemas.openxmlformats.org/officeDocument/2006/relationships" ref="Q1119" display="https://www.sebi.gov.in/sebi_data/attachdocs/sep-2018/1538038940705_3.pdf" r:id="rId2788"/>
    <hyperlink xmlns:r="http://schemas.openxmlformats.org/officeDocument/2006/relationships" ref="R1119" display="https://www.sebi.gov.in/filings/public-issues/sep-2018/anand-rathi-wealth-services-limited_40463.html" r:id="rId2789"/>
    <hyperlink xmlns:r="http://schemas.openxmlformats.org/officeDocument/2006/relationships" ref="AB1119" r:id="rId2790"/>
    <hyperlink xmlns:r="http://schemas.openxmlformats.org/officeDocument/2006/relationships" ref="Q1120" display="https://www.sebi.gov.in/sebi_data/attachdocs/sep-2018/1538047747515.pdf" r:id="rId2791"/>
    <hyperlink xmlns:r="http://schemas.openxmlformats.org/officeDocument/2006/relationships" ref="R1120" display="https://www.sebi.gov.in/filings/public-issues/sep-2018/zircon-technologies-india-ltd_40442.html" r:id="rId2792"/>
    <hyperlink xmlns:r="http://schemas.openxmlformats.org/officeDocument/2006/relationships" ref="AB1120" r:id="rId2793"/>
    <hyperlink xmlns:r="http://schemas.openxmlformats.org/officeDocument/2006/relationships" ref="Q1121" display="https://www.sebi.gov.in/sebi_data/attachdocs/sep-2018/1538038940705_4.pdf" r:id="rId2794"/>
    <hyperlink xmlns:r="http://schemas.openxmlformats.org/officeDocument/2006/relationships" ref="R1121" display="https://www.sebi.gov.in/filings/public-issues/sep-2018/flair-writing-industries-limited_40462.html" r:id="rId2795"/>
    <hyperlink xmlns:r="http://schemas.openxmlformats.org/officeDocument/2006/relationships" ref="AB1121" r:id="rId2796"/>
    <hyperlink xmlns:r="http://schemas.openxmlformats.org/officeDocument/2006/relationships" ref="Q1122" display="https://www.sebi.gov.in/sebi_data/attachdocs/sep-2018/1537761634122.pdf" r:id="rId2797"/>
    <hyperlink xmlns:r="http://schemas.openxmlformats.org/officeDocument/2006/relationships" ref="R1122" display="https://www.sebi.gov.in/filings/public-issues/sep-2018/inventia-healthcare-limited_40414.html" r:id="rId2798"/>
    <hyperlink xmlns:r="http://schemas.openxmlformats.org/officeDocument/2006/relationships" ref="AB1122" r:id="rId2799"/>
    <hyperlink xmlns:r="http://schemas.openxmlformats.org/officeDocument/2006/relationships" ref="Q1123" display="https://www.sebi.gov.in/sebi_data/attachdocs/sep-2018/1537525278696.pdf" r:id="rId2800"/>
    <hyperlink xmlns:r="http://schemas.openxmlformats.org/officeDocument/2006/relationships" ref="R1123" display="https://www.sebi.gov.in/filings/public-issues/sep-2018/t-and-t-infra-limited_40398.html" r:id="rId2801"/>
    <hyperlink xmlns:r="http://schemas.openxmlformats.org/officeDocument/2006/relationships" ref="AB1123" r:id="rId2802"/>
    <hyperlink xmlns:r="http://schemas.openxmlformats.org/officeDocument/2006/relationships" ref="Q1124" display="https://www.sebi.gov.in/sebi_data/attachdocs/sep-2018/1537360982747.pdf" r:id="rId2803"/>
    <hyperlink xmlns:r="http://schemas.openxmlformats.org/officeDocument/2006/relationships" ref="R1124" display="https://www.sebi.gov.in/filings/public-issues/sep-2018/shri-bajrang-power-and-ispat-limited_40369.html" r:id="rId2804"/>
    <hyperlink xmlns:r="http://schemas.openxmlformats.org/officeDocument/2006/relationships" ref="AB1124" r:id="rId2805"/>
    <hyperlink xmlns:r="http://schemas.openxmlformats.org/officeDocument/2006/relationships" ref="Q1125" display="https://www.sebi.gov.in/sebi_data/attachdocs/sep-2018/1536302772232.pdf" r:id="rId2806"/>
    <hyperlink xmlns:r="http://schemas.openxmlformats.org/officeDocument/2006/relationships" ref="R1125" display="https://www.sebi.gov.in/filings/public-issues/sep-2018/angel-broking-limited_40269.html" r:id="rId2807"/>
    <hyperlink xmlns:r="http://schemas.openxmlformats.org/officeDocument/2006/relationships" ref="Q1126" display="https://www.sebi.gov.in/sebi_data/attachdocs/aug-2018/1535541224817.pdf" r:id="rId2808"/>
    <hyperlink xmlns:r="http://schemas.openxmlformats.org/officeDocument/2006/relationships" ref="R1126" display="https://www.sebi.gov.in/filings/public-issues/aug-2018/studds-accessories-limited_40127.html" r:id="rId2809"/>
    <hyperlink xmlns:r="http://schemas.openxmlformats.org/officeDocument/2006/relationships" ref="AB1126" r:id="rId2810"/>
    <hyperlink xmlns:r="http://schemas.openxmlformats.org/officeDocument/2006/relationships" ref="Q1127" display="https://www.sebi.gov.in/sebi_data/attachdocs/aug-2018/1535533795754.pdf" r:id="rId2811"/>
    <hyperlink xmlns:r="http://schemas.openxmlformats.org/officeDocument/2006/relationships" ref="R1127" display="https://www.sebi.gov.in/filings/public-issues/aug-2018/xelpmoc-design-and-tech-limited_40116.html" r:id="rId2812"/>
    <hyperlink xmlns:r="http://schemas.openxmlformats.org/officeDocument/2006/relationships" ref="Q1128" display="https://www.sebi.gov.in/sebi_data/attachdocs/aug-2018/1535105436108.pdf" r:id="rId2813"/>
    <hyperlink xmlns:r="http://schemas.openxmlformats.org/officeDocument/2006/relationships" ref="R1128" display="https://www.sebi.gov.in/filings/public-issues/aug-2018/senco-gold-limited_40087.html" r:id="rId2814"/>
    <hyperlink xmlns:r="http://schemas.openxmlformats.org/officeDocument/2006/relationships" ref="AB1128" r:id="rId2815"/>
    <hyperlink xmlns:r="http://schemas.openxmlformats.org/officeDocument/2006/relationships" ref="Q1129" display="https://www.sebi.gov.in/sebi_data/attachdocs/aug-2018/1535105305269.pdf" r:id="rId2816"/>
    <hyperlink xmlns:r="http://schemas.openxmlformats.org/officeDocument/2006/relationships" ref="R1129" display="https://www.sebi.gov.in/filings/public-issues/aug-2018/ags-transact-technologies-limited_40086.html" r:id="rId2817"/>
    <hyperlink xmlns:r="http://schemas.openxmlformats.org/officeDocument/2006/relationships" ref="Q1130" display="https://www.sebi.gov.in/sebi_data/attachdocs/aug-2018/1534850331129.pdf" r:id="rId2818"/>
    <hyperlink xmlns:r="http://schemas.openxmlformats.org/officeDocument/2006/relationships" ref="R1130" display="https://www.sebi.gov.in/filings/public-issues/aug-2018/harsha-engineers-limited_40062.html" r:id="rId2819"/>
    <hyperlink xmlns:r="http://schemas.openxmlformats.org/officeDocument/2006/relationships" ref="AB1130" r:id="rId2820"/>
    <hyperlink xmlns:r="http://schemas.openxmlformats.org/officeDocument/2006/relationships" ref="Q1131" display="https://www.sebi.gov.in/sebi_data/attachdocs/aug-2018/1534745184141.pdf" r:id="rId2821"/>
    <hyperlink xmlns:r="http://schemas.openxmlformats.org/officeDocument/2006/relationships" ref="R1131" display="https://www.sebi.gov.in/filings/public-issues/aug-2018/ami-organics-ltd-corrigendum_40017.html" r:id="rId2822"/>
    <hyperlink xmlns:r="http://schemas.openxmlformats.org/officeDocument/2006/relationships" ref="AB1131" r:id="rId2823"/>
    <hyperlink xmlns:r="http://schemas.openxmlformats.org/officeDocument/2006/relationships" ref="Q1132" display="https://www.sebi.gov.in/sebi_data/attachdocs/aug-2018/1534742703611.pdf" r:id="rId2824"/>
    <hyperlink xmlns:r="http://schemas.openxmlformats.org/officeDocument/2006/relationships" ref="R1132" display="https://www.sebi.gov.in/filings/public-issues/aug-2018/mrs-bectors-food-specialities-limited_40016.html" r:id="rId2825"/>
    <hyperlink xmlns:r="http://schemas.openxmlformats.org/officeDocument/2006/relationships" ref="AB1132" r:id="rId2826"/>
    <hyperlink xmlns:r="http://schemas.openxmlformats.org/officeDocument/2006/relationships" ref="Q1133" display="https://www.sebi.gov.in/sebi_data/attachdocs/may-2023/1683091276085.pdf" r:id="rId2827"/>
    <hyperlink xmlns:r="http://schemas.openxmlformats.org/officeDocument/2006/relationships" ref="R1133" display="https://www.sebi.gov.in/filings/public-issues/aug-2018/sansera-engineering-limited_40005.html" r:id="rId2828"/>
    <hyperlink xmlns:r="http://schemas.openxmlformats.org/officeDocument/2006/relationships" ref="AB1133" r:id="rId2829"/>
    <hyperlink xmlns:r="http://schemas.openxmlformats.org/officeDocument/2006/relationships" ref="Q1134" display="https://www.sebi.gov.in/sebi_data/attachdocs/aug-2018/1534149714106.pdf" r:id="rId2830"/>
    <hyperlink xmlns:r="http://schemas.openxmlformats.org/officeDocument/2006/relationships" ref="R1134" display="https://www.sebi.gov.in/filings/public-issues/aug-2018/nihilent-limited_39956.html" r:id="rId2831"/>
    <hyperlink xmlns:r="http://schemas.openxmlformats.org/officeDocument/2006/relationships" ref="AB1134" r:id="rId2832"/>
    <hyperlink xmlns:r="http://schemas.openxmlformats.org/officeDocument/2006/relationships" ref="Q1135" display="https://www.sebi.gov.in/sebi_data/attachdocs/aug-2018/1534134934789.pdf" r:id="rId2833"/>
    <hyperlink xmlns:r="http://schemas.openxmlformats.org/officeDocument/2006/relationships" ref="R1135" display="https://www.sebi.gov.in/filings/public-issues/aug-2018/dodla-dairy-limited_39950.html" r:id="rId2834"/>
    <hyperlink xmlns:r="http://schemas.openxmlformats.org/officeDocument/2006/relationships" ref="AB1135" r:id="rId2835"/>
    <hyperlink xmlns:r="http://schemas.openxmlformats.org/officeDocument/2006/relationships" ref="Q1136" display="https://www.sebi.gov.in/sebi_data/attachdocs/aug-2018/1533882148112.pdf" r:id="rId2836"/>
    <hyperlink xmlns:r="http://schemas.openxmlformats.org/officeDocument/2006/relationships" ref="R1136" display="https://www.sebi.gov.in/filings/public-issues/aug-2018/shyam-metalics-and-energy-limited_39899.html" r:id="rId2837"/>
    <hyperlink xmlns:r="http://schemas.openxmlformats.org/officeDocument/2006/relationships" ref="Q1137" display="https://www.sebi.gov.in/sebi_data/attachdocs/aug-2018/1533789168871.pdf" r:id="rId2838"/>
    <hyperlink xmlns:r="http://schemas.openxmlformats.org/officeDocument/2006/relationships" ref="R1137" display="https://www.sebi.gov.in/filings/public-issues/aug-2018/ask-investment-managers-limited_39874.html" r:id="rId2839"/>
    <hyperlink xmlns:r="http://schemas.openxmlformats.org/officeDocument/2006/relationships" ref="AB1137" r:id="rId2840"/>
    <hyperlink xmlns:r="http://schemas.openxmlformats.org/officeDocument/2006/relationships" ref="Q1138" display="https://www.sebi.gov.in/sebi_data/attachdocs/jul-2018/1533021999771.pdf" r:id="rId2841"/>
    <hyperlink xmlns:r="http://schemas.openxmlformats.org/officeDocument/2006/relationships" ref="R1138" display="https://www.sebi.gov.in/filings/public-issues/jul-2018/pnb-metlife-india-insurance-company-limited_39756.html" r:id="rId2842"/>
    <hyperlink xmlns:r="http://schemas.openxmlformats.org/officeDocument/2006/relationships" ref="AB1138" r:id="rId2843"/>
    <hyperlink xmlns:r="http://schemas.openxmlformats.org/officeDocument/2006/relationships" ref="Q1139" display="https://www.sebi.gov.in/sebi_data/attachdocs/jul-2018/1533016080994.pdf" r:id="rId2844"/>
    <hyperlink xmlns:r="http://schemas.openxmlformats.org/officeDocument/2006/relationships" ref="R1139" display="https://www.sebi.gov.in/filings/public-issues/jul-2018/muthoot-microfin-limited_39755.html" r:id="rId2845"/>
    <hyperlink xmlns:r="http://schemas.openxmlformats.org/officeDocument/2006/relationships" ref="AB1139" r:id="rId2846"/>
    <hyperlink xmlns:r="http://schemas.openxmlformats.org/officeDocument/2006/relationships" ref="Q1140" display="https://www.sebi.gov.in/sebi_data/attachdocs/jul-2018/1532085883820.pdf" r:id="rId2847"/>
    <hyperlink xmlns:r="http://schemas.openxmlformats.org/officeDocument/2006/relationships" ref="R1140" display="https://www.sebi.gov.in/filings/public-issues/jul-2018/aakash-educational-services-limited_39646.html" r:id="rId2848"/>
    <hyperlink xmlns:r="http://schemas.openxmlformats.org/officeDocument/2006/relationships" ref="AB1140" r:id="rId2849"/>
    <hyperlink xmlns:r="http://schemas.openxmlformats.org/officeDocument/2006/relationships" ref="Q1141" display="https://www.sebi.gov.in/sebi_data/attachdocs/jul-2018/1531992223336.pdf" r:id="rId2850"/>
    <hyperlink xmlns:r="http://schemas.openxmlformats.org/officeDocument/2006/relationships" ref="R1141" display="https://www.sebi.gov.in/filings/public-issues/jul-2018/affle-india-llimited_39609.html" r:id="rId2851"/>
    <hyperlink xmlns:r="http://schemas.openxmlformats.org/officeDocument/2006/relationships" ref="Q1142" display="https://www.sebi.gov.in/sebi_data/attachdocs/jul-2018/1531386592293.pdf" r:id="rId2852"/>
    <hyperlink xmlns:r="http://schemas.openxmlformats.org/officeDocument/2006/relationships" ref="R1142" display="https://www.sebi.gov.in/filings/public-issues/jul-2018/ami-organics-ltd_39529.html" r:id="rId2853"/>
    <hyperlink xmlns:r="http://schemas.openxmlformats.org/officeDocument/2006/relationships" ref="AB1142" r:id="rId2854"/>
    <hyperlink xmlns:r="http://schemas.openxmlformats.org/officeDocument/2006/relationships" ref="Q1143" display="https://www.sebi.gov.in/sebi_data/attachdocs/jul-2018/1530875881774.pdf" r:id="rId2855"/>
    <hyperlink xmlns:r="http://schemas.openxmlformats.org/officeDocument/2006/relationships" ref="R1143" display="https://www.sebi.gov.in/filings/public-issues/jul-2018/bharat-hotels-limited_39465.html" r:id="rId2856"/>
    <hyperlink xmlns:r="http://schemas.openxmlformats.org/officeDocument/2006/relationships" ref="AB1143" r:id="rId2857"/>
    <hyperlink xmlns:r="http://schemas.openxmlformats.org/officeDocument/2006/relationships" ref="Q1144" display="https://www.sebi.gov.in/sebi_data/attachdocs/jul-2018/1530849126603.pdf" r:id="rId2858"/>
    <hyperlink xmlns:r="http://schemas.openxmlformats.org/officeDocument/2006/relationships" ref="R1144" display="https://www.sebi.gov.in/filings/public-issues/jul-2018/chalet-hotels-limited_39457.html" r:id="rId2859"/>
    <hyperlink xmlns:r="http://schemas.openxmlformats.org/officeDocument/2006/relationships" ref="Q1145" display="https://www.sebi.gov.in/sebi_data/attachdocs/jul-2018/1530528082162.pdf" r:id="rId2860"/>
    <hyperlink xmlns:r="http://schemas.openxmlformats.org/officeDocument/2006/relationships" ref="R1145" display="https://www.sebi.gov.in/filings/public-issues/jul-2018/puranik-builders-ltd-_39411.html" r:id="rId2861"/>
    <hyperlink xmlns:r="http://schemas.openxmlformats.org/officeDocument/2006/relationships" ref="AB1145" r:id="rId2862"/>
    <hyperlink xmlns:r="http://schemas.openxmlformats.org/officeDocument/2006/relationships" ref="Q1146" display="https://www.sebi.gov.in/sebi_data/attachdocs/jul-2018/1530527344318.pdf" r:id="rId2863"/>
    <hyperlink xmlns:r="http://schemas.openxmlformats.org/officeDocument/2006/relationships" ref="R1146" display="https://www.sebi.gov.in/filings/public-issues/jul-2018/milltec-machinery-limited_39409.html" r:id="rId2864"/>
    <hyperlink xmlns:r="http://schemas.openxmlformats.org/officeDocument/2006/relationships" ref="AB1146" r:id="rId2865"/>
    <hyperlink xmlns:r="http://schemas.openxmlformats.org/officeDocument/2006/relationships" ref="Q1147" display="https://www.sebi.gov.in/sebi_data/attachdocs/jul-2018/1530686922831.pdf" r:id="rId2866"/>
    <hyperlink xmlns:r="http://schemas.openxmlformats.org/officeDocument/2006/relationships" ref="R1147" display="https://www.sebi.gov.in/filings/public-issues/jun-2018/indiamart-intermesh-limited_39432.html" r:id="rId2867"/>
    <hyperlink xmlns:r="http://schemas.openxmlformats.org/officeDocument/2006/relationships" ref="Q1148" display="https://www.sebi.gov.in/sebi_data/attachdocs/jun-2018/1530183981177.pdf" r:id="rId2868"/>
    <hyperlink xmlns:r="http://schemas.openxmlformats.org/officeDocument/2006/relationships" ref="R1148" display="https://www.sebi.gov.in/filings/public-issues/jun-2018/spandana-sphoorty-financial-limited_39377.html" r:id="rId2869"/>
    <hyperlink xmlns:r="http://schemas.openxmlformats.org/officeDocument/2006/relationships" ref="Q1149" display="https://www.sebi.gov.in/sebi_data/attachdocs/jun-2018/1530091023242.pdf" r:id="rId2870"/>
    <hyperlink xmlns:r="http://schemas.openxmlformats.org/officeDocument/2006/relationships" ref="R1149" display="https://www.sebi.gov.in/filings/public-issues/jun-2018/penver-products-limited_39363.html" r:id="rId2871"/>
    <hyperlink xmlns:r="http://schemas.openxmlformats.org/officeDocument/2006/relationships" ref="AB1149" r:id="rId2872"/>
    <hyperlink xmlns:r="http://schemas.openxmlformats.org/officeDocument/2006/relationships" ref="Q1150" display="https://www.sebi.gov.in/sebi_data/attachdocs/jun-2018/1529990123673.pdf" r:id="rId2873"/>
    <hyperlink xmlns:r="http://schemas.openxmlformats.org/officeDocument/2006/relationships" ref="R1150" display="https://www.sebi.gov.in/filings/public-issues/jun-2018/aavas-financiers-limited_39352.html" r:id="rId2874"/>
    <hyperlink xmlns:r="http://schemas.openxmlformats.org/officeDocument/2006/relationships" ref="Q1151" display="https://www.sebi.gov.in/sebi_data/attachdocs/jun-2018/1529649771895.pdf" r:id="rId2875"/>
    <hyperlink xmlns:r="http://schemas.openxmlformats.org/officeDocument/2006/relationships" ref="R1151" display="https://www.sebi.gov.in/filings/public-issues/jun-2018/anmol-industries-limited_39326.html" r:id="rId2876"/>
    <hyperlink xmlns:r="http://schemas.openxmlformats.org/officeDocument/2006/relationships" ref="AB1151" r:id="rId2877"/>
    <hyperlink xmlns:r="http://schemas.openxmlformats.org/officeDocument/2006/relationships" ref="Q1152" display="https://www.sebi.gov.in/sebi_data/attachdocs/jun-2018/1529475294132.pdf" r:id="rId2878"/>
    <hyperlink xmlns:r="http://schemas.openxmlformats.org/officeDocument/2006/relationships" ref="R1152" display="https://www.sebi.gov.in/filings/public-issues/jun-2018/vectus-industries-limited_39315.html" r:id="rId2879"/>
    <hyperlink xmlns:r="http://schemas.openxmlformats.org/officeDocument/2006/relationships" ref="AB1152" r:id="rId2880"/>
    <hyperlink xmlns:r="http://schemas.openxmlformats.org/officeDocument/2006/relationships" ref="Q1153" display="https://www.sebi.gov.in/sebi_data/attachdocs/jun-2018/1529388638703.pdf" r:id="rId2881"/>
    <hyperlink xmlns:r="http://schemas.openxmlformats.org/officeDocument/2006/relationships" ref="R1153" display="https://www.sebi.gov.in/filings/public-issues/jun-2018/hinduja-leyland-finance-limited_39305.html" r:id="rId2882"/>
    <hyperlink xmlns:r="http://schemas.openxmlformats.org/officeDocument/2006/relationships" ref="AB1153" r:id="rId2883"/>
    <hyperlink xmlns:r="http://schemas.openxmlformats.org/officeDocument/2006/relationships" ref="Q1154" display="https://www.sebi.gov.in/sebi_data/attachdocs/jun-2018/1529311319668.pdf" r:id="rId2884"/>
    <hyperlink xmlns:r="http://schemas.openxmlformats.org/officeDocument/2006/relationships" ref="R1154" display="https://www.sebi.gov.in/filings/public-issues/jun-2018/avana-logistek-limited_39297.html" r:id="rId2885"/>
    <hyperlink xmlns:r="http://schemas.openxmlformats.org/officeDocument/2006/relationships" ref="AB1154" r:id="rId2886"/>
    <hyperlink xmlns:r="http://schemas.openxmlformats.org/officeDocument/2006/relationships" ref="Q1155" display="https://www.sebi.gov.in/sebi_data/attachdocs/jun-2018/1528862515741.pdf" r:id="rId2887"/>
    <hyperlink xmlns:r="http://schemas.openxmlformats.org/officeDocument/2006/relationships" ref="R1155" display="https://www.sebi.gov.in/filings/public-issues/jun-2018/century-metal-recycling-ltd-_39257.html" r:id="rId2888"/>
    <hyperlink xmlns:r="http://schemas.openxmlformats.org/officeDocument/2006/relationships" ref="AB1155" r:id="rId2889"/>
    <hyperlink xmlns:r="http://schemas.openxmlformats.org/officeDocument/2006/relationships" ref="Q1156" display="https://www.sebi.gov.in/sebi_data/attachdocs/jun-2018/1528799503737.pdf" r:id="rId2890"/>
    <hyperlink xmlns:r="http://schemas.openxmlformats.org/officeDocument/2006/relationships" ref="R1156" display="https://www.sebi.gov.in/filings/public-issues/jun-2018/craftsman-automation-limited_39253.html" r:id="rId2891"/>
    <hyperlink xmlns:r="http://schemas.openxmlformats.org/officeDocument/2006/relationships" ref="AB1156" r:id="rId2892"/>
    <hyperlink xmlns:r="http://schemas.openxmlformats.org/officeDocument/2006/relationships" ref="Q1157" display="https://www.sebi.gov.in/sebi_data/attachdocs/may-2018/1526038531239.pdf" r:id="rId2893"/>
    <hyperlink xmlns:r="http://schemas.openxmlformats.org/officeDocument/2006/relationships" ref="R1157" display="https://www.sebi.gov.in/filings/public-issues/may-2018/montecarlo-limited_38911.html" r:id="rId2894"/>
    <hyperlink xmlns:r="http://schemas.openxmlformats.org/officeDocument/2006/relationships" ref="AB1157" r:id="rId2895"/>
    <hyperlink xmlns:r="http://schemas.openxmlformats.org/officeDocument/2006/relationships" ref="Q1158" display="https://www.sebi.gov.in/sebi_data/attachdocs/may-2018/1525930664430.pdf" r:id="rId2896"/>
    <hyperlink xmlns:r="http://schemas.openxmlformats.org/officeDocument/2006/relationships" ref="R1158" display="https://www.sebi.gov.in/filings/public-issues/may-2018/renew-power-limited_38899.html" r:id="rId2897"/>
    <hyperlink xmlns:r="http://schemas.openxmlformats.org/officeDocument/2006/relationships" ref="AB1158" r:id="rId2898"/>
    <hyperlink xmlns:r="http://schemas.openxmlformats.org/officeDocument/2006/relationships" ref="Q1159" display="https://www.sebi.gov.in/sebi_data/attachdocs/may-2018/1525850505088.pdf" r:id="rId2899"/>
    <hyperlink xmlns:r="http://schemas.openxmlformats.org/officeDocument/2006/relationships" ref="R1159" display="https://www.sebi.gov.in/filings/public-issues/may-2018/p-n-gadgil-and-sons-limited_38880.html" r:id="rId2900"/>
    <hyperlink xmlns:r="http://schemas.openxmlformats.org/officeDocument/2006/relationships" ref="AB1159" r:id="rId2901"/>
    <hyperlink xmlns:r="http://schemas.openxmlformats.org/officeDocument/2006/relationships" ref="Q1160" display="https://www.sebi.gov.in/sebi_data/attachdocs/may-2018/1525695465898.pdf" r:id="rId2902"/>
    <hyperlink xmlns:r="http://schemas.openxmlformats.org/officeDocument/2006/relationships" ref="R1160" display="https://www.sebi.gov.in/filings/public-issues/may-2018/milestone-furniture-limited_38868.html" r:id="rId2903"/>
    <hyperlink xmlns:r="http://schemas.openxmlformats.org/officeDocument/2006/relationships" ref="Q1161" display="https://www.sebi.gov.in/sebi_data/attachdocs/may-2018/1525695018561.pdf" r:id="rId2904"/>
    <hyperlink xmlns:r="http://schemas.openxmlformats.org/officeDocument/2006/relationships" ref="R1161" display="https://www.sebi.gov.in/filings/public-issues/may-2018/shakun-polymers-limited_38867.html" r:id="rId2905"/>
    <hyperlink xmlns:r="http://schemas.openxmlformats.org/officeDocument/2006/relationships" ref="AB1161" r:id="rId2906"/>
    <hyperlink xmlns:r="http://schemas.openxmlformats.org/officeDocument/2006/relationships" ref="Q1162" display="https://www.sebi.gov.in/sebi_data/attachdocs/may-2018/1525260712851.pdf" r:id="rId2907"/>
    <hyperlink xmlns:r="http://schemas.openxmlformats.org/officeDocument/2006/relationships" ref="R1162" display="https://www.sebi.gov.in/filings/public-issues/may-2018/g-r-infraprojects-limited_38834.html" r:id="rId2908"/>
    <hyperlink xmlns:r="http://schemas.openxmlformats.org/officeDocument/2006/relationships" ref="Q1163" display="https://www.sebi.gov.in/sebi_data/attachdocs/apr-2018/1524829206227.pdf" r:id="rId2909"/>
    <hyperlink xmlns:r="http://schemas.openxmlformats.org/officeDocument/2006/relationships" ref="R1163" display="https://www.sebi.gov.in/filings/public-issues/apr-2018/lodha-developers-limited_38812.html" r:id="rId2910"/>
    <hyperlink xmlns:r="http://schemas.openxmlformats.org/officeDocument/2006/relationships" ref="AB1163" r:id="rId2911"/>
    <hyperlink xmlns:r="http://schemas.openxmlformats.org/officeDocument/2006/relationships" ref="Q1164" display="https://www.sebi.gov.in/sebi_data/attachdocs/apr-2018/1523012849683.pdf" r:id="rId2912"/>
    <hyperlink xmlns:r="http://schemas.openxmlformats.org/officeDocument/2006/relationships" ref="R1164" display="https://www.sebi.gov.in/filings/public-issues/apr-2018/crystal-crop-protection-limited_38594.html" r:id="rId2913"/>
    <hyperlink xmlns:r="http://schemas.openxmlformats.org/officeDocument/2006/relationships" ref="AB1164" r:id="rId2914"/>
    <hyperlink xmlns:r="http://schemas.openxmlformats.org/officeDocument/2006/relationships" ref="Q1165" display="https://www.sebi.gov.in/sebi_data/attachdocs/apr-2018/1522668596969.pdf" r:id="rId2915"/>
    <hyperlink xmlns:r="http://schemas.openxmlformats.org/officeDocument/2006/relationships" ref="R1165" display="https://www.sebi.gov.in/filings/public-issues/apr-2018/dinesh-engineers-limited_38512.html" r:id="rId2916"/>
    <hyperlink xmlns:r="http://schemas.openxmlformats.org/officeDocument/2006/relationships" ref="AB1165" r:id="rId2917"/>
    <hyperlink xmlns:r="http://schemas.openxmlformats.org/officeDocument/2006/relationships" ref="Q1166" display="https://www.sebi.gov.in/sebi_data/attachdocs/apr-2018/1522668400641.pdf" r:id="rId2918"/>
    <hyperlink xmlns:r="http://schemas.openxmlformats.org/officeDocument/2006/relationships" ref="R1166" display="https://www.sebi.gov.in/filings/public-issues/apr-2018/varroc-engineering-limited_38511.html" r:id="rId2919"/>
    <hyperlink xmlns:r="http://schemas.openxmlformats.org/officeDocument/2006/relationships" ref="Q1167" display="https://www.sebi.gov.in/sebi_data/attachdocs/apr-2018/1522668210936.pdf" r:id="rId2920"/>
    <hyperlink xmlns:r="http://schemas.openxmlformats.org/officeDocument/2006/relationships" ref="R1167" display="https://www.sebi.gov.in/filings/public-issues/apr-2018/rail-vikas-nigam-limited_38510.html" r:id="rId2921"/>
    <hyperlink xmlns:r="http://schemas.openxmlformats.org/officeDocument/2006/relationships" ref="Q1168" display="https://www.sebi.gov.in/sebi_data/attachdocs/apr-2018/1522662290321.pdf" r:id="rId2922"/>
    <hyperlink xmlns:r="http://schemas.openxmlformats.org/officeDocument/2006/relationships" ref="R1168" display="https://www.sebi.gov.in/filings/public-issues/apr-2018/mazagon-dock-shipbuilders-limited_38506.html" r:id="rId2923"/>
    <hyperlink xmlns:r="http://schemas.openxmlformats.org/officeDocument/2006/relationships" ref="Q1169" display="https://www.sebi.gov.in/sebi_data/attachdocs/apr-2018/1522644269977.pdf" r:id="rId2924"/>
    <hyperlink xmlns:r="http://schemas.openxmlformats.org/officeDocument/2006/relationships" ref="R1169" display="https://www.sebi.gov.in/filings/public-issues/apr-2018/genius-consultants-limited_38500.html" r:id="rId2925"/>
    <hyperlink xmlns:r="http://schemas.openxmlformats.org/officeDocument/2006/relationships" ref="AB1169" r:id="rId2926"/>
    <hyperlink xmlns:r="http://schemas.openxmlformats.org/officeDocument/2006/relationships" ref="Q1170" display="https://www.sebi.gov.in/sebi_data/attachdocs/mar-2018/1522233692094.pdf" r:id="rId2927"/>
    <hyperlink xmlns:r="http://schemas.openxmlformats.org/officeDocument/2006/relationships" ref="R1170" display="https://www.sebi.gov.in/filings/public-issues/mar-2018/ircon-international-limited_38469.html" r:id="rId2928"/>
    <hyperlink xmlns:r="http://schemas.openxmlformats.org/officeDocument/2006/relationships" ref="Q1171" display="https://www.sebi.gov.in/sebi_data/attachdocs/mar-2018/1522152536420.pdf" r:id="rId2929"/>
    <hyperlink xmlns:r="http://schemas.openxmlformats.org/officeDocument/2006/relationships" ref="R1171" display="https://www.sebi.gov.in/filings/public-issues/mar-2018/atria-convergence-technologies-limited_38445.html" r:id="rId2930"/>
    <hyperlink xmlns:r="http://schemas.openxmlformats.org/officeDocument/2006/relationships" ref="AB1171" r:id="rId2931"/>
    <hyperlink xmlns:r="http://schemas.openxmlformats.org/officeDocument/2006/relationships" ref="Q1172" display="https://www.sebi.gov.in/sebi_data/attachdocs/mar-2018/1522144575098.pdf" r:id="rId2932"/>
    <hyperlink xmlns:r="http://schemas.openxmlformats.org/officeDocument/2006/relationships" ref="R1172" display="https://www.sebi.gov.in/filings/public-issues/mar-2018/garden-reach-shipbuilders-and-engineers-limited_38433.html" r:id="rId2933"/>
    <hyperlink xmlns:r="http://schemas.openxmlformats.org/officeDocument/2006/relationships" ref="Q1173" display="https://www.sebi.gov.in/sebi_data/attachdocs/may-2023/1684478559523.pdf" r:id="rId2934"/>
    <hyperlink xmlns:r="http://schemas.openxmlformats.org/officeDocument/2006/relationships" ref="R1173" display="https://www.sebi.gov.in/filings/public-issues/mar-2018/k-p-r-agrochem-limited_38421.html" r:id="rId2935"/>
    <hyperlink xmlns:r="http://schemas.openxmlformats.org/officeDocument/2006/relationships" ref="AB1173" r:id="rId2936"/>
    <hyperlink xmlns:r="http://schemas.openxmlformats.org/officeDocument/2006/relationships" ref="Q1174" display="https://www.sebi.gov.in/sebi_data/attachdocs/mar-2018/1521183392638.pdf" r:id="rId2937"/>
    <hyperlink xmlns:r="http://schemas.openxmlformats.org/officeDocument/2006/relationships" ref="R1174" display="https://www.sebi.gov.in/filings/public-issues/mar-2018/hdfc-asset-management-company-limited_38250.html" r:id="rId2938"/>
    <hyperlink xmlns:r="http://schemas.openxmlformats.org/officeDocument/2006/relationships" ref="Q1175" display="https://www.sebi.gov.in/sebi_data/attachdocs/mar-2018/1520937294801.pdf" r:id="rId2939"/>
    <hyperlink xmlns:r="http://schemas.openxmlformats.org/officeDocument/2006/relationships" ref="R1175" display="https://www.sebi.gov.in/filings/public-issues/mar-2018/nekkanti-sea-foods-limited_38191.html" r:id="rId2940"/>
    <hyperlink xmlns:r="http://schemas.openxmlformats.org/officeDocument/2006/relationships" ref="AB1175" r:id="rId2941"/>
    <hyperlink xmlns:r="http://schemas.openxmlformats.org/officeDocument/2006/relationships" ref="Q1176" display="https://www.sebi.gov.in/sebi_data/attachdocs/mar-2018/1520332779373.pdf" r:id="rId2942"/>
    <hyperlink xmlns:r="http://schemas.openxmlformats.org/officeDocument/2006/relationships" ref="R1176" display="https://www.sebi.gov.in/filings/public-issues/mar-2018/devi-seafoods-limited_38100.html" r:id="rId2943"/>
    <hyperlink xmlns:r="http://schemas.openxmlformats.org/officeDocument/2006/relationships" ref="AB1176" r:id="rId2944"/>
    <hyperlink xmlns:r="http://schemas.openxmlformats.org/officeDocument/2006/relationships" ref="Q1177" display="https://www.sebi.gov.in/sebi_data/attachdocs/mar-2018/1519903826256.pdf" r:id="rId2945"/>
    <hyperlink xmlns:r="http://schemas.openxmlformats.org/officeDocument/2006/relationships" ref="R1177" display="https://www.sebi.gov.in/filings/public-issues/mar-2018/tcns-clothing-co-limited_38064.html" r:id="rId2946"/>
    <hyperlink xmlns:r="http://schemas.openxmlformats.org/officeDocument/2006/relationships" ref="Q1178" display="https://www.sebi.gov.in/sebi_data/attachdocs/feb-2018/1519818404559.pdf" r:id="rId2947"/>
    <hyperlink xmlns:r="http://schemas.openxmlformats.org/officeDocument/2006/relationships" ref="R1178" display="https://www.sebi.gov.in/filings/public-issues/feb-2018/sandhya-marines-limited_38047.html" r:id="rId2948"/>
    <hyperlink xmlns:r="http://schemas.openxmlformats.org/officeDocument/2006/relationships" ref="Q1179" display="https://www.sebi.gov.in/sebi_data/attachdocs/feb-2018/1519708576837.pdf" r:id="rId2949"/>
    <hyperlink xmlns:r="http://schemas.openxmlformats.org/officeDocument/2006/relationships" ref="R1179" display="https://www.sebi.gov.in/filings/public-issues/feb-2018/sembcorp-energy-india-limited_38017.html" r:id="rId2950"/>
    <hyperlink xmlns:r="http://schemas.openxmlformats.org/officeDocument/2006/relationships" ref="AB1179" r:id="rId2951"/>
    <hyperlink xmlns:r="http://schemas.openxmlformats.org/officeDocument/2006/relationships" ref="Q1180" display="https://www.sebi.gov.in/sebi_data/attachdocs/feb-2018/1518778628692.pdf" r:id="rId2952"/>
    <hyperlink xmlns:r="http://schemas.openxmlformats.org/officeDocument/2006/relationships" ref="R1180" display="https://www.sebi.gov.in/filings/public-issues/feb-2018/flemingo-travel-retail-limited_37892.html" r:id="rId2953"/>
    <hyperlink xmlns:r="http://schemas.openxmlformats.org/officeDocument/2006/relationships" ref="AB1180" r:id="rId2954"/>
    <hyperlink xmlns:r="http://schemas.openxmlformats.org/officeDocument/2006/relationships" ref="Q1181" display="https://www.sebi.gov.in/sebi_data/attachdocs/feb-2018/1518777861430.pdf" r:id="rId2955"/>
    <hyperlink xmlns:r="http://schemas.openxmlformats.org/officeDocument/2006/relationships" ref="R1181" display="https://www.sebi.gov.in/filings/public-issues/feb-2018/john-energy-limited_37889.html" r:id="rId2956"/>
    <hyperlink xmlns:r="http://schemas.openxmlformats.org/officeDocument/2006/relationships" ref="Q1182" display="https://www.sebi.gov.in/sebi_data/attachdocs/feb-2018/1518417324798.pdf" r:id="rId2957"/>
    <hyperlink xmlns:r="http://schemas.openxmlformats.org/officeDocument/2006/relationships" ref="R1182" display="https://www.sebi.gov.in/filings/public-issues/feb-2018/indostar-capital-finance-limited_37826.html" r:id="rId2958"/>
    <hyperlink xmlns:r="http://schemas.openxmlformats.org/officeDocument/2006/relationships" ref="Q1183" display="https://www.sebi.gov.in/sebi_data/attachdocs/feb-2018/1518416668198.pdf" r:id="rId2959"/>
    <hyperlink xmlns:r="http://schemas.openxmlformats.org/officeDocument/2006/relationships" ref="R1183" display="https://www.sebi.gov.in/filings/public-issues/feb-2018/fine-organic-industries-limited_37825.html" r:id="rId2960"/>
    <hyperlink xmlns:r="http://schemas.openxmlformats.org/officeDocument/2006/relationships" ref="Q1184" display="https://www.sebi.gov.in/sebi_data/attachdocs/feb-2018/1518069763957.pdf" r:id="rId2961"/>
    <hyperlink xmlns:r="http://schemas.openxmlformats.org/officeDocument/2006/relationships" ref="R1184" display="https://www.sebi.gov.in/filings/public-issues/feb-2018/capricorn-food-products-india-limited_37746.html" r:id="rId2962"/>
    <hyperlink xmlns:r="http://schemas.openxmlformats.org/officeDocument/2006/relationships" ref="AB1184" r:id="rId2963"/>
    <hyperlink xmlns:r="http://schemas.openxmlformats.org/officeDocument/2006/relationships" ref="Q1185" display="https://www.sebi.gov.in/sebi_data/attachdocs/feb-2018/1517570684223.pdf" r:id="rId2964"/>
    <hyperlink xmlns:r="http://schemas.openxmlformats.org/officeDocument/2006/relationships" ref="R1185" display="https://www.sebi.gov.in/filings/public-issues/feb-2018/nazara-technologies-limited_37683.html" r:id="rId2965"/>
    <hyperlink xmlns:r="http://schemas.openxmlformats.org/officeDocument/2006/relationships" ref="AB1185" r:id="rId2966"/>
    <hyperlink xmlns:r="http://schemas.openxmlformats.org/officeDocument/2006/relationships" ref="Q1186" display="https://www.sebi.gov.in/sebi_data/attachdocs/jan-2018/1517290968147.pdf" r:id="rId2967"/>
    <hyperlink xmlns:r="http://schemas.openxmlformats.org/officeDocument/2006/relationships" ref="R1186" display="https://www.sebi.gov.in/filings/public-issues/jan-2018/credit-access-grameen-limited_37590.html" r:id="rId2968"/>
    <hyperlink xmlns:r="http://schemas.openxmlformats.org/officeDocument/2006/relationships" ref="Q1187" display="https://www.sebi.gov.in/sebi_data/attachdocs/jan-2018/1516776517759.pdf" r:id="rId2969"/>
    <hyperlink xmlns:r="http://schemas.openxmlformats.org/officeDocument/2006/relationships" ref="R1187" display="https://www.sebi.gov.in/filings/public-issues/jan-2018/bharat-dynamics-limited_37516.html" r:id="rId2970"/>
    <hyperlink xmlns:r="http://schemas.openxmlformats.org/officeDocument/2006/relationships" ref="Q1188" display="https://www.sebi.gov.in/sebi_data/attachdocs/jan-2018/1516706664686.pdf" r:id="rId2971"/>
    <hyperlink xmlns:r="http://schemas.openxmlformats.org/officeDocument/2006/relationships" ref="R1188" display="https://www.sebi.gov.in/filings/public-issues/jan-2018/route-mobile-limited_37508.html" r:id="rId2972"/>
    <hyperlink xmlns:r="http://schemas.openxmlformats.org/officeDocument/2006/relationships" ref="AB1188" r:id="rId2973"/>
    <hyperlink xmlns:r="http://schemas.openxmlformats.org/officeDocument/2006/relationships" ref="Q1189" display="https://www.sebi.gov.in/sebi_data/attachdocs/jan-2018/1516189212839.pdf" r:id="rId2974"/>
    <hyperlink xmlns:r="http://schemas.openxmlformats.org/officeDocument/2006/relationships" ref="R1189" display="https://www.sebi.gov.in/filings/public-issues/jan-2018/mishra-dhatu-nigam-limited_37428.html" r:id="rId2975"/>
    <hyperlink xmlns:r="http://schemas.openxmlformats.org/officeDocument/2006/relationships" ref="Q1190" display="https://www.sebi.gov.in/sebi_data/attachdocs/jan-2018/1516188332986.pdf" r:id="rId2976"/>
    <hyperlink xmlns:r="http://schemas.openxmlformats.org/officeDocument/2006/relationships" ref="R1190" display="https://www.sebi.gov.in/filings/public-issues/jan-2018/rites-limited_37424.html" r:id="rId2977"/>
    <hyperlink xmlns:r="http://schemas.openxmlformats.org/officeDocument/2006/relationships" ref="Q1191" display="https://www.sebi.gov.in/sebi_data/attachdocs/jan-2018/1515474980332.pdf" r:id="rId2978"/>
    <hyperlink xmlns:r="http://schemas.openxmlformats.org/officeDocument/2006/relationships" ref="R1191" display="https://www.sebi.gov.in/filings/public-issues/jan-2018/patel-infrastructure-limited_37323.html" r:id="rId2979"/>
    <hyperlink xmlns:r="http://schemas.openxmlformats.org/officeDocument/2006/relationships" ref="AB1191" r:id="rId2980"/>
    <hyperlink xmlns:r="http://schemas.openxmlformats.org/officeDocument/2006/relationships" ref="Q1192" display="https://www.sebi.gov.in/sebi_data/attachdocs/jan-2018/1514869991906.pdf" r:id="rId2981"/>
    <hyperlink xmlns:r="http://schemas.openxmlformats.org/officeDocument/2006/relationships" ref="R1192" display="https://www.sebi.gov.in/filings/public-issues/jan-2018/bandhan-bank-limited_37220.html" r:id="rId2982"/>
    <hyperlink xmlns:r="http://schemas.openxmlformats.org/officeDocument/2006/relationships" ref="Q1193" display="https://www.sebi.gov.in/sebi_data/attachdocs/dec-2017/1514438337854.pdf" r:id="rId2983"/>
    <hyperlink xmlns:r="http://schemas.openxmlformats.org/officeDocument/2006/relationships" ref="R1193" display="https://www.sebi.gov.in/filings/public-issues/dec-2017/india-renewable-energy-development-agency-limited_37171.html" r:id="rId2984"/>
    <hyperlink xmlns:r="http://schemas.openxmlformats.org/officeDocument/2006/relationships" ref="AB1193" r:id="rId2985"/>
    <hyperlink xmlns:r="http://schemas.openxmlformats.org/officeDocument/2006/relationships" ref="Q1194" display="https://www.sebi.gov.in/sebi_data/attachdocs/dec-2017/1514287613374.pdf" r:id="rId2986"/>
    <hyperlink xmlns:r="http://schemas.openxmlformats.org/officeDocument/2006/relationships" ref="R1194" display="https://www.sebi.gov.in/filings/public-issues/dec-2017/indian-renewable-energy-development-agency-limited_37106.html" r:id="rId2987"/>
    <hyperlink xmlns:r="http://schemas.openxmlformats.org/officeDocument/2006/relationships" ref="AB1194" r:id="rId2988"/>
    <hyperlink xmlns:r="http://schemas.openxmlformats.org/officeDocument/2006/relationships" ref="Q1195" display="https://www.sebi.gov.in/sebi_data/attachdocs/dec-2017/1513851484240.pdf" r:id="rId2989"/>
    <hyperlink xmlns:r="http://schemas.openxmlformats.org/officeDocument/2006/relationships" ref="R1195" display="https://www.sebi.gov.in/filings/public-issues/dec-2017/vishwaraj-sugar-industries-ltd-_37064.html" r:id="rId2990"/>
    <hyperlink xmlns:r="http://schemas.openxmlformats.org/officeDocument/2006/relationships" ref="Q1196" display="https://www.sebi.gov.in/sebi_data/attachdocs/dec-2017/1513588238933.pdf" r:id="rId2991"/>
    <hyperlink xmlns:r="http://schemas.openxmlformats.org/officeDocument/2006/relationships" ref="R1196" display="https://www.sebi.gov.in/filings/public-issues/dec-2017/icici-securities-limited_37009.html" r:id="rId2992"/>
    <hyperlink xmlns:r="http://schemas.openxmlformats.org/officeDocument/2006/relationships" ref="Q1197" display="https://www.sebi.gov.in/sebi_data/attachdocs/dec-2017/1513149608025.pdf" r:id="rId2993"/>
    <hyperlink xmlns:r="http://schemas.openxmlformats.org/officeDocument/2006/relationships" ref="R1197" display="https://www.sebi.gov.in/filings/public-issues/dec-2017/krishna-institute-of-medical-sciences-limited_36934.html" r:id="rId2994"/>
    <hyperlink xmlns:r="http://schemas.openxmlformats.org/officeDocument/2006/relationships" ref="AB1197" r:id="rId2995"/>
    <hyperlink xmlns:r="http://schemas.openxmlformats.org/officeDocument/2006/relationships" ref="Q1198" display="https://www.sebi.gov.in/sebi_data/attachdocs/dec-2017/1513069228066.pdf" r:id="rId2996"/>
    <hyperlink xmlns:r="http://schemas.openxmlformats.org/officeDocument/2006/relationships" ref="R1198" display="https://www.sebi.gov.in/filings/public-issues/dec-2017/srei-equipment-finance-limited-corrigendum-to-draft-red-herring-prospectus_36920.html" r:id="rId2997"/>
    <hyperlink xmlns:r="http://schemas.openxmlformats.org/officeDocument/2006/relationships" ref="AB1198" r:id="rId2998"/>
    <hyperlink xmlns:r="http://schemas.openxmlformats.org/officeDocument/2006/relationships" ref="Q1199" display="https://www.sebi.gov.in/sebi_data/attachdocs/dec-2017/1512983415722.pdf" r:id="rId2999"/>
    <hyperlink xmlns:r="http://schemas.openxmlformats.org/officeDocument/2006/relationships" ref="R1199" display="https://www.sebi.gov.in/filings/public-issues/dec-2017/sandhar-technologies-limited_36908.html" r:id="rId3000"/>
    <hyperlink xmlns:r="http://schemas.openxmlformats.org/officeDocument/2006/relationships" ref="Q1200" display="https://www.sebi.gov.in/sebi_data/attachdocs/nov-2017/1512016152850.pdf" r:id="rId3001"/>
    <hyperlink xmlns:r="http://schemas.openxmlformats.org/officeDocument/2006/relationships" ref="R1200" display="https://www.sebi.gov.in/filings/public-issues/nov-2017/srei-equipment-finance-limited_36750.html" r:id="rId3002"/>
    <hyperlink xmlns:r="http://schemas.openxmlformats.org/officeDocument/2006/relationships" ref="AB1200" r:id="rId3003"/>
    <hyperlink xmlns:r="http://schemas.openxmlformats.org/officeDocument/2006/relationships" ref="Q1201" display="https://www.sebi.gov.in/sebi_data/attachdocs/nov-2017/1510657713366.pdf" r:id="rId3004"/>
    <hyperlink xmlns:r="http://schemas.openxmlformats.org/officeDocument/2006/relationships" ref="R1201" display="https://www.sebi.gov.in/filings/public-issues/nov-2017/galaxy-surfactants-limited_36585.html" r:id="rId3005"/>
    <hyperlink xmlns:r="http://schemas.openxmlformats.org/officeDocument/2006/relationships" ref="Q1202" display="https://www.sebi.gov.in/sebi_data/attachdocs/nov-2017/1510643054435.pdf" r:id="rId3006"/>
    <hyperlink xmlns:r="http://schemas.openxmlformats.org/officeDocument/2006/relationships" ref="R1202" display="https://www.sebi.gov.in/filings/public-issues/nov-2017/future-supply-chain-solutions-limited_36576.html" r:id="rId3007"/>
    <hyperlink xmlns:r="http://schemas.openxmlformats.org/officeDocument/2006/relationships" ref="Q1203" display="https://www.sebi.gov.in/sebi_data/attachdocs/oct-2017/1509104518663.pdf" r:id="rId3008"/>
    <hyperlink xmlns:r="http://schemas.openxmlformats.org/officeDocument/2006/relationships" ref="R1203" display="https://www.sebi.gov.in/filings/public-issues/oct-2017/newgen-software-technologies-limited-addendum_36359.html" r:id="rId3009"/>
    <hyperlink xmlns:r="http://schemas.openxmlformats.org/officeDocument/2006/relationships" ref="Q1204" display="https://www.sebi.gov.in/sebi_data/attachdocs/nov-2017/1511329941640.pdf" r:id="rId3010"/>
    <hyperlink xmlns:r="http://schemas.openxmlformats.org/officeDocument/2006/relationships" ref="R1204" display="https://www.sebi.gov.in/filings/public-issues/oct-2017/reliance-general-insurance-company-limited_36214.html" r:id="rId3011"/>
    <hyperlink xmlns:r="http://schemas.openxmlformats.org/officeDocument/2006/relationships" ref="AB1204" r:id="rId3012"/>
    <hyperlink xmlns:r="http://schemas.openxmlformats.org/officeDocument/2006/relationships" ref="Q1205" display="https://www.sebi.gov.in/sebi_data/attachdocs/oct-2017/1509192541755.pdf" r:id="rId3013"/>
    <hyperlink xmlns:r="http://schemas.openxmlformats.org/officeDocument/2006/relationships" ref="R1205" display="https://www.sebi.gov.in/filings/public-issues/oct-2017/seven-islands-shipping-limited_36159.html" r:id="rId3014"/>
    <hyperlink xmlns:r="http://schemas.openxmlformats.org/officeDocument/2006/relationships" ref="AB1205" r:id="rId3015"/>
    <hyperlink xmlns:r="http://schemas.openxmlformats.org/officeDocument/2006/relationships" ref="Q1206" display="https://www.sebi.gov.in/sebi_data/attachdocs/oct-2017/1509188683886.pdf" r:id="rId3016"/>
    <hyperlink xmlns:r="http://schemas.openxmlformats.org/officeDocument/2006/relationships" ref="R1206" display="https://www.sebi.gov.in/filings/public-issues/oct-2017/amber-enterprises-india-limited_36156.html" r:id="rId3017"/>
    <hyperlink xmlns:r="http://schemas.openxmlformats.org/officeDocument/2006/relationships" ref="Q1207" display="https://www.sebi.gov.in/sebi_data/attachdocs/oct-2017/1509188742822.pdf" r:id="rId3018"/>
    <hyperlink xmlns:r="http://schemas.openxmlformats.org/officeDocument/2006/relationships" ref="R1207" display="https://www.sebi.gov.in/filings/public-issues/oct-2017/hindustan-aeronautics-limited_36155.html" r:id="rId3019"/>
    <hyperlink xmlns:r="http://schemas.openxmlformats.org/officeDocument/2006/relationships" ref="Q1208" display="https://www.sebi.gov.in/sebi_data/attachdocs/oct-2017/1509188816299.pdf" r:id="rId3020"/>
    <hyperlink xmlns:r="http://schemas.openxmlformats.org/officeDocument/2006/relationships" ref="R1208" display="https://www.sebi.gov.in/filings/public-issues/oct-2017/karda-constructions-limited_36154.html" r:id="rId3021"/>
    <hyperlink xmlns:r="http://schemas.openxmlformats.org/officeDocument/2006/relationships" ref="Q1209" display="https://www.sebi.gov.in/sebi_data/attachdocs/oct-2017/1509189141848.pdf" r:id="rId3022"/>
    <hyperlink xmlns:r="http://schemas.openxmlformats.org/officeDocument/2006/relationships" ref="R1209" display="https://www.sebi.gov.in/filings/public-issues/oct-2017/acme-solar-holdings-limited_36152.html" r:id="rId3023"/>
    <hyperlink xmlns:r="http://schemas.openxmlformats.org/officeDocument/2006/relationships" ref="AB1209" r:id="rId3024"/>
    <hyperlink xmlns:r="http://schemas.openxmlformats.org/officeDocument/2006/relationships" ref="Q1210" display="https://www.sebi.gov.in/sebi_data/attachdocs/oct-2017/1509189368588.pdf" r:id="rId3025"/>
    <hyperlink xmlns:r="http://schemas.openxmlformats.org/officeDocument/2006/relationships" ref="R1210" display="https://www.sebi.gov.in/filings/public-issues/oct-2017/cms-info-systems-limited_36149.html" r:id="rId3026"/>
    <hyperlink xmlns:r="http://schemas.openxmlformats.org/officeDocument/2006/relationships" ref="AB1210" r:id="rId3027"/>
    <hyperlink xmlns:r="http://schemas.openxmlformats.org/officeDocument/2006/relationships" ref="Q1211" display="https://www.sebi.gov.in/sebi_data/attachdocs/nov-2017/1511331299254.pdf" r:id="rId3028"/>
    <hyperlink xmlns:r="http://schemas.openxmlformats.org/officeDocument/2006/relationships" ref="R1211" display="https://www.sebi.gov.in/filings/public-issues/sep-2017/prince-pipes-and-fittings-limited_36131.html" r:id="rId3029"/>
    <hyperlink xmlns:r="http://schemas.openxmlformats.org/officeDocument/2006/relationships" ref="Q1212" display="https://www.sebi.gov.in/sebi_data/attachdocs/nov-2017/1510828304971.pdf" r:id="rId3030"/>
    <hyperlink xmlns:r="http://schemas.openxmlformats.org/officeDocument/2006/relationships" ref="R1212" display="https://www.sebi.gov.in/filings/public-issues/sep-2017/general-insurance-corporation-of-india-corrigendum-to-draft-red-herring-prospectus_36126.html" r:id="rId3031"/>
    <hyperlink xmlns:r="http://schemas.openxmlformats.org/officeDocument/2006/relationships" ref="Q1213" display="https://www.sebi.gov.in/sebi_data/attachdocs/oct-2017/1509171299248.pdf" r:id="rId3032"/>
    <hyperlink xmlns:r="http://schemas.openxmlformats.org/officeDocument/2006/relationships" ref="R1213" display="https://www.sebi.gov.in/filings/public-issues/sep-2017/h-g-infra-engineering-limited_36115.html" r:id="rId3033"/>
    <hyperlink xmlns:r="http://schemas.openxmlformats.org/officeDocument/2006/relationships" ref="Q1214" display="https://www.sebi.gov.in/sebi_data/attachdocs/oct-2017/1509171451854.PDF" r:id="rId3034"/>
    <hyperlink xmlns:r="http://schemas.openxmlformats.org/officeDocument/2006/relationships" ref="R1214" display="https://www.sebi.gov.in/filings/public-issues/sep-2017/newgen-software-technologies-limited_36114.html" r:id="rId3035"/>
    <hyperlink xmlns:r="http://schemas.openxmlformats.org/officeDocument/2006/relationships" ref="Q1215" display="https://www.sebi.gov.in/sebi_data/attachdocs/oct-2017/1509178113185.pdf" r:id="rId3036"/>
    <hyperlink xmlns:r="http://schemas.openxmlformats.org/officeDocument/2006/relationships" ref="R1215" display="https://www.sebi.gov.in/filings/public-issues/sep-2017/apollo-micro-systems-limited_36048.html" r:id="rId3037"/>
    <hyperlink xmlns:r="http://schemas.openxmlformats.org/officeDocument/2006/relationships" ref="Q1216" display="https://www.sebi.gov.in/sebi_data/attachdocs/oct-2017/1509179942020.pdf" r:id="rId3038"/>
    <hyperlink xmlns:r="http://schemas.openxmlformats.org/officeDocument/2006/relationships" ref="R1216" display="https://www.sebi.gov.in/filings/public-issues/sep-2017/lemon-tree-hotels-limited_36022.html" r:id="rId3039"/>
    <hyperlink xmlns:r="http://schemas.openxmlformats.org/officeDocument/2006/relationships" ref="Q1217" display="https://www.sebi.gov.in/sebi_data/attachdocs/oct-2017/1509269001701.pdf" r:id="rId3040"/>
    <hyperlink xmlns:r="http://schemas.openxmlformats.org/officeDocument/2006/relationships" ref="R1217" display="https://www.sebi.gov.in/filings/public-issues/sep-2017/gandhar-oil-refinery-india-limited_35803.html" r:id="rId3041"/>
    <hyperlink xmlns:r="http://schemas.openxmlformats.org/officeDocument/2006/relationships" ref="AB1217" r:id="rId3042"/>
    <hyperlink xmlns:r="http://schemas.openxmlformats.org/officeDocument/2006/relationships" ref="Q1218" display="https://www.sebi.gov.in/sebi_data/attachdocs/nov-2017/1510829732919.pdf" r:id="rId3043"/>
    <hyperlink xmlns:r="http://schemas.openxmlformats.org/officeDocument/2006/relationships" ref="R1218" display="https://www.sebi.gov.in/filings/public-issues/aug-2017/icici-lombard-general-insurance-company-limited-corrigendum_35774.html" r:id="rId3044"/>
    <hyperlink xmlns:r="http://schemas.openxmlformats.org/officeDocument/2006/relationships" ref="Q1219" display="https://www.sebi.gov.in/sebi_data/attachdocs/oct-2017/1509433067382.pdf" r:id="rId3045"/>
    <hyperlink xmlns:r="http://schemas.openxmlformats.org/officeDocument/2006/relationships" ref="R1219" display="https://www.sebi.gov.in/filings/public-issues/aug-2017/future-supply-chain-solutions-limited_35751.html" r:id="rId3046"/>
    <hyperlink xmlns:r="http://schemas.openxmlformats.org/officeDocument/2006/relationships" ref="Q1220" display="https://www.sebi.gov.in/sebi_data/attachdocs/nov-2017/1510830888925.pdf" r:id="rId3047"/>
    <hyperlink xmlns:r="http://schemas.openxmlformats.org/officeDocument/2006/relationships" ref="R1220" display="https://www.sebi.gov.in/filings/public-issues/aug-2017/hdfc-standard-life-insurance-company-limited-corrigendum-to-drhp_35716.html" r:id="rId3048"/>
    <hyperlink xmlns:r="http://schemas.openxmlformats.org/officeDocument/2006/relationships" ref="Q1221" display="https://www.sebi.gov.in/sebi_data/attachdocs/nov-2017/1510831240661.pdf" r:id="rId3049"/>
    <hyperlink xmlns:r="http://schemas.openxmlformats.org/officeDocument/2006/relationships" ref="R1221" display="https://www.sebi.gov.in/filings/public-issues/aug-2017/hdfc-standard-life-insurance-company-limited_35715.html" r:id="rId3050"/>
    <hyperlink xmlns:r="http://schemas.openxmlformats.org/officeDocument/2006/relationships" ref="Q1222" display="https://www.sebi.gov.in/sebi_data/attachdocs/oct-2017/1509447884660.pdf" r:id="rId3051"/>
    <hyperlink xmlns:r="http://schemas.openxmlformats.org/officeDocument/2006/relationships" ref="R1222" display="https://www.sebi.gov.in/filings/public-issues/aug-2017/reliance-nippon-life-asset-management-limited_35674.html" r:id="rId3052"/>
    <hyperlink xmlns:r="http://schemas.openxmlformats.org/officeDocument/2006/relationships" ref="Q1223" display="https://www.sebi.gov.in/sebi_data/attachdocs/oct-2017/1509453352229.pdf" r:id="rId3053"/>
    <hyperlink xmlns:r="http://schemas.openxmlformats.org/officeDocument/2006/relationships" ref="R1223" display="https://www.sebi.gov.in/filings/public-issues/aug-2017/hdfc-standard-life-insurance-company-limited_35667.html" r:id="rId3054"/>
    <hyperlink xmlns:r="http://schemas.openxmlformats.org/officeDocument/2006/relationships" ref="Q1224" display="https://www.sebi.gov.in/sebi_data/attachdocs/oct-2017/1509458014500.pdf" r:id="rId3055"/>
    <hyperlink xmlns:r="http://schemas.openxmlformats.org/officeDocument/2006/relationships" ref="R1224" display="https://www.sebi.gov.in/filings/public-issues/aug-2017/barbeque-nation-hospitality-limited_35647.html" r:id="rId3056"/>
    <hyperlink xmlns:r="http://schemas.openxmlformats.org/officeDocument/2006/relationships" ref="AB1224" r:id="rId3057"/>
    <hyperlink xmlns:r="http://schemas.openxmlformats.org/officeDocument/2006/relationships" ref="Q1225" display="https://www.sebi.gov.in/sebi_data/attachdocs/oct-2017/1509459052314.pdf" r:id="rId3058"/>
    <hyperlink xmlns:r="http://schemas.openxmlformats.org/officeDocument/2006/relationships" ref="R1225" display="https://www.sebi.gov.in/filings/public-issues/aug-2017/bharat-road-network-ltd-corrigendum-to-drhp_35641.html" r:id="rId3059"/>
    <hyperlink xmlns:r="http://schemas.openxmlformats.org/officeDocument/2006/relationships" ref="Q1226" display="https://www.sebi.gov.in/sebi_data/attachdocs/nov-2017/1510737201640.pdf" r:id="rId3060"/>
    <hyperlink xmlns:r="http://schemas.openxmlformats.org/officeDocument/2006/relationships" ref="R1226" display="https://www.sebi.gov.in/filings/public-issues/aug-2017/aster-dm-healthcare-limited_35613.html" r:id="rId3061"/>
    <hyperlink xmlns:r="http://schemas.openxmlformats.org/officeDocument/2006/relationships" ref="Q1227" display="https://www.sebi.gov.in/sebi_data/attachdocs/nov-2017/1510840174853.pdf" r:id="rId3062"/>
    <hyperlink xmlns:r="http://schemas.openxmlformats.org/officeDocument/2006/relationships" ref="R1227" display="https://www.sebi.gov.in/filings/public-issues/aug-2017/the-new-india-assurance-company-limited_35602.html" r:id="rId3063"/>
    <hyperlink xmlns:r="http://schemas.openxmlformats.org/officeDocument/2006/relationships" ref="Q1228" display="https://www.sebi.gov.in/sebi_data/attachdocs/nov-2017/1510902617562.pdf" r:id="rId3064"/>
    <hyperlink xmlns:r="http://schemas.openxmlformats.org/officeDocument/2006/relationships" ref="R1228" display="https://www.sebi.gov.in/filings/public-issues/aug-2017/general-insurance-corporation-of-india_35566.html" r:id="rId3065"/>
    <hyperlink xmlns:r="http://schemas.openxmlformats.org/officeDocument/2006/relationships" ref="Q1229" display="https://www.sebi.gov.in/sebi_data/attachdocs/nov-2017/1510901765877.pdf" r:id="rId3066"/>
    <hyperlink xmlns:r="http://schemas.openxmlformats.org/officeDocument/2006/relationships" ref="R1229" display="https://www.sebi.gov.in/filings/public-issues/aug-2017/mahindra-logistics-limited_35555.html" r:id="rId3067"/>
    <hyperlink xmlns:r="http://schemas.openxmlformats.org/officeDocument/2006/relationships" ref="Q1230" display="https://www.sebi.gov.in/sebi_data/attachdocs/oct-2017/1509361706599.pdf" r:id="rId3068"/>
    <hyperlink xmlns:r="http://schemas.openxmlformats.org/officeDocument/2006/relationships" ref="R1230" display="https://www.sebi.gov.in/filings/public-issues/jul-2017/godrej-agrovet-limited_35368.html" r:id="rId3069"/>
    <hyperlink xmlns:r="http://schemas.openxmlformats.org/officeDocument/2006/relationships" ref="Q1231" display="https://www.sebi.gov.in/sebi_data/attachdocs/oct-2017/1509364304775.pdf" r:id="rId3070"/>
    <hyperlink xmlns:r="http://schemas.openxmlformats.org/officeDocument/2006/relationships" ref="R1231" display="https://www.sebi.gov.in/filings/public-issues/jul-2017/sbi-life-insurance-company-limited_35336.html" r:id="rId3071"/>
    <hyperlink xmlns:r="http://schemas.openxmlformats.org/officeDocument/2006/relationships" ref="Q1232" display="https://www.sebi.gov.in/sebi_data/attachdocs/nov-2017/1510909125880.pdf" r:id="rId3072"/>
    <hyperlink xmlns:r="http://schemas.openxmlformats.org/officeDocument/2006/relationships" ref="R1232" display="https://www.sebi.gov.in/filings/public-issues/jul-2017/icici-lombard-general-insurance-company-limited_35321.html" r:id="rId3073"/>
    <hyperlink xmlns:r="http://schemas.openxmlformats.org/officeDocument/2006/relationships" ref="Q1233" display="https://www.sebi.gov.in/sebi_data/attachdocs/oct-2017/1509345192676.pdf" r:id="rId3074"/>
    <hyperlink xmlns:r="http://schemas.openxmlformats.org/officeDocument/2006/relationships" ref="R1233" display="https://www.sebi.gov.in/filings/public-issues/jul-2017/khadim-india-limited_35249.html" r:id="rId3075"/>
    <hyperlink xmlns:r="http://schemas.openxmlformats.org/officeDocument/2006/relationships" ref="Q1234" display="https://www.sebi.gov.in/sebi_data/attachdocs/jun-2017/1498217535905.pdf" r:id="rId3076"/>
    <hyperlink xmlns:r="http://schemas.openxmlformats.org/officeDocument/2006/relationships" ref="R1234" display="https://www.sebi.gov.in/filings/public-issues/jun-2017/pratap-snacks-limited_35169.html" r:id="rId3077"/>
    <hyperlink xmlns:r="http://schemas.openxmlformats.org/officeDocument/2006/relationships" ref="Q1235" display="https://www.sebi.gov.in/sebi_data/attachdocs/nov-2017/1510910694504.pdf" r:id="rId3078"/>
    <hyperlink xmlns:r="http://schemas.openxmlformats.org/officeDocument/2006/relationships" ref="R1235" display="https://www.sebi.gov.in/filings/public-issues/jun-2017/astron-paper-and-board-mill-ltd_35142.html" r:id="rId3079"/>
    <hyperlink xmlns:r="http://schemas.openxmlformats.org/officeDocument/2006/relationships" ref="Q1236" display="https://www.sebi.gov.in/sebi_data/attachdocs/jun-2017/1497957899070.pdf" r:id="rId3080"/>
    <hyperlink xmlns:r="http://schemas.openxmlformats.org/officeDocument/2006/relationships" ref="R1236" display="https://www.sebi.gov.in/filings/public-issues/jun-2017/indian-energy-exchange-limited_35136.html" r:id="rId3081"/>
    <hyperlink xmlns:r="http://schemas.openxmlformats.org/officeDocument/2006/relationships" ref="Q1237" display="https://www.sebi.gov.in/sebi_data/attachdocs/may-2017/1495451226044.pdf" r:id="rId3082"/>
    <hyperlink xmlns:r="http://schemas.openxmlformats.org/officeDocument/2006/relationships" ref="R1237" display="https://www.sebi.gov.in/filings/public-issues/may-2017/dixon-technologies-india-limited_34938.html" r:id="rId3083"/>
    <hyperlink xmlns:r="http://schemas.openxmlformats.org/officeDocument/2006/relationships" ref="Q1238" display="https://www.sebi.gov.in/sebi_data/attachdocs/may-2017/1495444881641.pdf" r:id="rId3084"/>
    <hyperlink xmlns:r="http://schemas.openxmlformats.org/officeDocument/2006/relationships" ref="R1238" display="https://www.sebi.gov.in/filings/public-issues/may-2017/shalby-limited_34932.html" r:id="rId3085"/>
    <hyperlink xmlns:r="http://schemas.openxmlformats.org/officeDocument/2006/relationships" ref="Q1239" display="https://www.sebi.gov.in/sebi_data/attachdocs/may-2017/1494492485594.pdf" r:id="rId3086"/>
    <hyperlink xmlns:r="http://schemas.openxmlformats.org/officeDocument/2006/relationships" ref="R1239" display="https://www.sebi.gov.in/filings/public-issues/may-2017/matrimony-com-limited_34845.html" r:id="rId3087"/>
    <hyperlink xmlns:r="http://schemas.openxmlformats.org/officeDocument/2006/relationships" ref="Q1240" display="https://www.sebi.gov.in/sebi_data/attachdocs/apr-2017/1492770637429.pdf" r:id="rId3088"/>
    <hyperlink xmlns:r="http://schemas.openxmlformats.org/officeDocument/2006/relationships" ref="R1240" display="https://www.sebi.gov.in/filings/public-issues/apr-2017/capacit-e-infraprojects-limited_34732.html" r:id="rId3089"/>
    <hyperlink xmlns:r="http://schemas.openxmlformats.org/officeDocument/2006/relationships" ref="Q1241" display="https://www.sebi.gov.in/sebi_data/attachdocs/1490953484248.pdf" r:id="rId3090"/>
    <hyperlink xmlns:r="http://schemas.openxmlformats.org/officeDocument/2006/relationships" ref="R1241" display="https://www.sebi.gov.in/filings/public-issues/mar-2017/apex-frozen-foods-limited_34510.html" r:id="rId3091"/>
    <hyperlink xmlns:r="http://schemas.openxmlformats.org/officeDocument/2006/relationships" ref="Q1242" display="https://www.sebi.gov.in/sebi_data/attachdocs/1490780945883.pdf" r:id="rId3092"/>
    <hyperlink xmlns:r="http://schemas.openxmlformats.org/officeDocument/2006/relationships" ref="R1242" display="https://www.sebi.gov.in/filings/public-issues/mar-2017/mas-financial-services-limited_34488.html" r:id="rId3093"/>
    <hyperlink xmlns:r="http://schemas.openxmlformats.org/officeDocument/2006/relationships" ref="Q1243" display="https://www.sebi.gov.in/sebi_data/attachdocs/1490612792005.pdf" r:id="rId3094"/>
    <hyperlink xmlns:r="http://schemas.openxmlformats.org/officeDocument/2006/relationships" ref="R1243" display="https://www.sebi.gov.in/filings/public-issues/mar-2017/cochin-shipyard-limited_34475.html" r:id="rId3095"/>
    <hyperlink xmlns:r="http://schemas.openxmlformats.org/officeDocument/2006/relationships" ref="Q1244" display="https://www.sebi.gov.in/sebi_data/attachdocs/1489483609363.pdf" r:id="rId3096"/>
    <hyperlink xmlns:r="http://schemas.openxmlformats.org/officeDocument/2006/relationships" ref="R1244" display="https://www.sebi.gov.in/filings/public-issues/mar-2017/nakshatra-world-limited_34355.html" r:id="rId3097"/>
    <hyperlink xmlns:r="http://schemas.openxmlformats.org/officeDocument/2006/relationships" ref="AB1244" r:id="rId3098"/>
    <hyperlink xmlns:r="http://schemas.openxmlformats.org/officeDocument/2006/relationships" ref="Q1245" display="https://www.sebi.gov.in/sebi_data/attachdocs/1487739314868.pdf" r:id="rId3099"/>
    <hyperlink xmlns:r="http://schemas.openxmlformats.org/officeDocument/2006/relationships" ref="R1245" display="https://www.sebi.gov.in/filings/public-issues/feb-2017/four-seasons-residency-limited_34264.html" r:id="rId3100"/>
    <hyperlink xmlns:r="http://schemas.openxmlformats.org/officeDocument/2006/relationships" ref="AB1245" r:id="rId3101"/>
    <hyperlink xmlns:r="http://schemas.openxmlformats.org/officeDocument/2006/relationships" ref="Q1246" display="https://www.sebi.gov.in/sebi_data/attachdocs/1487591520094.pdf" r:id="rId3102"/>
    <hyperlink xmlns:r="http://schemas.openxmlformats.org/officeDocument/2006/relationships" ref="R1246" display="https://www.sebi.gov.in/filings/public-issues/feb-2017/bharat-road-network-limited_34262.html" r:id="rId3103"/>
    <hyperlink xmlns:r="http://schemas.openxmlformats.org/officeDocument/2006/relationships" ref="Q1247" display="https://www.sebi.gov.in/sebi_data/attachdocs/1487157874525.pdf" r:id="rId3104"/>
    <hyperlink xmlns:r="http://schemas.openxmlformats.org/officeDocument/2006/relationships" ref="R1247" display="https://www.sebi.gov.in/filings/public-issues/feb-2017/salasar-techno-engineering-limited_34199.html" r:id="rId3105"/>
    <hyperlink xmlns:r="http://schemas.openxmlformats.org/officeDocument/2006/relationships" ref="Q1248" display="https://www.sebi.gov.in/sebi_data/attachdocs/1486981606332.pdf" r:id="rId3106"/>
    <hyperlink xmlns:r="http://schemas.openxmlformats.org/officeDocument/2006/relationships" ref="R1248" display="https://www.sebi.gov.in/filings/public-issues/feb-2017/tejas-networks-limited_34180.html" r:id="rId3107"/>
    <hyperlink xmlns:r="http://schemas.openxmlformats.org/officeDocument/2006/relationships" ref="Q1249" display="https://www.sebi.gov.in/sebi_data/attachdocs/1486702950321.pdf" r:id="rId3108"/>
    <hyperlink xmlns:r="http://schemas.openxmlformats.org/officeDocument/2006/relationships" ref="R1249" display="https://www.sebi.gov.in/filings/public-issues/feb-2017/eris-lifesciences-limited_34167.html" r:id="rId3109"/>
    <hyperlink xmlns:r="http://schemas.openxmlformats.org/officeDocument/2006/relationships" ref="Q1250" display="https://www.sebi.gov.in/sebi_data/attachdocs/1486115445100.pdf" r:id="rId3110"/>
    <hyperlink xmlns:r="http://schemas.openxmlformats.org/officeDocument/2006/relationships" ref="R1250" display="https://www.sebi.gov.in/filings/public-issues/feb-2017/au-financiers-india-limited_34131.html" r:id="rId3111"/>
    <hyperlink xmlns:r="http://schemas.openxmlformats.org/officeDocument/2006/relationships" ref="Q1251" display="https://www.sebi.gov.in/sebi_data/attachdocs/1483421360168.pdf" r:id="rId3112"/>
    <hyperlink xmlns:r="http://schemas.openxmlformats.org/officeDocument/2006/relationships" ref="R1251" display="https://www.sebi.gov.in/filings/public-issues/jan-2017/gtpl-hathway-limited_33943.html" r:id="rId3113"/>
    <hyperlink xmlns:r="http://schemas.openxmlformats.org/officeDocument/2006/relationships" ref="Q1252" display="https://www.sebi.gov.in/sebi_data/attachdocs/1483435402664.pdf" r:id="rId3114"/>
    <hyperlink xmlns:r="http://schemas.openxmlformats.org/officeDocument/2006/relationships" ref="R1252" display="https://www.sebi.gov.in/filings/public-issues/jan-2017/housing-and-urban-development-corporation-limited_33947.html" r:id="rId3115"/>
    <hyperlink xmlns:r="http://schemas.openxmlformats.org/officeDocument/2006/relationships" ref="Q1253" display="https://www.sebi.gov.in/sebi_data/attachdocs/1483073582321.pdf" r:id="rId3116"/>
    <hyperlink xmlns:r="http://schemas.openxmlformats.org/officeDocument/2006/relationships" ref="R1253" display="https://www.sebi.gov.in/filings/public-issues/dec-2016/national-stock-exchange-of-india-limited_33921.html" r:id="rId3117"/>
    <hyperlink xmlns:r="http://schemas.openxmlformats.org/officeDocument/2006/relationships" ref="AB1253" r:id="rId3118"/>
    <hyperlink xmlns:r="http://schemas.openxmlformats.org/officeDocument/2006/relationships" ref="Q1254" display="https://www.sebi.gov.in/sebi_data/attachdocs/1483005934511.pdf" r:id="rId3119"/>
    <hyperlink xmlns:r="http://schemas.openxmlformats.org/officeDocument/2006/relationships" ref="R1254" display="https://www.sebi.gov.in/filings/public-issues/dec-2016/psp-projects-limited_33915.html" r:id="rId3120"/>
    <hyperlink xmlns:r="http://schemas.openxmlformats.org/officeDocument/2006/relationships" ref="Q1255" display="https://www.sebi.gov.in/sebi_data/attachdocs/1482921811894.pdf" r:id="rId3121"/>
    <hyperlink xmlns:r="http://schemas.openxmlformats.org/officeDocument/2006/relationships" ref="R1255" display="https://www.sebi.gov.in/filings/public-issues/dec-2016/central-desository-services-india-limited_33908.html" r:id="rId3122"/>
    <hyperlink xmlns:r="http://schemas.openxmlformats.org/officeDocument/2006/relationships" ref="Q1256" display="https://www.sebi.gov.in/sebi_data/attachdocs/1482145544958.pdf" r:id="rId3123"/>
    <hyperlink xmlns:r="http://schemas.openxmlformats.org/officeDocument/2006/relationships" ref="R1256" display="https://www.sebi.gov.in/filings/public-issues/dec-2016/s-chand-and-company-limited_33820.html" r:id="rId3124"/>
    <hyperlink xmlns:r="http://schemas.openxmlformats.org/officeDocument/2006/relationships" ref="Q1257" display="https://www.sebi.gov.in/sebi_data/attachdocs/1481628639529.pdf" r:id="rId3125"/>
    <hyperlink xmlns:r="http://schemas.openxmlformats.org/officeDocument/2006/relationships" ref="R1257" display="https://www.sebi.gov.in/filings/public-issues/dec-2016/corrigendum-to-the-drhp-of-bse-limited_33785.html" r:id="rId3126"/>
    <hyperlink xmlns:r="http://schemas.openxmlformats.org/officeDocument/2006/relationships" ref="AB1257" r:id="rId3127"/>
    <hyperlink xmlns:r="http://schemas.openxmlformats.org/officeDocument/2006/relationships" ref="Q1258" display="https://www.sebi.gov.in/sebi_data/attachdocs/1480587076180.pdf" r:id="rId3128"/>
    <hyperlink xmlns:r="http://schemas.openxmlformats.org/officeDocument/2006/relationships" ref="R1258" display="https://www.sebi.gov.in/filings/public-issues/dec-2016/music-broadcast-limited_33745.html" r:id="rId3129"/>
    <hyperlink xmlns:r="http://schemas.openxmlformats.org/officeDocument/2006/relationships" ref="Q1259" display="https://www.sebi.gov.in/sebi_data/attachdocs/1475476252011.pdf" r:id="rId3130"/>
    <hyperlink xmlns:r="http://schemas.openxmlformats.org/officeDocument/2006/relationships" ref="R1259" display="https://www.sebi.gov.in/filings/public-issues/oct-2016/continental-warehousing-corporation-nhava-seva-limited_33401.html" r:id="rId3131"/>
    <hyperlink xmlns:r="http://schemas.openxmlformats.org/officeDocument/2006/relationships" ref="AB1259" r:id="rId3132"/>
    <hyperlink xmlns:r="http://schemas.openxmlformats.org/officeDocument/2006/relationships" ref="Q1260" display="https://www.sebi.gov.in/sebi_data/attachdocs/1475469156283.pdf" r:id="rId3133"/>
    <hyperlink xmlns:r="http://schemas.openxmlformats.org/officeDocument/2006/relationships" ref="R1260" display="https://www.sebi.gov.in/filings/public-issues/oct-2016/g-r-infraprojects-limited_33399.html" r:id="rId3134"/>
    <hyperlink xmlns:r="http://schemas.openxmlformats.org/officeDocument/2006/relationships" ref="AB1260" r:id="rId3135"/>
    <hyperlink xmlns:r="http://schemas.openxmlformats.org/officeDocument/2006/relationships" ref="Q1261" display="https://www.sebi.gov.in/sebi_data/attachdocs/1475485242952.pdf" r:id="rId3136"/>
    <hyperlink xmlns:r="http://schemas.openxmlformats.org/officeDocument/2006/relationships" ref="R1261" display="https://www.sebi.gov.in/filings/public-issues/oct-2016/genesis-colors-limited_33403.html" r:id="rId3137"/>
    <hyperlink xmlns:r="http://schemas.openxmlformats.org/officeDocument/2006/relationships" ref="AB1261" r:id="rId3138"/>
    <hyperlink xmlns:r="http://schemas.openxmlformats.org/officeDocument/2006/relationships" ref="Q1262" display="https://www.sebi.gov.in/sebi_data/attachdocs/1475474399351.pdf" r:id="rId3139"/>
    <hyperlink xmlns:r="http://schemas.openxmlformats.org/officeDocument/2006/relationships" ref="R1262" display="https://www.sebi.gov.in/filings/public-issues/oct-2016/prataap-snacks-limited_33400.html" r:id="rId3140"/>
    <hyperlink xmlns:r="http://schemas.openxmlformats.org/officeDocument/2006/relationships" ref="Q1263" display="https://www.sebi.gov.in/sebi_data/attachdocs/1475235183964.pdf" r:id="rId3141"/>
    <hyperlink xmlns:r="http://schemas.openxmlformats.org/officeDocument/2006/relationships" ref="R1263" display="https://www.sebi.gov.in/filings/public-issues/sep-2016/avenue-supermarts-limited_33394.html" r:id="rId3142"/>
    <hyperlink xmlns:r="http://schemas.openxmlformats.org/officeDocument/2006/relationships" ref="Q1264" display="https://www.sebi.gov.in/sebi_data/attachdocs/1475145496926.pdf" r:id="rId3143"/>
    <hyperlink xmlns:r="http://schemas.openxmlformats.org/officeDocument/2006/relationships" ref="R1264" display="https://www.sebi.gov.in/filings/public-issues/sep-2016/security-and-intelligence-services-india-limited_33367.html" r:id="rId3144"/>
    <hyperlink xmlns:r="http://schemas.openxmlformats.org/officeDocument/2006/relationships" ref="Q1265" display="https://www.sebi.gov.in/sebi_data/attachdocs/1475140160718.pdf" r:id="rId3145"/>
    <hyperlink xmlns:r="http://schemas.openxmlformats.org/officeDocument/2006/relationships" ref="R1265" display="https://www.sebi.gov.in/filings/public-issues/sep-2016/shankara-building-products-limited_33365.html" r:id="rId3146"/>
    <hyperlink xmlns:r="http://schemas.openxmlformats.org/officeDocument/2006/relationships" ref="Q1266" display="https://www.sebi.gov.in/sebi_data/attachdocs/1473669901742.pdf" r:id="rId3147"/>
    <hyperlink xmlns:r="http://schemas.openxmlformats.org/officeDocument/2006/relationships" ref="R1266" display="https://www.sebi.gov.in/filings/public-issues/sep-2016/bse-limited_33213.html" r:id="rId3148"/>
    <hyperlink xmlns:r="http://schemas.openxmlformats.org/officeDocument/2006/relationships" ref="Q1267" display="https://www.sebi.gov.in/sebi_data/attachdocs/1471952320948.pdf" r:id="rId3149"/>
    <hyperlink xmlns:r="http://schemas.openxmlformats.org/officeDocument/2006/relationships" ref="R1267" display="https://www.sebi.gov.in/filings/public-issues/aug-2016/laurus-labs-limited_33031.html" r:id="rId3150"/>
    <hyperlink xmlns:r="http://schemas.openxmlformats.org/officeDocument/2006/relationships" ref="Q1268" display="https://www.sebi.gov.in/sebi_data/attachdocs/1470223129588.pdf" r:id="rId3151"/>
    <hyperlink xmlns:r="http://schemas.openxmlformats.org/officeDocument/2006/relationships" ref="R1268" display="https://www.sebi.gov.in/filings/public-issues/aug-2016/sheela-foam-limited_32929.html" r:id="rId3152"/>
    <hyperlink xmlns:r="http://schemas.openxmlformats.org/officeDocument/2006/relationships" ref="Q1269" display="https://www.sebi.gov.in/sebi_data/attachdocs/1468906211630.pdf" r:id="rId3153"/>
    <hyperlink xmlns:r="http://schemas.openxmlformats.org/officeDocument/2006/relationships" ref="R1269" display="https://www.sebi.gov.in/filings/public-issues/jul-2016/landt-technology-services-limited_32858.html" r:id="rId3154"/>
    <hyperlink xmlns:r="http://schemas.openxmlformats.org/officeDocument/2006/relationships" ref="Q1270" display="https://www.sebi.gov.in/sebi_data/attachdocs/1468842226820.pdf" r:id="rId3155"/>
    <hyperlink xmlns:r="http://schemas.openxmlformats.org/officeDocument/2006/relationships" ref="R1270" display="https://www.sebi.gov.in/filings/public-issues/jul-2016/icici-prudential-life-insurance-company-limited_32855.html" r:id="rId3156"/>
    <hyperlink xmlns:r="http://schemas.openxmlformats.org/officeDocument/2006/relationships" ref="Q1271" display="https://www.sebi.gov.in/sebi_data/attachdocs/1467977949148.pdf" r:id="rId3157"/>
    <hyperlink xmlns:r="http://schemas.openxmlformats.org/officeDocument/2006/relationships" ref="R1271" display="https://www.sebi.gov.in/filings/public-issues/jul-2016/endurance-technologies-limited_32819.html" r:id="rId3158"/>
    <hyperlink xmlns:r="http://schemas.openxmlformats.org/officeDocument/2006/relationships" ref="Q1272" display="https://www.sebi.gov.in/sebi_data/attachdocs/1467884999824.pdf" r:id="rId3159"/>
    <hyperlink xmlns:r="http://schemas.openxmlformats.org/officeDocument/2006/relationships" ref="R1272" display="https://www.sebi.gov.in/filings/public-issues/jul-2016/pnb-housing-finance-limited_32797.html" r:id="rId3160"/>
    <hyperlink xmlns:r="http://schemas.openxmlformats.org/officeDocument/2006/relationships" ref="Q1273" display="https://www.sebi.gov.in/sebi_data/attachdocs/1467625587330.pdf" r:id="rId3161"/>
    <hyperlink xmlns:r="http://schemas.openxmlformats.org/officeDocument/2006/relationships" ref="R1273" display="https://www.sebi.gov.in/filings/public-issues/jul-2016/greensignal-bio-pharma-limited_32778.html" r:id="rId3162"/>
    <hyperlink xmlns:r="http://schemas.openxmlformats.org/officeDocument/2006/relationships" ref="AB1273" r:id="rId3163"/>
    <hyperlink xmlns:r="http://schemas.openxmlformats.org/officeDocument/2006/relationships" ref="Q1274" display="https://www.sebi.gov.in/sebi_data/attachdocs/1467027412108.pdf" r:id="rId3164"/>
    <hyperlink xmlns:r="http://schemas.openxmlformats.org/officeDocument/2006/relationships" ref="R1274" display="https://www.sebi.gov.in/filings/public-issues/jun-2016/aster-dm-healthcare-limited_32708.html" r:id="rId3165"/>
    <hyperlink xmlns:r="http://schemas.openxmlformats.org/officeDocument/2006/relationships" ref="Q1275" display="https://www.sebi.gov.in/sebi_data/attachdocs/1466744669824.pdf" r:id="rId3166"/>
    <hyperlink xmlns:r="http://schemas.openxmlformats.org/officeDocument/2006/relationships" ref="R1275" display="https://www.sebi.gov.in/filings/public-issues/jun-2016/varun-beverages-limited_32675.html" r:id="rId3167"/>
    <hyperlink xmlns:r="http://schemas.openxmlformats.org/officeDocument/2006/relationships" ref="Q1276" display="https://www.sebi.gov.in/sebi_data/attachdocs/1463975515144.pdf" r:id="rId3168"/>
    <hyperlink xmlns:r="http://schemas.openxmlformats.org/officeDocument/2006/relationships" ref="R1276" display="https://www.sebi.gov.in/filings/public-issues/may-2016/addendum-notice-hpl-electric-and-power-limited_32533.html" r:id="rId3169"/>
    <hyperlink xmlns:r="http://schemas.openxmlformats.org/officeDocument/2006/relationships" ref="Q1277" display="https://www.sebi.gov.in/sebi_data/attachdocs/1460961145946.pdf" r:id="rId3170"/>
    <hyperlink xmlns:r="http://schemas.openxmlformats.org/officeDocument/2006/relationships" ref="R1277" display="https://www.sebi.gov.in/filings/public-issues/apr-2016/larsen-and-toubro-infotech-limited_32392.html" r:id="rId3171"/>
    <hyperlink xmlns:r="http://schemas.openxmlformats.org/officeDocument/2006/relationships" ref="AB1277" r:id="rId3172"/>
    <hyperlink xmlns:r="http://schemas.openxmlformats.org/officeDocument/2006/relationships" ref="Q1278" display="https://www.sebi.gov.in/sebi_data/attachdocs/1459486971532.pdf" r:id="rId3173"/>
    <hyperlink xmlns:r="http://schemas.openxmlformats.org/officeDocument/2006/relationships" ref="R1278" display="https://www.sebi.gov.in/filings/public-issues/apr-2016/hinduja-leyland-finance-limited_32235.html" r:id="rId3174"/>
    <hyperlink xmlns:r="http://schemas.openxmlformats.org/officeDocument/2006/relationships" ref="AB1278" r:id="rId3175"/>
    <hyperlink xmlns:r="http://schemas.openxmlformats.org/officeDocument/2006/relationships" ref="Q1279" display="https://www.sebi.gov.in/sebi_data/attachdocs/1459398053387.pdf" r:id="rId3176"/>
    <hyperlink xmlns:r="http://schemas.openxmlformats.org/officeDocument/2006/relationships" ref="R1279" display="https://www.sebi.gov.in/filings/public-issues/mar-2016/cl-educate-limited_32196.html" r:id="rId3177"/>
    <hyperlink xmlns:r="http://schemas.openxmlformats.org/officeDocument/2006/relationships" ref="Q1280" display="https://www.sebi.gov.in/sebi_data/attachdocs/1459225984969.pdf" r:id="rId3178"/>
    <hyperlink xmlns:r="http://schemas.openxmlformats.org/officeDocument/2006/relationships" ref="R1280" display="https://www.sebi.gov.in/filings/public-issues/mar-2016/seaways-shipping-and-logistics-limited_32077.html" r:id="rId3179"/>
    <hyperlink xmlns:r="http://schemas.openxmlformats.org/officeDocument/2006/relationships" ref="AB1280" r:id="rId3180"/>
    <hyperlink xmlns:r="http://schemas.openxmlformats.org/officeDocument/2006/relationships" ref="Q1281" display="https://www.sebi.gov.in/sebi_data/commondocs/HPLElectric-Addendum_p.pdf" r:id="rId3181"/>
    <hyperlink xmlns:r="http://schemas.openxmlformats.org/officeDocument/2006/relationships" ref="R1281" display="https://www.sebi.gov.in/filings/public-issues/feb-2016/hpl-electric-and-power-limited_32678.html" r:id="rId3182"/>
    <hyperlink xmlns:r="http://schemas.openxmlformats.org/officeDocument/2006/relationships" ref="Q1282" display="https://www.sebi.gov.in/sebi_data/attachdocs/1454495999707.pdf" r:id="rId3183"/>
    <hyperlink xmlns:r="http://schemas.openxmlformats.org/officeDocument/2006/relationships" ref="R1282" display="https://www.sebi.gov.in/filings/public-issues/feb-2016/dilip-buildcon-limited_31603.html" r:id="rId3184"/>
    <hyperlink xmlns:r="http://schemas.openxmlformats.org/officeDocument/2006/relationships" ref="Q1283" display="https://www.sebi.gov.in/sebi_data/attachdocs/1454475043546.pdf" r:id="rId3185"/>
    <hyperlink xmlns:r="http://schemas.openxmlformats.org/officeDocument/2006/relationships" ref="R1283" display="https://www.sebi.gov.in/filings/public-issues/feb-2016/quess-corp-limited_31598.html" r:id="rId3186"/>
    <hyperlink xmlns:r="http://schemas.openxmlformats.org/officeDocument/2006/relationships" ref="Q1284" display="https://www.sebi.gov.in/sebi_data/attachdocs/1453372309087.pdf" r:id="rId3187"/>
    <hyperlink xmlns:r="http://schemas.openxmlformats.org/officeDocument/2006/relationships" ref="R1284" display="https://www.sebi.gov.in/filings/public-issues/jan-2016/advanced-enzyme-technologies-limited_31518.html" r:id="rId3188"/>
    <hyperlink xmlns:r="http://schemas.openxmlformats.org/officeDocument/2006/relationships" ref="Q1285" display="https://www.sebi.gov.in/sebi_data/attachdocs/1451886138156.pdf" r:id="rId3189"/>
    <hyperlink xmlns:r="http://schemas.openxmlformats.org/officeDocument/2006/relationships" ref="R1285" display="https://www.sebi.gov.in/filings/public-issues/jan-2016/thyrocare-technologies-limited-draft-red-herring-prospectus_31406.html" r:id="rId3190"/>
    <hyperlink xmlns:r="http://schemas.openxmlformats.org/officeDocument/2006/relationships" ref="Q1286" display="https://www.sebi.gov.in/sebi_data/attachdocs/1451908310679.pdf" r:id="rId3191"/>
    <hyperlink xmlns:r="http://schemas.openxmlformats.org/officeDocument/2006/relationships" ref="R1286" display="https://www.sebi.gov.in/filings/public-issues/jan-2016/ujjivan-financial-services-limited_31408.html" r:id="rId3192"/>
    <hyperlink xmlns:r="http://schemas.openxmlformats.org/officeDocument/2006/relationships" ref="Q1287" display="https://www.sebi.gov.in/sebi_data/attachdocs/1451632693056.pdf" r:id="rId3193"/>
    <hyperlink xmlns:r="http://schemas.openxmlformats.org/officeDocument/2006/relationships" ref="R1287" display="https://www.sebi.gov.in/filings/public-issues/dec-2015/larsen-and-toubro-infotech-limited-addendum-to-draft-red-herring-prospectus_31398.html" r:id="rId3194"/>
    <hyperlink xmlns:r="http://schemas.openxmlformats.org/officeDocument/2006/relationships" ref="AB1287" r:id="rId3195"/>
    <hyperlink xmlns:r="http://schemas.openxmlformats.org/officeDocument/2006/relationships" ref="Q1288" display="https://www.sebi.gov.in/sebi_data/attachdocs/1451449620283.pdf" r:id="rId3196"/>
    <hyperlink xmlns:r="http://schemas.openxmlformats.org/officeDocument/2006/relationships" ref="R1288" display="https://www.sebi.gov.in/filings/public-issues/dec-2015/s-p-apparels-limited-draft-red-herring-prospectus_31361.html" r:id="rId3197"/>
    <hyperlink xmlns:r="http://schemas.openxmlformats.org/officeDocument/2006/relationships" ref="Q1289" display="https://www.sebi.gov.in/sebi_data/attachdocs/1451367724010.pdf" r:id="rId3198"/>
    <hyperlink xmlns:r="http://schemas.openxmlformats.org/officeDocument/2006/relationships" ref="R1289" display="https://www.sebi.gov.in/filings/public-issues/dec-2015/nihilent-technologies-limited_31351.html" r:id="rId3199"/>
    <hyperlink xmlns:r="http://schemas.openxmlformats.org/officeDocument/2006/relationships" ref="AB1289" r:id="rId3200"/>
    <hyperlink xmlns:r="http://schemas.openxmlformats.org/officeDocument/2006/relationships" ref="Q1290" display="https://www.sebi.gov.in/sebi_data/attachdocs/1450870575841.pdf" r:id="rId3201"/>
    <hyperlink xmlns:r="http://schemas.openxmlformats.org/officeDocument/2006/relationships" ref="R1290" display="https://www.sebi.gov.in/filings/public-issues/dec-2015/k-p-r-agrochem-limited_31339.html" r:id="rId3202"/>
    <hyperlink xmlns:r="http://schemas.openxmlformats.org/officeDocument/2006/relationships" ref="AB1290" r:id="rId3203"/>
    <hyperlink xmlns:r="http://schemas.openxmlformats.org/officeDocument/2006/relationships" ref="Q1291" display="https://www.sebi.gov.in/sebi_data/attachdocs/1448968753846.pdf" r:id="rId3204"/>
    <hyperlink xmlns:r="http://schemas.openxmlformats.org/officeDocument/2006/relationships" ref="R1291" display="https://www.sebi.gov.in/filings/public-issues/dec-2015/new-delhi-centre-for-sight-limited_31152.html" r:id="rId3205"/>
    <hyperlink xmlns:r="http://schemas.openxmlformats.org/officeDocument/2006/relationships" ref="AB1291" r:id="rId3206"/>
    <hyperlink xmlns:r="http://schemas.openxmlformats.org/officeDocument/2006/relationships" ref="Q1292" display="https://www.sebi.gov.in/sebi_data/attachdocs/1448014570335.pdf" r:id="rId3207"/>
    <hyperlink xmlns:r="http://schemas.openxmlformats.org/officeDocument/2006/relationships" ref="R1292" display="https://www.sebi.gov.in/filings/public-issues/nov-2015/gvr-infra-projects-limited-public-announcement_31067.html" r:id="rId3208"/>
    <hyperlink xmlns:r="http://schemas.openxmlformats.org/officeDocument/2006/relationships" ref="AB1292" r:id="rId3209"/>
    <hyperlink xmlns:r="http://schemas.openxmlformats.org/officeDocument/2006/relationships" ref="Q1293" display="https://www.sebi.gov.in/sebi_data/attachdocs/1447665137580.pdf" r:id="rId3210"/>
    <hyperlink xmlns:r="http://schemas.openxmlformats.org/officeDocument/2006/relationships" ref="R1293" display="https://www.sebi.gov.in/filings/public-issues/nov-2015/mahanagar-gas-limited_31048.html" r:id="rId3211"/>
    <hyperlink xmlns:r="http://schemas.openxmlformats.org/officeDocument/2006/relationships" ref="Q1294" display="https://www.sebi.gov.in/sebi_data/attachdocs/1445574629842.pdf" r:id="rId3212"/>
    <hyperlink xmlns:r="http://schemas.openxmlformats.org/officeDocument/2006/relationships" ref="R1294" display="https://www.sebi.gov.in/filings/public-issues/oct-2015/ssipl-retail-limited_30884.html" r:id="rId3213"/>
    <hyperlink xmlns:r="http://schemas.openxmlformats.org/officeDocument/2006/relationships" ref="AB1294" r:id="rId3214"/>
    <hyperlink xmlns:r="http://schemas.openxmlformats.org/officeDocument/2006/relationships" ref="Q1295" display="https://www.sebi.gov.in/sebi_data/attachdocs/1445318358501.pdf" r:id="rId3215"/>
    <hyperlink xmlns:r="http://schemas.openxmlformats.org/officeDocument/2006/relationships" ref="R1295" display="https://www.sebi.gov.in/filings/public-issues/oct-2015/equitas-holding-limited_30863.html" r:id="rId3216"/>
    <hyperlink xmlns:r="http://schemas.openxmlformats.org/officeDocument/2006/relationships" ref="Q1296" display="https://www.sebi.gov.in/sebi_data/attachdocs/1444123096362.pdf" r:id="rId3217"/>
    <hyperlink xmlns:r="http://schemas.openxmlformats.org/officeDocument/2006/relationships" ref="R1296" display="https://www.sebi.gov.in/filings/public-issues/oct-2015/gvr-infra-projects-limited_30791.html" r:id="rId3218"/>
    <hyperlink xmlns:r="http://schemas.openxmlformats.org/officeDocument/2006/relationships" ref="AB1296" r:id="rId3219"/>
    <hyperlink xmlns:r="http://schemas.openxmlformats.org/officeDocument/2006/relationships" ref="Q1297" display="https://www.sebi.gov.in/sebi_data/attachdocs/1443691566767.pdf" r:id="rId3220"/>
    <hyperlink xmlns:r="http://schemas.openxmlformats.org/officeDocument/2006/relationships" ref="R1297" display="https://www.sebi.gov.in/filings/public-issues/oct-2015/narayana-hrudayalaya-limited_30769.html" r:id="rId3221"/>
    <hyperlink xmlns:r="http://schemas.openxmlformats.org/officeDocument/2006/relationships" ref="Q1298" display="https://www.sebi.gov.in/sebi_data/attachdocs/1443691705060.pdf" r:id="rId3222"/>
    <hyperlink xmlns:r="http://schemas.openxmlformats.org/officeDocument/2006/relationships" ref="R1298" display="https://www.sebi.gov.in/filings/public-issues/oct-2015/parag-milk-foods-limited_30770.html" r:id="rId3223"/>
    <hyperlink xmlns:r="http://schemas.openxmlformats.org/officeDocument/2006/relationships" ref="Q1299" display="https://www.sebi.gov.in/sebi_data/attachdocs/1443691865670.pdf" r:id="rId3224"/>
    <hyperlink xmlns:r="http://schemas.openxmlformats.org/officeDocument/2006/relationships" ref="R1299" display="https://www.sebi.gov.in/filings/public-issues/oct-2015/quick-heal-technologies-limited_30771.html" r:id="rId3225"/>
    <hyperlink xmlns:r="http://schemas.openxmlformats.org/officeDocument/2006/relationships" ref="Q1300" display="https://www.sebi.gov.in/sebi_data/attachdocs/1443681094816.pdf" r:id="rId3226"/>
    <hyperlink xmlns:r="http://schemas.openxmlformats.org/officeDocument/2006/relationships" ref="R1300" display="https://www.sebi.gov.in/filings/public-issues/oct-2015/sandhar-technologies-limited_30768.html" r:id="rId3227"/>
    <hyperlink xmlns:r="http://schemas.openxmlformats.org/officeDocument/2006/relationships" ref="AB1300" r:id="rId3228"/>
    <hyperlink xmlns:r="http://schemas.openxmlformats.org/officeDocument/2006/relationships" ref="Q1301" display="https://www.sebi.gov.in/sebi_data/attachdocs/1443677539851.pdf" r:id="rId3229"/>
    <hyperlink xmlns:r="http://schemas.openxmlformats.org/officeDocument/2006/relationships" ref="R1301" display="https://www.sebi.gov.in/filings/public-issues/sep-2015/maini-precision-products-limited_30767.html" r:id="rId3230"/>
    <hyperlink xmlns:r="http://schemas.openxmlformats.org/officeDocument/2006/relationships" ref="AB1301" r:id="rId3231"/>
    <hyperlink xmlns:r="http://schemas.openxmlformats.org/officeDocument/2006/relationships" ref="Q1302" display="https://www.sebi.gov.in/sebi_data/attachdocs/1443525818842.pdf" r:id="rId3232"/>
    <hyperlink xmlns:r="http://schemas.openxmlformats.org/officeDocument/2006/relationships" ref="R1302" display="https://www.sebi.gov.in/filings/public-issues/sep-2015/g-n-a-axles-limited_30748.html" r:id="rId3233"/>
    <hyperlink xmlns:r="http://schemas.openxmlformats.org/officeDocument/2006/relationships" ref="Q1303" display="https://www.sebi.gov.in/sebi_data/attachdocs/1443519647196.pdf" r:id="rId3234"/>
    <hyperlink xmlns:r="http://schemas.openxmlformats.org/officeDocument/2006/relationships" ref="R1303" display="https://www.sebi.gov.in/filings/public-issues/sep-2015/larsen-and-toubro-infotech-limited_30735.html" r:id="rId3235"/>
    <hyperlink xmlns:r="http://schemas.openxmlformats.org/officeDocument/2006/relationships" ref="AB1303" r:id="rId3236"/>
    <hyperlink xmlns:r="http://schemas.openxmlformats.org/officeDocument/2006/relationships" ref="Q1304" display="https://www.sebi.gov.in/sebi_data/attachdocs/1443087000366.pdf" r:id="rId3237"/>
    <hyperlink xmlns:r="http://schemas.openxmlformats.org/officeDocument/2006/relationships" ref="R1304" display="https://www.sebi.gov.in/filings/public-issues/sep-2015/vlcc-health-care-limited_30712.html" r:id="rId3238"/>
    <hyperlink xmlns:r="http://schemas.openxmlformats.org/officeDocument/2006/relationships" ref="AB1304" r:id="rId3239"/>
    <hyperlink xmlns:r="http://schemas.openxmlformats.org/officeDocument/2006/relationships" ref="Q1305" display="https://www.sebi.gov.in/sebi_data/attachdocs/1442376547153.pdf" r:id="rId3240"/>
    <hyperlink xmlns:r="http://schemas.openxmlformats.org/officeDocument/2006/relationships" ref="R1305" display="https://www.sebi.gov.in/filings/public-issues/sep-2015/dr-lal-pathlabs-limited_30670.html" r:id="rId3241"/>
    <hyperlink xmlns:r="http://schemas.openxmlformats.org/officeDocument/2006/relationships" ref="Q1306" display="https://www.sebi.gov.in/sebi_data/attachdocs/1442291914518.pdf" r:id="rId3242"/>
    <hyperlink xmlns:r="http://schemas.openxmlformats.org/officeDocument/2006/relationships" ref="R1306" display="https://www.sebi.gov.in/filings/public-issues/sep-2015/teamlease-services-limited_30659.html" r:id="rId3243"/>
    <hyperlink xmlns:r="http://schemas.openxmlformats.org/officeDocument/2006/relationships" ref="Q1307" display="https://www.sebi.gov.in/sebi_data/attachdocs/1440044620390.pdf" r:id="rId3244"/>
    <hyperlink xmlns:r="http://schemas.openxmlformats.org/officeDocument/2006/relationships" ref="R1307" display="https://www.sebi.gov.in/filings/public-issues/aug-2015/matrimony-com-limited_30490.html" r:id="rId3245"/>
    <hyperlink xmlns:r="http://schemas.openxmlformats.org/officeDocument/2006/relationships" ref="Q1308" display="https://www.sebi.gov.in/sebi_data/attachdocs/1438940277502.pdf" r:id="rId3246"/>
    <hyperlink xmlns:r="http://schemas.openxmlformats.org/officeDocument/2006/relationships" ref="R1308" display="https://www.sebi.gov.in/filings/public-issues/aug-2015/alkem-laboratories-limited_30416.html" r:id="rId3247"/>
    <hyperlink xmlns:r="http://schemas.openxmlformats.org/officeDocument/2006/relationships" ref="Q1309" display="https://www.sebi.gov.in/sebi_data/attachdocs/1438141504258.pdf" r:id="rId3248"/>
    <hyperlink xmlns:r="http://schemas.openxmlformats.org/officeDocument/2006/relationships" ref="R1309" display="https://www.sebi.gov.in/filings/public-issues/jul-2015/healthcare-global-enterprises-limited_30355.html" r:id="rId3249"/>
    <hyperlink xmlns:r="http://schemas.openxmlformats.org/officeDocument/2006/relationships" ref="Q1310" display="https://www.sebi.gov.in/sebi_data/attachdocs/1437639155088.pdf" r:id="rId3250"/>
    <hyperlink xmlns:r="http://schemas.openxmlformats.org/officeDocument/2006/relationships" ref="R1310" display="https://www.sebi.gov.in/filings/public-issues/jul-2015/bharat-wire-ropes-limited_30318.html" r:id="rId3251"/>
    <hyperlink xmlns:r="http://schemas.openxmlformats.org/officeDocument/2006/relationships" ref="Q1311" display="https://www.sebi.gov.in/sebi_data/attachdocs/1436514431104.pdf" r:id="rId3252"/>
    <hyperlink xmlns:r="http://schemas.openxmlformats.org/officeDocument/2006/relationships" ref="R1311" display="https://www.sebi.gov.in/filings/public-issues/jul-2015/paranjape-schemes-construction-limited_30233.html" r:id="rId3253"/>
    <hyperlink xmlns:r="http://schemas.openxmlformats.org/officeDocument/2006/relationships" ref="AB1311" r:id="rId3254"/>
    <hyperlink xmlns:r="http://schemas.openxmlformats.org/officeDocument/2006/relationships" ref="Q1312" display="https://www.sebi.gov.in/sebi_data/attachdocs/1435726888407.pdf" r:id="rId3255"/>
    <hyperlink xmlns:r="http://schemas.openxmlformats.org/officeDocument/2006/relationships" ref="R1312" display="https://www.sebi.gov.in/filings/public-issues/jul-2015/infibeam-incorporation-limited_30174.html" r:id="rId3256"/>
    <hyperlink xmlns:r="http://schemas.openxmlformats.org/officeDocument/2006/relationships" ref="Q1313" display="https://www.sebi.gov.in/sebi_data/attachdocs/1435745197623.pdf" r:id="rId3257"/>
    <hyperlink xmlns:r="http://schemas.openxmlformats.org/officeDocument/2006/relationships" ref="R1313" display="https://www.sebi.gov.in/filings/public-issues/jul-2015/interglobe-aviation-limited_30181.html" r:id="rId3258"/>
    <hyperlink xmlns:r="http://schemas.openxmlformats.org/officeDocument/2006/relationships" ref="Q1314" display="https://www.sebi.gov.in/sebi_data/attachdocs/1435720745997.pdf" r:id="rId3259"/>
    <hyperlink xmlns:r="http://schemas.openxmlformats.org/officeDocument/2006/relationships" ref="R1314" display="https://www.sebi.gov.in/filings/public-issues/jun-2015/coffee-day-enterprises-limited_30173.html" r:id="rId3260"/>
    <hyperlink xmlns:r="http://schemas.openxmlformats.org/officeDocument/2006/relationships" ref="Q1315" display="https://www.sebi.gov.in/sebi_data/attachdocs/1435309201566.pdf" r:id="rId3261"/>
    <hyperlink xmlns:r="http://schemas.openxmlformats.org/officeDocument/2006/relationships" ref="R1315" display="https://www.sebi.gov.in/filings/public-issues/jun-2015/rbl-bank-limited_30125.html" r:id="rId3262"/>
    <hyperlink xmlns:r="http://schemas.openxmlformats.org/officeDocument/2006/relationships" ref="Q1316" display="https://www.sebi.gov.in/sebi_data/attachdocs/1435043879942.pdf" r:id="rId3263"/>
    <hyperlink xmlns:r="http://schemas.openxmlformats.org/officeDocument/2006/relationships" ref="R1316" display="https://www.sebi.gov.in/filings/public-issues/jun-2015/matrix-cellular-international-services-limited_30032.html" r:id="rId3264"/>
    <hyperlink xmlns:r="http://schemas.openxmlformats.org/officeDocument/2006/relationships" ref="AB1316" r:id="rId3265"/>
    <hyperlink xmlns:r="http://schemas.openxmlformats.org/officeDocument/2006/relationships" ref="Q1317" display="https://www.sebi.gov.in/sebi_data/attachdocs/1432713714727.pdf" r:id="rId3266"/>
    <hyperlink xmlns:r="http://schemas.openxmlformats.org/officeDocument/2006/relationships" ref="R1317" display="https://www.sebi.gov.in/filings/public-issues/may-2015/sadbhav-infrastructure-project-limited_29852.html" r:id="rId3267"/>
    <hyperlink xmlns:r="http://schemas.openxmlformats.org/officeDocument/2006/relationships" ref="Q1318" display="https://www.sebi.gov.in/sebi_data/attachdocs/1430568646805.pdf" r:id="rId3268"/>
    <hyperlink xmlns:r="http://schemas.openxmlformats.org/officeDocument/2006/relationships" ref="R1318" display="https://www.sebi.gov.in/filings/public-issues/may-2015/numero-uno-clothing-limited_29705.html" r:id="rId3269"/>
    <hyperlink xmlns:r="http://schemas.openxmlformats.org/officeDocument/2006/relationships" ref="AB1318" r:id="rId3270"/>
    <hyperlink xmlns:r="http://schemas.openxmlformats.org/officeDocument/2006/relationships" ref="Q1319" display="https://www.sebi.gov.in/sebi_data/attachdocs/1429780624226.pdf" r:id="rId3271"/>
    <hyperlink xmlns:r="http://schemas.openxmlformats.org/officeDocument/2006/relationships" ref="R1319" display="https://www.sebi.gov.in/filings/public-issues/apr-2015/nuziveedu-seeds-limited_29642.html" r:id="rId3272"/>
    <hyperlink xmlns:r="http://schemas.openxmlformats.org/officeDocument/2006/relationships" ref="AB1319" r:id="rId3273"/>
    <hyperlink xmlns:r="http://schemas.openxmlformats.org/officeDocument/2006/relationships" ref="Q1320" display="https://www.sebi.gov.in/sebi_data/attachdocs/1429780781957.pdf" r:id="rId3274"/>
    <hyperlink xmlns:r="http://schemas.openxmlformats.org/officeDocument/2006/relationships" ref="R1320" display="https://www.sebi.gov.in/filings/public-issues/apr-2015/syngene-international-limited_29643.html" r:id="rId3275"/>
    <hyperlink xmlns:r="http://schemas.openxmlformats.org/officeDocument/2006/relationships" ref="Q1321" display="https://www.sebi.gov.in/sebi_data/attachdocs/1427880821742.pdf" r:id="rId3276"/>
    <hyperlink xmlns:r="http://schemas.openxmlformats.org/officeDocument/2006/relationships" ref="R1321" display="https://www.sebi.gov.in/filings/public-issues/apr-2015/dilip-buildcon-limited_29541.html" r:id="rId3277"/>
    <hyperlink xmlns:r="http://schemas.openxmlformats.org/officeDocument/2006/relationships" ref="Q1322" display="https://www.sebi.gov.in/sebi_data/attachdocs/1427884524256.pdf" r:id="rId3278"/>
    <hyperlink xmlns:r="http://schemas.openxmlformats.org/officeDocument/2006/relationships" ref="R1322" display="https://www.sebi.gov.in/filings/public-issues/apr-2015/mm-auto-industries-limited_29544.html" r:id="rId3279"/>
    <hyperlink xmlns:r="http://schemas.openxmlformats.org/officeDocument/2006/relationships" ref="AB1322" r:id="rId3280"/>
    <hyperlink xmlns:r="http://schemas.openxmlformats.org/officeDocument/2006/relationships" ref="Q1323" display="https://www.sebi.gov.in/sebi_data/attachdocs/1427867739888.pdf" r:id="rId3281"/>
    <hyperlink xmlns:r="http://schemas.openxmlformats.org/officeDocument/2006/relationships" ref="R1323" display="https://www.sebi.gov.in/filings/public-issues/apr-2015/navkar-corporation-limited_29518.html" r:id="rId3282"/>
    <hyperlink xmlns:r="http://schemas.openxmlformats.org/officeDocument/2006/relationships" ref="Q1324" display="https://www.sebi.gov.in/sebi_data/attachdocs/1427884590814.pdf" r:id="rId3283"/>
    <hyperlink xmlns:r="http://schemas.openxmlformats.org/officeDocument/2006/relationships" ref="R1324" display="https://www.sebi.gov.in/filings/public-issues/apr-2015/prabhat-dairy-limited_29545.html" r:id="rId3284"/>
    <hyperlink xmlns:r="http://schemas.openxmlformats.org/officeDocument/2006/relationships" ref="Q1325" display="https://www.sebi.gov.in/sebi_data/attachdocs/1427863525884.pdf" r:id="rId3285"/>
    <hyperlink xmlns:r="http://schemas.openxmlformats.org/officeDocument/2006/relationships" ref="R1325" display="https://www.sebi.gov.in/filings/public-issues/apr-2015/the-catholic-syrian-bank-limited_29516.html" r:id="rId3286"/>
    <hyperlink xmlns:r="http://schemas.openxmlformats.org/officeDocument/2006/relationships" ref="AB1325" r:id="rId3287"/>
    <hyperlink xmlns:r="http://schemas.openxmlformats.org/officeDocument/2006/relationships" ref="Q1326" display="https://www.sebi.gov.in/sebi_data/attachdocs/1427781195107.pdf" r:id="rId3288"/>
    <hyperlink xmlns:r="http://schemas.openxmlformats.org/officeDocument/2006/relationships" ref="R1326" display="https://www.sebi.gov.in/filings/public-issues/mar-2015/amar-ujala-publications-limited_29486.html" r:id="rId3289"/>
    <hyperlink xmlns:r="http://schemas.openxmlformats.org/officeDocument/2006/relationships" ref="AB1326" r:id="rId3290"/>
    <hyperlink xmlns:r="http://schemas.openxmlformats.org/officeDocument/2006/relationships" ref="Q1327" display="https://www.sebi.gov.in/sebi_data/attachdocs/1427701205509.pdf" r:id="rId3291"/>
    <hyperlink xmlns:r="http://schemas.openxmlformats.org/officeDocument/2006/relationships" ref="R1327" display="https://www.sebi.gov.in/filings/public-issues/mar-2015/pennar-engineered-building-systems-limited_29469.html" r:id="rId3292"/>
    <hyperlink xmlns:r="http://schemas.openxmlformats.org/officeDocument/2006/relationships" ref="Q1328" display="https://www.sebi.gov.in/sebi_data/attachdocs/1427358944543.pdf" r:id="rId3293"/>
    <hyperlink xmlns:r="http://schemas.openxmlformats.org/officeDocument/2006/relationships" ref="R1328" display="https://www.sebi.gov.in/filings/public-issues/mar-2015/s-h-kelkar-and-company-limited_29445.html" r:id="rId3294"/>
    <hyperlink xmlns:r="http://schemas.openxmlformats.org/officeDocument/2006/relationships" ref="Q1329" display="https://www.sebi.gov.in/sebi_data/attachdocs/1427262791052.pdf" r:id="rId3295"/>
    <hyperlink xmlns:r="http://schemas.openxmlformats.org/officeDocument/2006/relationships" ref="R1329" display="https://www.sebi.gov.in/filings/public-issues/mar-2015/ags-transact-technologies-limited_29429.html" r:id="rId3296"/>
    <hyperlink xmlns:r="http://schemas.openxmlformats.org/officeDocument/2006/relationships" ref="AB1329" r:id="rId3297"/>
    <hyperlink xmlns:r="http://schemas.openxmlformats.org/officeDocument/2006/relationships" ref="Q1330" display="https://www.sebi.gov.in/sebi_data/attachdocs/1426594177338.pdf" r:id="rId3298"/>
    <hyperlink xmlns:r="http://schemas.openxmlformats.org/officeDocument/2006/relationships" ref="R1330" display="https://www.sebi.gov.in/filings/public-issues/mar-2015/ssipl-retail-limited_29309.html" r:id="rId3299"/>
    <hyperlink xmlns:r="http://schemas.openxmlformats.org/officeDocument/2006/relationships" ref="AB1330" r:id="rId3300"/>
    <hyperlink xmlns:r="http://schemas.openxmlformats.org/officeDocument/2006/relationships" ref="Q1331" display="https://www.sebi.gov.in/sebi_data/attachdocs/1426145620337.pdf" r:id="rId3301"/>
    <hyperlink xmlns:r="http://schemas.openxmlformats.org/officeDocument/2006/relationships" ref="R1331" display="https://www.sebi.gov.in/filings/public-issues/mar-2015/precision-camshafts-limited_29264.html" r:id="rId3302"/>
    <hyperlink xmlns:r="http://schemas.openxmlformats.org/officeDocument/2006/relationships" ref="Q1332" display="https://www.sebi.gov.in/sebi_data/attachdocs/1424672870172.pdf" r:id="rId3303"/>
    <hyperlink xmlns:r="http://schemas.openxmlformats.org/officeDocument/2006/relationships" ref="R1332" display="https://www.sebi.gov.in/filings/public-issues/feb-2015/shree-shubham-logistics-limited_29082.html" r:id="rId3304"/>
    <hyperlink xmlns:r="http://schemas.openxmlformats.org/officeDocument/2006/relationships" ref="AB1332" r:id="rId3305"/>
    <hyperlink xmlns:r="http://schemas.openxmlformats.org/officeDocument/2006/relationships" ref="Q1333" display="https://www.sebi.gov.in/sebi_data/attachdocs/1419220339596.pdf" r:id="rId3306"/>
    <hyperlink xmlns:r="http://schemas.openxmlformats.org/officeDocument/2006/relationships" ref="R1333" display="https://www.sebi.gov.in/filings/public-issues/dec-2014/ufo-moviez-india-limited_28718.html" r:id="rId3307"/>
    <hyperlink xmlns:r="http://schemas.openxmlformats.org/officeDocument/2006/relationships" ref="Q1334" display="https://www.sebi.gov.in/sebi_data/attachdocs/1419220116463.pdf" r:id="rId3308"/>
    <hyperlink xmlns:r="http://schemas.openxmlformats.org/officeDocument/2006/relationships" ref="R1334" display="https://www.sebi.gov.in/filings/public-issues/dec-2014/vrl-logistics-limited_28717.html" r:id="rId3309"/>
    <hyperlink xmlns:r="http://schemas.openxmlformats.org/officeDocument/2006/relationships" ref="Q1335" display="https://www.sebi.gov.in/sebi_data/attachdocs/1417758499107.pdf" r:id="rId3310"/>
    <hyperlink xmlns:r="http://schemas.openxmlformats.org/officeDocument/2006/relationships" ref="R1335" display="https://www.sebi.gov.in/filings/public-issues/dec-2014/sadbhav-infrastructure-project-limited_28531.html" r:id="rId3311"/>
    <hyperlink xmlns:r="http://schemas.openxmlformats.org/officeDocument/2006/relationships" ref="Q1336" display="https://www.sebi.gov.in/sebi_data/attachdocs/1416998361433.pdf" r:id="rId3312"/>
    <hyperlink xmlns:r="http://schemas.openxmlformats.org/officeDocument/2006/relationships" ref="R1336" display="https://www.sebi.gov.in/filings/public-issues/nov-2014/manpasand-beverages-limited_28454.html" r:id="rId3313"/>
    <hyperlink xmlns:r="http://schemas.openxmlformats.org/officeDocument/2006/relationships" ref="Q1337" display="https://www.sebi.gov.in/sebi_data/attachdocs/1414740811470.pdf" r:id="rId3314"/>
    <hyperlink xmlns:r="http://schemas.openxmlformats.org/officeDocument/2006/relationships" ref="R1337" display="https://www.sebi.gov.in/filings/public-issues/oct-2014/power-mech-projects-limited_28310.html" r:id="rId3315"/>
    <hyperlink xmlns:r="http://schemas.openxmlformats.org/officeDocument/2006/relationships" ref="Q1338" display="https://www.sebi.gov.in/sebi_data/attachdocs/1413862263083.pdf" r:id="rId3316"/>
    <hyperlink xmlns:r="http://schemas.openxmlformats.org/officeDocument/2006/relationships" ref="R1338" display="https://www.sebi.gov.in/filings/public-issues/oct-2014/smc-global-securities-limited_28239.html" r:id="rId3317"/>
    <hyperlink xmlns:r="http://schemas.openxmlformats.org/officeDocument/2006/relationships" ref="AB1338" r:id="rId3318"/>
    <hyperlink xmlns:r="http://schemas.openxmlformats.org/officeDocument/2006/relationships" ref="Q1339" display="https://www.sebi.gov.in/sebi_data/attachdocs/1412159456778.pdf" r:id="rId3319"/>
    <hyperlink xmlns:r="http://schemas.openxmlformats.org/officeDocument/2006/relationships" ref="R1339" display="https://www.sebi.gov.in/filings/public-issues/oct-2014/acb-india-limited_28143.html" r:id="rId3320"/>
    <hyperlink xmlns:r="http://schemas.openxmlformats.org/officeDocument/2006/relationships" ref="AB1339" r:id="rId3321"/>
    <hyperlink xmlns:r="http://schemas.openxmlformats.org/officeDocument/2006/relationships" ref="Q1340" display="https://www.sebi.gov.in/sebi_data/attachdocs/1412048554638.pdf" r:id="rId3322"/>
    <hyperlink xmlns:r="http://schemas.openxmlformats.org/officeDocument/2006/relationships" ref="R1340" display="https://www.sebi.gov.in/filings/public-issues/sep-2014/cl-educate-limited_28114.html" r:id="rId3323"/>
    <hyperlink xmlns:r="http://schemas.openxmlformats.org/officeDocument/2006/relationships" ref="AB1340" r:id="rId3324"/>
    <hyperlink xmlns:r="http://schemas.openxmlformats.org/officeDocument/2006/relationships" ref="Q1341" display="https://www.sebi.gov.in/sebi_data/attachdocs/1412069092477.pdf" r:id="rId3325"/>
    <hyperlink xmlns:r="http://schemas.openxmlformats.org/officeDocument/2006/relationships" ref="R1341" display="https://www.sebi.gov.in/filings/public-issues/sep-2014/mep-infrastructure-developers-limited_28126.html" r:id="rId3326"/>
    <hyperlink xmlns:r="http://schemas.openxmlformats.org/officeDocument/2006/relationships" ref="Q1342" display="https://www.sebi.gov.in/sebi_data/attachdocs/1412069211536.pdf" r:id="rId3327"/>
    <hyperlink xmlns:r="http://schemas.openxmlformats.org/officeDocument/2006/relationships" ref="R1342" display="https://www.sebi.gov.in/filings/public-issues/sep-2014/shree-pushkar-chemicals-and-fertilizers-limited_28127.html" r:id="rId3328"/>
    <hyperlink xmlns:r="http://schemas.openxmlformats.org/officeDocument/2006/relationships" ref="Q1343" display="https://www.sebi.gov.in/sebi_data/attachdocs/1412133035557.pdf" r:id="rId3329"/>
    <hyperlink xmlns:r="http://schemas.openxmlformats.org/officeDocument/2006/relationships" ref="R1343" display="https://www.sebi.gov.in/filings/public-issues/sep-2014/videocon-d2h-limited_28131.html" r:id="rId3330"/>
    <hyperlink xmlns:r="http://schemas.openxmlformats.org/officeDocument/2006/relationships" ref="AB1343" r:id="rId3331"/>
    <hyperlink xmlns:r="http://schemas.openxmlformats.org/officeDocument/2006/relationships" ref="Q1344" display="https://www.sebi.gov.in/sebi_data/attachdocs/1411730042918.pdf" r:id="rId3332"/>
    <hyperlink xmlns:r="http://schemas.openxmlformats.org/officeDocument/2006/relationships" ref="R1344" display="https://www.sebi.gov.in/filings/public-issues/sep-2014/pnc-infratech-limited_28092.html" r:id="rId3333"/>
    <hyperlink xmlns:r="http://schemas.openxmlformats.org/officeDocument/2006/relationships" ref="Q1345" display="https://www.sebi.gov.in/sebi_data/attachdocs/1411728695258.pdf" r:id="rId3334"/>
    <hyperlink xmlns:r="http://schemas.openxmlformats.org/officeDocument/2006/relationships" ref="R1345" display="https://www.sebi.gov.in/filings/public-issues/sep-2014/uniparts-india-limited_28090.html" r:id="rId3335"/>
    <hyperlink xmlns:r="http://schemas.openxmlformats.org/officeDocument/2006/relationships" ref="AB1345" r:id="rId3336"/>
    <hyperlink xmlns:r="http://schemas.openxmlformats.org/officeDocument/2006/relationships" ref="Q1346" display="https://www.sebi.gov.in/sebi_data/attachdocs/1411380087041.pdf" r:id="rId3337"/>
    <hyperlink xmlns:r="http://schemas.openxmlformats.org/officeDocument/2006/relationships" ref="R1346" display="https://www.sebi.gov.in/filings/public-issues/sep-2014/rashtriya-ispat-nigam-limited_28031.html" r:id="rId3338"/>
    <hyperlink xmlns:r="http://schemas.openxmlformats.org/officeDocument/2006/relationships" ref="AB1346" r:id="rId3339"/>
    <hyperlink xmlns:r="http://schemas.openxmlformats.org/officeDocument/2006/relationships" ref="Q1347" display="https://www.sebi.gov.in/sebi_data/attachdocs/1410514045903.pdf" r:id="rId3340"/>
    <hyperlink xmlns:r="http://schemas.openxmlformats.org/officeDocument/2006/relationships" ref="R1347" display="https://www.sebi.gov.in/filings/public-issues/sep-2014/ortel-communications-limited_27955.html" r:id="rId3341"/>
    <hyperlink xmlns:r="http://schemas.openxmlformats.org/officeDocument/2006/relationships" ref="Q1348" display="https://www.sebi.gov.in/sebi_data/attachdocs/1405331158947.pdf" r:id="rId3342"/>
    <hyperlink xmlns:r="http://schemas.openxmlformats.org/officeDocument/2006/relationships" ref="R1348" display="https://www.sebi.gov.in/filings/public-issues/jul-2014/monte-carlo-fashions-limited_27377.html" r:id="rId3343"/>
    <hyperlink xmlns:r="http://schemas.openxmlformats.org/officeDocument/2006/relationships" ref="Q1349" display="https://www.sebi.gov.in/sebi_data/attachdocs/1404296879493.pdf" r:id="rId3344"/>
    <hyperlink xmlns:r="http://schemas.openxmlformats.org/officeDocument/2006/relationships" ref="R1349" display="https://www.sebi.gov.in/filings/public-issues/jul-2014/lavasa-corporation-limited_27248.html" r:id="rId3345"/>
    <hyperlink xmlns:r="http://schemas.openxmlformats.org/officeDocument/2006/relationships" ref="AB1349" r:id="rId3346"/>
    <hyperlink xmlns:r="http://schemas.openxmlformats.org/officeDocument/2006/relationships" ref="Q1350" display="https://www.sebi.gov.in/sebi_data/commondocs/1412741679150_p.pdf" r:id="rId3347"/>
    <hyperlink xmlns:r="http://schemas.openxmlformats.org/officeDocument/2006/relationships" ref="R1350" display="https://www.sebi.gov.in/filings/public-issues/may-2014/adlabs-entertainment-limited_28258.html" r:id="rId3348"/>
    <hyperlink xmlns:r="http://schemas.openxmlformats.org/officeDocument/2006/relationships" ref="Q1351" display="https://www.sebi.gov.in/sebi_data/attachdocs/1396504133041.pdf" r:id="rId3349"/>
    <hyperlink xmlns:r="http://schemas.openxmlformats.org/officeDocument/2006/relationships" ref="R1351" display="https://www.sebi.gov.in/filings/public-issues/apr-2014/gmr-energy-limited_26621.html" r:id="rId3350"/>
    <hyperlink xmlns:r="http://schemas.openxmlformats.org/officeDocument/2006/relationships" ref="AB1351" r:id="rId3351"/>
    <hyperlink xmlns:r="http://schemas.openxmlformats.org/officeDocument/2006/relationships" ref="Q1352" display="https://www.sebi.gov.in/sebi_data/attachdocs/1392372031230.pdf" r:id="rId3352"/>
    <hyperlink xmlns:r="http://schemas.openxmlformats.org/officeDocument/2006/relationships" ref="R1352" display="https://www.sebi.gov.in/filings/public-issues/feb-2014/sharda-cropchem-limited_26296.html" r:id="rId3353"/>
    <hyperlink xmlns:r="http://schemas.openxmlformats.org/officeDocument/2006/relationships" ref="Q1353" display="https://www.sebi.gov.in/sebi_data/attachdocs/1379395353546.pdf" r:id="rId3354"/>
    <hyperlink xmlns:r="http://schemas.openxmlformats.org/officeDocument/2006/relationships" ref="R1353" display="https://www.sebi.gov.in/filings/public-issues/sep-2013/great-eastern-energy-corporation-limited_25384.html" r:id="rId3355"/>
    <hyperlink xmlns:r="http://schemas.openxmlformats.org/officeDocument/2006/relationships" ref="AB1353" r:id="rId3356"/>
    <hyperlink xmlns:r="http://schemas.openxmlformats.org/officeDocument/2006/relationships" ref="Q1354" display="https://www.sebi.gov.in/sebi_data/attachdocs/1378197720977.pdf" r:id="rId3357"/>
    <hyperlink xmlns:r="http://schemas.openxmlformats.org/officeDocument/2006/relationships" ref="R1354" display="https://www.sebi.gov.in/filings/public-issues/aug-2013/snowman-logistics-ltd_25267.html" r:id="rId3358"/>
    <hyperlink xmlns:r="http://schemas.openxmlformats.org/officeDocument/2006/relationships" ref="Q1355" display="https://www.sebi.gov.in/sebi_data/attachdocs/1375267145200.pdf" r:id="rId3359"/>
    <hyperlink xmlns:r="http://schemas.openxmlformats.org/officeDocument/2006/relationships" ref="R1355" display="https://www.sebi.gov.in/filings/public-issues/jul-2013/trimax-it-infrastructure-and-services-limited_25127.html" r:id="rId3360"/>
    <hyperlink xmlns:r="http://schemas.openxmlformats.org/officeDocument/2006/relationships" ref="AB1355" r:id="rId3361"/>
    <hyperlink xmlns:r="http://schemas.openxmlformats.org/officeDocument/2006/relationships" ref="Q1356" display="https://www.sebi.gov.in/sebi_data/attachdocs/1373627733665.pdf" r:id="rId3362"/>
    <hyperlink xmlns:r="http://schemas.openxmlformats.org/officeDocument/2006/relationships" ref="R1356" display="https://www.sebi.gov.in/filings/public-issues/jul-2013/engineers-india-limited_25041.html" r:id="rId3363"/>
    <hyperlink xmlns:r="http://schemas.openxmlformats.org/officeDocument/2006/relationships" ref="Q1357" display="https://www.sebi.gov.in/sebi_data/attachdocs/1373367772824.pdf" r:id="rId3364"/>
    <hyperlink xmlns:r="http://schemas.openxmlformats.org/officeDocument/2006/relationships" ref="R1357" display="https://www.sebi.gov.in/filings/public-issues/jul-2013/shemaroo-entertainment-limited_25025.html" r:id="rId3365"/>
    <hyperlink xmlns:r="http://schemas.openxmlformats.org/officeDocument/2006/relationships" ref="Q1358" display="https://www.sebi.gov.in/sebi_data/attachdocs/1373281698531.pdf" r:id="rId3366"/>
    <hyperlink xmlns:r="http://schemas.openxmlformats.org/officeDocument/2006/relationships" ref="R1358" display="https://www.sebi.gov.in/filings/public-issues/jul-2013/inox-wind-limited_25016.html" r:id="rId3367"/>
    <hyperlink xmlns:r="http://schemas.openxmlformats.org/officeDocument/2006/relationships" ref="Q1359" display="https://www.sebi.gov.in/sebi_data/attachdocs/1372843761083.pdf" r:id="rId3368"/>
    <hyperlink xmlns:r="http://schemas.openxmlformats.org/officeDocument/2006/relationships" ref="R1359" display="https://www.sebi.gov.in/filings/public-issues/jul-2013/sundaram-clayton-limited_24999.html" r:id="rId3369"/>
    <hyperlink xmlns:r="http://schemas.openxmlformats.org/officeDocument/2006/relationships" ref="AB1359" r:id="rId3370"/>
    <hyperlink xmlns:r="http://schemas.openxmlformats.org/officeDocument/2006/relationships" ref="Q1360" display="https://www.sebi.gov.in/sebi_data/attachdocs/1372676629625.pdf" r:id="rId3371"/>
    <hyperlink xmlns:r="http://schemas.openxmlformats.org/officeDocument/2006/relationships" ref="R1360" display="https://www.sebi.gov.in/filings/public-issues/jul-2013/emcure-pharmaceuticals-limited_24977.html" r:id="rId3372"/>
    <hyperlink xmlns:r="http://schemas.openxmlformats.org/officeDocument/2006/relationships" ref="AB1360" r:id="rId3373"/>
    <hyperlink xmlns:r="http://schemas.openxmlformats.org/officeDocument/2006/relationships" ref="Q1361" display="https://www.sebi.gov.in/sebi_data/attachdocs/1372055999819.pdf" r:id="rId3374"/>
    <hyperlink xmlns:r="http://schemas.openxmlformats.org/officeDocument/2006/relationships" ref="R1361" display="https://www.sebi.gov.in/filings/public-issues/jun-2013/acb-india-limited_24934.html" r:id="rId3375"/>
    <hyperlink xmlns:r="http://schemas.openxmlformats.org/officeDocument/2006/relationships" ref="AB1361" r:id="rId3376"/>
    <hyperlink xmlns:r="http://schemas.openxmlformats.org/officeDocument/2006/relationships" ref="Q1362" display="https://www.sebi.gov.in/sebi_data/attachdocs/1371534868962.pdf" r:id="rId3377"/>
    <hyperlink xmlns:r="http://schemas.openxmlformats.org/officeDocument/2006/relationships" ref="R1362" display="https://www.sebi.gov.in/filings/public-issues/jun-2013/intas-pharmaceuticals-limited_24908.html" r:id="rId3378"/>
    <hyperlink xmlns:r="http://schemas.openxmlformats.org/officeDocument/2006/relationships" ref="AB1362" r:id="rId3379"/>
    <hyperlink xmlns:r="http://schemas.openxmlformats.org/officeDocument/2006/relationships" ref="Q1363" display="https://www.sebi.gov.in/sebi_data/attachdocs/1368786390318.pdf" r:id="rId3380"/>
    <hyperlink xmlns:r="http://schemas.openxmlformats.org/officeDocument/2006/relationships" ref="R1363" display="https://www.sebi.gov.in/filings/public-issues/may-2013/state-bank-of-mysore_24781.html" r:id="rId3381"/>
    <hyperlink xmlns:r="http://schemas.openxmlformats.org/officeDocument/2006/relationships" ref="AB1363" r:id="rId3382"/>
    <hyperlink xmlns:r="http://schemas.openxmlformats.org/officeDocument/2006/relationships" ref="Q1364" display="https://www.sebi.gov.in/sebi_data/attachdocs/1367904996093.pdf" r:id="rId3383"/>
    <hyperlink xmlns:r="http://schemas.openxmlformats.org/officeDocument/2006/relationships" ref="R1364" display="https://www.sebi.gov.in/filings/public-issues/may-2013/dlf-limited_24712.html" r:id="rId3384"/>
    <hyperlink xmlns:r="http://schemas.openxmlformats.org/officeDocument/2006/relationships" ref="AB1364" r:id="rId3385"/>
    <hyperlink xmlns:r="http://schemas.openxmlformats.org/officeDocument/2006/relationships" ref="Q1365" display="https://www.sebi.gov.in/sebi_data/attachdocs/1367985961896.pdf" r:id="rId3386"/>
    <hyperlink xmlns:r="http://schemas.openxmlformats.org/officeDocument/2006/relationships" ref="R1365" display="https://www.sebi.gov.in/filings/public-issues/may-2013/fortis-healthcare-limited_24722.html" r:id="rId3387"/>
    <hyperlink xmlns:r="http://schemas.openxmlformats.org/officeDocument/2006/relationships" ref="AB1365" r:id="rId3388"/>
    <hyperlink xmlns:r="http://schemas.openxmlformats.org/officeDocument/2006/relationships" ref="Q1366" display="https://www.sebi.gov.in/sebi_data/attachdocs/1366268567671.pdf" r:id="rId3389"/>
    <hyperlink xmlns:r="http://schemas.openxmlformats.org/officeDocument/2006/relationships" ref="R1366" display="https://www.sebi.gov.in/filings/public-issues/apr-2013/wonderla-holidays-limited_24637.html" r:id="rId3390"/>
    <hyperlink xmlns:r="http://schemas.openxmlformats.org/officeDocument/2006/relationships" ref="Q1367" display="https://www.sebi.gov.in/sebi_data/attachdocs/1364893351986.pdf" r:id="rId3391"/>
    <hyperlink xmlns:r="http://schemas.openxmlformats.org/officeDocument/2006/relationships" ref="R1367" display="https://www.sebi.gov.in/filings/public-issues/apr-2013/advanced-enzyme-technologies-limited_24561.html" r:id="rId3392"/>
    <hyperlink xmlns:r="http://schemas.openxmlformats.org/officeDocument/2006/relationships" ref="AB1367" r:id="rId3393"/>
    <hyperlink xmlns:r="http://schemas.openxmlformats.org/officeDocument/2006/relationships" ref="Q1368" display="https://www.sebi.gov.in/sebi_data/attachdocs/1364794031230.pdf" r:id="rId3394"/>
    <hyperlink xmlns:r="http://schemas.openxmlformats.org/officeDocument/2006/relationships" ref="R1368" display="https://www.sebi.gov.in/filings/public-issues/apr-2013/ncml-industries-limited_24542.html" r:id="rId3395"/>
    <hyperlink xmlns:r="http://schemas.openxmlformats.org/officeDocument/2006/relationships" ref="AB1368" r:id="rId3396"/>
    <hyperlink xmlns:r="http://schemas.openxmlformats.org/officeDocument/2006/relationships" ref="Q1369" display="https://www.sebi.gov.in/sebi_data/attachdocs/1364455619593.pdf" r:id="rId3397"/>
    <hyperlink xmlns:r="http://schemas.openxmlformats.org/officeDocument/2006/relationships" ref="R1369" display="https://www.sebi.gov.in/filings/public-issues/mar-2013/aastha-minmet-india-limited_24525.html" r:id="rId3398"/>
    <hyperlink xmlns:r="http://schemas.openxmlformats.org/officeDocument/2006/relationships" ref="Q1370" display="https://www.sebi.gov.in/sebi_data/attachdocs/1362981537666.pdf" r:id="rId3399"/>
    <hyperlink xmlns:r="http://schemas.openxmlformats.org/officeDocument/2006/relationships" ref="R1370" display="https://www.sebi.gov.in/filings/public-issues/mar-2013/jyoti-cnc-automation-ltd_24427.html" r:id="rId3400"/>
    <hyperlink xmlns:r="http://schemas.openxmlformats.org/officeDocument/2006/relationships" ref="AB1370" r:id="rId3401"/>
    <hyperlink xmlns:r="http://schemas.openxmlformats.org/officeDocument/2006/relationships" ref="Q1371" display="https://www.sebi.gov.in/sebi_data/attachdocs/1362648383849.pdf" r:id="rId3402"/>
    <hyperlink xmlns:r="http://schemas.openxmlformats.org/officeDocument/2006/relationships" ref="R1371" display="https://www.sebi.gov.in/filings/public-issues/mar-2013/bscpl-infrastructure-limited_24411.html" r:id="rId3403"/>
    <hyperlink xmlns:r="http://schemas.openxmlformats.org/officeDocument/2006/relationships" ref="AB1371" r:id="rId3404"/>
    <hyperlink xmlns:r="http://schemas.openxmlformats.org/officeDocument/2006/relationships" ref="Q1372" display="https://www.sebi.gov.in/sebi_data/attachdocs/1360668712242.pdf" r:id="rId3405"/>
    <hyperlink xmlns:r="http://schemas.openxmlformats.org/officeDocument/2006/relationships" ref="R1372" display="https://www.sebi.gov.in/filings/public-issues/jan-2013/ortel-communications-limited_24237.html" r:id="rId3406"/>
    <hyperlink xmlns:r="http://schemas.openxmlformats.org/officeDocument/2006/relationships" ref="AB1372" r:id="rId3407"/>
    <hyperlink xmlns:r="http://schemas.openxmlformats.org/officeDocument/2006/relationships" ref="Q1373" display="https://www.sebi.gov.in/sebi_data/attachdocs/1356001396781.pdf" r:id="rId3408"/>
    <hyperlink xmlns:r="http://schemas.openxmlformats.org/officeDocument/2006/relationships" ref="R1373" display="https://www.sebi.gov.in/filings/public-issues/dec-2012/loha-ispaat-limited_23996.html" r:id="rId3409"/>
    <hyperlink xmlns:r="http://schemas.openxmlformats.org/officeDocument/2006/relationships" ref="AB1373" r:id="rId3410"/>
    <hyperlink xmlns:r="http://schemas.openxmlformats.org/officeDocument/2006/relationships" ref="Q1374" display="https://www.sebi.gov.in/sebi_data/attachdocs/1355742612093.pdf" r:id="rId3411"/>
    <hyperlink xmlns:r="http://schemas.openxmlformats.org/officeDocument/2006/relationships" ref="R1374" display="https://www.sebi.gov.in/filings/public-issues/dec-2012/bharat-business-channel-limited_23965.html" r:id="rId3412"/>
    <hyperlink xmlns:r="http://schemas.openxmlformats.org/officeDocument/2006/relationships" ref="Q1375" display="https://www.sebi.gov.in/sebi_data/attachdocs/1354170859938.pdf" r:id="rId3413"/>
    <hyperlink xmlns:r="http://schemas.openxmlformats.org/officeDocument/2006/relationships" ref="R1375" display="https://www.sebi.gov.in/filings/public-issues/nov-2012/madhya-bharat-agro-products-ltd_23853.html" r:id="rId3414"/>
    <hyperlink xmlns:r="http://schemas.openxmlformats.org/officeDocument/2006/relationships" ref="AB1375" r:id="rId3415"/>
    <hyperlink xmlns:r="http://schemas.openxmlformats.org/officeDocument/2006/relationships" ref="Q1376" display="https://www.sebi.gov.in/sebi_data/attachdocs/1351830030783.pdf" r:id="rId3416"/>
    <hyperlink xmlns:r="http://schemas.openxmlformats.org/officeDocument/2006/relationships" ref="R1376" display="https://www.sebi.gov.in/filings/public-issues/nov-2012/smc-global-securities-limited_23694.html" r:id="rId3417"/>
    <hyperlink xmlns:r="http://schemas.openxmlformats.org/officeDocument/2006/relationships" ref="AB1376" r:id="rId3418"/>
    <hyperlink xmlns:r="http://schemas.openxmlformats.org/officeDocument/2006/relationships" ref="Q1377" display="https://www.sebi.gov.in/sebi_data/attachdocs/1350038027092.pdf" r:id="rId3419"/>
    <hyperlink xmlns:r="http://schemas.openxmlformats.org/officeDocument/2006/relationships" ref="R1377" display="https://www.sebi.gov.in/filings/public-issues/oct-2012/madhya-bharat-agro-products-ltd_23622.html" r:id="rId3420"/>
    <hyperlink xmlns:r="http://schemas.openxmlformats.org/officeDocument/2006/relationships" ref="AB1377" r:id="rId3421"/>
    <hyperlink xmlns:r="http://schemas.openxmlformats.org/officeDocument/2006/relationships" ref="Q1378" display="https://www.sebi.gov.in/sebi_data/attachdocs/1349088699140.pdf" r:id="rId3422"/>
    <hyperlink xmlns:r="http://schemas.openxmlformats.org/officeDocument/2006/relationships" ref="R1378" display="https://www.sebi.gov.in/filings/public-issues/oct-2012/calyx-chemicals-and-pharmaceuticals-limited_23530.html" r:id="rId3423"/>
    <hyperlink xmlns:r="http://schemas.openxmlformats.org/officeDocument/2006/relationships" ref="AB1378" r:id="rId3424"/>
    <hyperlink xmlns:r="http://schemas.openxmlformats.org/officeDocument/2006/relationships" ref="Q1379" display="https://www.sebi.gov.in/sebi_data/attachdocs/1347880678654.pdf" r:id="rId3425"/>
    <hyperlink xmlns:r="http://schemas.openxmlformats.org/officeDocument/2006/relationships" ref="R1379" display="https://www.sebi.gov.in/filings/public-issues/sep-2012/bharti-infratel-limited_23458.html" r:id="rId3426"/>
    <hyperlink xmlns:r="http://schemas.openxmlformats.org/officeDocument/2006/relationships" ref="Q1380" display="https://www.sebi.gov.in/sebi_data/attachdocs/1347359177735.pdf" r:id="rId3427"/>
    <hyperlink xmlns:r="http://schemas.openxmlformats.org/officeDocument/2006/relationships" ref="R1380" display="https://www.sebi.gov.in/filings/public-issues/sep-2012/g-b-tools-and-forgings-limited_23418.html" r:id="rId3428"/>
    <hyperlink xmlns:r="http://schemas.openxmlformats.org/officeDocument/2006/relationships" ref="AB1380" r:id="rId3429"/>
    <hyperlink xmlns:r="http://schemas.openxmlformats.org/officeDocument/2006/relationships" ref="Q1381" display="https://www.sebi.gov.in/sebi_data/attachdocs/1345542838751.pdf" r:id="rId3430"/>
    <hyperlink xmlns:r="http://schemas.openxmlformats.org/officeDocument/2006/relationships" ref="R1381" display="https://www.sebi.gov.in/filings/public-issues/aug-2012/just-dial-limited_23271.html" r:id="rId3431"/>
    <hyperlink xmlns:r="http://schemas.openxmlformats.org/officeDocument/2006/relationships" ref="Q1382" display="https://www.sebi.gov.in/sebi_data/attachdocs/1343212300941.pdf" r:id="rId3432"/>
    <hyperlink xmlns:r="http://schemas.openxmlformats.org/officeDocument/2006/relationships" ref="R1382" display="https://www.sebi.gov.in/filings/public-issues/jul-2012/godrej-industries-limited_23149.html" r:id="rId3433"/>
    <hyperlink xmlns:r="http://schemas.openxmlformats.org/officeDocument/2006/relationships" ref="AB1382" r:id="rId3434"/>
    <hyperlink xmlns:r="http://schemas.openxmlformats.org/officeDocument/2006/relationships" ref="Q1383" display="https://www.sebi.gov.in/sebi_data/attachdocs/1343041803906.pdf" r:id="rId3435"/>
    <hyperlink xmlns:r="http://schemas.openxmlformats.org/officeDocument/2006/relationships" ref="R1383" display="https://www.sebi.gov.in/filings/public-issues/jul-2012/v-mart-retail-limited_23129.html" r:id="rId3436"/>
    <hyperlink xmlns:r="http://schemas.openxmlformats.org/officeDocument/2006/relationships" ref="Q1384" display="https://www.sebi.gov.in/sebi_data/attachdocs/1337338940901.pdf" r:id="rId3437"/>
    <hyperlink xmlns:r="http://schemas.openxmlformats.org/officeDocument/2006/relationships" ref="R1384" display="https://www.sebi.gov.in/filings/public-issues/may-2012/rashtriya-ispat-nigam-limited_22798.html" r:id="rId3438"/>
    <hyperlink xmlns:r="http://schemas.openxmlformats.org/officeDocument/2006/relationships" ref="AB1384" r:id="rId3439"/>
    <hyperlink xmlns:r="http://schemas.openxmlformats.org/officeDocument/2006/relationships" ref="Q1385" display="https://www.sebi.gov.in/sebi_data/attachdocs/1336535597422.pdf" r:id="rId3440"/>
    <hyperlink xmlns:r="http://schemas.openxmlformats.org/officeDocument/2006/relationships" ref="R1385" display="https://www.sebi.gov.in/filings/public-issues/may-2012/goodwill-hospital-and-research-centre-limited_22710.html" r:id="rId3441"/>
    <hyperlink xmlns:r="http://schemas.openxmlformats.org/officeDocument/2006/relationships" ref="AB1385" r:id="rId3442"/>
    <hyperlink xmlns:r="http://schemas.openxmlformats.org/officeDocument/2006/relationships" ref="Q1386" display="https://www.sebi.gov.in/sebi_data/attachdocs/1336381880333.pdf" r:id="rId3443"/>
    <hyperlink xmlns:r="http://schemas.openxmlformats.org/officeDocument/2006/relationships" ref="R1386" display="https://www.sebi.gov.in/filings/public-issues/may-2012/fast-train-cargo-limited_22694.html" r:id="rId3444"/>
    <hyperlink xmlns:r="http://schemas.openxmlformats.org/officeDocument/2006/relationships" ref="AB1386" r:id="rId3445"/>
    <hyperlink xmlns:r="http://schemas.openxmlformats.org/officeDocument/2006/relationships" ref="Q1387" display="https://www.sebi.gov.in/sebi_data/attachdocs/1334297385746.pdf" r:id="rId3446"/>
    <hyperlink xmlns:r="http://schemas.openxmlformats.org/officeDocument/2006/relationships" ref="R1387" display="https://www.sebi.gov.in/filings/public-issues/apr-2012/ace-tours-worldwide-limited_22551.html" r:id="rId3447"/>
    <hyperlink xmlns:r="http://schemas.openxmlformats.org/officeDocument/2006/relationships" ref="Q1388" display="https://www.sebi.gov.in/sebi_data/attachdocs/1333446031669.pdf" r:id="rId3448"/>
    <hyperlink xmlns:r="http://schemas.openxmlformats.org/officeDocument/2006/relationships" ref="R1388" display="https://www.sebi.gov.in/filings/public-issues/apr-2012/tristar-retail-limited_22485.html" r:id="rId3449"/>
    <hyperlink xmlns:r="http://schemas.openxmlformats.org/officeDocument/2006/relationships" ref="AB1388" r:id="rId3450"/>
    <hyperlink xmlns:r="http://schemas.openxmlformats.org/officeDocument/2006/relationships" ref="Q1389" display="https://www.sebi.gov.in/sebi_data/attachdocs/1333364667713.pdf" r:id="rId3451"/>
    <hyperlink xmlns:r="http://schemas.openxmlformats.org/officeDocument/2006/relationships" ref="R1389" display="https://www.sebi.gov.in/filings/public-issues/apr-2012/c-mahendra-infojewels-limited_22478.html" r:id="rId3452"/>
    <hyperlink xmlns:r="http://schemas.openxmlformats.org/officeDocument/2006/relationships" ref="AB1389" r:id="rId3453"/>
    <hyperlink xmlns:r="http://schemas.openxmlformats.org/officeDocument/2006/relationships" ref="Q1390" display="https://www.sebi.gov.in/sebi_data/attachdocs/1332242504174.pdf" r:id="rId3454"/>
    <hyperlink xmlns:r="http://schemas.openxmlformats.org/officeDocument/2006/relationships" ref="R1390" display="https://www.sebi.gov.in/filings/public-issues/mar-2012/godrej-properties-limited_22370.html" r:id="rId3455"/>
    <hyperlink xmlns:r="http://schemas.openxmlformats.org/officeDocument/2006/relationships" ref="AB1390" r:id="rId3456"/>
    <hyperlink xmlns:r="http://schemas.openxmlformats.org/officeDocument/2006/relationships" ref="Q1391" display="https://www.sebi.gov.in/sebi_data/attachdocs/1331787517047.pdf" r:id="rId3457"/>
    <hyperlink xmlns:r="http://schemas.openxmlformats.org/officeDocument/2006/relationships" ref="R1391" display="https://www.sebi.gov.in/filings/public-issues/mar-2012/harisons-steel-limited_22334.html" r:id="rId3458"/>
    <hyperlink xmlns:r="http://schemas.openxmlformats.org/officeDocument/2006/relationships" ref="AB1391" r:id="rId3459"/>
    <hyperlink xmlns:r="http://schemas.openxmlformats.org/officeDocument/2006/relationships" ref="Q1392" display="https://www.sebi.gov.in/sebi_data/attachdocs/1331551783869.pdf" r:id="rId3460"/>
    <hyperlink xmlns:r="http://schemas.openxmlformats.org/officeDocument/2006/relationships" ref="R1392" display="https://www.sebi.gov.in/filings/public-issues/mar-2012/r-k-infratel-limited_22325.html" r:id="rId3461"/>
    <hyperlink xmlns:r="http://schemas.openxmlformats.org/officeDocument/2006/relationships" ref="AB1392" r:id="rId3462"/>
    <hyperlink xmlns:r="http://schemas.openxmlformats.org/officeDocument/2006/relationships" ref="Q1393" display="https://www.sebi.gov.in/sebi_data/attachdocs/1331289706300.pdf" r:id="rId3463"/>
    <hyperlink xmlns:r="http://schemas.openxmlformats.org/officeDocument/2006/relationships" ref="R1393" display="https://www.sebi.gov.in/filings/public-issues/mar-2012/uic-udyog-limited_22318.html" r:id="rId3464"/>
    <hyperlink xmlns:r="http://schemas.openxmlformats.org/officeDocument/2006/relationships" ref="AB1393" r:id="rId3465"/>
    <hyperlink xmlns:r="http://schemas.openxmlformats.org/officeDocument/2006/relationships" ref="Q1394" display="https://www.sebi.gov.in/sebi_data/attachdocs/1329451755471.pdf" r:id="rId3466"/>
    <hyperlink xmlns:r="http://schemas.openxmlformats.org/officeDocument/2006/relationships" ref="R1394" display="https://www.sebi.gov.in/filings/public-issues/feb-2012/altret-biotech-limited_22153.html" r:id="rId3467"/>
    <hyperlink xmlns:r="http://schemas.openxmlformats.org/officeDocument/2006/relationships" ref="AB1394" r:id="rId3468"/>
    <hyperlink xmlns:r="http://schemas.openxmlformats.org/officeDocument/2006/relationships" ref="Q1395" display="https://www.sebi.gov.in/sebi_data/attachdocs/1328784165737.pdf" r:id="rId3469"/>
    <hyperlink xmlns:r="http://schemas.openxmlformats.org/officeDocument/2006/relationships" ref="R1395" display="https://www.sebi.gov.in/filings/public-issues/feb-2012/national-buildings-construction-corporation-limited_22132.html" r:id="rId3470"/>
    <hyperlink xmlns:r="http://schemas.openxmlformats.org/officeDocument/2006/relationships" ref="Q1396" display="https://www.sebi.gov.in/sebi_data/attachdocs/1328590834735.pdf" r:id="rId3471"/>
    <hyperlink xmlns:r="http://schemas.openxmlformats.org/officeDocument/2006/relationships" ref="R1396" display="https://www.sebi.gov.in/filings/public-issues/feb-2012/usher-eco-power-limited_22119.html" r:id="rId3472"/>
    <hyperlink xmlns:r="http://schemas.openxmlformats.org/officeDocument/2006/relationships" ref="AB1396" r:id="rId3473"/>
    <hyperlink xmlns:r="http://schemas.openxmlformats.org/officeDocument/2006/relationships" ref="Q1397" display="https://www.sebi.gov.in/sebi_data/attachdocs/1326955696177.pdf" r:id="rId3474"/>
    <hyperlink xmlns:r="http://schemas.openxmlformats.org/officeDocument/2006/relationships" ref="R1397" display="https://www.sebi.gov.in/filings/public-issues/jan-2012/hindusthaan-eco-ventures-limited_21995.html" r:id="rId3475"/>
    <hyperlink xmlns:r="http://schemas.openxmlformats.org/officeDocument/2006/relationships" ref="AB1397" r:id="rId3476"/>
    <hyperlink xmlns:r="http://schemas.openxmlformats.org/officeDocument/2006/relationships" ref="Q1398" display="https://www.sebi.gov.in/sebi_data/attachdocs/1325674926615.pdf" r:id="rId3477"/>
    <hyperlink xmlns:r="http://schemas.openxmlformats.org/officeDocument/2006/relationships" ref="R1398" display="https://www.sebi.gov.in/filings/public-issues/jan-2012/tara-jewels-limited_21911.html" r:id="rId3478"/>
    <hyperlink xmlns:r="http://schemas.openxmlformats.org/officeDocument/2006/relationships" ref="AB1398" r:id="rId3479"/>
    <hyperlink xmlns:r="http://schemas.openxmlformats.org/officeDocument/2006/relationships" ref="Q1399" display="https://www.sebi.gov.in/sebi_data/attachdocs/1325579874563.pdf" r:id="rId3480"/>
    <hyperlink xmlns:r="http://schemas.openxmlformats.org/officeDocument/2006/relationships" ref="R1399" display="https://www.sebi.gov.in/filings/public-issues/jan-2012/vishwanath-sugar-and-steel-industries-limited_21902.html" r:id="rId3481"/>
    <hyperlink xmlns:r="http://schemas.openxmlformats.org/officeDocument/2006/relationships" ref="AB1399" r:id="rId3482"/>
    <hyperlink xmlns:r="http://schemas.openxmlformats.org/officeDocument/2006/relationships" ref="Q1400" display="https://www.sebi.gov.in/sebi_data/attachdocs/1325060224010.pdf" r:id="rId3483"/>
    <hyperlink xmlns:r="http://schemas.openxmlformats.org/officeDocument/2006/relationships" ref="R1400" display="https://www.sebi.gov.in/filings/public-issues/dec-2011/preludesys-india-limited_21863.html" r:id="rId3484"/>
    <hyperlink xmlns:r="http://schemas.openxmlformats.org/officeDocument/2006/relationships" ref="AB1400" r:id="rId3485"/>
    <hyperlink xmlns:r="http://schemas.openxmlformats.org/officeDocument/2006/relationships" ref="Q1401" display="https://www.sebi.gov.in/sebi_data/attachdocs/1324545732574.pdf" r:id="rId3486"/>
    <hyperlink xmlns:r="http://schemas.openxmlformats.org/officeDocument/2006/relationships" ref="R1401" display="https://www.sebi.gov.in/filings/public-issues/dec-2011/corrigendum-to-a-team-edutech-limited_21789.html" r:id="rId3487"/>
    <hyperlink xmlns:r="http://schemas.openxmlformats.org/officeDocument/2006/relationships" ref="AB1401" r:id="rId3488"/>
    <hyperlink xmlns:r="http://schemas.openxmlformats.org/officeDocument/2006/relationships" ref="Q1402" display="https://www.sebi.gov.in/sebi_data/attachdocs/1324467081525.pdf" r:id="rId3489"/>
    <hyperlink xmlns:r="http://schemas.openxmlformats.org/officeDocument/2006/relationships" ref="R1402" display="https://www.sebi.gov.in/filings/public-issues/dec-2011/bluplast-industries-limited_21782.html" r:id="rId3490"/>
    <hyperlink xmlns:r="http://schemas.openxmlformats.org/officeDocument/2006/relationships" ref="AB1402" r:id="rId3491"/>
    <hyperlink xmlns:r="http://schemas.openxmlformats.org/officeDocument/2006/relationships" ref="Q1403" display="https://www.sebi.gov.in/sebi_data/attachdocs/1324462729726.pdf" r:id="rId3492"/>
    <hyperlink xmlns:r="http://schemas.openxmlformats.org/officeDocument/2006/relationships" ref="R1403" display="https://www.sebi.gov.in/filings/public-issues/dec-2011/maiam-global-foods-limited_21777.html" r:id="rId3493"/>
    <hyperlink xmlns:r="http://schemas.openxmlformats.org/officeDocument/2006/relationships" ref="AB1403" r:id="rId3494"/>
    <hyperlink xmlns:r="http://schemas.openxmlformats.org/officeDocument/2006/relationships" ref="Q1404" display="https://www.sebi.gov.in/sebi_data/attachdocs/1323687097296.pdf" r:id="rId3495"/>
    <hyperlink xmlns:r="http://schemas.openxmlformats.org/officeDocument/2006/relationships" ref="R1404" display="https://www.sebi.gov.in/filings/public-issues/dec-2011/e-zest-solutions-limited_21697.html" r:id="rId3496"/>
    <hyperlink xmlns:r="http://schemas.openxmlformats.org/officeDocument/2006/relationships" ref="AB1404" r:id="rId3497"/>
    <hyperlink xmlns:r="http://schemas.openxmlformats.org/officeDocument/2006/relationships" ref="Q1405" display="https://www.sebi.gov.in/sebi_data/attachdocs/1321610957169.pdf" r:id="rId3498"/>
    <hyperlink xmlns:r="http://schemas.openxmlformats.org/officeDocument/2006/relationships" ref="R1405" display="https://www.sebi.gov.in/filings/public-issues/nov-2011/e-zest-solutions-limited_21123.html" r:id="rId3499"/>
    <hyperlink xmlns:r="http://schemas.openxmlformats.org/officeDocument/2006/relationships" ref="AB1405" r:id="rId3500"/>
    <hyperlink xmlns:r="http://schemas.openxmlformats.org/officeDocument/2006/relationships" ref="Q1406" display="https://www.sebi.gov.in/sebi_data/attachdocs/1321508400243.pdf" r:id="rId3501"/>
    <hyperlink xmlns:r="http://schemas.openxmlformats.org/officeDocument/2006/relationships" ref="R1406" display="https://www.sebi.gov.in/filings/public-issues/nov-2011/katha-mediatix-india-limited_21082.html" r:id="rId3502"/>
    <hyperlink xmlns:r="http://schemas.openxmlformats.org/officeDocument/2006/relationships" ref="AB1406" r:id="rId3503"/>
    <hyperlink xmlns:r="http://schemas.openxmlformats.org/officeDocument/2006/relationships" ref="Q1407" display="https://www.sebi.gov.in/sebi_data/attachdocs/1320751866668.pdf" r:id="rId3504"/>
    <hyperlink xmlns:r="http://schemas.openxmlformats.org/officeDocument/2006/relationships" ref="R1407" display="https://www.sebi.gov.in/filings/public-issues/nov-2011/a-team-edutech-limited_21010.html" r:id="rId3505"/>
    <hyperlink xmlns:r="http://schemas.openxmlformats.org/officeDocument/2006/relationships" ref="AB1407" r:id="rId3506"/>
    <hyperlink xmlns:r="http://schemas.openxmlformats.org/officeDocument/2006/relationships" ref="Q1408" display="https://www.sebi.gov.in/sebi_data/attachdocs/1320146746368.pdf" r:id="rId3507"/>
    <hyperlink xmlns:r="http://schemas.openxmlformats.org/officeDocument/2006/relationships" ref="R1408" display="https://www.sebi.gov.in/filings/public-issues/nov-2011/varahi-limited_20993.html" r:id="rId3508"/>
    <hyperlink xmlns:r="http://schemas.openxmlformats.org/officeDocument/2006/relationships" ref="AB1408" r:id="rId3509"/>
    <hyperlink xmlns:r="http://schemas.openxmlformats.org/officeDocument/2006/relationships" ref="Q1409" display="https://www.sebi.gov.in/sebi_data/attachdocs/1317804515879.pdf" r:id="rId3510"/>
    <hyperlink xmlns:r="http://schemas.openxmlformats.org/officeDocument/2006/relationships" ref="R1409" display="https://www.sebi.gov.in/filings/public-issues/oct-2011/credit-analysis-and-research-limited_20818.html" r:id="rId3511"/>
    <hyperlink xmlns:r="http://schemas.openxmlformats.org/officeDocument/2006/relationships" ref="Q1410" display="https://www.sebi.gov.in/sebi_data/attachdocs/1317710787371.pdf" r:id="rId3512"/>
    <hyperlink xmlns:r="http://schemas.openxmlformats.org/officeDocument/2006/relationships" ref="R1410" display="https://www.sebi.gov.in/filings/public-issues/oct-2011/aurangabad-electricals-limited_20800.html" r:id="rId3513"/>
    <hyperlink xmlns:r="http://schemas.openxmlformats.org/officeDocument/2006/relationships" ref="AB1410" r:id="rId3514"/>
    <hyperlink xmlns:r="http://schemas.openxmlformats.org/officeDocument/2006/relationships" ref="Q1411" display="https://www.sebi.gov.in/sebi_data/attachdocs/1317720697147.pdf" r:id="rId3515"/>
    <hyperlink xmlns:r="http://schemas.openxmlformats.org/officeDocument/2006/relationships" ref="R1411" display="https://www.sebi.gov.in/filings/public-issues/oct-2011/bharat-heavy-electricals-limited_20801.html" r:id="rId3516"/>
    <hyperlink xmlns:r="http://schemas.openxmlformats.org/officeDocument/2006/relationships" ref="AB1411" r:id="rId3517"/>
    <hyperlink xmlns:r="http://schemas.openxmlformats.org/officeDocument/2006/relationships" ref="Q1412" display="https://www.sebi.gov.in/sebi_data/attachdocs/1317709033270.pdf" r:id="rId3518"/>
    <hyperlink xmlns:r="http://schemas.openxmlformats.org/officeDocument/2006/relationships" ref="R1412" display="https://www.sebi.gov.in/filings/public-issues/oct-2011/repco-home-finance-limited_20798.html" r:id="rId3519"/>
    <hyperlink xmlns:r="http://schemas.openxmlformats.org/officeDocument/2006/relationships" ref="Q1413" display="https://www.sebi.gov.in/sebi_data/attachdocs/1317642000370.pdf" r:id="rId3520"/>
    <hyperlink xmlns:r="http://schemas.openxmlformats.org/officeDocument/2006/relationships" ref="R1413" display="https://www.sebi.gov.in/filings/public-issues/oct-2011/abhitech-energycon-limited_20796.html" r:id="rId3521"/>
    <hyperlink xmlns:r="http://schemas.openxmlformats.org/officeDocument/2006/relationships" ref="AB1413" r:id="rId3522"/>
    <hyperlink xmlns:r="http://schemas.openxmlformats.org/officeDocument/2006/relationships" ref="Q1414" display="https://www.sebi.gov.in/sebi_data/attachdocs/1317614827565.pdf" r:id="rId3523"/>
    <hyperlink xmlns:r="http://schemas.openxmlformats.org/officeDocument/2006/relationships" ref="R1414" display="https://www.sebi.gov.in/filings/public-issues/oct-2011/ambuja-intermediates-ltd_20786.html" r:id="rId3524"/>
    <hyperlink xmlns:r="http://schemas.openxmlformats.org/officeDocument/2006/relationships" ref="AB1414" r:id="rId3525"/>
    <hyperlink xmlns:r="http://schemas.openxmlformats.org/officeDocument/2006/relationships" ref="Q1415" display="https://www.sebi.gov.in/sebi_data/attachdocs/1317639612963.pdf" r:id="rId3526"/>
    <hyperlink xmlns:r="http://schemas.openxmlformats.org/officeDocument/2006/relationships" ref="R1415" display="https://www.sebi.gov.in/filings/public-issues/oct-2011/olympic-cards-ltd_20794.html" r:id="rId3527"/>
    <hyperlink xmlns:r="http://schemas.openxmlformats.org/officeDocument/2006/relationships" ref="Q1416" display="https://www.sebi.gov.in/sebi_data/attachdocs/1317620434757.pdf" r:id="rId3528"/>
    <hyperlink xmlns:r="http://schemas.openxmlformats.org/officeDocument/2006/relationships" ref="R1416" display="https://www.sebi.gov.in/filings/public-issues/oct-2011/pc-jeweller-limited_20788.html" r:id="rId3529"/>
    <hyperlink xmlns:r="http://schemas.openxmlformats.org/officeDocument/2006/relationships" ref="Q1417" display="https://www.sebi.gov.in/sebi_data/attachdocs/1317381768250.pdf" r:id="rId3530"/>
    <hyperlink xmlns:r="http://schemas.openxmlformats.org/officeDocument/2006/relationships" ref="R1417" display="https://www.sebi.gov.in/filings/public-issues/sep-2011/bohra-industries-limited_20783.html" r:id="rId3531"/>
    <hyperlink xmlns:r="http://schemas.openxmlformats.org/officeDocument/2006/relationships" ref="Q1418" display="https://www.sebi.gov.in/sebi_data/attachdocs/1317362472728.pdf" r:id="rId3532"/>
    <hyperlink xmlns:r="http://schemas.openxmlformats.org/officeDocument/2006/relationships" ref="R1418" display="https://www.sebi.gov.in/filings/public-issues/sep-2011/bothra-metals-and-alloys-limited_20771.html" r:id="rId3533"/>
    <hyperlink xmlns:r="http://schemas.openxmlformats.org/officeDocument/2006/relationships" ref="Q1419" display="https://www.sebi.gov.in/sebi_data/attachdocs/1317615708304.pdf" r:id="rId3534"/>
    <hyperlink xmlns:r="http://schemas.openxmlformats.org/officeDocument/2006/relationships" ref="R1419" display="https://www.sebi.gov.in/filings/public-issues/sep-2011/it-source-technologies-limited_20787.html" r:id="rId3535"/>
    <hyperlink xmlns:r="http://schemas.openxmlformats.org/officeDocument/2006/relationships" ref="AB1419" r:id="rId3536"/>
    <hyperlink xmlns:r="http://schemas.openxmlformats.org/officeDocument/2006/relationships" ref="Q1420" display="https://www.sebi.gov.in/sebi_data/attachdocs/1317369129960.pdf" r:id="rId3537"/>
    <hyperlink xmlns:r="http://schemas.openxmlformats.org/officeDocument/2006/relationships" ref="R1420" display="https://www.sebi.gov.in/filings/public-issues/sep-2011/samwardhana-mothersons-finance-limited_20776.html" r:id="rId3538"/>
    <hyperlink xmlns:r="http://schemas.openxmlformats.org/officeDocument/2006/relationships" ref="AB1420" r:id="rId3539"/>
    <hyperlink xmlns:r="http://schemas.openxmlformats.org/officeDocument/2006/relationships" ref="Q1421" display="https://www.sebi.gov.in/sebi_data/attachdocs/1317369396649.pdf" r:id="rId3540"/>
    <hyperlink xmlns:r="http://schemas.openxmlformats.org/officeDocument/2006/relationships" ref="R1421" display="https://www.sebi.gov.in/filings/public-issues/sep-2011/tv-vision-limited_20777.html" r:id="rId3541"/>
    <hyperlink xmlns:r="http://schemas.openxmlformats.org/officeDocument/2006/relationships" ref="AB1421" r:id="rId3542"/>
    <hyperlink xmlns:r="http://schemas.openxmlformats.org/officeDocument/2006/relationships" ref="Q1422" display="https://www.sebi.gov.in/sebi_data/attachdocs/1317364620432.pdf" r:id="rId3543"/>
    <hyperlink xmlns:r="http://schemas.openxmlformats.org/officeDocument/2006/relationships" ref="R1422" display="https://www.sebi.gov.in/filings/public-issues/sep-2011/universal-energies-limited_20775.html" r:id="rId3544"/>
    <hyperlink xmlns:r="http://schemas.openxmlformats.org/officeDocument/2006/relationships" ref="AB1422" r:id="rId3545"/>
    <hyperlink xmlns:r="http://schemas.openxmlformats.org/officeDocument/2006/relationships" ref="Q1423" display="https://www.sebi.gov.in/sebi_data/attachdocs/1317285147767.pdf" r:id="rId3546"/>
    <hyperlink xmlns:r="http://schemas.openxmlformats.org/officeDocument/2006/relationships" ref="R1423" display="https://www.sebi.gov.in/filings/public-issues/sep-2011/genera-agri-corp-limited_20762.html" r:id="rId3547"/>
    <hyperlink xmlns:r="http://schemas.openxmlformats.org/officeDocument/2006/relationships" ref="AB1423" r:id="rId3548"/>
    <hyperlink xmlns:r="http://schemas.openxmlformats.org/officeDocument/2006/relationships" ref="Q1424" display="https://www.sebi.gov.in/sebi_data/attachdocs/1317285260671.pdf" r:id="rId3549"/>
    <hyperlink xmlns:r="http://schemas.openxmlformats.org/officeDocument/2006/relationships" ref="R1424" display="https://www.sebi.gov.in/filings/public-issues/sep-2011/ssipl-retail-limited_20763.html" r:id="rId3550"/>
    <hyperlink xmlns:r="http://schemas.openxmlformats.org/officeDocument/2006/relationships" ref="AB1424" r:id="rId3551"/>
    <hyperlink xmlns:r="http://schemas.openxmlformats.org/officeDocument/2006/relationships" ref="Q1425" display="https://www.sebi.gov.in/sebi_data/attachdocs/1317293855034.pdf" r:id="rId3552"/>
    <hyperlink xmlns:r="http://schemas.openxmlformats.org/officeDocument/2006/relationships" ref="R1425" display="https://www.sebi.gov.in/filings/public-issues/sep-2011/supreme-alloys-limited_20765.html" r:id="rId3553"/>
    <hyperlink xmlns:r="http://schemas.openxmlformats.org/officeDocument/2006/relationships" ref="AB1425" r:id="rId3554"/>
    <hyperlink xmlns:r="http://schemas.openxmlformats.org/officeDocument/2006/relationships" ref="Q1426" display="https://www.sebi.gov.in/sebi_data/attachdocs/1317294035114.pdf" r:id="rId3555"/>
    <hyperlink xmlns:r="http://schemas.openxmlformats.org/officeDocument/2006/relationships" ref="R1426" display="https://www.sebi.gov.in/filings/public-issues/sep-2011/times-academy-limited_20766.html" r:id="rId3556"/>
    <hyperlink xmlns:r="http://schemas.openxmlformats.org/officeDocument/2006/relationships" ref="AB1426" r:id="rId3557"/>
    <hyperlink xmlns:r="http://schemas.openxmlformats.org/officeDocument/2006/relationships" ref="Q1427" display="https://www.sebi.gov.in/sebi_data/attachdocs/1317183637823.pdf" r:id="rId3558"/>
    <hyperlink xmlns:r="http://schemas.openxmlformats.org/officeDocument/2006/relationships" ref="R1427" display="https://www.sebi.gov.in/filings/public-issues/sep-2011/infonet-it-solutions-i-limited_20736.html" r:id="rId3559"/>
    <hyperlink xmlns:r="http://schemas.openxmlformats.org/officeDocument/2006/relationships" ref="AB1427" r:id="rId3560"/>
    <hyperlink xmlns:r="http://schemas.openxmlformats.org/officeDocument/2006/relationships" ref="Q1428" display="https://www.sebi.gov.in/sebi_data/attachdocs/1316585600749.pdf" r:id="rId3561"/>
    <hyperlink xmlns:r="http://schemas.openxmlformats.org/officeDocument/2006/relationships" ref="R1428" display="https://www.sebi.gov.in/filings/public-issues/sep-2011/shemaroo-entertainment-limited_20681.html" r:id="rId3562"/>
    <hyperlink xmlns:r="http://schemas.openxmlformats.org/officeDocument/2006/relationships" ref="AB1428" r:id="rId3563"/>
    <hyperlink xmlns:r="http://schemas.openxmlformats.org/officeDocument/2006/relationships" ref="Q1429" display="https://www.sebi.gov.in/sebi_data/attachdocs/1316061582366.pdf" r:id="rId3564"/>
    <hyperlink xmlns:r="http://schemas.openxmlformats.org/officeDocument/2006/relationships" ref="R1429" display="https://www.sebi.gov.in/filings/public-issues/sep-2011/birla-research-and-lifesciences-limited_20640.html" r:id="rId3565"/>
    <hyperlink xmlns:r="http://schemas.openxmlformats.org/officeDocument/2006/relationships" ref="AB1429" r:id="rId3566"/>
    <hyperlink xmlns:r="http://schemas.openxmlformats.org/officeDocument/2006/relationships" ref="Q1430" display="https://www.sebi.gov.in/sebi_data/attachdocs/1315912465362.pdf" r:id="rId3567"/>
    <hyperlink xmlns:r="http://schemas.openxmlformats.org/officeDocument/2006/relationships" ref="R1430" display="https://www.sebi.gov.in/filings/public-issues/sep-2011/jiji-industries-limited_20633.html" r:id="rId3568"/>
    <hyperlink xmlns:r="http://schemas.openxmlformats.org/officeDocument/2006/relationships" ref="Q1431" display="https://www.sebi.gov.in/sebi_data/attachdocs/1313648946814.pdf" r:id="rId3569"/>
    <hyperlink xmlns:r="http://schemas.openxmlformats.org/officeDocument/2006/relationships" ref="R1431" display="https://www.sebi.gov.in/filings/public-issues/aug-2011/just-dial-limited_20475.html" r:id="rId3570"/>
    <hyperlink xmlns:r="http://schemas.openxmlformats.org/officeDocument/2006/relationships" ref="Q1432" display="https://www.sebi.gov.in/sebi_data/attachdocs/1312887618516.pdf" r:id="rId3571"/>
    <hyperlink xmlns:r="http://schemas.openxmlformats.org/officeDocument/2006/relationships" ref="R1432" display="https://www.sebi.gov.in/filings/public-issues/aug-2011/vks-projects-limited_20422.html" r:id="rId3572"/>
    <hyperlink xmlns:r="http://schemas.openxmlformats.org/officeDocument/2006/relationships" ref="AB1432" r:id="rId3573"/>
    <hyperlink xmlns:r="http://schemas.openxmlformats.org/officeDocument/2006/relationships" ref="Q1433" display="https://www.sebi.gov.in/sebi_data/attachdocs/1312435705808.pdf" r:id="rId3574"/>
    <hyperlink xmlns:r="http://schemas.openxmlformats.org/officeDocument/2006/relationships" ref="R1433" display="https://www.sebi.gov.in/filings/public-issues/aug-2011/duplex-industries-limited_20392.html" r:id="rId3575"/>
    <hyperlink xmlns:r="http://schemas.openxmlformats.org/officeDocument/2006/relationships" ref="AB1433" r:id="rId3576"/>
    <hyperlink xmlns:r="http://schemas.openxmlformats.org/officeDocument/2006/relationships" ref="Q1434" display="https://www.sebi.gov.in/sebi_data/attachdocs/1311934964788.pdf" r:id="rId3577"/>
    <hyperlink xmlns:r="http://schemas.openxmlformats.org/officeDocument/2006/relationships" ref="R1434" display="https://www.sebi.gov.in/filings/public-issues/jul-2011/ifci-factors-limited_20303.html" r:id="rId3578"/>
    <hyperlink xmlns:r="http://schemas.openxmlformats.org/officeDocument/2006/relationships" ref="AB1434" r:id="rId3579"/>
    <hyperlink xmlns:r="http://schemas.openxmlformats.org/officeDocument/2006/relationships" ref="Q1435" display="https://www.sebi.gov.in/sebi_data/attachdocs/1311752027762.pdf" r:id="rId3580"/>
    <hyperlink xmlns:r="http://schemas.openxmlformats.org/officeDocument/2006/relationships" ref="R1435" display="https://www.sebi.gov.in/filings/public-issues/jul-2011/automark-industries-india-limited_20259.html" r:id="rId3581"/>
    <hyperlink xmlns:r="http://schemas.openxmlformats.org/officeDocument/2006/relationships" ref="AB1435" r:id="rId3582"/>
    <hyperlink xmlns:r="http://schemas.openxmlformats.org/officeDocument/2006/relationships" ref="Q1436" display="https://www.sebi.gov.in/sebi_data/attachdocs/1311578669887.pdf" r:id="rId3583"/>
    <hyperlink xmlns:r="http://schemas.openxmlformats.org/officeDocument/2006/relationships" ref="R1436" display="https://www.sebi.gov.in/filings/public-issues/jul-2011/pme-power-solutions-india-limited_20234.html" r:id="rId3584"/>
    <hyperlink xmlns:r="http://schemas.openxmlformats.org/officeDocument/2006/relationships" ref="AB1436" r:id="rId3585"/>
    <hyperlink xmlns:r="http://schemas.openxmlformats.org/officeDocument/2006/relationships" ref="Q1437" display="https://www.sebi.gov.in/sebi_data/attachdocs/1311154815888.pdf" r:id="rId3586"/>
    <hyperlink xmlns:r="http://schemas.openxmlformats.org/officeDocument/2006/relationships" ref="R1437" display="https://www.sebi.gov.in/filings/public-issues/jul-2011/ind-eco-ventures-limited_20196.html" r:id="rId3587"/>
    <hyperlink xmlns:r="http://schemas.openxmlformats.org/officeDocument/2006/relationships" ref="Q1438" display="https://www.sebi.gov.in/sebi_data/attachdocs/1310558385396.pdf" r:id="rId3588"/>
    <hyperlink xmlns:r="http://schemas.openxmlformats.org/officeDocument/2006/relationships" ref="R1438" display="https://www.sebi.gov.in/filings/public-issues/jul-2011/tejora-technologies-limited_20126.html" r:id="rId3589"/>
    <hyperlink xmlns:r="http://schemas.openxmlformats.org/officeDocument/2006/relationships" ref="AB1438" r:id="rId3590"/>
    <hyperlink xmlns:r="http://schemas.openxmlformats.org/officeDocument/2006/relationships" ref="Q1439" display="https://www.sebi.gov.in/sebi_data/attachdocs/1310558338448.pdf" r:id="rId3591"/>
    <hyperlink xmlns:r="http://schemas.openxmlformats.org/officeDocument/2006/relationships" ref="R1439" display="https://www.sebi.gov.in/filings/public-issues/jul-2011/abhijeet-power-limited_20125.html" r:id="rId3592"/>
    <hyperlink xmlns:r="http://schemas.openxmlformats.org/officeDocument/2006/relationships" ref="Q1440" display="https://www.sebi.gov.in/sebi_data/attachdocs/1310558288373.pdf" r:id="rId3593"/>
    <hyperlink xmlns:r="http://schemas.openxmlformats.org/officeDocument/2006/relationships" ref="R1440" display="https://www.sebi.gov.in/filings/public-issues/jul-2011/trimax-it-infrastructure-and-services-limited_20124.html" r:id="rId3594"/>
    <hyperlink xmlns:r="http://schemas.openxmlformats.org/officeDocument/2006/relationships" ref="AB1440" r:id="rId3595"/>
    <hyperlink xmlns:r="http://schemas.openxmlformats.org/officeDocument/2006/relationships" ref="Q1441" display="https://www.sebi.gov.in/sebi_data/attachdocs/1310558210457.pdf" r:id="rId3596"/>
    <hyperlink xmlns:r="http://schemas.openxmlformats.org/officeDocument/2006/relationships" ref="R1441" display="https://www.sebi.gov.in/filings/public-issues/jun-2011/crp-technologies-india-limited_20123.html" r:id="rId3597"/>
    <hyperlink xmlns:r="http://schemas.openxmlformats.org/officeDocument/2006/relationships" ref="Q1442" display="https://www.sebi.gov.in/sebi_data/attachdocs/1310558108560.pdf" r:id="rId3598"/>
    <hyperlink xmlns:r="http://schemas.openxmlformats.org/officeDocument/2006/relationships" ref="R1442" display="https://www.sebi.gov.in/filings/public-issues/jun-2011/asian-logistics-ltd_20121.html" r:id="rId3599"/>
    <hyperlink xmlns:r="http://schemas.openxmlformats.org/officeDocument/2006/relationships" ref="Q1443" display="https://www.sebi.gov.in/sebi_data/attachdocs/1310558165983.pdf" r:id="rId3600"/>
    <hyperlink xmlns:r="http://schemas.openxmlformats.org/officeDocument/2006/relationships" ref="R1443" display="https://www.sebi.gov.in/filings/public-issues/jun-2011/pch-retail-limited_20122.html" r:id="rId3601"/>
    <hyperlink xmlns:r="http://schemas.openxmlformats.org/officeDocument/2006/relationships" ref="AB1443" r:id="rId3602"/>
    <hyperlink xmlns:r="http://schemas.openxmlformats.org/officeDocument/2006/relationships" ref="Q1444" display="https://www.sebi.gov.in/sebi_data/attachdocs/1310558058730.pdf" r:id="rId3603"/>
    <hyperlink xmlns:r="http://schemas.openxmlformats.org/officeDocument/2006/relationships" ref="R1444" display="https://www.sebi.gov.in/filings/public-issues/jun-2011/hemani-industries-limited_20120.html" r:id="rId3604"/>
    <hyperlink xmlns:r="http://schemas.openxmlformats.org/officeDocument/2006/relationships" ref="AB1444" r:id="rId3605"/>
    <hyperlink xmlns:r="http://schemas.openxmlformats.org/officeDocument/2006/relationships" ref="Q1445" display="https://www.sebi.gov.in/sebi_data/attachdocs/1310558024554.pdf" r:id="rId3606"/>
    <hyperlink xmlns:r="http://schemas.openxmlformats.org/officeDocument/2006/relationships" ref="R1445" display="https://www.sebi.gov.in/filings/public-issues/jun-2011/mt-educare-limited_20119.html" r:id="rId3607"/>
    <hyperlink xmlns:r="http://schemas.openxmlformats.org/officeDocument/2006/relationships" ref="Q1446" display="https://www.sebi.gov.in/sebi_data/attachdocs/1308559324122.pdf" r:id="rId3608"/>
    <hyperlink xmlns:r="http://schemas.openxmlformats.org/officeDocument/2006/relationships" ref="R1446" display="https://www.sebi.gov.in/filings/public-issues/jun-2011/sai-silks-kalamandir-limited_19966.html" r:id="rId3609"/>
    <hyperlink xmlns:r="http://schemas.openxmlformats.org/officeDocument/2006/relationships" ref="AB1446" r:id="rId3610"/>
    <hyperlink xmlns:r="http://schemas.openxmlformats.org/officeDocument/2006/relationships" ref="Q1447" display="https://www.sebi.gov.in/sebi_data/attachdocs/1308559363976.pdf" r:id="rId3611"/>
    <hyperlink xmlns:r="http://schemas.openxmlformats.org/officeDocument/2006/relationships" ref="R1447" display="https://www.sebi.gov.in/filings/public-issues/jun-2011/skil-infrastructure-limited_19967.html" r:id="rId3612"/>
    <hyperlink xmlns:r="http://schemas.openxmlformats.org/officeDocument/2006/relationships" ref="AB1447" r:id="rId3613"/>
    <hyperlink xmlns:r="http://schemas.openxmlformats.org/officeDocument/2006/relationships" ref="Q1448" display="https://www.sebi.gov.in/sebi_data/attachdocs/1308559260701.pdf" r:id="rId3614"/>
    <hyperlink xmlns:r="http://schemas.openxmlformats.org/officeDocument/2006/relationships" ref="R1448" display="https://www.sebi.gov.in/filings/public-issues/jun-2011/acb-india-limited_19965.html" r:id="rId3615"/>
    <hyperlink xmlns:r="http://schemas.openxmlformats.org/officeDocument/2006/relationships" ref="AB1448" r:id="rId3616"/>
    <hyperlink xmlns:r="http://schemas.openxmlformats.org/officeDocument/2006/relationships" ref="Q1449" display="https://www.sebi.gov.in/sebi_data/attachdocs/1308559210209.pdf" r:id="rId3617"/>
    <hyperlink xmlns:r="http://schemas.openxmlformats.org/officeDocument/2006/relationships" ref="R1449" display="https://www.sebi.gov.in/filings/public-issues/may-2011/madhya-bharat-agro-products-limited_19964.html" r:id="rId3618"/>
    <hyperlink xmlns:r="http://schemas.openxmlformats.org/officeDocument/2006/relationships" ref="AB1449" r:id="rId3619"/>
    <hyperlink xmlns:r="http://schemas.openxmlformats.org/officeDocument/2006/relationships" ref="Q1450" display="https://www.sebi.gov.in/sebi_data/attachdocs/1304939477362.pdf" r:id="rId3620"/>
    <hyperlink xmlns:r="http://schemas.openxmlformats.org/officeDocument/2006/relationships" ref="R1450" display="https://www.sebi.gov.in/filings/public-issues/may-2011/m-s-swajas-air-charters-ltd_19690.html" r:id="rId3621"/>
    <hyperlink xmlns:r="http://schemas.openxmlformats.org/officeDocument/2006/relationships" ref="AB1450" r:id="rId3622"/>
    <hyperlink xmlns:r="http://schemas.openxmlformats.org/officeDocument/2006/relationships" ref="Q1451" display="https://www.sebi.gov.in/sebi_data/attachdocs/1304939560632.pdf" r:id="rId3623"/>
    <hyperlink xmlns:r="http://schemas.openxmlformats.org/officeDocument/2006/relationships" ref="R1451" display="https://www.sebi.gov.in/filings/public-issues/apr-2011/indo-thai-securities-ltd_19691.html" r:id="rId3624"/>
    <hyperlink xmlns:r="http://schemas.openxmlformats.org/officeDocument/2006/relationships" ref="Q1452" display="https://www.sebi.gov.in/sebi_data/attachdocs/1304939673407.pdf" r:id="rId3625"/>
    <hyperlink xmlns:r="http://schemas.openxmlformats.org/officeDocument/2006/relationships" ref="R1452" display="https://www.sebi.gov.in/filings/public-issues/apr-2011/kabirdass-motor-company-limited_19693.html" r:id="rId3626"/>
    <hyperlink xmlns:r="http://schemas.openxmlformats.org/officeDocument/2006/relationships" ref="Q1453" display="https://www.sebi.gov.in/sebi_data/attachdocs/1304939619289.pdf" r:id="rId3627"/>
    <hyperlink xmlns:r="http://schemas.openxmlformats.org/officeDocument/2006/relationships" ref="R1453" display="https://www.sebi.gov.in/filings/public-issues/apr-2011/vishwanath-projects-limited_19692.html" r:id="rId3628"/>
    <hyperlink xmlns:r="http://schemas.openxmlformats.org/officeDocument/2006/relationships" ref="AB1453" r:id="rId3629"/>
    <hyperlink xmlns:r="http://schemas.openxmlformats.org/officeDocument/2006/relationships" ref="Q1454" display="https://www.sebi.gov.in/sebi_data/attachdocs/1304939726954.pdf" r:id="rId3630"/>
    <hyperlink xmlns:r="http://schemas.openxmlformats.org/officeDocument/2006/relationships" ref="R1454" display="https://www.sebi.gov.in/filings/public-issues/apr-2011/apr-constructions-limited_19694.html" r:id="rId3631"/>
    <hyperlink xmlns:r="http://schemas.openxmlformats.org/officeDocument/2006/relationships" ref="AB1454" r:id="rId3632"/>
    <hyperlink xmlns:r="http://schemas.openxmlformats.org/officeDocument/2006/relationships" ref="Q1455" display="https://www.sebi.gov.in/sebi_data/attachdocs/1304939786100.pdf" r:id="rId3633"/>
    <hyperlink xmlns:r="http://schemas.openxmlformats.org/officeDocument/2006/relationships" ref="R1455" display="https://www.sebi.gov.in/filings/public-issues/apr-2011/multi-commodity-exchange-of-india-limited_19695.html" r:id="rId3634"/>
    <hyperlink xmlns:r="http://schemas.openxmlformats.org/officeDocument/2006/relationships" ref="Q1456" display="https://www.sebi.gov.in/sebi_data/attachdocs/1304939828324.pdf" r:id="rId3635"/>
    <hyperlink xmlns:r="http://schemas.openxmlformats.org/officeDocument/2006/relationships" ref="R1456" display="https://www.sebi.gov.in/filings/public-issues/apr-2011/relcon-infraprojects-limited_19696.html" r:id="rId3636"/>
    <hyperlink xmlns:r="http://schemas.openxmlformats.org/officeDocument/2006/relationships" ref="AB1456" r:id="rId3637"/>
    <hyperlink xmlns:r="http://schemas.openxmlformats.org/officeDocument/2006/relationships" ref="Q1457" display="https://www.sebi.gov.in/sebi_data/attachdocs/1304939881811.pdf" r:id="rId3638"/>
    <hyperlink xmlns:r="http://schemas.openxmlformats.org/officeDocument/2006/relationships" ref="R1457" display="https://www.sebi.gov.in/filings/public-issues/apr-2011/neesa-leisure-limited_19697.html" r:id="rId3639"/>
    <hyperlink xmlns:r="http://schemas.openxmlformats.org/officeDocument/2006/relationships" ref="AB1457" r:id="rId3640"/>
    <hyperlink xmlns:r="http://schemas.openxmlformats.org/officeDocument/2006/relationships" ref="Q1458" display="https://www.sebi.gov.in/sebi_data/attachdocs/1304939920462.pdf" r:id="rId3641"/>
    <hyperlink xmlns:r="http://schemas.openxmlformats.org/officeDocument/2006/relationships" ref="R1458" display="https://www.sebi.gov.in/filings/public-issues/apr-2011/prakash-constrowell-limited_19698.html" r:id="rId3642"/>
    <hyperlink xmlns:r="http://schemas.openxmlformats.org/officeDocument/2006/relationships" ref="Q1459" display="https://www.sebi.gov.in/sebi_data/attachdocs/1301986586522.pdf" r:id="rId3643"/>
    <hyperlink xmlns:r="http://schemas.openxmlformats.org/officeDocument/2006/relationships" ref="R1459" display="https://www.sebi.gov.in/filings/public-issues/mar-2011/calyx-chemicals-and-pharmaceuticals-limited_19507.html" r:id="rId3644"/>
    <hyperlink xmlns:r="http://schemas.openxmlformats.org/officeDocument/2006/relationships" ref="AB1459" r:id="rId3645"/>
    <hyperlink xmlns:r="http://schemas.openxmlformats.org/officeDocument/2006/relationships" ref="Q1460" display="https://www.sebi.gov.in/sebi_data/attachdocs/1301986407533.pdf" r:id="rId3646"/>
    <hyperlink xmlns:r="http://schemas.openxmlformats.org/officeDocument/2006/relationships" ref="R1460" display="https://www.sebi.gov.in/filings/public-issues/mar-2011/l-and-t-finance-holdings-limited_19505.html" r:id="rId3647"/>
    <hyperlink xmlns:r="http://schemas.openxmlformats.org/officeDocument/2006/relationships" ref="Q1461" display="https://www.sebi.gov.in/sebi_data/attachdocs/1301986511663.pdf" r:id="rId3648"/>
    <hyperlink xmlns:r="http://schemas.openxmlformats.org/officeDocument/2006/relationships" ref="R1461" display="https://www.sebi.gov.in/filings/public-issues/mar-2011/prime-retail-india-ltd_19506.html" r:id="rId3649"/>
    <hyperlink xmlns:r="http://schemas.openxmlformats.org/officeDocument/2006/relationships" ref="AB1461" r:id="rId3650"/>
    <hyperlink xmlns:r="http://schemas.openxmlformats.org/officeDocument/2006/relationships" ref="Q1462" display="https://www.sebi.gov.in/sebi_data/attachdocs/1301986734146.pdf" r:id="rId3651"/>
    <hyperlink xmlns:r="http://schemas.openxmlformats.org/officeDocument/2006/relationships" ref="R1462" display="https://www.sebi.gov.in/filings/public-issues/mar-2011/flexituff-international-limited_19509.html" r:id="rId3652"/>
    <hyperlink xmlns:r="http://schemas.openxmlformats.org/officeDocument/2006/relationships" ref="Q1463" display="https://www.sebi.gov.in/sebi_data/attachdocs/1301986661089.pdf" r:id="rId3653"/>
    <hyperlink xmlns:r="http://schemas.openxmlformats.org/officeDocument/2006/relationships" ref="R1463" display="https://www.sebi.gov.in/filings/public-issues/mar-2011/sheetal-refineries-limited_19508.html" r:id="rId3654"/>
    <hyperlink xmlns:r="http://schemas.openxmlformats.org/officeDocument/2006/relationships" ref="AB1463" r:id="rId3655"/>
    <hyperlink xmlns:r="http://schemas.openxmlformats.org/officeDocument/2006/relationships" ref="Q1464" display="https://www.sebi.gov.in/sebi_data/attachdocs/1301986786845.pdf" r:id="rId3656"/>
    <hyperlink xmlns:r="http://schemas.openxmlformats.org/officeDocument/2006/relationships" ref="R1464" display="https://www.sebi.gov.in/filings/public-issues/mar-2011/intas-pharamaceuticals-limited_19510.html" r:id="rId3657"/>
    <hyperlink xmlns:r="http://schemas.openxmlformats.org/officeDocument/2006/relationships" ref="AB1464" r:id="rId3658"/>
    <hyperlink xmlns:r="http://schemas.openxmlformats.org/officeDocument/2006/relationships" ref="Q1465" display="https://www.sebi.gov.in/sebi_data/attachdocs/1301986840858.pdf" r:id="rId3659"/>
    <hyperlink xmlns:r="http://schemas.openxmlformats.org/officeDocument/2006/relationships" ref="R1465" display="https://www.sebi.gov.in/filings/public-issues/mar-2011/mukesh-udyog-limited_19511.html" r:id="rId3660"/>
    <hyperlink xmlns:r="http://schemas.openxmlformats.org/officeDocument/2006/relationships" ref="AB1465" r:id="rId3661"/>
    <hyperlink xmlns:r="http://schemas.openxmlformats.org/officeDocument/2006/relationships" ref="Q1466" display="https://www.sebi.gov.in/sebi_data/attachdocs/1301986889174.pdf" r:id="rId3662"/>
    <hyperlink xmlns:r="http://schemas.openxmlformats.org/officeDocument/2006/relationships" ref="R1466" display="https://www.sebi.gov.in/filings/public-issues/mar-2011/arch-pharmalabs-limited_19512.html" r:id="rId3663"/>
    <hyperlink xmlns:r="http://schemas.openxmlformats.org/officeDocument/2006/relationships" ref="AB1466" r:id="rId3664"/>
    <hyperlink xmlns:r="http://schemas.openxmlformats.org/officeDocument/2006/relationships" ref="Q1467" display="https://www.sebi.gov.in/sebi_data/attachdocs/1301986944757.pdf" r:id="rId3665"/>
    <hyperlink xmlns:r="http://schemas.openxmlformats.org/officeDocument/2006/relationships" ref="R1467" display="https://www.sebi.gov.in/filings/public-issues/mar-2011/m-s-jaishree-industries-limited_19513.html" r:id="rId3666"/>
    <hyperlink xmlns:r="http://schemas.openxmlformats.org/officeDocument/2006/relationships" ref="AB1467" r:id="rId3667"/>
    <hyperlink xmlns:r="http://schemas.openxmlformats.org/officeDocument/2006/relationships" ref="Q1468" display="https://www.sebi.gov.in/sebi_data/attachdocs/1300859296694.pdf" r:id="rId3668"/>
    <hyperlink xmlns:r="http://schemas.openxmlformats.org/officeDocument/2006/relationships" ref="R1468" display="https://www.sebi.gov.in/filings/public-issues/mar-2011/power-finance-corporation-limited_17884.html" r:id="rId3669"/>
    <hyperlink xmlns:r="http://schemas.openxmlformats.org/officeDocument/2006/relationships" ref="Q1469" display="https://www.sebi.gov.in/sebi_data/attachdocs/1300859396874.pdf" r:id="rId3670"/>
    <hyperlink xmlns:r="http://schemas.openxmlformats.org/officeDocument/2006/relationships" ref="R1469" display="https://www.sebi.gov.in/filings/public-issues/mar-2011/ortel-communications-limited_17886.html" r:id="rId3671"/>
    <hyperlink xmlns:r="http://schemas.openxmlformats.org/officeDocument/2006/relationships" ref="AB1469" r:id="rId3672"/>
    <hyperlink xmlns:r="http://schemas.openxmlformats.org/officeDocument/2006/relationships" ref="Q1470" display="https://www.sebi.gov.in/sebi_data/attachdocs/1300859475288.pdf" r:id="rId3673"/>
    <hyperlink xmlns:r="http://schemas.openxmlformats.org/officeDocument/2006/relationships" ref="R1470" display="https://www.sebi.gov.in/filings/public-issues/mar-2011/powerica-limited_17889.html" r:id="rId3674"/>
    <hyperlink xmlns:r="http://schemas.openxmlformats.org/officeDocument/2006/relationships" ref="AB1470" r:id="rId3675"/>
    <hyperlink xmlns:r="http://schemas.openxmlformats.org/officeDocument/2006/relationships" ref="Q1471" display="https://www.sebi.gov.in/sebi_data/attachdocs/1300859507409.pdf" r:id="rId3676"/>
    <hyperlink xmlns:r="http://schemas.openxmlformats.org/officeDocument/2006/relationships" ref="R1471" display="https://www.sebi.gov.in/filings/public-issues/mar-2011/speciality-restaurants-limited_17890.html" r:id="rId3677"/>
    <hyperlink xmlns:r="http://schemas.openxmlformats.org/officeDocument/2006/relationships" ref="Q1472" display="https://www.sebi.gov.in/sebi_data/attachdocs/1300101373935.pdf" r:id="rId3678"/>
    <hyperlink xmlns:r="http://schemas.openxmlformats.org/officeDocument/2006/relationships" ref="R1472" display="https://www.sebi.gov.in/filings/public-issues/mar-2011/bio-ethanol-agro-industries-limited_16262.html" r:id="rId3679"/>
    <hyperlink xmlns:r="http://schemas.openxmlformats.org/officeDocument/2006/relationships" ref="AB1472" r:id="rId3680"/>
    <hyperlink xmlns:r="http://schemas.openxmlformats.org/officeDocument/2006/relationships" ref="Q1473" display="https://www.sebi.gov.in/sebi_data/attachdocs/1300101421964.pdf" r:id="rId3681"/>
    <hyperlink xmlns:r="http://schemas.openxmlformats.org/officeDocument/2006/relationships" ref="R1473" display="https://www.sebi.gov.in/filings/public-issues/feb-2011/td-power-systems-limited_16264.html" r:id="rId3682"/>
    <hyperlink xmlns:r="http://schemas.openxmlformats.org/officeDocument/2006/relationships" ref="Q1474" display="https://www.sebi.gov.in/sebi_data/attachdocs/1300101469768.pdf" r:id="rId3683"/>
    <hyperlink xmlns:r="http://schemas.openxmlformats.org/officeDocument/2006/relationships" ref="R1474" display="https://www.sebi.gov.in/filings/public-issues/feb-2011/tree-house-education-and-accessories-limited_16265.html" r:id="rId3684"/>
    <hyperlink xmlns:r="http://schemas.openxmlformats.org/officeDocument/2006/relationships" ref="Q1475" display="https://www.sebi.gov.in/sebi_data/attachdocs/1300101526449.pdf" r:id="rId3685"/>
    <hyperlink xmlns:r="http://schemas.openxmlformats.org/officeDocument/2006/relationships" ref="R1475" display="https://www.sebi.gov.in/filings/public-issues/feb-2011/super-religare-laboratories-limited_16266.html" r:id="rId3686"/>
    <hyperlink xmlns:r="http://schemas.openxmlformats.org/officeDocument/2006/relationships" ref="AB1475" r:id="rId3687"/>
    <hyperlink xmlns:r="http://schemas.openxmlformats.org/officeDocument/2006/relationships" ref="Q1476" display="https://www.sebi.gov.in/sebi_data/attachdocs/1300101600025.pdf" r:id="rId3688"/>
    <hyperlink xmlns:r="http://schemas.openxmlformats.org/officeDocument/2006/relationships" ref="R1476" display="https://www.sebi.gov.in/filings/public-issues/feb-2011/adroit-industries-india-limited_16267.html" r:id="rId3689"/>
    <hyperlink xmlns:r="http://schemas.openxmlformats.org/officeDocument/2006/relationships" ref="AB1476" r:id="rId3690"/>
    <hyperlink xmlns:r="http://schemas.openxmlformats.org/officeDocument/2006/relationships" ref="Q1477" display="https://www.sebi.gov.in/sebi_data/attachdocs/1297488276964.pdf" r:id="rId3691"/>
    <hyperlink xmlns:r="http://schemas.openxmlformats.org/officeDocument/2006/relationships" ref="R1477" display="https://www.sebi.gov.in/filings/public-issues/feb-2011/ratanchand-jewellers-limited_15215.html" r:id="rId3692"/>
    <hyperlink xmlns:r="http://schemas.openxmlformats.org/officeDocument/2006/relationships" ref="AB1477" r:id="rId3693"/>
    <hyperlink xmlns:r="http://schemas.openxmlformats.org/officeDocument/2006/relationships" ref="Q1478" display="https://www.sebi.gov.in/sebi_data/attachdocs/1297162439600.pdf" r:id="rId3694"/>
    <hyperlink xmlns:r="http://schemas.openxmlformats.org/officeDocument/2006/relationships" ref="R1478" display="https://www.sebi.gov.in/filings/public-issues/feb-2011/gajra-differential-gears-limited_15008.html" r:id="rId3695"/>
    <hyperlink xmlns:r="http://schemas.openxmlformats.org/officeDocument/2006/relationships" ref="AB1478" r:id="rId3696"/>
    <hyperlink xmlns:r="http://schemas.openxmlformats.org/officeDocument/2006/relationships" ref="Q1479" display="https://www.sebi.gov.in/sebi_data/attachdocs/1297162915070.pdf" r:id="rId3697"/>
    <hyperlink xmlns:r="http://schemas.openxmlformats.org/officeDocument/2006/relationships" ref="R1479" display="https://www.sebi.gov.in/filings/public-issues/feb-2011/jawed-habib-hair-and-beauty-limited_15009.html" r:id="rId3698"/>
    <hyperlink xmlns:r="http://schemas.openxmlformats.org/officeDocument/2006/relationships" ref="AB1479" r:id="rId3699"/>
    <hyperlink xmlns:r="http://schemas.openxmlformats.org/officeDocument/2006/relationships" ref="Q1480" display="https://www.sebi.gov.in/sebi_data/attachdocs/1297163363575.pdf" r:id="rId3700"/>
    <hyperlink xmlns:r="http://schemas.openxmlformats.org/officeDocument/2006/relationships" ref="R1480" display="https://www.sebi.gov.in/filings/public-issues/jan-2011/joyalukkas-india-limited_15012.html" r:id="rId3701"/>
    <hyperlink xmlns:r="http://schemas.openxmlformats.org/officeDocument/2006/relationships" ref="AB1480" r:id="rId3702"/>
    <hyperlink xmlns:r="http://schemas.openxmlformats.org/officeDocument/2006/relationships" ref="Q1481" display="https://www.sebi.gov.in/sebi_data/attachdocs/1297163420641.pdf" r:id="rId3703"/>
    <hyperlink xmlns:r="http://schemas.openxmlformats.org/officeDocument/2006/relationships" ref="R1481" display="https://www.sebi.gov.in/filings/public-issues/jan-2011/sanco-industries-limited_15013.html" r:id="rId3704"/>
    <hyperlink xmlns:r="http://schemas.openxmlformats.org/officeDocument/2006/relationships" ref="AB1481" r:id="rId3705"/>
    <hyperlink xmlns:r="http://schemas.openxmlformats.org/officeDocument/2006/relationships" ref="Q1482" display="https://www.sebi.gov.in/sebi_data/attachdocs/1297163290717.pdf" r:id="rId3706"/>
    <hyperlink xmlns:r="http://schemas.openxmlformats.org/officeDocument/2006/relationships" ref="R1482" display="https://www.sebi.gov.in/filings/public-issues/jan-2011/tribhovandas-bhimji-zaveri-limited_15011.html" r:id="rId3707"/>
    <hyperlink xmlns:r="http://schemas.openxmlformats.org/officeDocument/2006/relationships" ref="Q1483" display="https://www.sebi.gov.in/sebi_data/attachdocs/1297163490290.pdf" r:id="rId3708"/>
    <hyperlink xmlns:r="http://schemas.openxmlformats.org/officeDocument/2006/relationships" ref="R1483" display="https://www.sebi.gov.in/filings/public-issues/jan-2011/goodwill-hospital-and-research-centre-limited_15015.html" r:id="rId3709"/>
    <hyperlink xmlns:r="http://schemas.openxmlformats.org/officeDocument/2006/relationships" ref="AB1483" r:id="rId3710"/>
    <hyperlink xmlns:r="http://schemas.openxmlformats.org/officeDocument/2006/relationships" ref="Q1484" display="https://www.sebi.gov.in/sebi_data/attachdocs/1295948840375.pdf" r:id="rId3711"/>
    <hyperlink xmlns:r="http://schemas.openxmlformats.org/officeDocument/2006/relationships" ref="R1484" display="https://www.sebi.gov.in/filings/public-issues/jan-2011/m-and-b-switchgear-limited_14564.html" r:id="rId3712"/>
    <hyperlink xmlns:r="http://schemas.openxmlformats.org/officeDocument/2006/relationships" ref="Q1485" display="https://www.sebi.gov.in/sebi_data/attachdocs/1295948892152.pdf" r:id="rId3713"/>
    <hyperlink xmlns:r="http://schemas.openxmlformats.org/officeDocument/2006/relationships" ref="R1485" display="https://www.sebi.gov.in/filings/public-issues/jan-2011/comfort-securities-limited_14565.html" r:id="rId3714"/>
    <hyperlink xmlns:r="http://schemas.openxmlformats.org/officeDocument/2006/relationships" ref="AB1485" r:id="rId3715"/>
    <hyperlink xmlns:r="http://schemas.openxmlformats.org/officeDocument/2006/relationships" ref="Q1486" display="https://www.sebi.gov.in/sebi_data/attachdocs/1295948945719.pdf" r:id="rId3716"/>
    <hyperlink xmlns:r="http://schemas.openxmlformats.org/officeDocument/2006/relationships" ref="R1486" display="https://www.sebi.gov.in/filings/public-issues/jan-2011/point-red-telecom-limited_14566.html" r:id="rId3717"/>
    <hyperlink xmlns:r="http://schemas.openxmlformats.org/officeDocument/2006/relationships" ref="AB1486" r:id="rId3718"/>
    <hyperlink xmlns:r="http://schemas.openxmlformats.org/officeDocument/2006/relationships" ref="Q1487" display="https://www.sebi.gov.in/sebi_data/attachdocs/1295949004642.pdf" r:id="rId3719"/>
    <hyperlink xmlns:r="http://schemas.openxmlformats.org/officeDocument/2006/relationships" ref="R1487" display="https://www.sebi.gov.in/filings/public-issues/jan-2011/trim-plastics-limited_14567.html" r:id="rId3720"/>
    <hyperlink xmlns:r="http://schemas.openxmlformats.org/officeDocument/2006/relationships" ref="AB1487" r:id="rId3721"/>
    <hyperlink xmlns:r="http://schemas.openxmlformats.org/officeDocument/2006/relationships" ref="Q1488" display="https://www.sebi.gov.in/sebi_data/attachdocs/1295949079268.pdf" r:id="rId3722"/>
    <hyperlink xmlns:r="http://schemas.openxmlformats.org/officeDocument/2006/relationships" ref="R1488" display="https://www.sebi.gov.in/filings/public-issues/jan-2011/tata-autocomp-systems-limited_14568.html" r:id="rId3723"/>
    <hyperlink xmlns:r="http://schemas.openxmlformats.org/officeDocument/2006/relationships" ref="AB1488" r:id="rId3724"/>
    <hyperlink xmlns:r="http://schemas.openxmlformats.org/officeDocument/2006/relationships" ref="Q1489" display="https://www.sebi.gov.in/sebi_data/attachdocs/1295949512336.pdf" r:id="rId3725"/>
    <hyperlink xmlns:r="http://schemas.openxmlformats.org/officeDocument/2006/relationships" ref="R1489" display="https://www.sebi.gov.in/filings/public-issues/jan-2011/taksheel-solutions-ltd_14569.html" r:id="rId3726"/>
    <hyperlink xmlns:r="http://schemas.openxmlformats.org/officeDocument/2006/relationships" ref="AB1489" r:id="rId3727"/>
    <hyperlink xmlns:r="http://schemas.openxmlformats.org/officeDocument/2006/relationships" ref="Q1490" display="https://www.sebi.gov.in/sebi_data/attachdocs/1295949634250.pdf" r:id="rId3728"/>
    <hyperlink xmlns:r="http://schemas.openxmlformats.org/officeDocument/2006/relationships" ref="R1490" display="https://www.sebi.gov.in/filings/public-issues/dec-2010/lokmat-media-limited_14570.html" r:id="rId3729"/>
    <hyperlink xmlns:r="http://schemas.openxmlformats.org/officeDocument/2006/relationships" ref="Q1491" display="https://www.sebi.gov.in/sebi_data/attachdocs/1294031557334.pdf" r:id="rId3730"/>
    <hyperlink xmlns:r="http://schemas.openxmlformats.org/officeDocument/2006/relationships" ref="R1491" display="https://www.sebi.gov.in/filings/public-issues/dec-2010/modern-tube-industries-limited_14106.html" r:id="rId3731"/>
    <hyperlink xmlns:r="http://schemas.openxmlformats.org/officeDocument/2006/relationships" ref="Q1492" display="https://www.sebi.gov.in/sebi_data/attachdocs/1294031662978.pdf" r:id="rId3732"/>
    <hyperlink xmlns:r="http://schemas.openxmlformats.org/officeDocument/2006/relationships" ref="R1492" display="https://www.sebi.gov.in/filings/public-issues/dec-2010/net-alter-software-limited_14107.html" r:id="rId3733"/>
    <hyperlink xmlns:r="http://schemas.openxmlformats.org/officeDocument/2006/relationships" ref="Q1493" display="https://www.sebi.gov.in/sebi_data/attachdocs/1294031472237.pdf" r:id="rId3734"/>
    <hyperlink xmlns:r="http://schemas.openxmlformats.org/officeDocument/2006/relationships" ref="R1493" display="https://www.sebi.gov.in/filings/public-issues/dec-2010/sabari-inn-limited_14105.html" r:id="rId3735"/>
    <hyperlink xmlns:r="http://schemas.openxmlformats.org/officeDocument/2006/relationships" ref="Q1494" display="https://www.sebi.gov.in/sebi_data/attachdocs/1294031751991.pdf" r:id="rId3736"/>
    <hyperlink xmlns:r="http://schemas.openxmlformats.org/officeDocument/2006/relationships" ref="R1494" display="https://www.sebi.gov.in/filings/public-issues/dec-2010/ptc-india-financial-services-limited_14108.html" r:id="rId3737"/>
    <hyperlink xmlns:r="http://schemas.openxmlformats.org/officeDocument/2006/relationships" ref="Q1495" display="https://www.sebi.gov.in/sebi_data/attachdocs/1294031817219.pdf" r:id="rId3738"/>
    <hyperlink xmlns:r="http://schemas.openxmlformats.org/officeDocument/2006/relationships" ref="R1495" display="https://www.sebi.gov.in/filings/public-issues/dec-2010/onelife-capital-advisors-limited_14109.html" r:id="rId3739"/>
    <hyperlink xmlns:r="http://schemas.openxmlformats.org/officeDocument/2006/relationships" ref="Q1496" display="https://www.sebi.gov.in/sebi_data/attachdocs/1294031891839.pdf" r:id="rId3740"/>
    <hyperlink xmlns:r="http://schemas.openxmlformats.org/officeDocument/2006/relationships" ref="R1496" display="https://www.sebi.gov.in/filings/public-issues/dec-2010/sabari-inn-limited_14110.html" r:id="rId3741"/>
    <hyperlink xmlns:r="http://schemas.openxmlformats.org/officeDocument/2006/relationships" ref="Q1497" display="https://www.sebi.gov.in/sebi_data/attachdocs/1294032849402.pdf" r:id="rId3742"/>
    <hyperlink xmlns:r="http://schemas.openxmlformats.org/officeDocument/2006/relationships" ref="R1497" display="https://www.sebi.gov.in/filings/public-issues/dec-2010/shree-hanuman-sugar-and-industries-ltd_14112.html" r:id="rId3743"/>
    <hyperlink xmlns:r="http://schemas.openxmlformats.org/officeDocument/2006/relationships" ref="Q1498" display="https://www.sebi.gov.in/sebi_data/attachdocs/1294032954699.pdf" r:id="rId3744"/>
    <hyperlink xmlns:r="http://schemas.openxmlformats.org/officeDocument/2006/relationships" ref="R1498" display="https://www.sebi.gov.in/filings/public-issues/dec-2010/vrl-logistics-limited_14113.html" r:id="rId3745"/>
    <hyperlink xmlns:r="http://schemas.openxmlformats.org/officeDocument/2006/relationships" ref="AB1498" r:id="rId3746"/>
    <hyperlink xmlns:r="http://schemas.openxmlformats.org/officeDocument/2006/relationships" ref="Q1499" display="https://www.sebi.gov.in/sebi_data/attachdocs/1294033665365.pdf" r:id="rId3747"/>
    <hyperlink xmlns:r="http://schemas.openxmlformats.org/officeDocument/2006/relationships" ref="R1499" display="https://www.sebi.gov.in/filings/public-issues/dec-2010/reid-and-taylor-india-limited_14114.html" r:id="rId3748"/>
    <hyperlink xmlns:r="http://schemas.openxmlformats.org/officeDocument/2006/relationships" ref="AB1499" r:id="rId3749"/>
    <hyperlink xmlns:r="http://schemas.openxmlformats.org/officeDocument/2006/relationships" ref="Q1500" display="https://www.sebi.gov.in/sebi_data/attachdocs/1294033779420.pdf" r:id="rId3750"/>
    <hyperlink xmlns:r="http://schemas.openxmlformats.org/officeDocument/2006/relationships" ref="R1500" display="https://www.sebi.gov.in/filings/public-issues/dec-2010/olympic-cards-limited_14115.html" r:id="rId3751"/>
    <hyperlink xmlns:r="http://schemas.openxmlformats.org/officeDocument/2006/relationships" ref="Q1501" display="https://www.sebi.gov.in/sebi_data/attachdocs/1294033882488.pdf" r:id="rId3752"/>
    <hyperlink xmlns:r="http://schemas.openxmlformats.org/officeDocument/2006/relationships" ref="R1501" display="https://www.sebi.gov.in/filings/public-issues/dec-2010/max-flex-and-imaging-system-limited_14116.html" r:id="rId3753"/>
    <hyperlink xmlns:r="http://schemas.openxmlformats.org/officeDocument/2006/relationships" ref="Q1502" display="https://www.sebi.gov.in/sebi_data/attachdocs/1294033998838.pdf" r:id="rId3754"/>
    <hyperlink xmlns:r="http://schemas.openxmlformats.org/officeDocument/2006/relationships" ref="R1502" display="https://www.sebi.gov.in/filings/public-issues/nov-2010/plastene-india-ltd_14117.html" r:id="rId3755"/>
    <hyperlink xmlns:r="http://schemas.openxmlformats.org/officeDocument/2006/relationships" ref="AB1502" r:id="rId3756"/>
    <hyperlink xmlns:r="http://schemas.openxmlformats.org/officeDocument/2006/relationships" ref="Q1503" display="https://www.sebi.gov.in/sebi_data/attachdocs/1294034061065.pdf" r:id="rId3757"/>
    <hyperlink xmlns:r="http://schemas.openxmlformats.org/officeDocument/2006/relationships" ref="R1503" display="https://www.sebi.gov.in/filings/public-issues/nov-2010/brooks-laboratories-ltd_14118.html" r:id="rId3758"/>
    <hyperlink xmlns:r="http://schemas.openxmlformats.org/officeDocument/2006/relationships" ref="Q1504" display="https://www.sebi.gov.in/sebi_data/attachdocs/1294034126382.pdf" r:id="rId3759"/>
    <hyperlink xmlns:r="http://schemas.openxmlformats.org/officeDocument/2006/relationships" ref="R1504" display="https://www.sebi.gov.in/filings/public-issues/nov-2010/readymade-steel-india-limited_14119.html" r:id="rId3760"/>
    <hyperlink xmlns:r="http://schemas.openxmlformats.org/officeDocument/2006/relationships" ref="Q1505" display="https://www.sebi.gov.in/sebi_data/attachdocs/1294034223614.pdf" r:id="rId3761"/>
    <hyperlink xmlns:r="http://schemas.openxmlformats.org/officeDocument/2006/relationships" ref="R1505" display="https://www.sebi.gov.in/filings/public-issues/nov-2010/semantic-space-technologies-limited_14121.html" r:id="rId3762"/>
    <hyperlink xmlns:r="http://schemas.openxmlformats.org/officeDocument/2006/relationships" ref="Q1506" display="https://www.sebi.gov.in/sebi_data/attachdocs/1294034286562.pdf" r:id="rId3763"/>
    <hyperlink xmlns:r="http://schemas.openxmlformats.org/officeDocument/2006/relationships" ref="R1506" display="https://www.sebi.gov.in/filings/public-issues/nov-2010/lovable-lingerie-limited_14123.html" r:id="rId3764"/>
    <hyperlink xmlns:r="http://schemas.openxmlformats.org/officeDocument/2006/relationships" ref="Q1507" display="https://www.sebi.gov.in/sebi_data/attachdocs/1291272068658.pdf" r:id="rId3765"/>
    <hyperlink xmlns:r="http://schemas.openxmlformats.org/officeDocument/2006/relationships" ref="R1507" display="https://www.sebi.gov.in/filings/public-issues/nov-2010/gemini-engi-fab-limited_7308.html" r:id="rId3766"/>
    <hyperlink xmlns:r="http://schemas.openxmlformats.org/officeDocument/2006/relationships" ref="AB1507" r:id="rId3767"/>
    <hyperlink xmlns:r="http://schemas.openxmlformats.org/officeDocument/2006/relationships" ref="Q1508" display="https://www.sebi.gov.in/sebi_data/attachdocs/1291275278720.pdf" r:id="rId3768"/>
    <hyperlink xmlns:r="http://schemas.openxmlformats.org/officeDocument/2006/relationships" ref="R1508" display="https://www.sebi.gov.in/filings/public-issues/nov-2010/bharatiya-global-infomedia-limited_7357.html" r:id="rId3769"/>
    <hyperlink xmlns:r="http://schemas.openxmlformats.org/officeDocument/2006/relationships" ref="Q1509" display="https://www.sebi.gov.in/sebi_data/attachdocs/1291275390498.pdf" r:id="rId3770"/>
    <hyperlink xmlns:r="http://schemas.openxmlformats.org/officeDocument/2006/relationships" ref="R1509" display="https://www.sebi.gov.in/filings/public-issues/nov-2010/palco-recycle-industries-limited_7360.html" r:id="rId3771"/>
    <hyperlink xmlns:r="http://schemas.openxmlformats.org/officeDocument/2006/relationships" ref="AB1509" r:id="rId3772"/>
    <hyperlink xmlns:r="http://schemas.openxmlformats.org/officeDocument/2006/relationships" ref="Q1510" display="https://www.sebi.gov.in/sebi_data/attachdocs/1287654517123.pdf" r:id="rId3773"/>
    <hyperlink xmlns:r="http://schemas.openxmlformats.org/officeDocument/2006/relationships" ref="R1510" display="https://www.sebi.gov.in/filings/public-issues/oct-2010/the-shipping-corporation-of-india-limited_313.html" r:id="rId3774"/>
    <hyperlink xmlns:r="http://schemas.openxmlformats.org/officeDocument/2006/relationships" ref="Q1511" display="https://www.sebi.gov.in/sebi_data/attachdocs/1294980299786.pdf" r:id="rId3775"/>
    <hyperlink xmlns:r="http://schemas.openxmlformats.org/officeDocument/2006/relationships" ref="R1511" display="https://www.sebi.gov.in/filings/public-issues/oct-2010/innoventive-industries-limited_14275.html" r:id="rId3776"/>
    <hyperlink xmlns:r="http://schemas.openxmlformats.org/officeDocument/2006/relationships" ref="AB1511" r:id="rId3777"/>
    <hyperlink xmlns:r="http://schemas.openxmlformats.org/officeDocument/2006/relationships" ref="Q1512" display="https://www.sebi.gov.in/sebi_data/attachdocs/1287654560946.pdf" r:id="rId3778"/>
    <hyperlink xmlns:r="http://schemas.openxmlformats.org/officeDocument/2006/relationships" ref="R1512" display="https://www.sebi.gov.in/filings/public-issues/oct-2010/marck-biosciences-limited_314.html" r:id="rId3779"/>
    <hyperlink xmlns:r="http://schemas.openxmlformats.org/officeDocument/2006/relationships" ref="Q1513" display="https://www.sebi.gov.in/sebi_data/attachdocs/1287654839515.pdf" r:id="rId3780"/>
    <hyperlink xmlns:r="http://schemas.openxmlformats.org/officeDocument/2006/relationships" ref="R1513" display="https://www.sebi.gov.in/filings/public-issues/oct-2010/micromax-informatics-limited_319.html" r:id="rId3781"/>
    <hyperlink xmlns:r="http://schemas.openxmlformats.org/officeDocument/2006/relationships" ref="AB1513" r:id="rId3782"/>
    <hyperlink xmlns:r="http://schemas.openxmlformats.org/officeDocument/2006/relationships" ref="Q1514" display="https://www.sebi.gov.in/sebi_data/attachdocs/1287654809561.pdf" r:id="rId3783"/>
    <hyperlink xmlns:r="http://schemas.openxmlformats.org/officeDocument/2006/relationships" ref="R1514" display="https://www.sebi.gov.in/filings/public-issues/oct-2010/nimbus-communications-limited_318.html" r:id="rId3784"/>
    <hyperlink xmlns:r="http://schemas.openxmlformats.org/officeDocument/2006/relationships" ref="AB1514" r:id="rId3785"/>
    <hyperlink xmlns:r="http://schemas.openxmlformats.org/officeDocument/2006/relationships" ref="Q1515" display="https://www.sebi.gov.in/sebi_data/attachdocs/1287654699124.pdf" r:id="rId3786"/>
    <hyperlink xmlns:r="http://schemas.openxmlformats.org/officeDocument/2006/relationships" ref="R1515" display="https://www.sebi.gov.in/filings/public-issues/oct-2010/scotts-garments-limited_316.html" r:id="rId3787"/>
    <hyperlink xmlns:r="http://schemas.openxmlformats.org/officeDocument/2006/relationships" ref="AB1515" r:id="rId3788"/>
    <hyperlink xmlns:r="http://schemas.openxmlformats.org/officeDocument/2006/relationships" ref="Q1516" display="https://www.sebi.gov.in/sebi_data/attachdocs/1287654602793.pdf" r:id="rId3789"/>
    <hyperlink xmlns:r="http://schemas.openxmlformats.org/officeDocument/2006/relationships" ref="R1516" display="https://www.sebi.gov.in/filings/public-issues/oct-2010/sonear-industries-limited_315.html" r:id="rId3790"/>
    <hyperlink xmlns:r="http://schemas.openxmlformats.org/officeDocument/2006/relationships" ref="Q1517" display="https://www.sebi.gov.in/sebi_data/attachdocs/1287654740400.pdf" r:id="rId3791"/>
    <hyperlink xmlns:r="http://schemas.openxmlformats.org/officeDocument/2006/relationships" ref="R1517" display="https://www.sebi.gov.in/filings/public-issues/oct-2010/tara-jewels-limited_317.html" r:id="rId3792"/>
    <hyperlink xmlns:r="http://schemas.openxmlformats.org/officeDocument/2006/relationships" ref="AB1517" r:id="rId3793"/>
    <hyperlink xmlns:r="http://schemas.openxmlformats.org/officeDocument/2006/relationships" ref="Q1518" display="https://www.sebi.gov.in/sebi_data/attachdocs/1287654998251.pdf" r:id="rId3794"/>
    <hyperlink xmlns:r="http://schemas.openxmlformats.org/officeDocument/2006/relationships" ref="R1518" display="https://www.sebi.gov.in/filings/public-issues/oct-2010/emaar-mgf-land-limited_323.html" r:id="rId3795"/>
    <hyperlink xmlns:r="http://schemas.openxmlformats.org/officeDocument/2006/relationships" ref="AB1518" r:id="rId3796"/>
    <hyperlink xmlns:r="http://schemas.openxmlformats.org/officeDocument/2006/relationships" ref="Q1519" display="https://www.sebi.gov.in/sebi_data/attachdocs/1287654921886.pdf" r:id="rId3797"/>
    <hyperlink xmlns:r="http://schemas.openxmlformats.org/officeDocument/2006/relationships" ref="R1519" display="https://www.sebi.gov.in/filings/public-issues/oct-2010/muthoot-finance-limited_321.html" r:id="rId3798"/>
    <hyperlink xmlns:r="http://schemas.openxmlformats.org/officeDocument/2006/relationships" ref="Q1520" display="https://www.sebi.gov.in/sebi_data/attachdocs/1287655077290.pdf" r:id="rId3799"/>
    <hyperlink xmlns:r="http://schemas.openxmlformats.org/officeDocument/2006/relationships" ref="R1520" display="https://www.sebi.gov.in/filings/public-issues/oct-2010/pride-hotels-limited_325.html" r:id="rId3800"/>
    <hyperlink xmlns:r="http://schemas.openxmlformats.org/officeDocument/2006/relationships" ref="AB1520" r:id="rId3801"/>
    <hyperlink xmlns:r="http://schemas.openxmlformats.org/officeDocument/2006/relationships" ref="Q1521" display="https://www.sebi.gov.in/sebi_data/attachdocs/1287654953690.pdf" r:id="rId3802"/>
    <hyperlink xmlns:r="http://schemas.openxmlformats.org/officeDocument/2006/relationships" ref="R1521" display="https://www.sebi.gov.in/filings/public-issues/oct-2010/tara-health-foods-limited_322.html" r:id="rId3803"/>
    <hyperlink xmlns:r="http://schemas.openxmlformats.org/officeDocument/2006/relationships" ref="AB1521" r:id="rId3804"/>
    <hyperlink xmlns:r="http://schemas.openxmlformats.org/officeDocument/2006/relationships" ref="Q1522" display="https://www.sebi.gov.in/sebi_data/attachdocs/1287654874093.pdf" r:id="rId3805"/>
    <hyperlink xmlns:r="http://schemas.openxmlformats.org/officeDocument/2006/relationships" ref="R1522" display="https://www.sebi.gov.in/filings/public-issues/oct-2010/tijaria-polypipes-limited_320.html" r:id="rId3806"/>
    <hyperlink xmlns:r="http://schemas.openxmlformats.org/officeDocument/2006/relationships" ref="Q1523" display="https://www.sebi.gov.in/sebi_data/attachdocs/1287655027066.pdf" r:id="rId3807"/>
    <hyperlink xmlns:r="http://schemas.openxmlformats.org/officeDocument/2006/relationships" ref="R1523" display="https://www.sebi.gov.in/filings/public-issues/oct-2010/unijules-life-science-limited_324.html" r:id="rId3808"/>
    <hyperlink xmlns:r="http://schemas.openxmlformats.org/officeDocument/2006/relationships" ref="Q1524" display="https://www.sebi.gov.in/sebi_data/attachdocs/1287656094596.pdf" r:id="rId3809"/>
    <hyperlink xmlns:r="http://schemas.openxmlformats.org/officeDocument/2006/relationships" ref="R1524" display="https://www.sebi.gov.in/filings/public-issues/oct-2010/endurance-technologies-limited_327.html" r:id="rId3810"/>
    <hyperlink xmlns:r="http://schemas.openxmlformats.org/officeDocument/2006/relationships" ref="AB1524" r:id="rId3811"/>
    <hyperlink xmlns:r="http://schemas.openxmlformats.org/officeDocument/2006/relationships" ref="Q1525" display="https://www.sebi.gov.in/sebi_data/attachdocs/1287656054703.pdf" r:id="rId3812"/>
    <hyperlink xmlns:r="http://schemas.openxmlformats.org/officeDocument/2006/relationships" ref="R1525" display="https://www.sebi.gov.in/filings/public-issues/oct-2010/vaswani-industries-limited_326.html" r:id="rId3813"/>
    <hyperlink xmlns:r="http://schemas.openxmlformats.org/officeDocument/2006/relationships" ref="Q1526" display="https://www.sebi.gov.in/sebi_data/attachdocs/1287642829235.pdf" r:id="rId3814"/>
    <hyperlink xmlns:r="http://schemas.openxmlformats.org/officeDocument/2006/relationships" ref="R1526" display="https://www.sebi.gov.in/filings/public-issues/sep-2010/hindustan-copper-limited_236.html" r:id="rId3815"/>
    <hyperlink xmlns:r="http://schemas.openxmlformats.org/officeDocument/2006/relationships" ref="AB1526" r:id="rId3816"/>
    <hyperlink xmlns:r="http://schemas.openxmlformats.org/officeDocument/2006/relationships" ref="Q1527" display="https://www.sebi.gov.in/sebi_data/attachdocs/1287642764803.pdf" r:id="rId3817"/>
    <hyperlink xmlns:r="http://schemas.openxmlformats.org/officeDocument/2006/relationships" ref="R1527" display="https://www.sebi.gov.in/filings/public-issues/sep-2010/sanghvi-forging-and-engineering-ltd_235.html" r:id="rId3818"/>
    <hyperlink xmlns:r="http://schemas.openxmlformats.org/officeDocument/2006/relationships" ref="Q1528" display="https://www.sebi.gov.in/sebi_data/attachdocs/1287642884321.pdf" r:id="rId3819"/>
    <hyperlink xmlns:r="http://schemas.openxmlformats.org/officeDocument/2006/relationships" ref="R1528" display="https://www.sebi.gov.in/filings/public-issues/sep-2010/fineotex-chemical-limited_237.html" r:id="rId3820"/>
    <hyperlink xmlns:r="http://schemas.openxmlformats.org/officeDocument/2006/relationships" ref="Q1529" display="https://www.sebi.gov.in/sebi_data/attachdocs/1287470499930.pdf" r:id="rId3821"/>
    <hyperlink xmlns:r="http://schemas.openxmlformats.org/officeDocument/2006/relationships" ref="R1529" display="https://www.sebi.gov.in/filings/public-issues/sep-2010/l-and-t-finance-holdings-limited_137.html" r:id="rId3822"/>
    <hyperlink xmlns:r="http://schemas.openxmlformats.org/officeDocument/2006/relationships" ref="Q1530" display="https://www.sebi.gov.in/sebi_data/attachdocs/1287470583846.pdf" r:id="rId3823"/>
    <hyperlink xmlns:r="http://schemas.openxmlformats.org/officeDocument/2006/relationships" ref="R1530" display="https://www.sebi.gov.in/filings/public-issues/sep-2010/moil-limited_138.html" r:id="rId3824"/>
    <hyperlink xmlns:r="http://schemas.openxmlformats.org/officeDocument/2006/relationships" ref="Q1531" display="https://www.sebi.gov.in/sebi_data/attachdocs/1287470358708.pdf" r:id="rId3825"/>
    <hyperlink xmlns:r="http://schemas.openxmlformats.org/officeDocument/2006/relationships" ref="R1531" display="https://www.sebi.gov.in/filings/public-issues/sep-2010/ags-transact-technologies-limited_135.html" r:id="rId3826"/>
    <hyperlink xmlns:r="http://schemas.openxmlformats.org/officeDocument/2006/relationships" ref="AB1531" r:id="rId3827"/>
    <hyperlink xmlns:r="http://schemas.openxmlformats.org/officeDocument/2006/relationships" ref="Q1532" display="https://www.sebi.gov.in/sebi_data/attachdocs/1287470300082.pdf" r:id="rId3828"/>
    <hyperlink xmlns:r="http://schemas.openxmlformats.org/officeDocument/2006/relationships" ref="R1532" display="https://www.sebi.gov.in/filings/public-issues/sep-2010/aravali-infrapower-limited_134.html" r:id="rId3829"/>
    <hyperlink xmlns:r="http://schemas.openxmlformats.org/officeDocument/2006/relationships" ref="AB1532" r:id="rId3830"/>
    <hyperlink xmlns:r="http://schemas.openxmlformats.org/officeDocument/2006/relationships" ref="Q1533" display="https://www.sebi.gov.in/sebi_data/attachdocs/1287470434294.pdf" r:id="rId3831"/>
    <hyperlink xmlns:r="http://schemas.openxmlformats.org/officeDocument/2006/relationships" ref="R1533" display="https://www.sebi.gov.in/filings/public-issues/sep-2010/timbor-home-limited_136.html" r:id="rId3832"/>
    <hyperlink xmlns:r="http://schemas.openxmlformats.org/officeDocument/2006/relationships" ref="AB1533" r:id="rId3833"/>
    <hyperlink xmlns:r="http://schemas.openxmlformats.org/officeDocument/2006/relationships" ref="Q1534" display="https://www.sebi.gov.in/sebi_data/attachdocs/1287470172089.pdf" r:id="rId3834"/>
    <hyperlink xmlns:r="http://schemas.openxmlformats.org/officeDocument/2006/relationships" ref="R1534" display="https://www.sebi.gov.in/filings/public-issues/sep-2010/kalpataru-limited_132.html" r:id="rId3835"/>
    <hyperlink xmlns:r="http://schemas.openxmlformats.org/officeDocument/2006/relationships" ref="AB1534" r:id="rId3836"/>
    <hyperlink xmlns:r="http://schemas.openxmlformats.org/officeDocument/2006/relationships" ref="Q1535" display="https://www.sebi.gov.in/sebi_data/attachdocs/1287470246589.pdf" r:id="rId3837"/>
    <hyperlink xmlns:r="http://schemas.openxmlformats.org/officeDocument/2006/relationships" ref="R1535" display="https://www.sebi.gov.in/filings/public-issues/sep-2010/paramount-printpackaging-limited_133.html" r:id="rId3838"/>
    <hyperlink xmlns:r="http://schemas.openxmlformats.org/officeDocument/2006/relationships" ref="AB1535" r:id="rId3839"/>
    <hyperlink xmlns:r="http://schemas.openxmlformats.org/officeDocument/2006/relationships" ref="Q1536" display="https://www.sebi.gov.in/sebi_data/attachdocs/1287470033714.pdf" r:id="rId3840"/>
    <hyperlink xmlns:r="http://schemas.openxmlformats.org/officeDocument/2006/relationships" ref="R1536" display="https://www.sebi.gov.in/filings/public-issues/sep-2010/pg-electroplast-limited_130.html" r:id="rId3841"/>
    <hyperlink xmlns:r="http://schemas.openxmlformats.org/officeDocument/2006/relationships" ref="Q1537" display="https://www.sebi.gov.in/sebi_data/attachdocs/1287470111452.pdf" r:id="rId3842"/>
    <hyperlink xmlns:r="http://schemas.openxmlformats.org/officeDocument/2006/relationships" ref="R1537" display="https://www.sebi.gov.in/filings/public-issues/sep-2010/rama-medicares-limited_131.html" r:id="rId3843"/>
    <hyperlink xmlns:r="http://schemas.openxmlformats.org/officeDocument/2006/relationships" ref="Q1538" display="https://www.sebi.gov.in/sebi_data/attachdocs/1287469924881.pdf" r:id="rId3844"/>
    <hyperlink xmlns:r="http://schemas.openxmlformats.org/officeDocument/2006/relationships" ref="R1538" display="https://www.sebi.gov.in/filings/public-issues/sep-2010/blend-financial-services-limited_129.html" r:id="rId3845"/>
    <hyperlink xmlns:r="http://schemas.openxmlformats.org/officeDocument/2006/relationships" ref="AB1538" r:id="rId3846"/>
    <hyperlink xmlns:r="http://schemas.openxmlformats.org/officeDocument/2006/relationships" ref="Q1539" display="https://www.sebi.gov.in/sebi_data/attachdocs/1287469816238.pdf" r:id="rId3847"/>
    <hyperlink xmlns:r="http://schemas.openxmlformats.org/officeDocument/2006/relationships" ref="R1539" display="https://www.sebi.gov.in/filings/public-issues/sep-2010/aanjaneya-lifecare-limited_127.html" r:id="rId3848"/>
    <hyperlink xmlns:r="http://schemas.openxmlformats.org/officeDocument/2006/relationships" ref="AB1539" r:id="rId3849"/>
    <hyperlink xmlns:r="http://schemas.openxmlformats.org/officeDocument/2006/relationships" ref="Q1540" display="https://www.sebi.gov.in/sebi_data/attachdocs/1287469863768.pdf" r:id="rId3850"/>
    <hyperlink xmlns:r="http://schemas.openxmlformats.org/officeDocument/2006/relationships" ref="R1540" display="https://www.sebi.gov.in/filings/public-issues/sep-2010/lavasa-corporation-limited_128.html" r:id="rId3851"/>
    <hyperlink xmlns:r="http://schemas.openxmlformats.org/officeDocument/2006/relationships" ref="AB1540" r:id="rId3852"/>
    <hyperlink xmlns:r="http://schemas.openxmlformats.org/officeDocument/2006/relationships" ref="Q1541" display="https://www.sebi.gov.in/sebi_data/attachdocs/1287467773954.pdf" r:id="rId3853"/>
    <hyperlink xmlns:r="http://schemas.openxmlformats.org/officeDocument/2006/relationships" ref="R1541" display="https://www.sebi.gov.in/filings/public-issues/sep-2010/iot-infrastructure-and-energy-services-limited_125.html" r:id="rId3854"/>
    <hyperlink xmlns:r="http://schemas.openxmlformats.org/officeDocument/2006/relationships" ref="AB1541" r:id="rId3855"/>
    <hyperlink xmlns:r="http://schemas.openxmlformats.org/officeDocument/2006/relationships" ref="Q1542" display="https://www.sebi.gov.in/sebi_data/attachdocs/1287469544689.pdf" r:id="rId3856"/>
    <hyperlink xmlns:r="http://schemas.openxmlformats.org/officeDocument/2006/relationships" ref="R1542" display="https://www.sebi.gov.in/filings/public-issues/sep-2010/servalakshmi-paper-limited_126.html" r:id="rId3857"/>
    <hyperlink xmlns:r="http://schemas.openxmlformats.org/officeDocument/2006/relationships" ref="AB1542" r:id="rId3858"/>
    <hyperlink xmlns:r="http://schemas.openxmlformats.org/officeDocument/2006/relationships" ref="Q1543" display="https://www.sebi.gov.in/sebi_data/attachdocs/1287467636587.pdf" r:id="rId3859"/>
    <hyperlink xmlns:r="http://schemas.openxmlformats.org/officeDocument/2006/relationships" ref="R1543" display="https://www.sebi.gov.in/filings/public-issues/sep-2010/svec-constructions-ltd_124.html" r:id="rId3860"/>
    <hyperlink xmlns:r="http://schemas.openxmlformats.org/officeDocument/2006/relationships" ref="AB1543" r:id="rId3861"/>
    <hyperlink xmlns:r="http://schemas.openxmlformats.org/officeDocument/2006/relationships" ref="Q1544" display="https://www.sebi.gov.in/sebi_data/attachdocs/1287809182846.pdf" r:id="rId3862"/>
    <hyperlink xmlns:r="http://schemas.openxmlformats.org/officeDocument/2006/relationships" ref="R1544" display="https://www.sebi.gov.in/filings/public-issues/sep-2010/sudar-garments-limited_624.html" r:id="rId3863"/>
    <hyperlink xmlns:r="http://schemas.openxmlformats.org/officeDocument/2006/relationships" ref="AB1544" r:id="rId3864"/>
    <hyperlink xmlns:r="http://schemas.openxmlformats.org/officeDocument/2006/relationships" ref="Q1545" display="https://www.sebi.gov.in/sebi_data/attachdocs/1287467570242.pdf" r:id="rId3865"/>
    <hyperlink xmlns:r="http://schemas.openxmlformats.org/officeDocument/2006/relationships" ref="R1545" display="https://www.sebi.gov.in/filings/public-issues/sep-2010/future-ventures-india-limited_123.html" r:id="rId3866"/>
    <hyperlink xmlns:r="http://schemas.openxmlformats.org/officeDocument/2006/relationships" ref="AB1545" r:id="rId3867"/>
    <hyperlink xmlns:r="http://schemas.openxmlformats.org/officeDocument/2006/relationships" ref="Q1546" display="https://www.sebi.gov.in/sebi_data/attachdocs/1287467480414.pdf" r:id="rId3868"/>
    <hyperlink xmlns:r="http://schemas.openxmlformats.org/officeDocument/2006/relationships" ref="R1546" display="https://www.sebi.gov.in/filings/public-issues/sep-2010/shilpi-cable-technologies-limited_122.html" r:id="rId3869"/>
    <hyperlink xmlns:r="http://schemas.openxmlformats.org/officeDocument/2006/relationships" ref="AB1546" r:id="rId3870"/>
    <hyperlink xmlns:r="http://schemas.openxmlformats.org/officeDocument/2006/relationships" ref="Q1547" display="https://www.sebi.gov.in/sebi_data/attachdocs/1287467393738.pdf" r:id="rId3871"/>
    <hyperlink xmlns:r="http://schemas.openxmlformats.org/officeDocument/2006/relationships" ref="R1547" display="https://www.sebi.gov.in/filings/public-issues/sep-2010/midvalley-entertainment-limited_121.html" r:id="rId3872"/>
    <hyperlink xmlns:r="http://schemas.openxmlformats.org/officeDocument/2006/relationships" ref="AB1547" r:id="rId3873"/>
    <hyperlink xmlns:r="http://schemas.openxmlformats.org/officeDocument/2006/relationships" ref="Q1548" display="https://www.sebi.gov.in/sebi_data/attachdocs/1287744304554.pdf" r:id="rId3874"/>
    <hyperlink xmlns:r="http://schemas.openxmlformats.org/officeDocument/2006/relationships" ref="R1548" display="https://www.sebi.gov.in/filings/public-issues/aug-2010/dev-procon-limited_599.html" r:id="rId3875"/>
    <hyperlink xmlns:r="http://schemas.openxmlformats.org/officeDocument/2006/relationships" ref="AB1548" r:id="rId3876"/>
    <hyperlink xmlns:r="http://schemas.openxmlformats.org/officeDocument/2006/relationships" ref="Q1549" display="https://www.sebi.gov.in/sebi_data/attachdocs/1287807825099.pdf" r:id="rId3877"/>
    <hyperlink xmlns:r="http://schemas.openxmlformats.org/officeDocument/2006/relationships" ref="R1549" display="https://www.sebi.gov.in/filings/public-issues/aug-2010/omkar-speciality-chemicals-limited_617.html" r:id="rId3878"/>
    <hyperlink xmlns:r="http://schemas.openxmlformats.org/officeDocument/2006/relationships" ref="Q1550" display="https://www.sebi.gov.in/sebi_data/attachdocs/1287807944938.pdf" r:id="rId3879"/>
    <hyperlink xmlns:r="http://schemas.openxmlformats.org/officeDocument/2006/relationships" ref="R1550" display="https://www.sebi.gov.in/filings/public-issues/aug-2010/punjab-and-sind-bank_618.html" r:id="rId3880"/>
    <hyperlink xmlns:r="http://schemas.openxmlformats.org/officeDocument/2006/relationships" ref="Q1551" display="https://www.sebi.gov.in/sebi_data/attachdocs/1287744117450.pdf" r:id="rId3881"/>
    <hyperlink xmlns:r="http://schemas.openxmlformats.org/officeDocument/2006/relationships" ref="R1551" display="https://www.sebi.gov.in/filings/public-issues/aug-2010/galaxy-surfactants-limited_598.html" r:id="rId3882"/>
    <hyperlink xmlns:r="http://schemas.openxmlformats.org/officeDocument/2006/relationships" ref="AB1551" r:id="rId3883"/>
    <hyperlink xmlns:r="http://schemas.openxmlformats.org/officeDocument/2006/relationships" ref="Q1552" display="https://www.sebi.gov.in/sebi_data/attachdocs/1287744029412.pdf" r:id="rId3884"/>
    <hyperlink xmlns:r="http://schemas.openxmlformats.org/officeDocument/2006/relationships" ref="R1552" display="https://www.sebi.gov.in/filings/public-issues/aug-2010/coal-india-limited_597.html" r:id="rId3885"/>
    <hyperlink xmlns:r="http://schemas.openxmlformats.org/officeDocument/2006/relationships" ref="Q1553" display="https://www.sebi.gov.in/sebi_data/attachdocs/1287743890901.pdf" r:id="rId3886"/>
    <hyperlink xmlns:r="http://schemas.openxmlformats.org/officeDocument/2006/relationships" ref="R1553" display="https://www.sebi.gov.in/filings/public-issues/aug-2010/betul-oil-limited_596.html" r:id="rId3887"/>
    <hyperlink xmlns:r="http://schemas.openxmlformats.org/officeDocument/2006/relationships" ref="AB1553" r:id="rId3888"/>
    <hyperlink xmlns:r="http://schemas.openxmlformats.org/officeDocument/2006/relationships" ref="Q1554" display="https://www.sebi.gov.in/sebi_data/attachdocs/1287743819429.pdf" r:id="rId3889"/>
    <hyperlink xmlns:r="http://schemas.openxmlformats.org/officeDocument/2006/relationships" ref="R1554" display="https://www.sebi.gov.in/filings/public-issues/aug-2010/birla-pacific-medspa-limited_595.html" r:id="rId3890"/>
    <hyperlink xmlns:r="http://schemas.openxmlformats.org/officeDocument/2006/relationships" ref="AB1554" r:id="rId3891"/>
    <hyperlink xmlns:r="http://schemas.openxmlformats.org/officeDocument/2006/relationships" ref="Q1555" display="https://www.sebi.gov.in/sebi_data/attachdocs/1287824053650.pdf" r:id="rId3892"/>
    <hyperlink xmlns:r="http://schemas.openxmlformats.org/officeDocument/2006/relationships" ref="R1555" display="https://www.sebi.gov.in/filings/public-issues/jul-2010/a2z-maintenance-and-engineering-services-limited_708.html" r:id="rId3893"/>
    <hyperlink xmlns:r="http://schemas.openxmlformats.org/officeDocument/2006/relationships" ref="Q1556" display="https://www.sebi.gov.in/sebi_data/attachdocs/1287823802940.pdf" r:id="rId3894"/>
    <hyperlink xmlns:r="http://schemas.openxmlformats.org/officeDocument/2006/relationships" ref="R1556" display="https://www.sebi.gov.in/filings/public-issues/jul-2010/entertainment-world-developers-limited_706.html" r:id="rId3895"/>
    <hyperlink xmlns:r="http://schemas.openxmlformats.org/officeDocument/2006/relationships" ref="AB1556" r:id="rId3896"/>
    <hyperlink xmlns:r="http://schemas.openxmlformats.org/officeDocument/2006/relationships" ref="Q1557" display="https://www.sebi.gov.in/sebi_data/attachdocs/1287823961210.pdf" r:id="rId3897"/>
    <hyperlink xmlns:r="http://schemas.openxmlformats.org/officeDocument/2006/relationships" ref="R1557" display="https://www.sebi.gov.in/filings/public-issues/jul-2010/srs-limited_707.html" r:id="rId3898"/>
    <hyperlink xmlns:r="http://schemas.openxmlformats.org/officeDocument/2006/relationships" ref="AB1557" r:id="rId3899"/>
    <hyperlink xmlns:r="http://schemas.openxmlformats.org/officeDocument/2006/relationships" ref="Q1558" display="https://www.sebi.gov.in/sebi_data/attachdocs/1287823377071.pdf" r:id="rId3900"/>
    <hyperlink xmlns:r="http://schemas.openxmlformats.org/officeDocument/2006/relationships" ref="R1558" display="https://www.sebi.gov.in/filings/public-issues/jul-2010/embassy-property-developments-limited_703.html" r:id="rId3901"/>
    <hyperlink xmlns:r="http://schemas.openxmlformats.org/officeDocument/2006/relationships" ref="AB1558" r:id="rId3902"/>
    <hyperlink xmlns:r="http://schemas.openxmlformats.org/officeDocument/2006/relationships" ref="Q1559" display="https://www.sebi.gov.in/sebi_data/attachdocs/1287823603820.pdf" r:id="rId3903"/>
    <hyperlink xmlns:r="http://schemas.openxmlformats.org/officeDocument/2006/relationships" ref="R1559" display="https://www.sebi.gov.in/filings/public-issues/jul-2010/tunip-agro-limited_705.html" r:id="rId3904"/>
    <hyperlink xmlns:r="http://schemas.openxmlformats.org/officeDocument/2006/relationships" ref="AB1559" r:id="rId3905"/>
    <hyperlink xmlns:r="http://schemas.openxmlformats.org/officeDocument/2006/relationships" ref="Q1560" display="https://www.sebi.gov.in/sebi_data/attachdocs/1287823531839.pdf" r:id="rId3906"/>
    <hyperlink xmlns:r="http://schemas.openxmlformats.org/officeDocument/2006/relationships" ref="R1560" display="https://www.sebi.gov.in/filings/public-issues/jul-2010/virgo-engineers-limited_704.html" r:id="rId3907"/>
    <hyperlink xmlns:r="http://schemas.openxmlformats.org/officeDocument/2006/relationships" ref="AB1560" r:id="rId3908"/>
    <hyperlink xmlns:r="http://schemas.openxmlformats.org/officeDocument/2006/relationships" ref="Q1561" display="https://www.sebi.gov.in/sebi_data/attachdocs/1287823187828.pdf" r:id="rId3909"/>
    <hyperlink xmlns:r="http://schemas.openxmlformats.org/officeDocument/2006/relationships" ref="R1561" display="https://www.sebi.gov.in/filings/public-issues/jul-2010/shekhawati-poly-yarn-limited_702.html" r:id="rId3910"/>
    <hyperlink xmlns:r="http://schemas.openxmlformats.org/officeDocument/2006/relationships" ref="Q1562" display="https://www.sebi.gov.in/sebi_data/attachdocs/1287823105028.pdf" r:id="rId3911"/>
    <hyperlink xmlns:r="http://schemas.openxmlformats.org/officeDocument/2006/relationships" ref="R1562" display="https://www.sebi.gov.in/filings/public-issues/jul-2010/vms-industries-limited_701.html" r:id="rId3912"/>
    <hyperlink xmlns:r="http://schemas.openxmlformats.org/officeDocument/2006/relationships" ref="Q1563" display="https://www.sebi.gov.in/sebi_data/attachdocs/1287822811336.pdf" r:id="rId3913"/>
    <hyperlink xmlns:r="http://schemas.openxmlformats.org/officeDocument/2006/relationships" ref="R1563" display="https://www.sebi.gov.in/filings/public-issues/jul-2010/jain-infraprojects-limited_699.html" r:id="rId3914"/>
    <hyperlink xmlns:r="http://schemas.openxmlformats.org/officeDocument/2006/relationships" ref="AB1563" r:id="rId3915"/>
    <hyperlink xmlns:r="http://schemas.openxmlformats.org/officeDocument/2006/relationships" ref="Q1564" display="https://www.sebi.gov.in/sebi_data/attachdocs/1287822925470.pdf" r:id="rId3916"/>
    <hyperlink xmlns:r="http://schemas.openxmlformats.org/officeDocument/2006/relationships" ref="R1564" display="https://www.sebi.gov.in/filings/public-issues/jul-2010/rajputana-stainless-limited_700.html" r:id="rId3917"/>
    <hyperlink xmlns:r="http://schemas.openxmlformats.org/officeDocument/2006/relationships" ref="AB1564" r:id="rId3918"/>
    <hyperlink xmlns:r="http://schemas.openxmlformats.org/officeDocument/2006/relationships" ref="Q1565" display="https://www.sebi.gov.in/sebi_data/attachdocs/1290231310320.pdf" r:id="rId3919"/>
    <hyperlink xmlns:r="http://schemas.openxmlformats.org/officeDocument/2006/relationships" ref="R1565" display="https://www.sebi.gov.in/filings/public-issues/jun-2010/milestone-capital-advisors-limited_5551.html" r:id="rId3920"/>
    <hyperlink xmlns:r="http://schemas.openxmlformats.org/officeDocument/2006/relationships" ref="AB1565" r:id="rId3921"/>
    <hyperlink xmlns:r="http://schemas.openxmlformats.org/officeDocument/2006/relationships" ref="Q1566" display="https://www.sebi.gov.in/sebi_data/attachdocs/1288085273713.pdf" r:id="rId3922"/>
    <hyperlink xmlns:r="http://schemas.openxmlformats.org/officeDocument/2006/relationships" ref="R1566" display="https://www.sebi.gov.in/filings/public-issues/jun-2010/planet-41-mobi-venture-limited_1310.html" r:id="rId3923"/>
    <hyperlink xmlns:r="http://schemas.openxmlformats.org/officeDocument/2006/relationships" ref="AB1566" r:id="rId3924"/>
    <hyperlink xmlns:r="http://schemas.openxmlformats.org/officeDocument/2006/relationships" ref="Q1567" display="https://www.sebi.gov.in/sebi_data/attachdocs/1288085204054.pdf" r:id="rId3925"/>
    <hyperlink xmlns:r="http://schemas.openxmlformats.org/officeDocument/2006/relationships" ref="R1567" display="https://www.sebi.gov.in/filings/public-issues/jun-2010/nkg-infrastructure-limited_1309.html" r:id="rId3926"/>
    <hyperlink xmlns:r="http://schemas.openxmlformats.org/officeDocument/2006/relationships" ref="Q1568" display="https://www.sebi.gov.in/sebi_data/attachdocs/1288085387201.pdf" r:id="rId3927"/>
    <hyperlink xmlns:r="http://schemas.openxmlformats.org/officeDocument/2006/relationships" ref="R1568" display="https://www.sebi.gov.in/filings/public-issues/jun-2010/ind-barath-power-infra-limited_1311.html" r:id="rId3928"/>
    <hyperlink xmlns:r="http://schemas.openxmlformats.org/officeDocument/2006/relationships" ref="AB1568" r:id="rId3929"/>
    <hyperlink xmlns:r="http://schemas.openxmlformats.org/officeDocument/2006/relationships" ref="Q1569" display="https://www.sebi.gov.in/sebi_data/attachdocs/1288084482675.pdf" r:id="rId3930"/>
    <hyperlink xmlns:r="http://schemas.openxmlformats.org/officeDocument/2006/relationships" ref="R1569" display="https://www.sebi.gov.in/filings/public-issues/jun-2010/engineers-india-limited_1306.html" r:id="rId3931"/>
    <hyperlink xmlns:r="http://schemas.openxmlformats.org/officeDocument/2006/relationships" ref="Q1570" display="https://www.sebi.gov.in/sebi_data/attachdocs/1288084292988.pdf" r:id="rId3932"/>
    <hyperlink xmlns:r="http://schemas.openxmlformats.org/officeDocument/2006/relationships" ref="R1570" display="https://www.sebi.gov.in/filings/public-issues/jun-2010/m-s-r-p-p-infra-projects-limited_1305.html" r:id="rId3933"/>
    <hyperlink xmlns:r="http://schemas.openxmlformats.org/officeDocument/2006/relationships" ref="Q1571" display="https://www.sebi.gov.in/sebi_data/attachdocs/1288167592852.pdf" r:id="rId3934"/>
    <hyperlink xmlns:r="http://schemas.openxmlformats.org/officeDocument/2006/relationships" ref="R1571" display="https://www.sebi.gov.in/filings/public-issues/may-2010/one97-communications-limited_1640.html" r:id="rId3935"/>
    <hyperlink xmlns:r="http://schemas.openxmlformats.org/officeDocument/2006/relationships" ref="AB1571" r:id="rId3936"/>
    <hyperlink xmlns:r="http://schemas.openxmlformats.org/officeDocument/2006/relationships" ref="Q1572" display="https://www.sebi.gov.in/sebi_data/attachdocs/1290231121199.pdf" r:id="rId3937"/>
    <hyperlink xmlns:r="http://schemas.openxmlformats.org/officeDocument/2006/relationships" ref="R1572" display="https://www.sebi.gov.in/filings/public-issues/may-2010/greatship-india-limited_5550.html" r:id="rId3938"/>
    <hyperlink xmlns:r="http://schemas.openxmlformats.org/officeDocument/2006/relationships" ref="AB1572" r:id="rId3939"/>
    <hyperlink xmlns:r="http://schemas.openxmlformats.org/officeDocument/2006/relationships" ref="Q1573" display="https://www.sebi.gov.in/sebi_data/attachdocs/1288254064334.pdf" r:id="rId3940"/>
    <hyperlink xmlns:r="http://schemas.openxmlformats.org/officeDocument/2006/relationships" ref="R1573" display="https://www.sebi.gov.in/filings/public-issues/apr-2010/tecpro-systems-limited_1919.html" r:id="rId3941"/>
    <hyperlink xmlns:r="http://schemas.openxmlformats.org/officeDocument/2006/relationships" ref="AB1573" r:id="rId3942"/>
    <hyperlink xmlns:r="http://schemas.openxmlformats.org/officeDocument/2006/relationships" ref="Q1574" display="https://www.sebi.gov.in/sebi_data/attachdocs/1288254015597.pdf" r:id="rId3943"/>
    <hyperlink xmlns:r="http://schemas.openxmlformats.org/officeDocument/2006/relationships" ref="R1574" display="https://www.sebi.gov.in/filings/public-issues/apr-2010/shirdi-industries-limited_1918.html" r:id="rId3944"/>
    <hyperlink xmlns:r="http://schemas.openxmlformats.org/officeDocument/2006/relationships" ref="AB1574" r:id="rId3945"/>
    <hyperlink xmlns:r="http://schemas.openxmlformats.org/officeDocument/2006/relationships" ref="Q1575" display="https://www.sebi.gov.in/sebi_data/attachdocs/1288253978369.pdf" r:id="rId3946"/>
    <hyperlink xmlns:r="http://schemas.openxmlformats.org/officeDocument/2006/relationships" ref="R1575" display="https://www.sebi.gov.in/filings/public-issues/apr-2010/orient-green-power-company-limited_1917.html" r:id="rId3947"/>
    <hyperlink xmlns:r="http://schemas.openxmlformats.org/officeDocument/2006/relationships" ref="Q1576" display="https://www.sebi.gov.in/sebi_data/attachdocs/1288253917813.pdf" r:id="rId3948"/>
    <hyperlink xmlns:r="http://schemas.openxmlformats.org/officeDocument/2006/relationships" ref="R1576" display="https://www.sebi.gov.in/filings/public-issues/apr-2010/claris-lifesciences-limited_1916.html" r:id="rId3949"/>
    <hyperlink xmlns:r="http://schemas.openxmlformats.org/officeDocument/2006/relationships" ref="AB1576" r:id="rId3950"/>
    <hyperlink xmlns:r="http://schemas.openxmlformats.org/officeDocument/2006/relationships" ref="Q1577" display="https://www.sebi.gov.in/sebi_data/attachdocs/1288253852959.pdf" r:id="rId3951"/>
    <hyperlink xmlns:r="http://schemas.openxmlformats.org/officeDocument/2006/relationships" ref="R1577" display="https://www.sebi.gov.in/filings/public-issues/apr-2010/c-mahendra-exports-limited_1915.html" r:id="rId3952"/>
    <hyperlink xmlns:r="http://schemas.openxmlformats.org/officeDocument/2006/relationships" ref="AB1577" r:id="rId3953"/>
    <hyperlink xmlns:r="http://schemas.openxmlformats.org/officeDocument/2006/relationships" ref="Q1578" display="https://www.sebi.gov.in/sebi_data/attachdocs/1288253579172.pdf" r:id="rId3954"/>
    <hyperlink xmlns:r="http://schemas.openxmlformats.org/officeDocument/2006/relationships" ref="R1578" display="https://www.sebi.gov.in/filings/public-issues/apr-2010/icomm-tele-limited_1913.html" r:id="rId3955"/>
    <hyperlink xmlns:r="http://schemas.openxmlformats.org/officeDocument/2006/relationships" ref="AB1578" r:id="rId3956"/>
    <hyperlink xmlns:r="http://schemas.openxmlformats.org/officeDocument/2006/relationships" ref="Q1579" display="https://www.sebi.gov.in/sebi_data/attachdocs/1288253539799.pdf" r:id="rId3957"/>
    <hyperlink xmlns:r="http://schemas.openxmlformats.org/officeDocument/2006/relationships" ref="R1579" display="https://www.sebi.gov.in/filings/public-issues/apr-2010/jp-infrastructure-limited_1912.html" r:id="rId3958"/>
    <hyperlink xmlns:r="http://schemas.openxmlformats.org/officeDocument/2006/relationships" ref="AB1579" r:id="rId3959"/>
    <hyperlink xmlns:r="http://schemas.openxmlformats.org/officeDocument/2006/relationships" ref="Q1580" display="https://www.sebi.gov.in/sebi_data/attachdocs/1288253486954.pdf" r:id="rId3960"/>
    <hyperlink xmlns:r="http://schemas.openxmlformats.org/officeDocument/2006/relationships" ref="R1580" display="https://www.sebi.gov.in/filings/public-issues/apr-2010/ravi-kumar-distilleries-limited_1910.html" r:id="rId3961"/>
    <hyperlink xmlns:r="http://schemas.openxmlformats.org/officeDocument/2006/relationships" ref="Q1581" display="https://www.sebi.gov.in/sebi_data/attachdocs/1288253408913.pdf" r:id="rId3962"/>
    <hyperlink xmlns:r="http://schemas.openxmlformats.org/officeDocument/2006/relationships" ref="R1581" display="https://www.sebi.gov.in/filings/public-issues/apr-2010/you-broadband-and-cable-india-limited_1908.html" r:id="rId3963"/>
    <hyperlink xmlns:r="http://schemas.openxmlformats.org/officeDocument/2006/relationships" ref="AB1581" r:id="rId3964"/>
    <hyperlink xmlns:r="http://schemas.openxmlformats.org/officeDocument/2006/relationships" ref="Q1582" display="https://www.sebi.gov.in/sebi_data/attachdocs/1288253270455.pdf" r:id="rId3965"/>
    <hyperlink xmlns:r="http://schemas.openxmlformats.org/officeDocument/2006/relationships" ref="R1582" display="https://www.sebi.gov.in/filings/public-issues/apr-2010/genus-paper-products-limited_1906.html" r:id="rId3966"/>
    <hyperlink xmlns:r="http://schemas.openxmlformats.org/officeDocument/2006/relationships" ref="AB1582" r:id="rId3967"/>
    <hyperlink xmlns:r="http://schemas.openxmlformats.org/officeDocument/2006/relationships" ref="Q1583" display="https://www.sebi.gov.in/sebi_data/attachdocs/1288253358352.pdf" r:id="rId3968"/>
    <hyperlink xmlns:r="http://schemas.openxmlformats.org/officeDocument/2006/relationships" ref="R1583" display="https://www.sebi.gov.in/filings/public-issues/apr-2010/raheja-universal-limited_1907.html" r:id="rId3969"/>
    <hyperlink xmlns:r="http://schemas.openxmlformats.org/officeDocument/2006/relationships" ref="AB1583" r:id="rId3970"/>
    <hyperlink xmlns:r="http://schemas.openxmlformats.org/officeDocument/2006/relationships" ref="Q1584" display="https://www.sebi.gov.in/sebi_data/attachdocs/1288346684034.pdf" r:id="rId3971"/>
    <hyperlink xmlns:r="http://schemas.openxmlformats.org/officeDocument/2006/relationships" ref="R1584" display="https://www.sebi.gov.in/filings/public-issues/mar-2010/avantha-power-and-infrastructure-limited_2393.html" r:id="rId3972"/>
    <hyperlink xmlns:r="http://schemas.openxmlformats.org/officeDocument/2006/relationships" ref="AB1584" r:id="rId3973"/>
    <hyperlink xmlns:r="http://schemas.openxmlformats.org/officeDocument/2006/relationships" ref="Q1585" display="https://www.sebi.gov.in/sebi_data/attachdocs/1288346790544.pdf" r:id="rId3974"/>
    <hyperlink xmlns:r="http://schemas.openxmlformats.org/officeDocument/2006/relationships" ref="R1585" display="https://www.sebi.gov.in/filings/public-issues/mar-2010/commercial-engineers-and-body-builders-co-limited_2394.html" r:id="rId3975"/>
    <hyperlink xmlns:r="http://schemas.openxmlformats.org/officeDocument/2006/relationships" ref="Q1586" display="https://www.sebi.gov.in/sebi_data/attachdocs/1288346613150.pdf" r:id="rId3976"/>
    <hyperlink xmlns:r="http://schemas.openxmlformats.org/officeDocument/2006/relationships" ref="R1586" display="https://www.sebi.gov.in/filings/public-issues/mar-2010/electrosteel-integrated-limited_2392.html" r:id="rId3977"/>
    <hyperlink xmlns:r="http://schemas.openxmlformats.org/officeDocument/2006/relationships" ref="Q1587" display="https://www.sebi.gov.in/sebi_data/attachdocs/1288346567322.pdf" r:id="rId3978"/>
    <hyperlink xmlns:r="http://schemas.openxmlformats.org/officeDocument/2006/relationships" ref="R1587" display="https://www.sebi.gov.in/filings/public-issues/mar-2010/ramky-infrastructure-limited_2391.html" r:id="rId3979"/>
    <hyperlink xmlns:r="http://schemas.openxmlformats.org/officeDocument/2006/relationships" ref="Q1588" display="https://www.sebi.gov.in/sebi_data/attachdocs/1288346484809.pdf" r:id="rId3980"/>
    <hyperlink xmlns:r="http://schemas.openxmlformats.org/officeDocument/2006/relationships" ref="R1588" display="https://www.sebi.gov.in/filings/public-issues/mar-2010/sks-microfinance-limited_2390.html" r:id="rId3981"/>
    <hyperlink xmlns:r="http://schemas.openxmlformats.org/officeDocument/2006/relationships" ref="AB1588" r:id="rId3982"/>
    <hyperlink xmlns:r="http://schemas.openxmlformats.org/officeDocument/2006/relationships" ref="Q1589" display="https://www.sebi.gov.in/sebi_data/attachdocs/1288346387617.pdf" r:id="rId3983"/>
    <hyperlink xmlns:r="http://schemas.openxmlformats.org/officeDocument/2006/relationships" ref="R1589" display="https://www.sebi.gov.in/filings/public-issues/mar-2010/gujarat-state-petroleum-corporation-limited_2388.html" r:id="rId3984"/>
    <hyperlink xmlns:r="http://schemas.openxmlformats.org/officeDocument/2006/relationships" ref="AB1589" r:id="rId3985"/>
    <hyperlink xmlns:r="http://schemas.openxmlformats.org/officeDocument/2006/relationships" ref="Q1590" display="https://www.sebi.gov.in/sebi_data/attachdocs/1288346425359.pdf" r:id="rId3986"/>
    <hyperlink xmlns:r="http://schemas.openxmlformats.org/officeDocument/2006/relationships" ref="R1590" display="https://www.sebi.gov.in/filings/public-issues/mar-2010/rdb-rasayans-limited_2389.html" r:id="rId3987"/>
    <hyperlink xmlns:r="http://schemas.openxmlformats.org/officeDocument/2006/relationships" ref="Q1591" display="https://www.sebi.gov.in/sebi_data/attachdocs/1288346194625.pdf" r:id="rId3988"/>
    <hyperlink xmlns:r="http://schemas.openxmlformats.org/officeDocument/2006/relationships" ref="R1591" display="https://www.sebi.gov.in/filings/public-issues/mar-2010/microsec-financial-services-limited_2386.html" r:id="rId3989"/>
    <hyperlink xmlns:r="http://schemas.openxmlformats.org/officeDocument/2006/relationships" ref="Q1592" display="https://www.sebi.gov.in/sebi_data/attachdocs/1288346296484.pdf" r:id="rId3990"/>
    <hyperlink xmlns:r="http://schemas.openxmlformats.org/officeDocument/2006/relationships" ref="R1592" display="https://www.sebi.gov.in/filings/public-issues/mar-2010/prakash-steelage-limited_2387.html" r:id="rId3991"/>
    <hyperlink xmlns:r="http://schemas.openxmlformats.org/officeDocument/2006/relationships" ref="Q1593" display="https://www.sebi.gov.in/sebi_data/attachdocs/1288346120190.pdf" r:id="rId3992"/>
    <hyperlink xmlns:r="http://schemas.openxmlformats.org/officeDocument/2006/relationships" ref="R1593" display="https://www.sebi.gov.in/filings/public-issues/mar-2010/rushil-decor-limited_2385.html" r:id="rId3993"/>
    <hyperlink xmlns:r="http://schemas.openxmlformats.org/officeDocument/2006/relationships" ref="Q1594" display="https://www.sebi.gov.in/sebi_data/attachdocs/1288346073513.pdf" r:id="rId3994"/>
    <hyperlink xmlns:r="http://schemas.openxmlformats.org/officeDocument/2006/relationships" ref="R1594" display="https://www.sebi.gov.in/filings/public-issues/mar-2010/bedmutha-industries-limited_2384.html" r:id="rId3995"/>
    <hyperlink xmlns:r="http://schemas.openxmlformats.org/officeDocument/2006/relationships" ref="Q1595" display="https://www.sebi.gov.in/sebi_data/attachdocs/1288346003788.pdf" r:id="rId3996"/>
    <hyperlink xmlns:r="http://schemas.openxmlformats.org/officeDocument/2006/relationships" ref="R1595" display="https://www.sebi.gov.in/filings/public-issues/mar-2010/acropetal-technologies-limited_2383.html" r:id="rId3997"/>
    <hyperlink xmlns:r="http://schemas.openxmlformats.org/officeDocument/2006/relationships" ref="AB1595" r:id="rId3998"/>
    <hyperlink xmlns:r="http://schemas.openxmlformats.org/officeDocument/2006/relationships" ref="Q1596" display="https://www.sebi.gov.in/sebi_data/attachdocs/1288345969928.pdf" r:id="rId3999"/>
    <hyperlink xmlns:r="http://schemas.openxmlformats.org/officeDocument/2006/relationships" ref="R1596" display="https://www.sebi.gov.in/filings/public-issues/mar-2010/genus-paper-products-limited_2382.html" r:id="rId4000"/>
    <hyperlink xmlns:r="http://schemas.openxmlformats.org/officeDocument/2006/relationships" ref="AB1596" r:id="rId4001"/>
    <hyperlink xmlns:r="http://schemas.openxmlformats.org/officeDocument/2006/relationships" ref="Q1597" display="https://www.sebi.gov.in/sebi_data/attachdocs/1288345905307.pdf" r:id="rId4002"/>
    <hyperlink xmlns:r="http://schemas.openxmlformats.org/officeDocument/2006/relationships" ref="R1597" display="https://www.sebi.gov.in/filings/public-issues/mar-2010/va-tech-wabag-limited_2381.html" r:id="rId4003"/>
    <hyperlink xmlns:r="http://schemas.openxmlformats.org/officeDocument/2006/relationships" ref="Q1598" display="https://www.sebi.gov.in/sebi_data/attachdocs/1288345842395.pdf" r:id="rId4004"/>
    <hyperlink xmlns:r="http://schemas.openxmlformats.org/officeDocument/2006/relationships" ref="R1598" display="https://www.sebi.gov.in/filings/public-issues/mar-2010/hindustan-media-ventures-limited_2380.html" r:id="rId4005"/>
    <hyperlink xmlns:r="http://schemas.openxmlformats.org/officeDocument/2006/relationships" ref="Q1599" display="https://www.sebi.gov.in/sebi_data/attachdocs/1288345787608.pdf" r:id="rId4006"/>
    <hyperlink xmlns:r="http://schemas.openxmlformats.org/officeDocument/2006/relationships" ref="R1599" display="https://www.sebi.gov.in/filings/public-issues/mar-2010/bajaj-corp-limited_2379.html" r:id="rId4007"/>
    <hyperlink xmlns:r="http://schemas.openxmlformats.org/officeDocument/2006/relationships" ref="Q1600" display="https://www.sebi.gov.in/sebi_data/attachdocs/1288345656561.pdf" r:id="rId4008"/>
    <hyperlink xmlns:r="http://schemas.openxmlformats.org/officeDocument/2006/relationships" ref="R1600" display="https://www.sebi.gov.in/filings/public-issues/mar-2010/sel-textiles-limited_2378.html" r:id="rId4009"/>
    <hyperlink xmlns:r="http://schemas.openxmlformats.org/officeDocument/2006/relationships" ref="AB1600" r:id="rId4010"/>
    <hyperlink xmlns:r="http://schemas.openxmlformats.org/officeDocument/2006/relationships" ref="Q1601" display="https://www.sebi.gov.in/sebi_data/attachdocs/1288345499694.pdf" r:id="rId4011"/>
    <hyperlink xmlns:r="http://schemas.openxmlformats.org/officeDocument/2006/relationships" ref="R1601" display="https://www.sebi.gov.in/filings/public-issues/mar-2010/sjvn-limited_2377.html" r:id="rId4012"/>
    <hyperlink xmlns:r="http://schemas.openxmlformats.org/officeDocument/2006/relationships" ref="Q1602" display="https://www.sebi.gov.in/sebi_data/attachdocs/1288604212010.pdf" r:id="rId4013"/>
    <hyperlink xmlns:r="http://schemas.openxmlformats.org/officeDocument/2006/relationships" ref="R1602" display="https://www.sebi.gov.in/filings/public-issues/feb-2010/career-point-infosystems-limited_2663.html" r:id="rId4014"/>
    <hyperlink xmlns:r="http://schemas.openxmlformats.org/officeDocument/2006/relationships" ref="Q1603" display="https://www.sebi.gov.in/sebi_data/attachdocs/1288604098398.pdf" r:id="rId4015"/>
    <hyperlink xmlns:r="http://schemas.openxmlformats.org/officeDocument/2006/relationships" ref="R1603" display="https://www.sebi.gov.in/filings/public-issues/feb-2010/gyscoal-alloys-limited_2660.html" r:id="rId4016"/>
    <hyperlink xmlns:r="http://schemas.openxmlformats.org/officeDocument/2006/relationships" ref="Q1604" display="https://www.sebi.gov.in/sebi_data/attachdocs/1290230867741.pdf" r:id="rId4017"/>
    <hyperlink xmlns:r="http://schemas.openxmlformats.org/officeDocument/2006/relationships" ref="R1604" display="https://www.sebi.gov.in/filings/public-issues/feb-2010/mittal-corp-limited_5549.html" r:id="rId4018"/>
    <hyperlink xmlns:r="http://schemas.openxmlformats.org/officeDocument/2006/relationships" ref="AB1604" r:id="rId4019"/>
    <hyperlink xmlns:r="http://schemas.openxmlformats.org/officeDocument/2006/relationships" ref="Q1605" display="https://www.sebi.gov.in/sebi_data/attachdocs/1288603964929.pdf" r:id="rId4020"/>
    <hyperlink xmlns:r="http://schemas.openxmlformats.org/officeDocument/2006/relationships" ref="R1605" display="https://www.sebi.gov.in/filings/public-issues/feb-2010/inventuregrowth-and-securities-limited_2659.html" r:id="rId4021"/>
    <hyperlink xmlns:r="http://schemas.openxmlformats.org/officeDocument/2006/relationships" ref="Q1606" display="https://www.sebi.gov.in/sebi_data/attachdocs/1288603890030.pdf" r:id="rId4022"/>
    <hyperlink xmlns:r="http://schemas.openxmlformats.org/officeDocument/2006/relationships" ref="R1606" display="https://www.sebi.gov.in/filings/public-issues/feb-2010/asian-business-exhibition-and-conferences-limited_2658.html" r:id="rId4023"/>
    <hyperlink xmlns:r="http://schemas.openxmlformats.org/officeDocument/2006/relationships" ref="AB1606" r:id="rId4024"/>
    <hyperlink xmlns:r="http://schemas.openxmlformats.org/officeDocument/2006/relationships" ref="Q1607" display="https://www.sebi.gov.in/sebi_data/attachdocs/1288609044051.pdf" r:id="rId4025"/>
    <hyperlink xmlns:r="http://schemas.openxmlformats.org/officeDocument/2006/relationships" ref="R1607" display="https://www.sebi.gov.in/filings/public-issues/jan-2010/parabolic-drugs-limited_2750.html" r:id="rId4026"/>
    <hyperlink xmlns:r="http://schemas.openxmlformats.org/officeDocument/2006/relationships" ref="Q1608" display="https://www.sebi.gov.in/sebi_data/attachdocs/1290229032264.pdf" r:id="rId4027"/>
    <hyperlink xmlns:r="http://schemas.openxmlformats.org/officeDocument/2006/relationships" ref="R1608" display="https://www.sebi.gov.in/filings/public-issues/jan-2010/nmdc-limited_5548.html" r:id="rId4028"/>
    <hyperlink xmlns:r="http://schemas.openxmlformats.org/officeDocument/2006/relationships" ref="Q1609" display="https://www.sebi.gov.in/sebi_data/attachdocs/1290228857257.pdf" r:id="rId4029"/>
    <hyperlink xmlns:r="http://schemas.openxmlformats.org/officeDocument/2006/relationships" ref="R1609" display="https://www.sebi.gov.in/filings/public-issues/jan-2010/technofab-engineering-limited_5547.html" r:id="rId4030"/>
    <hyperlink xmlns:r="http://schemas.openxmlformats.org/officeDocument/2006/relationships" ref="AB1609" r:id="rId4031"/>
    <hyperlink xmlns:r="http://schemas.openxmlformats.org/officeDocument/2006/relationships" ref="Q1610" display="https://www.sebi.gov.in/sebi_data/attachdocs/1294984013064.pdf" r:id="rId4032"/>
    <hyperlink xmlns:r="http://schemas.openxmlformats.org/officeDocument/2006/relationships" ref="R1610" display="https://www.sebi.gov.in/filings/public-issues/jan-2010/oberoi-realty-limited_14276.html" r:id="rId4033"/>
    <hyperlink xmlns:r="http://schemas.openxmlformats.org/officeDocument/2006/relationships" ref="Q1611" display="https://www.sebi.gov.in/sebi_data/attachdocs/1288608994533.pdf" r:id="rId4034"/>
    <hyperlink xmlns:r="http://schemas.openxmlformats.org/officeDocument/2006/relationships" ref="R1611" display="https://www.sebi.gov.in/filings/public-issues/jan-2010/indosolar-limited_2749.html" r:id="rId4035"/>
    <hyperlink xmlns:r="http://schemas.openxmlformats.org/officeDocument/2006/relationships" ref="Q1612" display="https://www.sebi.gov.in/sebi_data/attachdocs/1288608956250.pdf" r:id="rId4036"/>
    <hyperlink xmlns:r="http://schemas.openxmlformats.org/officeDocument/2006/relationships" ref="R1612" display="https://www.sebi.gov.in/filings/public-issues/jan-2010/aster-silicates-limited_2747.html" r:id="rId4037"/>
    <hyperlink xmlns:r="http://schemas.openxmlformats.org/officeDocument/2006/relationships" ref="AB1612" r:id="rId4038"/>
    <hyperlink xmlns:r="http://schemas.openxmlformats.org/officeDocument/2006/relationships" ref="Q1613" display="https://www.sebi.gov.in/sebi_data/attachdocs/1288608915631.pdf" r:id="rId4039"/>
    <hyperlink xmlns:r="http://schemas.openxmlformats.org/officeDocument/2006/relationships" ref="R1613" display="https://www.sebi.gov.in/filings/public-issues/jan-2010/eros-international-media-limited_2745.html" r:id="rId4040"/>
    <hyperlink xmlns:r="http://schemas.openxmlformats.org/officeDocument/2006/relationships" ref="Q1614" display="https://www.sebi.gov.in/sebi_data/attachdocs/1290227671230.pdf" r:id="rId4041"/>
    <hyperlink xmlns:r="http://schemas.openxmlformats.org/officeDocument/2006/relationships" ref="R1614" display="https://www.sebi.gov.in/filings/public-issues/jan-2010/jindal-power-limited_5545.html" r:id="rId4042"/>
    <hyperlink xmlns:r="http://schemas.openxmlformats.org/officeDocument/2006/relationships" ref="AB1614" r:id="rId4043"/>
    <hyperlink xmlns:r="http://schemas.openxmlformats.org/officeDocument/2006/relationships" ref="Q1615" display="https://www.sebi.gov.in/sebi_data/attachdocs/1290227505713.pdf" r:id="rId4044"/>
    <hyperlink xmlns:r="http://schemas.openxmlformats.org/officeDocument/2006/relationships" ref="R1615" display="https://www.sebi.gov.in/filings/public-issues/jan-2010/neptune-developers-limited_5544.html" r:id="rId4045"/>
    <hyperlink xmlns:r="http://schemas.openxmlformats.org/officeDocument/2006/relationships" ref="AB1615" r:id="rId4046"/>
    <hyperlink xmlns:r="http://schemas.openxmlformats.org/officeDocument/2006/relationships" ref="Q1616" display="https://www.sebi.gov.in/sebi_data/attachdocs/1290227890597.pdf" r:id="rId4047"/>
    <hyperlink xmlns:r="http://schemas.openxmlformats.org/officeDocument/2006/relationships" ref="R1616" display="https://www.sebi.gov.in/filings/public-issues/jan-2010/united-bank-of-india_5546.html" r:id="rId4048"/>
    <hyperlink xmlns:r="http://schemas.openxmlformats.org/officeDocument/2006/relationships" ref="Q1617" display="https://www.sebi.gov.in/sebi_data/attachdocs/1288608837188.pdf" r:id="rId4049"/>
    <hyperlink xmlns:r="http://schemas.openxmlformats.org/officeDocument/2006/relationships" ref="R1617" display="https://www.sebi.gov.in/filings/public-issues/jan-2010/persistent-systems-limited_2744.html" r:id="rId4050"/>
    <hyperlink xmlns:r="http://schemas.openxmlformats.org/officeDocument/2006/relationships" ref="Q1618" display="https://www.sebi.gov.in/sebi_data/attachdocs/1289381470132.pdf" r:id="rId4051"/>
    <hyperlink xmlns:r="http://schemas.openxmlformats.org/officeDocument/2006/relationships" ref="R1618" display="https://www.sebi.gov.in/filings/public-issues/dec-2009/gujarat-pipavav-port-limited_3143.html" r:id="rId4052"/>
    <hyperlink xmlns:r="http://schemas.openxmlformats.org/officeDocument/2006/relationships" ref="Q1619" display="https://www.sebi.gov.in/sebi_data/attachdocs/1289381416555.pdf" r:id="rId4053"/>
    <hyperlink xmlns:r="http://schemas.openxmlformats.org/officeDocument/2006/relationships" ref="R1619" display="https://www.sebi.gov.in/filings/public-issues/dec-2009/bptp-limited_3141.html" r:id="rId4054"/>
    <hyperlink xmlns:r="http://schemas.openxmlformats.org/officeDocument/2006/relationships" ref="AB1619" r:id="rId4055"/>
    <hyperlink xmlns:r="http://schemas.openxmlformats.org/officeDocument/2006/relationships" ref="Q1620" display="https://www.sebi.gov.in/sebi_data/attachdocs/1289381376623.pdf" r:id="rId4056"/>
    <hyperlink xmlns:r="http://schemas.openxmlformats.org/officeDocument/2006/relationships" ref="R1620" display="https://www.sebi.gov.in/filings/public-issues/dec-2009/tirupati-inks-limited_3140.html" r:id="rId4057"/>
    <hyperlink xmlns:r="http://schemas.openxmlformats.org/officeDocument/2006/relationships" ref="Q1621" display="https://www.sebi.gov.in/sebi_data/attachdocs/1289381335002.pdf" r:id="rId4058"/>
    <hyperlink xmlns:r="http://schemas.openxmlformats.org/officeDocument/2006/relationships" ref="R1621" display="https://www.sebi.gov.in/filings/public-issues/dec-2009/gallantt-ispat-limited_3139.html" r:id="rId4059"/>
    <hyperlink xmlns:r="http://schemas.openxmlformats.org/officeDocument/2006/relationships" ref="Q1622" display="https://www.sebi.gov.in/sebi_data/attachdocs/1289381287373.pdf" r:id="rId4060"/>
    <hyperlink xmlns:r="http://schemas.openxmlformats.org/officeDocument/2006/relationships" ref="R1622" display="https://www.sebi.gov.in/filings/public-issues/dec-2009/fatpipe-networks-india-ltd_3137.html" r:id="rId4061"/>
    <hyperlink xmlns:r="http://schemas.openxmlformats.org/officeDocument/2006/relationships" ref="AB1622" r:id="rId4062"/>
    <hyperlink xmlns:r="http://schemas.openxmlformats.org/officeDocument/2006/relationships" ref="Q1623" display="https://www.sebi.gov.in/sebi_data/attachdocs/1289381249441.pdf" r:id="rId4063"/>
    <hyperlink xmlns:r="http://schemas.openxmlformats.org/officeDocument/2006/relationships" ref="R1623" display="https://www.sebi.gov.in/filings/public-issues/dec-2009/gallantt-ispat-limited_3136.html" r:id="rId4064"/>
    <hyperlink xmlns:r="http://schemas.openxmlformats.org/officeDocument/2006/relationships" ref="Q1624" display="https://www.sebi.gov.in/sebi_data/attachdocs/1289381212287.pdf" r:id="rId4065"/>
    <hyperlink xmlns:r="http://schemas.openxmlformats.org/officeDocument/2006/relationships" ref="R1624" display="https://www.sebi.gov.in/filings/public-issues/dec-2009/sumatex-limited_3135.html" r:id="rId4066"/>
    <hyperlink xmlns:r="http://schemas.openxmlformats.org/officeDocument/2006/relationships" ref="Q1625" display="https://www.sebi.gov.in/sebi_data/attachdocs/1289381160431.pdf" r:id="rId4067"/>
    <hyperlink xmlns:r="http://schemas.openxmlformats.org/officeDocument/2006/relationships" ref="R1625" display="https://www.sebi.gov.in/filings/public-issues/dec-2009/talwalkars-better-value-fitness-limited_3134.html" r:id="rId4068"/>
    <hyperlink xmlns:r="http://schemas.openxmlformats.org/officeDocument/2006/relationships" ref="Q1626" display="https://www.sebi.gov.in/sebi_data/attachdocs/1289381104594.pdf" r:id="rId4069"/>
    <hyperlink xmlns:r="http://schemas.openxmlformats.org/officeDocument/2006/relationships" ref="R1626" display="https://www.sebi.gov.in/filings/public-issues/dec-2009/fineotex-chemical-limited_3133.html" r:id="rId4070"/>
    <hyperlink xmlns:r="http://schemas.openxmlformats.org/officeDocument/2006/relationships" ref="Q1627" display="https://www.sebi.gov.in/sebi_data/attachdocs/1289381062978.pdf" r:id="rId4071"/>
    <hyperlink xmlns:r="http://schemas.openxmlformats.org/officeDocument/2006/relationships" ref="R1627" display="https://www.sebi.gov.in/filings/public-issues/dec-2009/tarapur-transformers-limited_3132.html" r:id="rId4072"/>
    <hyperlink xmlns:r="http://schemas.openxmlformats.org/officeDocument/2006/relationships" ref="Q1628" display="https://www.sebi.gov.in/sebi_data/attachdocs/1289381024799.pdf" r:id="rId4073"/>
    <hyperlink xmlns:r="http://schemas.openxmlformats.org/officeDocument/2006/relationships" ref="R1628" display="https://www.sebi.gov.in/filings/public-issues/dec-2009/rural-electrification-corporation-limited_3131.html" r:id="rId4074"/>
    <hyperlink xmlns:r="http://schemas.openxmlformats.org/officeDocument/2006/relationships" ref="AB1628" r:id="rId4075"/>
    <hyperlink xmlns:r="http://schemas.openxmlformats.org/officeDocument/2006/relationships" ref="Q1629" display="https://www.sebi.gov.in/sebi_data/attachdocs/1289380979179.pdf" r:id="rId4076"/>
    <hyperlink xmlns:r="http://schemas.openxmlformats.org/officeDocument/2006/relationships" ref="R1629" display="https://www.sebi.gov.in/filings/public-issues/dec-2009/nitesh-estates-limited_3129.html" r:id="rId4077"/>
    <hyperlink xmlns:r="http://schemas.openxmlformats.org/officeDocument/2006/relationships" ref="AB1629" r:id="rId4078"/>
    <hyperlink xmlns:r="http://schemas.openxmlformats.org/officeDocument/2006/relationships" ref="Q1630" display="https://www.sebi.gov.in/sebi_data/attachdocs/1289380942915.pdf" r:id="rId4079"/>
    <hyperlink xmlns:r="http://schemas.openxmlformats.org/officeDocument/2006/relationships" ref="R1630" display="https://www.sebi.gov.in/filings/public-issues/dec-2009/jaypee-infratech-limited_3128.html" r:id="rId4080"/>
    <hyperlink xmlns:r="http://schemas.openxmlformats.org/officeDocument/2006/relationships" ref="Q1631" display="https://www.sebi.gov.in/sebi_data/attachdocs/1289459315500.pdf" r:id="rId4081"/>
    <hyperlink xmlns:r="http://schemas.openxmlformats.org/officeDocument/2006/relationships" ref="R1631" display="https://www.sebi.gov.in/filings/public-issues/nov-2009/prestige-estates-projects-limited_3439.html" r:id="rId4082"/>
    <hyperlink xmlns:r="http://schemas.openxmlformats.org/officeDocument/2006/relationships" ref="Q1632" display="https://www.sebi.gov.in/sebi_data/attachdocs/1289459276974.pdf" r:id="rId4083"/>
    <hyperlink xmlns:r="http://schemas.openxmlformats.org/officeDocument/2006/relationships" ref="R1632" display="https://www.sebi.gov.in/filings/public-issues/nov-2009/pnc-infratech-limited_3438.html" r:id="rId4084"/>
    <hyperlink xmlns:r="http://schemas.openxmlformats.org/officeDocument/2006/relationships" ref="AB1632" r:id="rId4085"/>
    <hyperlink xmlns:r="http://schemas.openxmlformats.org/officeDocument/2006/relationships" ref="Q1633" display="https://www.sebi.gov.in/sebi_data/attachdocs/1289459229842.pdf" r:id="rId4086"/>
    <hyperlink xmlns:r="http://schemas.openxmlformats.org/officeDocument/2006/relationships" ref="R1633" display="https://www.sebi.gov.in/filings/public-issues/nov-2009/aqua-logistics-limited_3437.html" r:id="rId4087"/>
    <hyperlink xmlns:r="http://schemas.openxmlformats.org/officeDocument/2006/relationships" ref="AB1633" r:id="rId4088"/>
    <hyperlink xmlns:r="http://schemas.openxmlformats.org/officeDocument/2006/relationships" ref="Q1634" display="https://www.sebi.gov.in/sebi_data/attachdocs/1289459183936.pdf" r:id="rId4089"/>
    <hyperlink xmlns:r="http://schemas.openxmlformats.org/officeDocument/2006/relationships" ref="R1634" display="https://www.sebi.gov.in/filings/public-issues/nov-2009/everest-infra-energy-limited_3436.html" r:id="rId4090"/>
    <hyperlink xmlns:r="http://schemas.openxmlformats.org/officeDocument/2006/relationships" ref="Q1635" display="https://www.sebi.gov.in/sebi_data/attachdocs/1289459145337.pdf" r:id="rId4091"/>
    <hyperlink xmlns:r="http://schemas.openxmlformats.org/officeDocument/2006/relationships" ref="R1635" display="https://www.sebi.gov.in/filings/public-issues/nov-2009/intrasoft-technologies-limited_3435.html" r:id="rId4092"/>
    <hyperlink xmlns:r="http://schemas.openxmlformats.org/officeDocument/2006/relationships" ref="Q1636" display="https://www.sebi.gov.in/sebi_data/attachdocs/1289459100669.pdf" r:id="rId4093"/>
    <hyperlink xmlns:r="http://schemas.openxmlformats.org/officeDocument/2006/relationships" ref="R1636" display="https://www.sebi.gov.in/filings/public-issues/nov-2009/sterlite-energy-limited_3434.html" r:id="rId4094"/>
    <hyperlink xmlns:r="http://schemas.openxmlformats.org/officeDocument/2006/relationships" ref="Q1637" display="https://www.sebi.gov.in/sebi_data/attachdocs/1289541165530.pdf" r:id="rId4095"/>
    <hyperlink xmlns:r="http://schemas.openxmlformats.org/officeDocument/2006/relationships" ref="R1637" display="https://www.sebi.gov.in/filings/public-issues/oct-2009/godrej-properties-limited_3718.html" r:id="rId4096"/>
    <hyperlink xmlns:r="http://schemas.openxmlformats.org/officeDocument/2006/relationships" ref="Q1638" display="https://www.sebi.gov.in/sebi_data/attachdocs/1289541121672.pdf" r:id="rId4097"/>
    <hyperlink xmlns:r="http://schemas.openxmlformats.org/officeDocument/2006/relationships" ref="R1638" display="https://www.sebi.gov.in/filings/public-issues/oct-2009/tara-health-foods-limited_3717.html" r:id="rId4098"/>
    <hyperlink xmlns:r="http://schemas.openxmlformats.org/officeDocument/2006/relationships" ref="AB1638" r:id="rId4099"/>
    <hyperlink xmlns:r="http://schemas.openxmlformats.org/officeDocument/2006/relationships" ref="Q1639" display="https://www.sebi.gov.in/sebi_data/attachdocs/1289541082935.pdf" r:id="rId4100"/>
    <hyperlink xmlns:r="http://schemas.openxmlformats.org/officeDocument/2006/relationships" ref="R1639" display="https://www.sebi.gov.in/filings/public-issues/oct-2009/jubilant-foodworks-limited_3715.html" r:id="rId4101"/>
    <hyperlink xmlns:r="http://schemas.openxmlformats.org/officeDocument/2006/relationships" ref="Q1640" display="https://www.sebi.gov.in/sebi_data/attachdocs/1289541024342.pdf" r:id="rId4102"/>
    <hyperlink xmlns:r="http://schemas.openxmlformats.org/officeDocument/2006/relationships" ref="R1640" display="https://www.sebi.gov.in/filings/public-issues/oct-2009/man-infra-construction-limited_3714.html" r:id="rId4103"/>
    <hyperlink xmlns:r="http://schemas.openxmlformats.org/officeDocument/2006/relationships" ref="Q1641" display="https://www.sebi.gov.in/sebi_data/attachdocs/1289540963606.pdf" r:id="rId4104"/>
    <hyperlink xmlns:r="http://schemas.openxmlformats.org/officeDocument/2006/relationships" ref="R1641" display="https://www.sebi.gov.in/filings/public-issues/oct-2009/goenka-diamonds-and-jewels-limited_3713.html" r:id="rId4105"/>
    <hyperlink xmlns:r="http://schemas.openxmlformats.org/officeDocument/2006/relationships" ref="Q1642" display="https://www.sebi.gov.in/sebi_data/attachdocs/1289540901670.pdf" r:id="rId4106"/>
    <hyperlink xmlns:r="http://schemas.openxmlformats.org/officeDocument/2006/relationships" ref="R1642" display="https://www.sebi.gov.in/filings/public-issues/oct-2009/ankita-knit-wear-limited_3711.html" r:id="rId4107"/>
    <hyperlink xmlns:r="http://schemas.openxmlformats.org/officeDocument/2006/relationships" ref="Q1643" display="https://www.sebi.gov.in/sebi_data/attachdocs/1289540721608.pdf" r:id="rId4108"/>
    <hyperlink xmlns:r="http://schemas.openxmlformats.org/officeDocument/2006/relationships" ref="R1643" display="https://www.sebi.gov.in/filings/public-issues/oct-2009/cantabil-retail-india-limited_3706.html" r:id="rId4109"/>
    <hyperlink xmlns:r="http://schemas.openxmlformats.org/officeDocument/2006/relationships" ref="Q1644" display="https://www.sebi.gov.in/sebi_data/attachdocs/1289540668614.pdf" r:id="rId4110"/>
    <hyperlink xmlns:r="http://schemas.openxmlformats.org/officeDocument/2006/relationships" ref="R1644" display="https://www.sebi.gov.in/filings/public-issues/oct-2009/db-realty-limited_3704.html" r:id="rId4111"/>
    <hyperlink xmlns:r="http://schemas.openxmlformats.org/officeDocument/2006/relationships" ref="Q1645" display="https://www.sebi.gov.in/sebi_data/attachdocs/1289540786130.pdf" r:id="rId4112"/>
    <hyperlink xmlns:r="http://schemas.openxmlformats.org/officeDocument/2006/relationships" ref="R1645" display="https://www.sebi.gov.in/filings/public-issues/oct-2009/kumar-urban-development-limited_3707.html" r:id="rId4113"/>
    <hyperlink xmlns:r="http://schemas.openxmlformats.org/officeDocument/2006/relationships" ref="AB1645" r:id="rId4114"/>
    <hyperlink xmlns:r="http://schemas.openxmlformats.org/officeDocument/2006/relationships" ref="Q1646" display="https://www.sebi.gov.in/sebi_data/attachdocs/1289540846276.pdf" r:id="rId4115"/>
    <hyperlink xmlns:r="http://schemas.openxmlformats.org/officeDocument/2006/relationships" ref="R1646" display="https://www.sebi.gov.in/filings/public-issues/oct-2009/pipvav-shipyard-limited-addendum-to-rhp_3709.html" r:id="rId4116"/>
    <hyperlink xmlns:r="http://schemas.openxmlformats.org/officeDocument/2006/relationships" ref="AB1646" r:id="rId4117"/>
    <hyperlink xmlns:r="http://schemas.openxmlformats.org/officeDocument/2006/relationships" ref="Q1647" display="https://www.sebi.gov.in/sebi_data/attachdocs/1289540251023.pdf" r:id="rId4118"/>
    <hyperlink xmlns:r="http://schemas.openxmlformats.org/officeDocument/2006/relationships" ref="R1647" display="https://www.sebi.gov.in/filings/public-issues/oct-2009/dq-entertainment-international-limited_3692.html" r:id="rId4119"/>
    <hyperlink xmlns:r="http://schemas.openxmlformats.org/officeDocument/2006/relationships" ref="Q1648" display="https://www.sebi.gov.in/sebi_data/attachdocs/1289540483079.pdf" r:id="rId4120"/>
    <hyperlink xmlns:r="http://schemas.openxmlformats.org/officeDocument/2006/relationships" ref="R1648" display="https://www.sebi.gov.in/filings/public-issues/oct-2009/emaar-mgf-land-limited_3699.html" r:id="rId4121"/>
    <hyperlink xmlns:r="http://schemas.openxmlformats.org/officeDocument/2006/relationships" ref="AB1648" r:id="rId4122"/>
    <hyperlink xmlns:r="http://schemas.openxmlformats.org/officeDocument/2006/relationships" ref="Q1649" display="https://www.sebi.gov.in/sebi_data/attachdocs/1289540326423.pdf" r:id="rId4123"/>
    <hyperlink xmlns:r="http://schemas.openxmlformats.org/officeDocument/2006/relationships" ref="R1649" display="https://www.sebi.gov.in/filings/public-issues/oct-2009/glenmark-generics-limited_3694.html" r:id="rId4124"/>
    <hyperlink xmlns:r="http://schemas.openxmlformats.org/officeDocument/2006/relationships" ref="AB1649" r:id="rId4125"/>
    <hyperlink xmlns:r="http://schemas.openxmlformats.org/officeDocument/2006/relationships" ref="Q1650" display="https://www.sebi.gov.in/sebi_data/attachdocs/1289540631419.pdf" r:id="rId4126"/>
    <hyperlink xmlns:r="http://schemas.openxmlformats.org/officeDocument/2006/relationships" ref="R1650" display="https://www.sebi.gov.in/filings/public-issues/oct-2009/il-and-fs-transportation-networks-limited_3703.html" r:id="rId4127"/>
    <hyperlink xmlns:r="http://schemas.openxmlformats.org/officeDocument/2006/relationships" ref="Q1651" display="https://www.sebi.gov.in/sebi_data/attachdocs/1289540534946.pdf" r:id="rId4128"/>
    <hyperlink xmlns:r="http://schemas.openxmlformats.org/officeDocument/2006/relationships" ref="R1651" display="https://www.sebi.gov.in/filings/public-issues/oct-2009/mandhana-industries-limited_3701.html" r:id="rId4129"/>
    <hyperlink xmlns:r="http://schemas.openxmlformats.org/officeDocument/2006/relationships" ref="AB1651" r:id="rId4130"/>
    <hyperlink xmlns:r="http://schemas.openxmlformats.org/officeDocument/2006/relationships" ref="Q1652" display="https://www.sebi.gov.in/sebi_data/attachdocs/1289540584967.pdf" r:id="rId4131"/>
    <hyperlink xmlns:r="http://schemas.openxmlformats.org/officeDocument/2006/relationships" ref="R1652" display="https://www.sebi.gov.in/filings/public-issues/oct-2009/midfield-industries-limited_3702.html" r:id="rId4132"/>
    <hyperlink xmlns:r="http://schemas.openxmlformats.org/officeDocument/2006/relationships" ref="AB1652" r:id="rId4133"/>
    <hyperlink xmlns:r="http://schemas.openxmlformats.org/officeDocument/2006/relationships" ref="Q1653" display="https://www.sebi.gov.in/sebi_data/attachdocs/1289540287771.pdf" r:id="rId4134"/>
    <hyperlink xmlns:r="http://schemas.openxmlformats.org/officeDocument/2006/relationships" ref="R1653" display="https://www.sebi.gov.in/filings/public-issues/oct-2009/rosmerta-technologies-limited_3693.html" r:id="rId4135"/>
    <hyperlink xmlns:r="http://schemas.openxmlformats.org/officeDocument/2006/relationships" ref="Q1654" display="https://www.sebi.gov.in/sebi_data/attachdocs/1289540376958.pdf" r:id="rId4136"/>
    <hyperlink xmlns:r="http://schemas.openxmlformats.org/officeDocument/2006/relationships" ref="R1654" display="https://www.sebi.gov.in/filings/public-issues/oct-2009/sahara-prime-city-limited_3696.html" r:id="rId4137"/>
    <hyperlink xmlns:r="http://schemas.openxmlformats.org/officeDocument/2006/relationships" ref="Q1655" display="https://www.sebi.gov.in/sebi_data/attachdocs/1289622975612.pdf" r:id="rId4138"/>
    <hyperlink xmlns:r="http://schemas.openxmlformats.org/officeDocument/2006/relationships" ref="R1655" display="https://www.sebi.gov.in/filings/public-issues/sep-2009/ambience-limited_4063.html" r:id="rId4139"/>
    <hyperlink xmlns:r="http://schemas.openxmlformats.org/officeDocument/2006/relationships" ref="AB1655" r:id="rId4140"/>
    <hyperlink xmlns:r="http://schemas.openxmlformats.org/officeDocument/2006/relationships" ref="Q1656" display="https://www.sebi.gov.in/sebi_data/attachdocs/1289623241784.pdf" r:id="rId4141"/>
    <hyperlink xmlns:r="http://schemas.openxmlformats.org/officeDocument/2006/relationships" ref="R1656" display="https://www.sebi.gov.in/filings/public-issues/sep-2009/gravita-india-limited_4065.html" r:id="rId4142"/>
    <hyperlink xmlns:r="http://schemas.openxmlformats.org/officeDocument/2006/relationships" ref="Q1657" display="https://www.sebi.gov.in/sebi_data/attachdocs/1289622295286.pdf" r:id="rId4143"/>
    <hyperlink xmlns:r="http://schemas.openxmlformats.org/officeDocument/2006/relationships" ref="R1657" display="https://www.sebi.gov.in/filings/public-issues/sep-2009/hathway-cable-and-datacom-limited_4056.html" r:id="rId4144"/>
    <hyperlink xmlns:r="http://schemas.openxmlformats.org/officeDocument/2006/relationships" ref="Q1658" display="https://www.sebi.gov.in/sebi_data/attachdocs/1289622453911.pdf" r:id="rId4145"/>
    <hyperlink xmlns:r="http://schemas.openxmlformats.org/officeDocument/2006/relationships" ref="R1658" display="https://www.sebi.gov.in/filings/public-issues/sep-2009/lodha-developers-limited_4057.html" r:id="rId4146"/>
    <hyperlink xmlns:r="http://schemas.openxmlformats.org/officeDocument/2006/relationships" ref="AB1658" r:id="rId4147"/>
    <hyperlink xmlns:r="http://schemas.openxmlformats.org/officeDocument/2006/relationships" ref="Q1659" display="https://www.sebi.gov.in/sebi_data/attachdocs/1289622210807.pdf" r:id="rId4148"/>
    <hyperlink xmlns:r="http://schemas.openxmlformats.org/officeDocument/2006/relationships" ref="R1659" display="https://www.sebi.gov.in/filings/public-issues/sep-2009/pci-limited_4055.html" r:id="rId4149"/>
    <hyperlink xmlns:r="http://schemas.openxmlformats.org/officeDocument/2006/relationships" ref="AB1659" r:id="rId4150"/>
    <hyperlink xmlns:r="http://schemas.openxmlformats.org/officeDocument/2006/relationships" ref="Q1660" display="https://www.sebi.gov.in/sebi_data/attachdocs/1289623561452.pdf" r:id="rId4151"/>
    <hyperlink xmlns:r="http://schemas.openxmlformats.org/officeDocument/2006/relationships" ref="R1660" display="https://www.sebi.gov.in/filings/public-issues/sep-2009/reliance-infra-tel-limited_4067.html" r:id="rId4152"/>
    <hyperlink xmlns:r="http://schemas.openxmlformats.org/officeDocument/2006/relationships" ref="Q1661" display="https://www.sebi.gov.in/sebi_data/attachdocs/1289622645155.pdf" r:id="rId4153"/>
    <hyperlink xmlns:r="http://schemas.openxmlformats.org/officeDocument/2006/relationships" ref="R1661" display="https://www.sebi.gov.in/filings/public-issues/sep-2009/shree-ganesh-jewellery-house-limited_4059.html" r:id="rId4154"/>
    <hyperlink xmlns:r="http://schemas.openxmlformats.org/officeDocument/2006/relationships" ref="AB1661" r:id="rId4155"/>
    <hyperlink xmlns:r="http://schemas.openxmlformats.org/officeDocument/2006/relationships" ref="Q1662" display="https://www.sebi.gov.in/sebi_data/attachdocs/1289623059376.pdf" r:id="rId4156"/>
    <hyperlink xmlns:r="http://schemas.openxmlformats.org/officeDocument/2006/relationships" ref="R1662" display="https://www.sebi.gov.in/filings/public-issues/sep-2009/vascon-engineers-limited_4064.html" r:id="rId4157"/>
    <hyperlink xmlns:r="http://schemas.openxmlformats.org/officeDocument/2006/relationships" ref="Q1663" display="https://www.sebi.gov.in/sebi_data/attachdocs/1289622112835.pdf" r:id="rId4158"/>
    <hyperlink xmlns:r="http://schemas.openxmlformats.org/officeDocument/2006/relationships" ref="R1663" display="https://www.sebi.gov.in/filings/public-issues/sep-2009/aqua-logistics-limited_4053.html" r:id="rId4159"/>
    <hyperlink xmlns:r="http://schemas.openxmlformats.org/officeDocument/2006/relationships" ref="AB1663" r:id="rId4160"/>
    <hyperlink xmlns:r="http://schemas.openxmlformats.org/officeDocument/2006/relationships" ref="Q1664" display="https://www.sebi.gov.in/sebi_data/attachdocs/1289622030000.pdf" r:id="rId4161"/>
    <hyperlink xmlns:r="http://schemas.openxmlformats.org/officeDocument/2006/relationships" ref="R1664" display="https://www.sebi.gov.in/filings/public-issues/sep-2009/ashoka-buildcon-limited_4052.html" r:id="rId4162"/>
    <hyperlink xmlns:r="http://schemas.openxmlformats.org/officeDocument/2006/relationships" ref="Q1665" display="https://www.sebi.gov.in/sebi_data/attachdocs/1289621941910.pdf" r:id="rId4163"/>
    <hyperlink xmlns:r="http://schemas.openxmlformats.org/officeDocument/2006/relationships" ref="R1665" display="https://www.sebi.gov.in/filings/public-issues/sep-2009/emmbi-polyarns-limited_4051.html" r:id="rId4164"/>
    <hyperlink xmlns:r="http://schemas.openxmlformats.org/officeDocument/2006/relationships" ref="Q1666" display="https://www.sebi.gov.in/sebi_data/attachdocs/1289621869521.pdf" r:id="rId4165"/>
    <hyperlink xmlns:r="http://schemas.openxmlformats.org/officeDocument/2006/relationships" ref="R1666" display="https://www.sebi.gov.in/filings/public-issues/sep-2009/birla-shloka-edutech-limited_4050.html" r:id="rId4166"/>
    <hyperlink xmlns:r="http://schemas.openxmlformats.org/officeDocument/2006/relationships" ref="Q1667" display="https://www.sebi.gov.in/sebi_data/attachdocs/1289805752257.pdf" r:id="rId4167"/>
    <hyperlink xmlns:r="http://schemas.openxmlformats.org/officeDocument/2006/relationships" ref="R1667" display="https://www.sebi.gov.in/filings/public-issues/aug-2009/arss-infrastructure-projects-limited_4347.html" r:id="rId4168"/>
    <hyperlink xmlns:r="http://schemas.openxmlformats.org/officeDocument/2006/relationships" ref="Q1668" display="https://www.sebi.gov.in/sebi_data/attachdocs/1289805718699.pdf" r:id="rId4169"/>
    <hyperlink xmlns:r="http://schemas.openxmlformats.org/officeDocument/2006/relationships" ref="R1668" display="https://www.sebi.gov.in/filings/public-issues/aug-2009/cox-and-kings-india-limited_4346.html" r:id="rId4170"/>
    <hyperlink xmlns:r="http://schemas.openxmlformats.org/officeDocument/2006/relationships" ref="Q1669" display="https://www.sebi.gov.in/sebi_data/attachdocs/1289805641103.pdf" r:id="rId4171"/>
    <hyperlink xmlns:r="http://schemas.openxmlformats.org/officeDocument/2006/relationships" ref="R1669" display="https://www.sebi.gov.in/filings/public-issues/aug-2009/d-b-corp-limited_4344.html" r:id="rId4172"/>
    <hyperlink xmlns:r="http://schemas.openxmlformats.org/officeDocument/2006/relationships" ref="Q1670" display="https://www.sebi.gov.in/sebi_data/attachdocs/1289805680292.pdf" r:id="rId4173"/>
    <hyperlink xmlns:r="http://schemas.openxmlformats.org/officeDocument/2006/relationships" ref="R1670" display="https://www.sebi.gov.in/filings/public-issues/aug-2009/jsw-energy-limited_4345.html" r:id="rId4174"/>
    <hyperlink xmlns:r="http://schemas.openxmlformats.org/officeDocument/2006/relationships" ref="Q1671" display="https://www.sebi.gov.in/sebi_data/attachdocs/1289805597509.pdf" r:id="rId4175"/>
    <hyperlink xmlns:r="http://schemas.openxmlformats.org/officeDocument/2006/relationships" ref="R1671" display="https://www.sebi.gov.in/filings/public-issues/aug-2009/den-networks-limited_4343.html" r:id="rId4176"/>
    <hyperlink xmlns:r="http://schemas.openxmlformats.org/officeDocument/2006/relationships" ref="Q1672" display="https://www.sebi.gov.in/sebi_data/attachdocs/1289805558549.pdf" r:id="rId4177"/>
    <hyperlink xmlns:r="http://schemas.openxmlformats.org/officeDocument/2006/relationships" ref="R1672" display="https://www.sebi.gov.in/filings/public-issues/aug-2009/m-s-thangamayil-jewellery-ltd_4342.html" r:id="rId4178"/>
    <hyperlink xmlns:r="http://schemas.openxmlformats.org/officeDocument/2006/relationships" ref="Q1673" display="https://www.sebi.gov.in/sebi_data/attachdocs/1289882533682.pdf" r:id="rId4179"/>
    <hyperlink xmlns:r="http://schemas.openxmlformats.org/officeDocument/2006/relationships" ref="R1673" display="https://www.sebi.gov.in/filings/public-issues/jul-2009/vipul-impex-and-infrabuild-limited_4583.html" r:id="rId4180"/>
    <hyperlink xmlns:r="http://schemas.openxmlformats.org/officeDocument/2006/relationships" ref="Q1674" display="https://www.sebi.gov.in/sebi_data/attachdocs/1289882496044.pdf" r:id="rId4181"/>
    <hyperlink xmlns:r="http://schemas.openxmlformats.org/officeDocument/2006/relationships" ref="R1674" display="https://www.sebi.gov.in/filings/public-issues/jul-2009/indiabulls-power-limited_4582.html" r:id="rId4182"/>
    <hyperlink xmlns:r="http://schemas.openxmlformats.org/officeDocument/2006/relationships" ref="Q1675" display="https://www.sebi.gov.in/sebi_data/attachdocs/1289882457215.pdf" r:id="rId4183"/>
    <hyperlink xmlns:r="http://schemas.openxmlformats.org/officeDocument/2006/relationships" ref="R1675" display="https://www.sebi.gov.in/filings/public-issues/jul-2009/sai-silks-kalamandir-limited_4581.html" r:id="rId4184"/>
    <hyperlink xmlns:r="http://schemas.openxmlformats.org/officeDocument/2006/relationships" ref="AB1675" r:id="rId4185"/>
    <hyperlink xmlns:r="http://schemas.openxmlformats.org/officeDocument/2006/relationships" ref="Q1676" display="https://www.sebi.gov.in/sebi_data/attachdocs/1290067970608.pdf" r:id="rId4186"/>
    <hyperlink xmlns:r="http://schemas.openxmlformats.org/officeDocument/2006/relationships" ref="R1676" display="https://www.sebi.gov.in/filings/public-issues/apr-2009/kabirdass-motor-company-limited_5209.html" r:id="rId4187"/>
    <hyperlink xmlns:r="http://schemas.openxmlformats.org/officeDocument/2006/relationships" ref="Q1677" display="https://www.sebi.gov.in/sebi_data/attachdocs/1290067921102.pdf" r:id="rId4188"/>
    <hyperlink xmlns:r="http://schemas.openxmlformats.org/officeDocument/2006/relationships" ref="R1677" display="https://www.sebi.gov.in/filings/public-issues/apr-2009/adani-power-limited_5208.html" r:id="rId4189"/>
    <hyperlink xmlns:r="http://schemas.openxmlformats.org/officeDocument/2006/relationships" ref="Q1678" display="https://www.sebi.gov.in/sebi_data/attachdocs/1290076463687.pdf" r:id="rId4190"/>
    <hyperlink xmlns:r="http://schemas.openxmlformats.org/officeDocument/2006/relationships" ref="R1678" display="https://www.sebi.gov.in/filings/public-issues/mar-2009/thinksoft-global-services-limited_5363.html" r:id="rId4191"/>
    <hyperlink xmlns:r="http://schemas.openxmlformats.org/officeDocument/2006/relationships" ref="Q1679" display="https://www.sebi.gov.in/sebi_data/attachdocs/1290402640010.pdf" r:id="rId4192"/>
    <hyperlink xmlns:r="http://schemas.openxmlformats.org/officeDocument/2006/relationships" ref="R1679" display="https://www.sebi.gov.in/filings/public-issues/jan-2009/mayajaal-entertainment-limited_5598.html" r:id="rId4193"/>
    <hyperlink xmlns:r="http://schemas.openxmlformats.org/officeDocument/2006/relationships" ref="AB1679" r:id="rId4194"/>
    <hyperlink xmlns:r="http://schemas.openxmlformats.org/officeDocument/2006/relationships" ref="Q1680" display="https://www.sebi.gov.in/sebi_data/attachdocs/1290402488170.pdf" r:id="rId4195"/>
    <hyperlink xmlns:r="http://schemas.openxmlformats.org/officeDocument/2006/relationships" ref="R1680" display="https://www.sebi.gov.in/filings/public-issues/jan-2009/pradip-overseas-limited_5594.html" r:id="rId4196"/>
    <hyperlink xmlns:r="http://schemas.openxmlformats.org/officeDocument/2006/relationships" ref="Q1681" display="https://www.sebi.gov.in/sebi_data/attachdocs/1290402550046.pdf" r:id="rId4197"/>
    <hyperlink xmlns:r="http://schemas.openxmlformats.org/officeDocument/2006/relationships" ref="R1681" display="https://www.sebi.gov.in/filings/public-issues/jan-2009/sea-tv-network-limited_5595.html" r:id="rId4198"/>
    <hyperlink xmlns:r="http://schemas.openxmlformats.org/officeDocument/2006/relationships" ref="Q1682" display="https://www.sebi.gov.in/sebi_data/attachdocs/1291436901973.pdf" r:id="rId4199"/>
    <hyperlink xmlns:r="http://schemas.openxmlformats.org/officeDocument/2006/relationships" ref="R1682" display="https://www.sebi.gov.in/filings/public-issues/dec-2008/great-eastern-energy-corporation-limited_7982.html" r:id="rId4200"/>
    <hyperlink xmlns:r="http://schemas.openxmlformats.org/officeDocument/2006/relationships" ref="AB1682" r:id="rId4201"/>
    <hyperlink xmlns:r="http://schemas.openxmlformats.org/officeDocument/2006/relationships" ref="Q1683" display="https://www.sebi.gov.in/sebi_data/attachdocs/1291436800484.pdf" r:id="rId4202"/>
    <hyperlink xmlns:r="http://schemas.openxmlformats.org/officeDocument/2006/relationships" ref="R1683" display="https://www.sebi.gov.in/filings/public-issues/dec-2008/texmo-pipes-and-products-ltd_7981.html" r:id="rId4203"/>
    <hyperlink xmlns:r="http://schemas.openxmlformats.org/officeDocument/2006/relationships" ref="Q1684" display="https://www.sebi.gov.in/sebi_data/attachdocs/1294992576807.pdf" r:id="rId4204"/>
    <hyperlink xmlns:r="http://schemas.openxmlformats.org/officeDocument/2006/relationships" ref="R1684" display="https://www.sebi.gov.in/filings/public-issues/nov-2008/usher-eco-power-limited_14278.html" r:id="rId4205"/>
    <hyperlink xmlns:r="http://schemas.openxmlformats.org/officeDocument/2006/relationships" ref="AB1684" r:id="rId4206"/>
    <hyperlink xmlns:r="http://schemas.openxmlformats.org/officeDocument/2006/relationships" ref="Q1685" display="https://www.sebi.gov.in/sebi_data/attachdocs/1291289443561.pdf" r:id="rId4207"/>
    <hyperlink xmlns:r="http://schemas.openxmlformats.org/officeDocument/2006/relationships" ref="R1685" display="https://www.sebi.gov.in/filings/public-issues/oct-2008/midvalley-entertainment-limited_7577.html" r:id="rId4208"/>
    <hyperlink xmlns:r="http://schemas.openxmlformats.org/officeDocument/2006/relationships" ref="AB1685" r:id="rId4209"/>
    <hyperlink xmlns:r="http://schemas.openxmlformats.org/officeDocument/2006/relationships" ref="Q1686" display="https://www.sebi.gov.in/sebi_data/attachdocs/1291289200377.pdf" r:id="rId4210"/>
    <hyperlink xmlns:r="http://schemas.openxmlformats.org/officeDocument/2006/relationships" ref="R1686" display="https://www.sebi.gov.in/filings/public-issues/oct-2008/thomas-cook-india-limited_7576.html" r:id="rId4211"/>
    <hyperlink xmlns:r="http://schemas.openxmlformats.org/officeDocument/2006/relationships" ref="AB1686" r:id="rId4212"/>
    <hyperlink xmlns:r="http://schemas.openxmlformats.org/officeDocument/2006/relationships" ref="Q1687" display="https://www.sebi.gov.in/sebi_data/attachdocs/1291289080198.pdf" r:id="rId4213"/>
    <hyperlink xmlns:r="http://schemas.openxmlformats.org/officeDocument/2006/relationships" ref="R1687" display="https://www.sebi.gov.in/filings/public-issues/oct-2008/amr-constructions-limited_7575.html" r:id="rId4214"/>
    <hyperlink xmlns:r="http://schemas.openxmlformats.org/officeDocument/2006/relationships" ref="AB1687" r:id="rId4215"/>
    <hyperlink xmlns:r="http://schemas.openxmlformats.org/officeDocument/2006/relationships" ref="Q1688" display="https://www.sebi.gov.in/sebi_data/attachdocs/1291288906060.pdf" r:id="rId4216"/>
    <hyperlink xmlns:r="http://schemas.openxmlformats.org/officeDocument/2006/relationships" ref="R1688" display="https://www.sebi.gov.in/filings/public-issues/oct-2008/gujarat-pipavav-port-limited_7574.html" r:id="rId4217"/>
    <hyperlink xmlns:r="http://schemas.openxmlformats.org/officeDocument/2006/relationships" ref="Q1689" display="https://www.sebi.gov.in/sebi_data/attachdocs/1291288634228.pdf" r:id="rId4218"/>
    <hyperlink xmlns:r="http://schemas.openxmlformats.org/officeDocument/2006/relationships" ref="R1689" display="https://www.sebi.gov.in/filings/public-issues/oct-2008/mahindra-holidays-and-resorts-india-limited_7571.html" r:id="rId4219"/>
    <hyperlink xmlns:r="http://schemas.openxmlformats.org/officeDocument/2006/relationships" ref="Q1690" display="https://www.sebi.gov.in/sebi_data/attachdocs/1291288429268.pdf" r:id="rId4220"/>
    <hyperlink xmlns:r="http://schemas.openxmlformats.org/officeDocument/2006/relationships" ref="R1690" display="https://www.sebi.gov.in/filings/public-issues/oct-2008/bs-transcomm-limited_7569.html" r:id="rId4221"/>
    <hyperlink xmlns:r="http://schemas.openxmlformats.org/officeDocument/2006/relationships" ref="AB1690" r:id="rId4222"/>
    <hyperlink xmlns:r="http://schemas.openxmlformats.org/officeDocument/2006/relationships" ref="Q1691" display="https://www.sebi.gov.in/sebi_data/attachdocs/1291288225612.pdf" r:id="rId4223"/>
    <hyperlink xmlns:r="http://schemas.openxmlformats.org/officeDocument/2006/relationships" ref="R1691" display="https://www.sebi.gov.in/filings/public-issues/oct-2008/mbl-infrastructures-limited_7568.html" r:id="rId4224"/>
    <hyperlink xmlns:r="http://schemas.openxmlformats.org/officeDocument/2006/relationships" ref="Q1692" display="https://www.sebi.gov.in/sebi_data/attachdocs/1291278202382.pdf" r:id="rId4225"/>
    <hyperlink xmlns:r="http://schemas.openxmlformats.org/officeDocument/2006/relationships" ref="R1692" display="https://www.sebi.gov.in/filings/public-issues/sep-2008/shri-nataraj-ceramic-and-chemical-industries-limited_7420.html" r:id="rId4226"/>
    <hyperlink xmlns:r="http://schemas.openxmlformats.org/officeDocument/2006/relationships" ref="AB1692" r:id="rId4227"/>
    <hyperlink xmlns:r="http://schemas.openxmlformats.org/officeDocument/2006/relationships" ref="Q1693" display="https://www.sebi.gov.in/sebi_data/attachdocs/1291278095340.pdf" r:id="rId4228"/>
    <hyperlink xmlns:r="http://schemas.openxmlformats.org/officeDocument/2006/relationships" ref="R1693" display="https://www.sebi.gov.in/filings/public-issues/sep-2008/aravali-infrapower-limited_7413.html" r:id="rId4229"/>
    <hyperlink xmlns:r="http://schemas.openxmlformats.org/officeDocument/2006/relationships" ref="AB1693" r:id="rId4230"/>
    <hyperlink xmlns:r="http://schemas.openxmlformats.org/officeDocument/2006/relationships" ref="Q1694" display="https://www.sebi.gov.in/sebi_data/attachdocs/1291277933513.pdf" r:id="rId4231"/>
    <hyperlink xmlns:r="http://schemas.openxmlformats.org/officeDocument/2006/relationships" ref="R1694" display="https://www.sebi.gov.in/filings/public-issues/sep-2008/globus-spirits-limited_7407.html" r:id="rId4232"/>
    <hyperlink xmlns:r="http://schemas.openxmlformats.org/officeDocument/2006/relationships" ref="Q1695" display="https://www.sebi.gov.in/sebi_data/attachdocs/1291277744120.pdf" r:id="rId4233"/>
    <hyperlink xmlns:r="http://schemas.openxmlformats.org/officeDocument/2006/relationships" ref="R1695" display="https://www.sebi.gov.in/filings/public-issues/sep-2008/syncom-healthcare-limited_7405.html" r:id="rId4234"/>
    <hyperlink xmlns:r="http://schemas.openxmlformats.org/officeDocument/2006/relationships" ref="Q1696" display="https://www.sebi.gov.in/sebi_data/attachdocs/1291192086656.pdf" r:id="rId4235"/>
    <hyperlink xmlns:r="http://schemas.openxmlformats.org/officeDocument/2006/relationships" ref="R1696" display="https://www.sebi.gov.in/filings/public-issues/aug-2008/jindal-cotex-limited_6909.html" r:id="rId4236"/>
    <hyperlink xmlns:r="http://schemas.openxmlformats.org/officeDocument/2006/relationships" ref="Q1697" display="https://www.sebi.gov.in/sebi_data/attachdocs/1291191889723.pdf" r:id="rId4237"/>
    <hyperlink xmlns:r="http://schemas.openxmlformats.org/officeDocument/2006/relationships" ref="R1697" display="https://www.sebi.gov.in/filings/public-issues/aug-2008/astec-lifesciences-limited_6904.html" r:id="rId4238"/>
    <hyperlink xmlns:r="http://schemas.openxmlformats.org/officeDocument/2006/relationships" ref="Q1698" display="https://www.sebi.gov.in/sebi_data/attachdocs/1291191591621.pdf" r:id="rId4239"/>
    <hyperlink xmlns:r="http://schemas.openxmlformats.org/officeDocument/2006/relationships" ref="R1698" display="https://www.sebi.gov.in/filings/public-issues/aug-2008/trinity-india-limited_6900.html" r:id="rId4240"/>
    <hyperlink xmlns:r="http://schemas.openxmlformats.org/officeDocument/2006/relationships" ref="AB1698" r:id="rId4241"/>
    <hyperlink xmlns:r="http://schemas.openxmlformats.org/officeDocument/2006/relationships" ref="Q1699" display="https://www.sebi.gov.in/sebi_data/attachdocs/1294993396876.pdf" r:id="rId4242"/>
    <hyperlink xmlns:r="http://schemas.openxmlformats.org/officeDocument/2006/relationships" ref="R1699" display="https://www.sebi.gov.in/filings/public-issues/aug-2008/rishabdev-technocable-limited_14279.html" r:id="rId4243"/>
    <hyperlink xmlns:r="http://schemas.openxmlformats.org/officeDocument/2006/relationships" ref="AB1699" r:id="rId4244"/>
    <hyperlink xmlns:r="http://schemas.openxmlformats.org/officeDocument/2006/relationships" ref="Q1700" display="https://www.sebi.gov.in/sebi_data/attachdocs/1294993768981.pdf" r:id="rId4245"/>
    <hyperlink xmlns:r="http://schemas.openxmlformats.org/officeDocument/2006/relationships" ref="R1700" display="https://www.sebi.gov.in/filings/public-issues/aug-2008/nhpc-limited_14280.html" r:id="rId4246"/>
    <hyperlink xmlns:r="http://schemas.openxmlformats.org/officeDocument/2006/relationships" ref="Q1701" display="https://www.sebi.gov.in/sebi_data/attachdocs/1291191378145.pdf" r:id="rId4247"/>
    <hyperlink xmlns:r="http://schemas.openxmlformats.org/officeDocument/2006/relationships" ref="R1701" display="https://www.sebi.gov.in/filings/public-issues/aug-2008/excel-infoways-limited_6898.html" r:id="rId4248"/>
    <hyperlink xmlns:r="http://schemas.openxmlformats.org/officeDocument/2006/relationships" ref="Q1702" display="https://www.sebi.gov.in/sebi_data/attachdocs/1291190781534.pdf" r:id="rId4249"/>
    <hyperlink xmlns:r="http://schemas.openxmlformats.org/officeDocument/2006/relationships" ref="R1702" display="https://www.sebi.gov.in/filings/public-issues/aug-2008/radiant-info-systems-limited_6886.html" r:id="rId4250"/>
    <hyperlink xmlns:r="http://schemas.openxmlformats.org/officeDocument/2006/relationships" ref="AB1702" r:id="rId4251"/>
    <hyperlink xmlns:r="http://schemas.openxmlformats.org/officeDocument/2006/relationships" ref="Q1703" display="https://www.sebi.gov.in/sebi_data/attachdocs/1291261788010.pdf" r:id="rId4252"/>
    <hyperlink xmlns:r="http://schemas.openxmlformats.org/officeDocument/2006/relationships" ref="R1703" display="https://www.sebi.gov.in/filings/public-issues/jul-2008/persistent-systems-limited_7098.html" r:id="rId4253"/>
    <hyperlink xmlns:r="http://schemas.openxmlformats.org/officeDocument/2006/relationships" ref="Q1704" display="https://www.sebi.gov.in/sebi_data/attachdocs/1291261696994.pdf" r:id="rId4254"/>
    <hyperlink xmlns:r="http://schemas.openxmlformats.org/officeDocument/2006/relationships" ref="R1704" display="https://www.sebi.gov.in/filings/public-issues/jul-2008/gemini-engi-fab-limited_7096.html" r:id="rId4255"/>
    <hyperlink xmlns:r="http://schemas.openxmlformats.org/officeDocument/2006/relationships" ref="AB1704" r:id="rId4256"/>
    <hyperlink xmlns:r="http://schemas.openxmlformats.org/officeDocument/2006/relationships" ref="Q1705" display="https://www.sebi.gov.in/sebi_data/attachdocs/1291261629163.pdf" r:id="rId4257"/>
    <hyperlink xmlns:r="http://schemas.openxmlformats.org/officeDocument/2006/relationships" ref="R1705" display="https://www.sebi.gov.in/filings/public-issues/jul-2008/c-mahendra-exports-limited_7094.html" r:id="rId4258"/>
    <hyperlink xmlns:r="http://schemas.openxmlformats.org/officeDocument/2006/relationships" ref="AB1705" r:id="rId4259"/>
    <hyperlink xmlns:r="http://schemas.openxmlformats.org/officeDocument/2006/relationships" ref="Q1706" display="https://www.sebi.gov.in/sebi_data/attachdocs/1291181165286.pdf" r:id="rId4260"/>
    <hyperlink xmlns:r="http://schemas.openxmlformats.org/officeDocument/2006/relationships" ref="R1706" display="https://www.sebi.gov.in/filings/public-issues/jun-2008/cellebrum-technologies-limited_6788.html" r:id="rId4261"/>
    <hyperlink xmlns:r="http://schemas.openxmlformats.org/officeDocument/2006/relationships" ref="AB1706" r:id="rId4262"/>
    <hyperlink xmlns:r="http://schemas.openxmlformats.org/officeDocument/2006/relationships" ref="Q1707" display="https://www.sebi.gov.in/sebi_data/attachdocs/1291180459889.pdf" r:id="rId4263"/>
    <hyperlink xmlns:r="http://schemas.openxmlformats.org/officeDocument/2006/relationships" ref="R1707" display="https://www.sebi.gov.in/filings/public-issues/jun-2008/raj-oil-mills-limited_6782.html" r:id="rId4264"/>
    <hyperlink xmlns:r="http://schemas.openxmlformats.org/officeDocument/2006/relationships" ref="Q1708" display="https://www.sebi.gov.in/sebi_data/attachdocs/1291180264947.pdf" r:id="rId4265"/>
    <hyperlink xmlns:r="http://schemas.openxmlformats.org/officeDocument/2006/relationships" ref="R1708" display="https://www.sebi.gov.in/filings/public-issues/jun-2008/edserv-softsystems-limited_6781.html" r:id="rId4266"/>
    <hyperlink xmlns:r="http://schemas.openxmlformats.org/officeDocument/2006/relationships" ref="AB1708" r:id="rId4267"/>
    <hyperlink xmlns:r="http://schemas.openxmlformats.org/officeDocument/2006/relationships" ref="Q1709" display="https://www.sebi.gov.in/sebi_data/attachdocs/1291180148713.pdf" r:id="rId4268"/>
    <hyperlink xmlns:r="http://schemas.openxmlformats.org/officeDocument/2006/relationships" ref="R1709" display="https://www.sebi.gov.in/filings/public-issues/jun-2008/alkali-metals-ltd-draft-rhp_6779.html" r:id="rId4269"/>
    <hyperlink xmlns:r="http://schemas.openxmlformats.org/officeDocument/2006/relationships" ref="Q1710" display="https://www.sebi.gov.in/sebi_data/attachdocs/1291179466579.pdf" r:id="rId4270"/>
    <hyperlink xmlns:r="http://schemas.openxmlformats.org/officeDocument/2006/relationships" ref="R1710" display="https://www.sebi.gov.in/filings/public-issues/jun-2008/godrej-properties-limited_6776.html" r:id="rId4271"/>
    <hyperlink xmlns:r="http://schemas.openxmlformats.org/officeDocument/2006/relationships" ref="Q1711" display="https://www.sebi.gov.in/sebi_data/attachdocs/1294994328308.pdf" r:id="rId4272"/>
    <hyperlink xmlns:r="http://schemas.openxmlformats.org/officeDocument/2006/relationships" ref="R1711" display="https://www.sebi.gov.in/filings/public-issues/may-2008/triveni-infrastructure-development-company-limited_14282.html" r:id="rId4273"/>
    <hyperlink xmlns:r="http://schemas.openxmlformats.org/officeDocument/2006/relationships" ref="AB1711" r:id="rId4274"/>
    <hyperlink xmlns:r="http://schemas.openxmlformats.org/officeDocument/2006/relationships" ref="Q1712" display="https://www.sebi.gov.in/sebi_data/attachdocs/1291110089186.pdf" r:id="rId4275"/>
    <hyperlink xmlns:r="http://schemas.openxmlformats.org/officeDocument/2006/relationships" ref="R1712" display="https://www.sebi.gov.in/filings/public-issues/may-2008/infinite-computer-solutions-india-limited_6585.html" r:id="rId4276"/>
    <hyperlink xmlns:r="http://schemas.openxmlformats.org/officeDocument/2006/relationships" ref="AB1712" r:id="rId4277"/>
    <hyperlink xmlns:r="http://schemas.openxmlformats.org/officeDocument/2006/relationships" ref="Q1713" display="https://www.sebi.gov.in/sebi_data/attachdocs/1291109983927.pdf" r:id="rId4278"/>
    <hyperlink xmlns:r="http://schemas.openxmlformats.org/officeDocument/2006/relationships" ref="R1713" display="https://www.sebi.gov.in/filings/public-issues/may-2008/gini-and-jony-limited_6583.html" r:id="rId4279"/>
    <hyperlink xmlns:r="http://schemas.openxmlformats.org/officeDocument/2006/relationships" ref="AB1713" r:id="rId4280"/>
    <hyperlink xmlns:r="http://schemas.openxmlformats.org/officeDocument/2006/relationships" ref="Q1714" display="https://www.sebi.gov.in/sebi_data/attachdocs/1291109873170.pdf" r:id="rId4281"/>
    <hyperlink xmlns:r="http://schemas.openxmlformats.org/officeDocument/2006/relationships" ref="R1714" display="https://www.sebi.gov.in/filings/public-issues/may-2008/adani-power-limited_6582.html" r:id="rId4282"/>
    <hyperlink xmlns:r="http://schemas.openxmlformats.org/officeDocument/2006/relationships" ref="Q1715" display="https://www.sebi.gov.in/sebi_data/attachdocs/1291110628141.pdf" r:id="rId4283"/>
    <hyperlink xmlns:r="http://schemas.openxmlformats.org/officeDocument/2006/relationships" ref="R1715" display="https://www.sebi.gov.in/filings/public-issues/apr-2008/neoteric-infomatique-limited_6588.html" r:id="rId4284"/>
    <hyperlink xmlns:r="http://schemas.openxmlformats.org/officeDocument/2006/relationships" ref="AB1715" r:id="rId4285"/>
    <hyperlink xmlns:r="http://schemas.openxmlformats.org/officeDocument/2006/relationships" ref="Q1716" display="https://www.sebi.gov.in/sebi_data/attachdocs/1291111052163.pdf" r:id="rId4286"/>
    <hyperlink xmlns:r="http://schemas.openxmlformats.org/officeDocument/2006/relationships" ref="R1716" display="https://www.sebi.gov.in/filings/public-issues/apr-2008/vijai-infrstructure-limited_6592.html" r:id="rId4287"/>
    <hyperlink xmlns:r="http://schemas.openxmlformats.org/officeDocument/2006/relationships" ref="AB1716" r:id="rId4288"/>
    <hyperlink xmlns:r="http://schemas.openxmlformats.org/officeDocument/2006/relationships" ref="Q1717" display="https://www.sebi.gov.in/sebi_data/attachdocs/1291109768704.pdf" r:id="rId4289"/>
    <hyperlink xmlns:r="http://schemas.openxmlformats.org/officeDocument/2006/relationships" ref="R1717" display="https://www.sebi.gov.in/filings/public-issues/apr-2008/ajanta-manufacturing-limited_6581.html" r:id="rId4290"/>
    <hyperlink xmlns:r="http://schemas.openxmlformats.org/officeDocument/2006/relationships" ref="AB1717" r:id="rId4291"/>
    <hyperlink xmlns:r="http://schemas.openxmlformats.org/officeDocument/2006/relationships" ref="Q1718" display="https://www.sebi.gov.in/sebi_data/attachdocs/1294995330166.pdf" r:id="rId4292"/>
    <hyperlink xmlns:r="http://schemas.openxmlformats.org/officeDocument/2006/relationships" ref="R1718" display="https://www.sebi.gov.in/filings/public-issues/apr-2008/rites-limited_14283.html" r:id="rId4293"/>
    <hyperlink xmlns:r="http://schemas.openxmlformats.org/officeDocument/2006/relationships" ref="AB1718" r:id="rId4294"/>
    <hyperlink xmlns:r="http://schemas.openxmlformats.org/officeDocument/2006/relationships" ref="Q1719" display="https://www.sebi.gov.in/sebi_data/attachdocs/1291108929369.pdf" r:id="rId4295"/>
    <hyperlink xmlns:r="http://schemas.openxmlformats.org/officeDocument/2006/relationships" ref="R1719" display="https://www.sebi.gov.in/filings/public-issues/apr-2008/vrl-logistics-limited_6576.html" r:id="rId4296"/>
    <hyperlink xmlns:r="http://schemas.openxmlformats.org/officeDocument/2006/relationships" ref="AB1719" r:id="rId4297"/>
    <hyperlink xmlns:r="http://schemas.openxmlformats.org/officeDocument/2006/relationships" ref="Q1720" display="https://www.sebi.gov.in/sebi_data/attachdocs/1291108795623.pdf" r:id="rId4298"/>
    <hyperlink xmlns:r="http://schemas.openxmlformats.org/officeDocument/2006/relationships" ref="R1720" display="https://www.sebi.gov.in/filings/public-issues/apr-2008/bharat-oman-refineries-limited_6575.html" r:id="rId4299"/>
    <hyperlink xmlns:r="http://schemas.openxmlformats.org/officeDocument/2006/relationships" ref="AB1720" r:id="rId4300"/>
    <hyperlink xmlns:r="http://schemas.openxmlformats.org/officeDocument/2006/relationships" ref="Q1721" display="https://www.sebi.gov.in/sebi_data/attachdocs/1291088258619.pdf" r:id="rId4301"/>
    <hyperlink xmlns:r="http://schemas.openxmlformats.org/officeDocument/2006/relationships" ref="R1721" display="https://www.sebi.gov.in/filings/public-issues/mar-2008/20-microns-limited_6442.html" r:id="rId4302"/>
    <hyperlink xmlns:r="http://schemas.openxmlformats.org/officeDocument/2006/relationships" ref="Q1722" display="https://www.sebi.gov.in/sebi_data/attachdocs/1291087845956.pdf" r:id="rId4303"/>
    <hyperlink xmlns:r="http://schemas.openxmlformats.org/officeDocument/2006/relationships" ref="R1722" display="https://www.sebi.gov.in/filings/public-issues/mar-2008/chiripal-industries-limited_6441.html" r:id="rId4304"/>
    <hyperlink xmlns:r="http://schemas.openxmlformats.org/officeDocument/2006/relationships" ref="AB1722" r:id="rId4305"/>
    <hyperlink xmlns:r="http://schemas.openxmlformats.org/officeDocument/2006/relationships" ref="Q1723" display="https://www.sebi.gov.in/sebi_data/attachdocs/1291029100115.pdf" r:id="rId4306"/>
    <hyperlink xmlns:r="http://schemas.openxmlformats.org/officeDocument/2006/relationships" ref="R1723" display="https://www.sebi.gov.in/filings/public-issues/mar-2008/apollo-health-street-limited_6438.html" r:id="rId4307"/>
    <hyperlink xmlns:r="http://schemas.openxmlformats.org/officeDocument/2006/relationships" ref="AB1723" r:id="rId4308"/>
    <hyperlink xmlns:r="http://schemas.openxmlformats.org/officeDocument/2006/relationships" ref="Q1724" display="https://www.sebi.gov.in/sebi_data/attachdocs/1291027060110.pdf" r:id="rId4309"/>
    <hyperlink xmlns:r="http://schemas.openxmlformats.org/officeDocument/2006/relationships" ref="R1724" display="https://www.sebi.gov.in/filings/public-issues/mar-2008/vishal-information-technologies-limited_6424.html" r:id="rId4310"/>
    <hyperlink xmlns:r="http://schemas.openxmlformats.org/officeDocument/2006/relationships" ref="AB1724" r:id="rId4311"/>
    <hyperlink xmlns:r="http://schemas.openxmlformats.org/officeDocument/2006/relationships" ref="Q1725" display="https://www.sebi.gov.in/sebi_data/attachdocs/1291026933616.pdf" r:id="rId4312"/>
    <hyperlink xmlns:r="http://schemas.openxmlformats.org/officeDocument/2006/relationships" ref="R1725" display="https://www.sebi.gov.in/filings/public-issues/mar-2008/fineotex-chemical-limited_6422.html" r:id="rId4313"/>
    <hyperlink xmlns:r="http://schemas.openxmlformats.org/officeDocument/2006/relationships" ref="AB1725" r:id="rId4314"/>
    <hyperlink xmlns:r="http://schemas.openxmlformats.org/officeDocument/2006/relationships" ref="Q1726" display="https://www.sebi.gov.in/sebi_data/attachdocs/1290848411542.pdf" r:id="rId4315"/>
    <hyperlink xmlns:r="http://schemas.openxmlformats.org/officeDocument/2006/relationships" ref="R1726" display="https://www.sebi.gov.in/filings/public-issues/feb-2008/arss-infrastructure-projects-limited_6240.html" r:id="rId4316"/>
    <hyperlink xmlns:r="http://schemas.openxmlformats.org/officeDocument/2006/relationships" ref="Q1727" display="https://www.sebi.gov.in/sebi_data/attachdocs/1290848247121.pdf" r:id="rId4317"/>
    <hyperlink xmlns:r="http://schemas.openxmlformats.org/officeDocument/2006/relationships" ref="R1727" display="https://www.sebi.gov.in/filings/public-issues/feb-2008/future-ventures-india-limited_6239.html" r:id="rId4318"/>
    <hyperlink xmlns:r="http://schemas.openxmlformats.org/officeDocument/2006/relationships" ref="AB1727" r:id="rId4319"/>
    <hyperlink xmlns:r="http://schemas.openxmlformats.org/officeDocument/2006/relationships" ref="Q1728" display="https://www.sebi.gov.in/sebi_data/attachdocs/1290847965110.pdf" r:id="rId4320"/>
    <hyperlink xmlns:r="http://schemas.openxmlformats.org/officeDocument/2006/relationships" ref="R1728" display="https://www.sebi.gov.in/filings/public-issues/feb-2008/multi-commodity-exchange-of-india-limited_6238.html" r:id="rId4321"/>
    <hyperlink xmlns:r="http://schemas.openxmlformats.org/officeDocument/2006/relationships" ref="AB1728" r:id="rId4322"/>
    <hyperlink xmlns:r="http://schemas.openxmlformats.org/officeDocument/2006/relationships" ref="Q1729" display="https://www.sebi.gov.in/sebi_data/attachdocs/1290847864974.pdf" r:id="rId4323"/>
    <hyperlink xmlns:r="http://schemas.openxmlformats.org/officeDocument/2006/relationships" ref="R1729" display="https://www.sebi.gov.in/filings/public-issues/feb-2008/ksk-energy-ventures-limited_6237.html" r:id="rId4324"/>
    <hyperlink xmlns:r="http://schemas.openxmlformats.org/officeDocument/2006/relationships" ref="Q1730" display="https://www.sebi.gov.in/sebi_data/attachdocs/1290847747772.pdf" r:id="rId4325"/>
    <hyperlink xmlns:r="http://schemas.openxmlformats.org/officeDocument/2006/relationships" ref="R1730" display="https://www.sebi.gov.in/filings/public-issues/feb-2008/emaar-mgf-land-limited-public-issue-revised-issue-ad_6236.html" r:id="rId4326"/>
    <hyperlink xmlns:r="http://schemas.openxmlformats.org/officeDocument/2006/relationships" ref="AB1730" r:id="rId4327"/>
    <hyperlink xmlns:r="http://schemas.openxmlformats.org/officeDocument/2006/relationships" ref="Q1731" display="https://www.sebi.gov.in/sebi_data/attachdocs/1290847602931.pdf" r:id="rId4328"/>
    <hyperlink xmlns:r="http://schemas.openxmlformats.org/officeDocument/2006/relationships" ref="R1731" display="https://www.sebi.gov.in/filings/public-issues/feb-2008/century-extrusions-limited_6235.html" r:id="rId4329"/>
    <hyperlink xmlns:r="http://schemas.openxmlformats.org/officeDocument/2006/relationships" ref="AB1731" r:id="rId4330"/>
    <hyperlink xmlns:r="http://schemas.openxmlformats.org/officeDocument/2006/relationships" ref="Q1732" display="https://www.sebi.gov.in/sebi_data/attachdocs/1290847486518.pdf" r:id="rId4331"/>
    <hyperlink xmlns:r="http://schemas.openxmlformats.org/officeDocument/2006/relationships" ref="R1732" display="https://www.sebi.gov.in/filings/public-issues/feb-2008/microsec-financial-services-limited_6234.html" r:id="rId4332"/>
    <hyperlink xmlns:r="http://schemas.openxmlformats.org/officeDocument/2006/relationships" ref="Q1733" display="https://www.sebi.gov.in/sebi_data/attachdocs/1290847398924.pdf" r:id="rId4333"/>
    <hyperlink xmlns:r="http://schemas.openxmlformats.org/officeDocument/2006/relationships" ref="R1733" display="https://www.sebi.gov.in/filings/public-issues/feb-2008/reliance-infratel-limited_6233.html" r:id="rId4334"/>
    <hyperlink xmlns:r="http://schemas.openxmlformats.org/officeDocument/2006/relationships" ref="AB1733" r:id="rId4335"/>
    <hyperlink xmlns:r="http://schemas.openxmlformats.org/officeDocument/2006/relationships" ref="Q1734" display="https://www.sebi.gov.in/sebi_data/attachdocs/1290847269918.pdf" r:id="rId4336"/>
    <hyperlink xmlns:r="http://schemas.openxmlformats.org/officeDocument/2006/relationships" ref="R1734" display="https://www.sebi.gov.in/filings/public-issues/feb-2008/lotus-eye-care-hospital-limited_6232.html" r:id="rId4337"/>
    <hyperlink xmlns:r="http://schemas.openxmlformats.org/officeDocument/2006/relationships" ref="Q1735" display="https://www.sebi.gov.in/sebi_data/attachdocs/1290755188584.pdf" r:id="rId4338"/>
    <hyperlink xmlns:r="http://schemas.openxmlformats.org/officeDocument/2006/relationships" ref="R1735" display="https://www.sebi.gov.in/filings/public-issues/jan-2008/cox-and-kings-india-limited_6080.html" r:id="rId4339"/>
    <hyperlink xmlns:r="http://schemas.openxmlformats.org/officeDocument/2006/relationships" ref="Q1736" display="https://www.sebi.gov.in/sebi_data/attachdocs/1290755080044.pdf" r:id="rId4340"/>
    <hyperlink xmlns:r="http://schemas.openxmlformats.org/officeDocument/2006/relationships" ref="R1736" display="https://www.sebi.gov.in/filings/public-issues/jan-2008/jsw-energy-limited_6079.html" r:id="rId4341"/>
    <hyperlink xmlns:r="http://schemas.openxmlformats.org/officeDocument/2006/relationships" ref="Q1737" display="https://www.sebi.gov.in/sebi_data/attachdocs/1290753528919.pdf" r:id="rId4342"/>
    <hyperlink xmlns:r="http://schemas.openxmlformats.org/officeDocument/2006/relationships" ref="R1737" display="https://www.sebi.gov.in/filings/public-issues/jan-2008/ashoka-buildcon-limited_6068.html" r:id="rId4343"/>
    <hyperlink xmlns:r="http://schemas.openxmlformats.org/officeDocument/2006/relationships" ref="Q1738" display="https://www.sebi.gov.in/sebi_data/attachdocs/1290753262468.pdf" r:id="rId4344"/>
    <hyperlink xmlns:r="http://schemas.openxmlformats.org/officeDocument/2006/relationships" ref="R1738" display="https://www.sebi.gov.in/filings/public-issues/jan-2008/pipavav-shipyard-limited_6066.html" r:id="rId4345"/>
    <hyperlink xmlns:r="http://schemas.openxmlformats.org/officeDocument/2006/relationships" ref="AB1738" r:id="rId4346"/>
    <hyperlink xmlns:r="http://schemas.openxmlformats.org/officeDocument/2006/relationships" ref="Q1739" display="https://www.sebi.gov.in/sebi_data/attachdocs/1290752135876.pdf" r:id="rId4347"/>
    <hyperlink xmlns:r="http://schemas.openxmlformats.org/officeDocument/2006/relationships" ref="R1739" display="https://www.sebi.gov.in/filings/public-issues/jan-2008/sea-tv-network-limited_6054.html" r:id="rId4348"/>
    <hyperlink xmlns:r="http://schemas.openxmlformats.org/officeDocument/2006/relationships" ref="AB1739" r:id="rId4349"/>
    <hyperlink xmlns:r="http://schemas.openxmlformats.org/officeDocument/2006/relationships" ref="Q1740" display="https://www.sebi.gov.in/sebi_data/attachdocs/1290753674880.pdf" r:id="rId4350"/>
    <hyperlink xmlns:r="http://schemas.openxmlformats.org/officeDocument/2006/relationships" ref="R1740" display="https://www.sebi.gov.in/filings/public-issues/jan-2008/virgo-engineers-limited_6069.html" r:id="rId4351"/>
    <hyperlink xmlns:r="http://schemas.openxmlformats.org/officeDocument/2006/relationships" ref="AB1740" r:id="rId4352"/>
    <hyperlink xmlns:r="http://schemas.openxmlformats.org/officeDocument/2006/relationships" ref="Q1741" display="https://www.sebi.gov.in/sebi_data/attachdocs/1290752001912.pdf" r:id="rId4353"/>
    <hyperlink xmlns:r="http://schemas.openxmlformats.org/officeDocument/2006/relationships" ref="R1741" display="https://www.sebi.gov.in/filings/public-issues/jan-2008/bang-overseas-limited_6051.html" r:id="rId4354"/>
    <hyperlink xmlns:r="http://schemas.openxmlformats.org/officeDocument/2006/relationships" ref="Q1742" display="https://www.sebi.gov.in/sebi_data/attachdocs/1290751867716.pdf" r:id="rId4355"/>
    <hyperlink xmlns:r="http://schemas.openxmlformats.org/officeDocument/2006/relationships" ref="R1742" display="https://www.sebi.gov.in/filings/public-issues/jan-2008/pnc-infratech-limited_6049.html" r:id="rId4356"/>
    <hyperlink xmlns:r="http://schemas.openxmlformats.org/officeDocument/2006/relationships" ref="AB1742" r:id="rId4357"/>
    <hyperlink xmlns:r="http://schemas.openxmlformats.org/officeDocument/2006/relationships" ref="Q1743" display="https://www.sebi.gov.in/sebi_data/attachdocs/1290751680739.pdf" r:id="rId4358"/>
    <hyperlink xmlns:r="http://schemas.openxmlformats.org/officeDocument/2006/relationships" ref="R1743" display="https://www.sebi.gov.in/filings/public-issues/jan-2008/nu-tek-india-limited_6048.html" r:id="rId4359"/>
    <hyperlink xmlns:r="http://schemas.openxmlformats.org/officeDocument/2006/relationships" ref="AB1743" r:id="rId4360"/>
    <hyperlink xmlns:r="http://schemas.openxmlformats.org/officeDocument/2006/relationships" ref="Q1744" display="https://www.sebi.gov.in/sebi_data/attachdocs/1290750457729.pdf" r:id="rId4361"/>
    <hyperlink xmlns:r="http://schemas.openxmlformats.org/officeDocument/2006/relationships" ref="R1744" display="https://www.sebi.gov.in/filings/public-issues/jan-2008/uti-asset-management-company-limited_6039.html" r:id="rId4362"/>
    <hyperlink xmlns:r="http://schemas.openxmlformats.org/officeDocument/2006/relationships" ref="AB1744" r:id="rId4363"/>
    <hyperlink xmlns:r="http://schemas.openxmlformats.org/officeDocument/2006/relationships" ref="Q1745" display="https://www.sebi.gov.in/sebi_data/attachdocs/1290750181882.pdf" r:id="rId4364"/>
    <hyperlink xmlns:r="http://schemas.openxmlformats.org/officeDocument/2006/relationships" ref="R1745" display="https://www.sebi.gov.in/filings/public-issues/jan-2008/euro-multivision-limited_6037.html" r:id="rId4365"/>
    <hyperlink xmlns:r="http://schemas.openxmlformats.org/officeDocument/2006/relationships" ref="Q1746" display="https://www.sebi.gov.in/sebi_data/attachdocs/1290749920595.pdf" r:id="rId4366"/>
    <hyperlink xmlns:r="http://schemas.openxmlformats.org/officeDocument/2006/relationships" ref="R1746" display="https://www.sebi.gov.in/filings/public-issues/jan-2008/jaiprakash-power-ventures-limited_6033.html" r:id="rId4367"/>
    <hyperlink xmlns:r="http://schemas.openxmlformats.org/officeDocument/2006/relationships" ref="AB1746" r:id="rId4368"/>
    <hyperlink xmlns:r="http://schemas.openxmlformats.org/officeDocument/2006/relationships" ref="Q1747" display="https://www.sebi.gov.in/sebi_data/attachdocs/1290749703261.pdf" r:id="rId4369"/>
    <hyperlink xmlns:r="http://schemas.openxmlformats.org/officeDocument/2006/relationships" ref="R1747" display="https://www.sebi.gov.in/filings/public-issues/jan-2008/chemcel-biotech-limited_6029.html" r:id="rId4370"/>
    <hyperlink xmlns:r="http://schemas.openxmlformats.org/officeDocument/2006/relationships" ref="AB1747" r:id="rId4371"/>
    <hyperlink xmlns:r="http://schemas.openxmlformats.org/officeDocument/2006/relationships" ref="Q1748" display="https://www.sebi.gov.in/sebi_data/attachdocs/1291961203082.pdf" r:id="rId4372"/>
    <hyperlink xmlns:r="http://schemas.openxmlformats.org/officeDocument/2006/relationships" ref="R1748" display="https://www.sebi.gov.in/filings/public-issues/dec-2007/bafna-pharmaceuticals-limited_9633.html" r:id="rId4373"/>
    <hyperlink xmlns:r="http://schemas.openxmlformats.org/officeDocument/2006/relationships" ref="Q1749" display="https://www.sebi.gov.in/sebi_data/attachdocs/1291960892189.pdf" r:id="rId4374"/>
    <hyperlink xmlns:r="http://schemas.openxmlformats.org/officeDocument/2006/relationships" ref="R1749" display="https://www.sebi.gov.in/filings/public-issues/dec-2007/birla-cotsyn-india-limited_9621.html" r:id="rId4375"/>
    <hyperlink xmlns:r="http://schemas.openxmlformats.org/officeDocument/2006/relationships" ref="Q1750" display="https://www.sebi.gov.in/sebi_data/attachdocs/1291960302483.pdf" r:id="rId4376"/>
    <hyperlink xmlns:r="http://schemas.openxmlformats.org/officeDocument/2006/relationships" ref="R1750" display="https://www.sebi.gov.in/filings/public-issues/dec-2007/infinity-infotechparks-ltd_9604.html" r:id="rId4377"/>
    <hyperlink xmlns:r="http://schemas.openxmlformats.org/officeDocument/2006/relationships" ref="AB1750" r:id="rId4378"/>
    <hyperlink xmlns:r="http://schemas.openxmlformats.org/officeDocument/2006/relationships" ref="Q1751" display="https://www.sebi.gov.in/sebi_data/attachdocs/1291960542676.pdf" r:id="rId4379"/>
    <hyperlink xmlns:r="http://schemas.openxmlformats.org/officeDocument/2006/relationships" ref="R1751" display="https://www.sebi.gov.in/filings/public-issues/dec-2007/manjushree-extrusions-ltd_9610.html" r:id="rId4380"/>
    <hyperlink xmlns:r="http://schemas.openxmlformats.org/officeDocument/2006/relationships" ref="AB1751" r:id="rId4381"/>
    <hyperlink xmlns:r="http://schemas.openxmlformats.org/officeDocument/2006/relationships" ref="Q1752" display="https://www.sebi.gov.in/sebi_data/attachdocs/1291959790690.pdf" r:id="rId4382"/>
    <hyperlink xmlns:r="http://schemas.openxmlformats.org/officeDocument/2006/relationships" ref="R1752" display="https://www.sebi.gov.in/filings/public-issues/dec-2007/db-corp-limited_9589.html" r:id="rId4383"/>
    <hyperlink xmlns:r="http://schemas.openxmlformats.org/officeDocument/2006/relationships" ref="Q1753" display="https://www.sebi.gov.in/sebi_data/attachdocs/1291960022709.pdf" r:id="rId4384"/>
    <hyperlink xmlns:r="http://schemas.openxmlformats.org/officeDocument/2006/relationships" ref="R1753" display="https://www.sebi.gov.in/filings/public-issues/dec-2007/ramky-infrastructure-limited_9594.html" r:id="rId4385"/>
    <hyperlink xmlns:r="http://schemas.openxmlformats.org/officeDocument/2006/relationships" ref="AB1753" r:id="rId4386"/>
    <hyperlink xmlns:r="http://schemas.openxmlformats.org/officeDocument/2006/relationships" ref="Q1754" display="https://www.sebi.gov.in/sebi_data/attachdocs/1291960107471.pdf" r:id="rId4387"/>
    <hyperlink xmlns:r="http://schemas.openxmlformats.org/officeDocument/2006/relationships" ref="R1754" display="https://www.sebi.gov.in/filings/public-issues/dec-2007/shankara-pipes-india-limited_9596.html" r:id="rId4388"/>
    <hyperlink xmlns:r="http://schemas.openxmlformats.org/officeDocument/2006/relationships" ref="AB1754" r:id="rId4389"/>
    <hyperlink xmlns:r="http://schemas.openxmlformats.org/officeDocument/2006/relationships" ref="Q1755" display="https://www.sebi.gov.in/sebi_data/attachdocs/1291959344466.pdf" r:id="rId4390"/>
    <hyperlink xmlns:r="http://schemas.openxmlformats.org/officeDocument/2006/relationships" ref="R1755" display="https://www.sebi.gov.in/filings/public-issues/dec-2007/mahindra-holidays-and-resorts-india-limited_9583.html" r:id="rId4391"/>
    <hyperlink xmlns:r="http://schemas.openxmlformats.org/officeDocument/2006/relationships" ref="Q1756" display="https://www.sebi.gov.in/sebi_data/attachdocs/1291959699938.pdf" r:id="rId4392"/>
    <hyperlink xmlns:r="http://schemas.openxmlformats.org/officeDocument/2006/relationships" ref="R1756" display="https://www.sebi.gov.in/filings/public-issues/dec-2007/mandhana-industries-limited_9588.html" r:id="rId4393"/>
    <hyperlink xmlns:r="http://schemas.openxmlformats.org/officeDocument/2006/relationships" ref="AB1756" r:id="rId4394"/>
    <hyperlink xmlns:r="http://schemas.openxmlformats.org/officeDocument/2006/relationships" ref="Q1757" display="https://www.sebi.gov.in/sebi_data/attachdocs/1291958787693.pdf" r:id="rId4395"/>
    <hyperlink xmlns:r="http://schemas.openxmlformats.org/officeDocument/2006/relationships" ref="R1757" display="https://www.sebi.gov.in/filings/public-issues/dec-2007/resurgere-mines-and-minerals-india-limited_9569.html" r:id="rId4396"/>
    <hyperlink xmlns:r="http://schemas.openxmlformats.org/officeDocument/2006/relationships" ref="AB1757" r:id="rId4397"/>
    <hyperlink xmlns:r="http://schemas.openxmlformats.org/officeDocument/2006/relationships" ref="Q1758" display="https://www.sebi.gov.in/sebi_data/attachdocs/1291958638629.pdf" r:id="rId4398"/>
    <hyperlink xmlns:r="http://schemas.openxmlformats.org/officeDocument/2006/relationships" ref="R1758" display="https://www.sebi.gov.in/filings/public-issues/dec-2007/oil-india-limited_9566.html" r:id="rId4399"/>
    <hyperlink xmlns:r="http://schemas.openxmlformats.org/officeDocument/2006/relationships" ref="Q1759" display="https://www.sebi.gov.in/sebi_data/attachdocs/1291958366534.pdf" r:id="rId4400"/>
    <hyperlink xmlns:r="http://schemas.openxmlformats.org/officeDocument/2006/relationships" ref="R1759" display="https://www.sebi.gov.in/filings/public-issues/dec-2007/acme-tele-power-limited_9559.html" r:id="rId4401"/>
    <hyperlink xmlns:r="http://schemas.openxmlformats.org/officeDocument/2006/relationships" ref="AB1759" r:id="rId4402"/>
    <hyperlink xmlns:r="http://schemas.openxmlformats.org/officeDocument/2006/relationships" ref="Q1760" display="https://www.sebi.gov.in/sebi_data/attachdocs/1291958145476.pdf" r:id="rId4403"/>
    <hyperlink xmlns:r="http://schemas.openxmlformats.org/officeDocument/2006/relationships" ref="R1760" display="https://www.sebi.gov.in/filings/public-issues/dec-2007/sejal-architectural-glass-limited_9553.html" r:id="rId4404"/>
    <hyperlink xmlns:r="http://schemas.openxmlformats.org/officeDocument/2006/relationships" ref="Q1761" display="https://www.sebi.gov.in/sebi_data/attachdocs/1291957514388.pdf" r:id="rId4405"/>
    <hyperlink xmlns:r="http://schemas.openxmlformats.org/officeDocument/2006/relationships" ref="R1761" display="https://www.sebi.gov.in/filings/public-issues/dec-2007/xenitis-infotech-limited_9541.html" r:id="rId4406"/>
    <hyperlink xmlns:r="http://schemas.openxmlformats.org/officeDocument/2006/relationships" ref="AB1761" r:id="rId4407"/>
    <hyperlink xmlns:r="http://schemas.openxmlformats.org/officeDocument/2006/relationships" ref="Q1762" display="https://www.sebi.gov.in/sebi_data/attachdocs/1291952536236.pdf" r:id="rId4408"/>
    <hyperlink xmlns:r="http://schemas.openxmlformats.org/officeDocument/2006/relationships" ref="R1762" display="https://www.sebi.gov.in/filings/public-issues/nov-2007/kolte-patil-developers-limited-public-notice-dated-november-25-2007_9508.html" r:id="rId4409"/>
    <hyperlink xmlns:r="http://schemas.openxmlformats.org/officeDocument/2006/relationships" ref="AB1762" r:id="rId4410"/>
    <hyperlink xmlns:r="http://schemas.openxmlformats.org/officeDocument/2006/relationships" ref="Q1763" display="https://www.sebi.gov.in/sebi_data/attachdocs/1291952345264.pdf" r:id="rId4411"/>
    <hyperlink xmlns:r="http://schemas.openxmlformats.org/officeDocument/2006/relationships" ref="R1763" display="https://www.sebi.gov.in/filings/public-issues/nov-2007/v-guard-industries-limited_9507.html" r:id="rId4412"/>
    <hyperlink xmlns:r="http://schemas.openxmlformats.org/officeDocument/2006/relationships" ref="Q1764" display="https://www.sebi.gov.in/sebi_data/attachdocs/1291952214293.pdf" r:id="rId4413"/>
    <hyperlink xmlns:r="http://schemas.openxmlformats.org/officeDocument/2006/relationships" ref="R1764" display="https://www.sebi.gov.in/filings/public-issues/nov-2007/somi-conveyor-beltings-limited_9505.html" r:id="rId4414"/>
    <hyperlink xmlns:r="http://schemas.openxmlformats.org/officeDocument/2006/relationships" ref="Q1765" display="https://www.sebi.gov.in/sebi_data/attachdocs/1291951804273.pdf" r:id="rId4415"/>
    <hyperlink xmlns:r="http://schemas.openxmlformats.org/officeDocument/2006/relationships" ref="R1765" display="https://www.sebi.gov.in/filings/public-issues/nov-2007/vascon-engineers-limited_9503.html" r:id="rId4416"/>
    <hyperlink xmlns:r="http://schemas.openxmlformats.org/officeDocument/2006/relationships" ref="AB1765" r:id="rId4417"/>
    <hyperlink xmlns:r="http://schemas.openxmlformats.org/officeDocument/2006/relationships" ref="Q1766" display="https://www.sebi.gov.in/sebi_data/attachdocs/1291951460453.pdf" r:id="rId4418"/>
    <hyperlink xmlns:r="http://schemas.openxmlformats.org/officeDocument/2006/relationships" ref="R1766" display="https://www.sebi.gov.in/filings/public-issues/nov-2007/austral-coke-and-projects-limited_9502.html" r:id="rId4419"/>
    <hyperlink xmlns:r="http://schemas.openxmlformats.org/officeDocument/2006/relationships" ref="AB1766" r:id="rId4420"/>
    <hyperlink xmlns:r="http://schemas.openxmlformats.org/officeDocument/2006/relationships" ref="Q1767" display="https://www.sebi.gov.in/sebi_data/attachdocs/1291951320543.pdf" r:id="rId4421"/>
    <hyperlink xmlns:r="http://schemas.openxmlformats.org/officeDocument/2006/relationships" ref="R1767" display="https://www.sebi.gov.in/filings/public-issues/nov-2007/gokul-refoils-and-solvent-limited_9501.html" r:id="rId4422"/>
    <hyperlink xmlns:r="http://schemas.openxmlformats.org/officeDocument/2006/relationships" ref="Q1768" display="https://www.sebi.gov.in/sebi_data/attachdocs/1291951179374.pdf" r:id="rId4423"/>
    <hyperlink xmlns:r="http://schemas.openxmlformats.org/officeDocument/2006/relationships" ref="R1768" display="https://www.sebi.gov.in/filings/public-issues/nov-2007/prospectus-archidply-industries-limited_9500.html" r:id="rId4424"/>
    <hyperlink xmlns:r="http://schemas.openxmlformats.org/officeDocument/2006/relationships" ref="Q1769" display="https://www.sebi.gov.in/sebi_data/attachdocs/1291950818713.pdf" r:id="rId4425"/>
    <hyperlink xmlns:r="http://schemas.openxmlformats.org/officeDocument/2006/relationships" ref="R1769" display="https://www.sebi.gov.in/filings/public-issues/nov-2007/jhaveri-flexo-india-limited_9499.html" r:id="rId4426"/>
    <hyperlink xmlns:r="http://schemas.openxmlformats.org/officeDocument/2006/relationships" ref="Q1770" display="https://www.sebi.gov.in/sebi_data/attachdocs/1291887733434.pdf" r:id="rId4427"/>
    <hyperlink xmlns:r="http://schemas.openxmlformats.org/officeDocument/2006/relationships" ref="R1770" display="https://www.sebi.gov.in/filings/public-issues/oct-2007/prospectus-surya-food-and-agro-limited_9383.html" r:id="rId4428"/>
    <hyperlink xmlns:r="http://schemas.openxmlformats.org/officeDocument/2006/relationships" ref="Q1771" display="https://www.sebi.gov.in/sebi_data/attachdocs/1291887589459.pdf" r:id="rId4429"/>
    <hyperlink xmlns:r="http://schemas.openxmlformats.org/officeDocument/2006/relationships" ref="R1771" display="https://www.sebi.gov.in/filings/public-issues/oct-2007/neel-metal-products-limited_9379.html" r:id="rId4430"/>
    <hyperlink xmlns:r="http://schemas.openxmlformats.org/officeDocument/2006/relationships" ref="Q1772" display="https://www.sebi.gov.in/sebi_data/attachdocs/1291887491691.pdf" r:id="rId4431"/>
    <hyperlink xmlns:r="http://schemas.openxmlformats.org/officeDocument/2006/relationships" ref="R1772" display="https://www.sebi.gov.in/filings/public-issues/oct-2007/prospectus-first-winner-industries-limited_9376.html" r:id="rId4432"/>
    <hyperlink xmlns:r="http://schemas.openxmlformats.org/officeDocument/2006/relationships" ref="AB1772" r:id="rId4433"/>
    <hyperlink xmlns:r="http://schemas.openxmlformats.org/officeDocument/2006/relationships" ref="Q1773" display="https://www.sebi.gov.in/sebi_data/attachdocs/1291887416112.pdf" r:id="rId4434"/>
    <hyperlink xmlns:r="http://schemas.openxmlformats.org/officeDocument/2006/relationships" ref="R1773" display="https://www.sebi.gov.in/filings/public-issues/oct-2007/titagarh-wagons-limited_9374.html" r:id="rId4435"/>
    <hyperlink xmlns:r="http://schemas.openxmlformats.org/officeDocument/2006/relationships" ref="Q1774" display="https://www.sebi.gov.in/sebi_data/attachdocs/1291887248282.pdf" r:id="rId4436"/>
    <hyperlink xmlns:r="http://schemas.openxmlformats.org/officeDocument/2006/relationships" ref="R1774" display="https://www.sebi.gov.in/filings/public-issues/oct-2007/persistent-systems-limited_9371.html" r:id="rId4437"/>
    <hyperlink xmlns:r="http://schemas.openxmlformats.org/officeDocument/2006/relationships" ref="AB1774" r:id="rId4438"/>
    <hyperlink xmlns:r="http://schemas.openxmlformats.org/officeDocument/2006/relationships" ref="Q1775" display="https://www.sebi.gov.in/sebi_data/attachdocs/1291887012746.pdf" r:id="rId4439"/>
    <hyperlink xmlns:r="http://schemas.openxmlformats.org/officeDocument/2006/relationships" ref="R1775" display="https://www.sebi.gov.in/filings/public-issues/oct-2007/draft-lof-exide-industries-limited_9366.html" r:id="rId4440"/>
    <hyperlink xmlns:r="http://schemas.openxmlformats.org/officeDocument/2006/relationships" ref="AB1775" r:id="rId4441"/>
    <hyperlink xmlns:r="http://schemas.openxmlformats.org/officeDocument/2006/relationships" ref="Q1776" display="https://www.sebi.gov.in/sebi_data/attachdocs/1291886632781.pdf" r:id="rId4442"/>
    <hyperlink xmlns:r="http://schemas.openxmlformats.org/officeDocument/2006/relationships" ref="R1776" display="https://www.sebi.gov.in/filings/public-issues/oct-2007/draft-prospectus-shriram-epc-limited_9360.html" r:id="rId4443"/>
    <hyperlink xmlns:r="http://schemas.openxmlformats.org/officeDocument/2006/relationships" ref="Q1777" display="https://www.sebi.gov.in/sebi_data/attachdocs/1291886736922.pdf" r:id="rId4444"/>
    <hyperlink xmlns:r="http://schemas.openxmlformats.org/officeDocument/2006/relationships" ref="R1777" display="https://www.sebi.gov.in/filings/public-issues/oct-2007/reliance-power-limited_9362.html" r:id="rId4445"/>
    <hyperlink xmlns:r="http://schemas.openxmlformats.org/officeDocument/2006/relationships" ref="Q1778" display="https://www.sebi.gov.in/sebi_data/attachdocs/1291883443984.pdf" r:id="rId4446"/>
    <hyperlink xmlns:r="http://schemas.openxmlformats.org/officeDocument/2006/relationships" ref="R1778" display="https://www.sebi.gov.in/filings/public-issues/oct-2007/draft-prospectus-gammon-infrastructure-projects-limited_9336.html" r:id="rId4447"/>
    <hyperlink xmlns:r="http://schemas.openxmlformats.org/officeDocument/2006/relationships" ref="Q1779" display="https://www.sebi.gov.in/sebi_data/attachdocs/1291886498400.pdf" r:id="rId4448"/>
    <hyperlink xmlns:r="http://schemas.openxmlformats.org/officeDocument/2006/relationships" ref="R1779" display="https://www.sebi.gov.in/filings/public-issues/oct-2007/irb-infrastructure-developers-limited_9358.html" r:id="rId4449"/>
    <hyperlink xmlns:r="http://schemas.openxmlformats.org/officeDocument/2006/relationships" ref="Q1780" display="https://www.sebi.gov.in/sebi_data/attachdocs/1291884015026.pdf" r:id="rId4450"/>
    <hyperlink xmlns:r="http://schemas.openxmlformats.org/officeDocument/2006/relationships" ref="R1780" display="https://www.sebi.gov.in/filings/public-issues/oct-2007/prince-foundations-limited_9347.html" r:id="rId4451"/>
    <hyperlink xmlns:r="http://schemas.openxmlformats.org/officeDocument/2006/relationships" ref="Q1781" display="https://www.sebi.gov.in/sebi_data/attachdocs/1291883516165.pdf" r:id="rId4452"/>
    <hyperlink xmlns:r="http://schemas.openxmlformats.org/officeDocument/2006/relationships" ref="R1781" display="https://www.sebi.gov.in/filings/public-issues/oct-2007/prospectus-austral-coke-and-projects-limited_9339.html" r:id="rId4453"/>
    <hyperlink xmlns:r="http://schemas.openxmlformats.org/officeDocument/2006/relationships" ref="AB1781" r:id="rId4454"/>
    <hyperlink xmlns:r="http://schemas.openxmlformats.org/officeDocument/2006/relationships" ref="Q1782" display="https://www.sebi.gov.in/sebi_data/attachdocs/1291883595498.pdf" r:id="rId4455"/>
    <hyperlink xmlns:r="http://schemas.openxmlformats.org/officeDocument/2006/relationships" ref="R1782" display="https://www.sebi.gov.in/filings/public-issues/oct-2007/prospectus-future-capital-holdings-limited_9341.html" r:id="rId4456"/>
    <hyperlink xmlns:r="http://schemas.openxmlformats.org/officeDocument/2006/relationships" ref="AB1782" r:id="rId4457"/>
    <hyperlink xmlns:r="http://schemas.openxmlformats.org/officeDocument/2006/relationships" ref="Q1783" display="https://www.sebi.gov.in/sebi_data/attachdocs/1291883818437.pdf" r:id="rId4458"/>
    <hyperlink xmlns:r="http://schemas.openxmlformats.org/officeDocument/2006/relationships" ref="R1783" display="https://www.sebi.gov.in/filings/public-issues/oct-2007/ybrant-technologies-limited_9344.html" r:id="rId4459"/>
    <hyperlink xmlns:r="http://schemas.openxmlformats.org/officeDocument/2006/relationships" ref="Q1784" display="https://www.sebi.gov.in/sebi_data/attachdocs/1291882922535.pdf" r:id="rId4460"/>
    <hyperlink xmlns:r="http://schemas.openxmlformats.org/officeDocument/2006/relationships" ref="R1784" display="https://www.sebi.gov.in/filings/public-issues/oct-2007/prospectus-vijay-infrastructure-limited_9329.html" r:id="rId4461"/>
    <hyperlink xmlns:r="http://schemas.openxmlformats.org/officeDocument/2006/relationships" ref="Q1785" display="https://www.sebi.gov.in/sebi_data/attachdocs/1291882830480.pdf" r:id="rId4462"/>
    <hyperlink xmlns:r="http://schemas.openxmlformats.org/officeDocument/2006/relationships" ref="R1785" display="https://www.sebi.gov.in/filings/public-issues/oct-2007/prospectus-anu-s-laboratories-limited_9327.html" r:id="rId4463"/>
    <hyperlink xmlns:r="http://schemas.openxmlformats.org/officeDocument/2006/relationships" ref="AB1785" r:id="rId4464"/>
    <hyperlink xmlns:r="http://schemas.openxmlformats.org/officeDocument/2006/relationships" ref="Q1786" display="https://www.sebi.gov.in/sebi_data/attachdocs/1291883203470.pdf" r:id="rId4465"/>
    <hyperlink xmlns:r="http://schemas.openxmlformats.org/officeDocument/2006/relationships" ref="R1786" display="https://www.sebi.gov.in/filings/public-issues/oct-2007/tcg-lifesciences-limited_9333.html" r:id="rId4466"/>
    <hyperlink xmlns:r="http://schemas.openxmlformats.org/officeDocument/2006/relationships" ref="Q1787" display="https://www.sebi.gov.in/sebi_data/attachdocs/1291872327056.pdf" r:id="rId4467"/>
    <hyperlink xmlns:r="http://schemas.openxmlformats.org/officeDocument/2006/relationships" ref="R1787" display="https://www.sebi.gov.in/filings/public-issues/sep-2007/transformers-and-rectifiers-india-limited_9096.html" r:id="rId4468"/>
    <hyperlink xmlns:r="http://schemas.openxmlformats.org/officeDocument/2006/relationships" ref="Q1788" display="https://www.sebi.gov.in/sebi_data/attachdocs/1291871821695.pdf" r:id="rId4469"/>
    <hyperlink xmlns:r="http://schemas.openxmlformats.org/officeDocument/2006/relationships" ref="R1788" display="https://www.sebi.gov.in/filings/public-issues/sep-2007/draft-prospectus-emaar-mgf-land-limited_9090.html" r:id="rId4470"/>
    <hyperlink xmlns:r="http://schemas.openxmlformats.org/officeDocument/2006/relationships" ref="AB1788" r:id="rId4471"/>
    <hyperlink xmlns:r="http://schemas.openxmlformats.org/officeDocument/2006/relationships" ref="Q1789" display="https://www.sebi.gov.in/sebi_data/attachdocs/1291872182562.pdf" r:id="rId4472"/>
    <hyperlink xmlns:r="http://schemas.openxmlformats.org/officeDocument/2006/relationships" ref="R1789" display="https://www.sebi.gov.in/filings/public-issues/sep-2007/draft-prospectus-knr-constructions-limited_9092.html" r:id="rId4473"/>
    <hyperlink xmlns:r="http://schemas.openxmlformats.org/officeDocument/2006/relationships" ref="Q1790" display="https://www.sebi.gov.in/sebi_data/attachdocs/1291870037067.pdf" r:id="rId4474"/>
    <hyperlink xmlns:r="http://schemas.openxmlformats.org/officeDocument/2006/relationships" ref="R1790" display="https://www.sebi.gov.in/filings/public-issues/sep-2007/ipo-nkg-infrastructure-limited_9072.html" r:id="rId4475"/>
    <hyperlink xmlns:r="http://schemas.openxmlformats.org/officeDocument/2006/relationships" ref="Q1791" display="https://www.sebi.gov.in/sebi_data/attachdocs/1291869748492.pdf" r:id="rId4476"/>
    <hyperlink xmlns:r="http://schemas.openxmlformats.org/officeDocument/2006/relationships" ref="R1791" display="https://www.sebi.gov.in/filings/public-issues/sep-2007/ipo-elysium-pharmaceuticals-limited_9068.html" r:id="rId4477"/>
    <hyperlink xmlns:r="http://schemas.openxmlformats.org/officeDocument/2006/relationships" ref="Q1792" display="https://www.sebi.gov.in/sebi_data/attachdocs/1291869557649.pdf" r:id="rId4478"/>
    <hyperlink xmlns:r="http://schemas.openxmlformats.org/officeDocument/2006/relationships" ref="R1792" display="https://www.sebi.gov.in/filings/public-issues/sep-2007/ipo-neel-metal-products-limited_9066.html" r:id="rId4479"/>
    <hyperlink xmlns:r="http://schemas.openxmlformats.org/officeDocument/2006/relationships" ref="Q1793" display="https://www.sebi.gov.in/sebi_data/attachdocs/1291869454360.pdf" r:id="rId4480"/>
    <hyperlink xmlns:r="http://schemas.openxmlformats.org/officeDocument/2006/relationships" ref="R1793" display="https://www.sebi.gov.in/filings/public-issues/sep-2007/prospectus-avon-weighing-systems-limited_9064.html" r:id="rId4481"/>
    <hyperlink xmlns:r="http://schemas.openxmlformats.org/officeDocument/2006/relationships" ref="AB1793" r:id="rId4482"/>
    <hyperlink xmlns:r="http://schemas.openxmlformats.org/officeDocument/2006/relationships" ref="Q1794" display="https://www.sebi.gov.in/sebi_data/attachdocs/1291869371258.pdf" r:id="rId4483"/>
    <hyperlink xmlns:r="http://schemas.openxmlformats.org/officeDocument/2006/relationships" ref="R1794" display="https://www.sebi.gov.in/filings/public-issues/sep-2007/rithwik-projects-limited_9063.html" r:id="rId4484"/>
    <hyperlink xmlns:r="http://schemas.openxmlformats.org/officeDocument/2006/relationships" ref="Q1795" display="https://www.sebi.gov.in/sebi_data/attachdocs/1291869291853.pdf" r:id="rId4485"/>
    <hyperlink xmlns:r="http://schemas.openxmlformats.org/officeDocument/2006/relationships" ref="R1795" display="https://www.sebi.gov.in/filings/public-issues/sep-2007/ipo-ramsarup-lohh-udyog-limited_9062.html" r:id="rId4486"/>
    <hyperlink xmlns:r="http://schemas.openxmlformats.org/officeDocument/2006/relationships" ref="AB1795" r:id="rId4487"/>
    <hyperlink xmlns:r="http://schemas.openxmlformats.org/officeDocument/2006/relationships" ref="Q1796" display="https://www.sebi.gov.in/sebi_data/attachdocs/1291869073742.pdf" r:id="rId4488"/>
    <hyperlink xmlns:r="http://schemas.openxmlformats.org/officeDocument/2006/relationships" ref="R1796" display="https://www.sebi.gov.in/filings/public-issues/sep-2007/ipo-onmobile-global-limited_9059.html" r:id="rId4489"/>
    <hyperlink xmlns:r="http://schemas.openxmlformats.org/officeDocument/2006/relationships" ref="Q1797" display="https://www.sebi.gov.in/sebi_data/attachdocs/1291869165826.pdf" r:id="rId4490"/>
    <hyperlink xmlns:r="http://schemas.openxmlformats.org/officeDocument/2006/relationships" ref="R1797" display="https://www.sebi.gov.in/filings/public-issues/sep-2007/j-kumar-infraprojects-limited_9061.html" r:id="rId4491"/>
    <hyperlink xmlns:r="http://schemas.openxmlformats.org/officeDocument/2006/relationships" ref="Q1798" display="https://www.sebi.gov.in/sebi_data/attachdocs/1291868995441.pdf" r:id="rId4492"/>
    <hyperlink xmlns:r="http://schemas.openxmlformats.org/officeDocument/2006/relationships" ref="R1798" display="https://www.sebi.gov.in/filings/public-issues/sep-2007/ipo-brigade-enterprises-limited_9058.html" r:id="rId4493"/>
    <hyperlink xmlns:r="http://schemas.openxmlformats.org/officeDocument/2006/relationships" ref="Q1799" display="https://www.sebi.gov.in/sebi_data/attachdocs/1291868817748.pdf" r:id="rId4494"/>
    <hyperlink xmlns:r="http://schemas.openxmlformats.org/officeDocument/2006/relationships" ref="R1799" display="https://www.sebi.gov.in/filings/public-issues/sep-2007/ipo-eclerx-services-limited_9057.html" r:id="rId4495"/>
    <hyperlink xmlns:r="http://schemas.openxmlformats.org/officeDocument/2006/relationships" ref="Q1800" display="https://www.sebi.gov.in/sebi_data/attachdocs/1291867938276.pdf" r:id="rId4496"/>
    <hyperlink xmlns:r="http://schemas.openxmlformats.org/officeDocument/2006/relationships" ref="R1800" display="https://www.sebi.gov.in/filings/public-issues/sep-2007/ipo-cords-cable-industries-limited_9051.html" r:id="rId4497"/>
    <hyperlink xmlns:r="http://schemas.openxmlformats.org/officeDocument/2006/relationships" ref="Q1801" display="https://www.sebi.gov.in/sebi_data/attachdocs/1291868046751.pdf" r:id="rId4498"/>
    <hyperlink xmlns:r="http://schemas.openxmlformats.org/officeDocument/2006/relationships" ref="R1801" display="https://www.sebi.gov.in/filings/public-issues/sep-2007/ipo-khadim-india-limited_9052.html" r:id="rId4499"/>
    <hyperlink xmlns:r="http://schemas.openxmlformats.org/officeDocument/2006/relationships" ref="AB1801" r:id="rId4500"/>
    <hyperlink xmlns:r="http://schemas.openxmlformats.org/officeDocument/2006/relationships" ref="Q1802" display="https://www.sebi.gov.in/sebi_data/attachdocs/1291867245171.pdf" r:id="rId4501"/>
    <hyperlink xmlns:r="http://schemas.openxmlformats.org/officeDocument/2006/relationships" ref="R1802" display="https://www.sebi.gov.in/filings/public-issues/sep-2007/alkali-metals-limited_9037.html" r:id="rId4502"/>
    <hyperlink xmlns:r="http://schemas.openxmlformats.org/officeDocument/2006/relationships" ref="Q1803" display="https://www.sebi.gov.in/sebi_data/attachdocs/1291866828911.pdf" r:id="rId4503"/>
    <hyperlink xmlns:r="http://schemas.openxmlformats.org/officeDocument/2006/relationships" ref="R1803" display="https://www.sebi.gov.in/filings/public-issues/sep-2007/kiri-dyes-and-chemicals-limited_9032.html" r:id="rId4504"/>
    <hyperlink xmlns:r="http://schemas.openxmlformats.org/officeDocument/2006/relationships" ref="Q1804" display="https://www.sebi.gov.in/sebi_data/attachdocs/1291867052833.pdf" r:id="rId4505"/>
    <hyperlink xmlns:r="http://schemas.openxmlformats.org/officeDocument/2006/relationships" ref="R1804" display="https://www.sebi.gov.in/filings/public-issues/sep-2007/tulsi-extrusions-limited_9036.html" r:id="rId4506"/>
    <hyperlink xmlns:r="http://schemas.openxmlformats.org/officeDocument/2006/relationships" ref="AB1804" r:id="rId4507"/>
    <hyperlink xmlns:r="http://schemas.openxmlformats.org/officeDocument/2006/relationships" ref="Q1805" display="https://www.sebi.gov.in/sebi_data/attachdocs/1291721331119.pdf" r:id="rId4508"/>
    <hyperlink xmlns:r="http://schemas.openxmlformats.org/officeDocument/2006/relationships" ref="R1805" display="https://www.sebi.gov.in/filings/public-issues/aug-2007/tecpro-systems-limited_8553.html" r:id="rId4509"/>
    <hyperlink xmlns:r="http://schemas.openxmlformats.org/officeDocument/2006/relationships" ref="AB1805" r:id="rId4510"/>
    <hyperlink xmlns:r="http://schemas.openxmlformats.org/officeDocument/2006/relationships" ref="Q1806" display="https://www.sebi.gov.in/sebi_data/attachdocs/1291721019109.pdf" r:id="rId4511"/>
    <hyperlink xmlns:r="http://schemas.openxmlformats.org/officeDocument/2006/relationships" ref="R1806" display="https://www.sebi.gov.in/filings/public-issues/aug-2007/rural-electrification-corporation-limited_8549.html" r:id="rId4512"/>
    <hyperlink xmlns:r="http://schemas.openxmlformats.org/officeDocument/2006/relationships" ref="Q1807" display="https://www.sebi.gov.in/sebi_data/attachdocs/1291720841269.pdf" r:id="rId4513"/>
    <hyperlink xmlns:r="http://schemas.openxmlformats.org/officeDocument/2006/relationships" ref="R1807" display="https://www.sebi.gov.in/filings/public-issues/aug-2007/sita-shree-food-products-limited_8547.html" r:id="rId4514"/>
    <hyperlink xmlns:r="http://schemas.openxmlformats.org/officeDocument/2006/relationships" ref="Q1808" display="https://www.sebi.gov.in/sebi_data/attachdocs/1291720498432.pdf" r:id="rId4515"/>
    <hyperlink xmlns:r="http://schemas.openxmlformats.org/officeDocument/2006/relationships" ref="R1808" display="https://www.sebi.gov.in/filings/public-issues/aug-2007/wockhardt-hospitals-limited_8544.html" r:id="rId4516"/>
    <hyperlink xmlns:r="http://schemas.openxmlformats.org/officeDocument/2006/relationships" ref="AB1808" r:id="rId4517"/>
    <hyperlink xmlns:r="http://schemas.openxmlformats.org/officeDocument/2006/relationships" ref="Q1809" display="https://www.sebi.gov.in/sebi_data/attachdocs/1291720350022.pdf" r:id="rId4518"/>
    <hyperlink xmlns:r="http://schemas.openxmlformats.org/officeDocument/2006/relationships" ref="R1809" display="https://www.sebi.gov.in/filings/public-issues/aug-2007/edelweiss-capital-limited_8542.html" r:id="rId4519"/>
    <hyperlink xmlns:r="http://schemas.openxmlformats.org/officeDocument/2006/relationships" ref="Q1810" display="https://www.sebi.gov.in/sebi_data/attachdocs/1291720144361.pdf" r:id="rId4520"/>
    <hyperlink xmlns:r="http://schemas.openxmlformats.org/officeDocument/2006/relationships" ref="R1810" display="https://www.sebi.gov.in/filings/public-issues/aug-2007/somi-conveyor-beltings-limited_8540.html" r:id="rId4521"/>
    <hyperlink xmlns:r="http://schemas.openxmlformats.org/officeDocument/2006/relationships" ref="Q1811" display="https://www.sebi.gov.in/sebi_data/attachdocs/1291720060822.pdf" r:id="rId4522"/>
    <hyperlink xmlns:r="http://schemas.openxmlformats.org/officeDocument/2006/relationships" ref="R1811" display="https://www.sebi.gov.in/filings/public-issues/aug-2007/mundra-port-and-special-economic-zone-limited_8538.html" r:id="rId4523"/>
    <hyperlink xmlns:r="http://schemas.openxmlformats.org/officeDocument/2006/relationships" ref="Q1812" display="https://www.sebi.gov.in/sebi_data/attachdocs/1291719928262.pdf" r:id="rId4524"/>
    <hyperlink xmlns:r="http://schemas.openxmlformats.org/officeDocument/2006/relationships" ref="R1812" display="https://www.sebi.gov.in/filings/public-issues/aug-2007/manjushree-extrusions-limited_8536.html" r:id="rId4525"/>
    <hyperlink xmlns:r="http://schemas.openxmlformats.org/officeDocument/2006/relationships" ref="AB1812" r:id="rId4526"/>
    <hyperlink xmlns:r="http://schemas.openxmlformats.org/officeDocument/2006/relationships" ref="Q1813" display="https://www.sebi.gov.in/sebi_data/attachdocs/1291719840219.pdf" r:id="rId4527"/>
    <hyperlink xmlns:r="http://schemas.openxmlformats.org/officeDocument/2006/relationships" ref="R1813" display="https://www.sebi.gov.in/filings/public-issues/aug-2007/porwal-auto-components-limited_8534.html" r:id="rId4528"/>
    <hyperlink xmlns:r="http://schemas.openxmlformats.org/officeDocument/2006/relationships" ref="Q1814" display="https://www.sebi.gov.in/sebi_data/attachdocs/1291719688120.pdf" r:id="rId4529"/>
    <hyperlink xmlns:r="http://schemas.openxmlformats.org/officeDocument/2006/relationships" ref="R1814" display="https://www.sebi.gov.in/filings/public-issues/aug-2007/bgr-energy-systems-limited_8531.html" r:id="rId4530"/>
    <hyperlink xmlns:r="http://schemas.openxmlformats.org/officeDocument/2006/relationships" ref="Q1815" display="https://www.sebi.gov.in/sebi_data/attachdocs/1291719372937.pdf" r:id="rId4531"/>
    <hyperlink xmlns:r="http://schemas.openxmlformats.org/officeDocument/2006/relationships" ref="R1815" display="https://www.sebi.gov.in/filings/public-issues/aug-2007/niraj-cement-structurals-limited_8528.html" r:id="rId4532"/>
    <hyperlink xmlns:r="http://schemas.openxmlformats.org/officeDocument/2006/relationships" ref="Q1816" display="https://www.sebi.gov.in/sebi_data/attachdocs/1293521332705.pdf" r:id="rId4533"/>
    <hyperlink xmlns:r="http://schemas.openxmlformats.org/officeDocument/2006/relationships" ref="R1816" display="https://www.sebi.gov.in/filings/public-issues/jul-2007/omnitech-infosolutions-limited-corrigendum_13605.html" r:id="rId4534"/>
    <hyperlink xmlns:r="http://schemas.openxmlformats.org/officeDocument/2006/relationships" ref="AB1816" r:id="rId4535"/>
    <hyperlink xmlns:r="http://schemas.openxmlformats.org/officeDocument/2006/relationships" ref="Q1817" display="https://www.sebi.gov.in/sebi_data/attachdocs/1294646364467.pdf" r:id="rId4536"/>
    <hyperlink xmlns:r="http://schemas.openxmlformats.org/officeDocument/2006/relationships" ref="R1817" display="https://www.sebi.gov.in/filings/public-issues/jul-2007/bang-overseas-limited_14211.html" r:id="rId4537"/>
    <hyperlink xmlns:r="http://schemas.openxmlformats.org/officeDocument/2006/relationships" ref="Q1818" display="https://www.sebi.gov.in/sebi_data/attachdocs/1294647591211.pdf" r:id="rId4538"/>
    <hyperlink xmlns:r="http://schemas.openxmlformats.org/officeDocument/2006/relationships" ref="R1818" display="https://www.sebi.gov.in/filings/public-issues/jul-2007/globus-spirits-limited_14212.html" r:id="rId4539"/>
    <hyperlink xmlns:r="http://schemas.openxmlformats.org/officeDocument/2006/relationships" ref="AB1818" r:id="rId4540"/>
    <hyperlink xmlns:r="http://schemas.openxmlformats.org/officeDocument/2006/relationships" ref="Q1819" display="https://www.sebi.gov.in/sebi_data/attachdocs/1294647959859.pdf" r:id="rId4541"/>
    <hyperlink xmlns:r="http://schemas.openxmlformats.org/officeDocument/2006/relationships" ref="R1819" display="https://www.sebi.gov.in/filings/public-issues/jul-2007/aishwarya-telecom-limited_14213.html" r:id="rId4542"/>
    <hyperlink xmlns:r="http://schemas.openxmlformats.org/officeDocument/2006/relationships" ref="Q1820" display="https://www.sebi.gov.in/sebi_data/attachdocs/1294648189430.pdf" r:id="rId4543"/>
    <hyperlink xmlns:r="http://schemas.openxmlformats.org/officeDocument/2006/relationships" ref="R1820" display="https://www.sebi.gov.in/filings/public-issues/jul-2007/omnitech-infosolutions-limited-corrigendum_14214.html" r:id="rId4544"/>
    <hyperlink xmlns:r="http://schemas.openxmlformats.org/officeDocument/2006/relationships" ref="AB1820" r:id="rId4545"/>
    <hyperlink xmlns:r="http://schemas.openxmlformats.org/officeDocument/2006/relationships" ref="Q1821" display="https://www.sebi.gov.in/sebi_data/attachdocs/1294648791027.pdf" r:id="rId4546"/>
    <hyperlink xmlns:r="http://schemas.openxmlformats.org/officeDocument/2006/relationships" ref="R1821" display="https://www.sebi.gov.in/filings/public-issues/jul-2007/rns-infrastructure-limited_14216.html" r:id="rId4547"/>
    <hyperlink xmlns:r="http://schemas.openxmlformats.org/officeDocument/2006/relationships" ref="AB1821" r:id="rId4548"/>
    <hyperlink xmlns:r="http://schemas.openxmlformats.org/officeDocument/2006/relationships" ref="Q1822" display="https://www.sebi.gov.in/sebi_data/attachdocs/1294649683749.pdf" r:id="rId4549"/>
    <hyperlink xmlns:r="http://schemas.openxmlformats.org/officeDocument/2006/relationships" ref="R1822" display="https://www.sebi.gov.in/filings/public-issues/jul-2007/precision-pipes-and-profiles-company-limited_14218.html" r:id="rId4550"/>
    <hyperlink xmlns:r="http://schemas.openxmlformats.org/officeDocument/2006/relationships" ref="Q1823" display="https://www.sebi.gov.in/sebi_data/attachdocs/1294650118212.pdf" r:id="rId4551"/>
    <hyperlink xmlns:r="http://schemas.openxmlformats.org/officeDocument/2006/relationships" ref="R1823" display="https://www.sebi.gov.in/filings/public-issues/jul-2007/midvalley-entertainment-limited_14219.html" r:id="rId4552"/>
    <hyperlink xmlns:r="http://schemas.openxmlformats.org/officeDocument/2006/relationships" ref="AB1823" r:id="rId4553"/>
    <hyperlink xmlns:r="http://schemas.openxmlformats.org/officeDocument/2006/relationships" ref="Q1824" display="https://www.sebi.gov.in/sebi_data/attachdocs/1294650467382.pdf" r:id="rId4554"/>
    <hyperlink xmlns:r="http://schemas.openxmlformats.org/officeDocument/2006/relationships" ref="R1824" display="https://www.sebi.gov.in/filings/public-issues/jul-2007/renaissance-jewellery-limited_14220.html" r:id="rId4555"/>
    <hyperlink xmlns:r="http://schemas.openxmlformats.org/officeDocument/2006/relationships" ref="Q1825" display="https://www.sebi.gov.in/sebi_data/attachdocs/1291796125918.pdf" r:id="rId4556"/>
    <hyperlink xmlns:r="http://schemas.openxmlformats.org/officeDocument/2006/relationships" ref="R1825" display="https://www.sebi.gov.in/filings/public-issues/jul-2007/everon-systems-india-limited-addendum_8797.html" r:id="rId4557"/>
    <hyperlink xmlns:r="http://schemas.openxmlformats.org/officeDocument/2006/relationships" ref="AB1825" r:id="rId4558"/>
    <hyperlink xmlns:r="http://schemas.openxmlformats.org/officeDocument/2006/relationships" ref="Q1826" display="https://www.sebi.gov.in/sebi_data/attachdocs/1291796238625.pdf" r:id="rId4559"/>
    <hyperlink xmlns:r="http://schemas.openxmlformats.org/officeDocument/2006/relationships" ref="R1826" display="https://www.sebi.gov.in/filings/public-issues/jul-2007/everon-systems-india-ltd-notice-to-investors_8798.html" r:id="rId4560"/>
    <hyperlink xmlns:r="http://schemas.openxmlformats.org/officeDocument/2006/relationships" ref="AB1826" r:id="rId4561"/>
    <hyperlink xmlns:r="http://schemas.openxmlformats.org/officeDocument/2006/relationships" ref="Q1827" display="https://www.sebi.gov.in/sebi_data/attachdocs/1291795999928.pdf" r:id="rId4562"/>
    <hyperlink xmlns:r="http://schemas.openxmlformats.org/officeDocument/2006/relationships" ref="R1827" display="https://www.sebi.gov.in/filings/public-issues/jul-2007/ramsarup-lohh-udyog-limited_8796.html" r:id="rId4563"/>
    <hyperlink xmlns:r="http://schemas.openxmlformats.org/officeDocument/2006/relationships" ref="AB1827" r:id="rId4564"/>
    <hyperlink xmlns:r="http://schemas.openxmlformats.org/officeDocument/2006/relationships" ref="Q1828" display="https://www.sebi.gov.in/sebi_data/attachdocs/1291795558847.pdf" r:id="rId4565"/>
    <hyperlink xmlns:r="http://schemas.openxmlformats.org/officeDocument/2006/relationships" ref="R1828" display="https://www.sebi.gov.in/filings/public-issues/jul-2007/religare-enterprises-limited_8794.html" r:id="rId4566"/>
    <hyperlink xmlns:r="http://schemas.openxmlformats.org/officeDocument/2006/relationships" ref="Q1829" display="https://www.sebi.gov.in/sebi_data/attachdocs/1291795213506.pdf" r:id="rId4567"/>
    <hyperlink xmlns:r="http://schemas.openxmlformats.org/officeDocument/2006/relationships" ref="R1829" display="https://www.sebi.gov.in/filings/public-issues/jul-2007/varun-industries-limited_8792.html" r:id="rId4568"/>
    <hyperlink xmlns:r="http://schemas.openxmlformats.org/officeDocument/2006/relationships" ref="AB1829" r:id="rId4569"/>
    <hyperlink xmlns:r="http://schemas.openxmlformats.org/officeDocument/2006/relationships" ref="Q1830" display="https://www.sebi.gov.in/sebi_data/attachdocs/1293525045169.pdf" r:id="rId4570"/>
    <hyperlink xmlns:r="http://schemas.openxmlformats.org/officeDocument/2006/relationships" ref="R1830" display="https://www.sebi.gov.in/filings/public-issues/jun-2007/jyothy-laboratories-limited_13610.html" r:id="rId4571"/>
    <hyperlink xmlns:r="http://schemas.openxmlformats.org/officeDocument/2006/relationships" ref="Q1831" display="https://www.sebi.gov.in/sebi_data/attachdocs/1291868375915.pdf" r:id="rId4572"/>
    <hyperlink xmlns:r="http://schemas.openxmlformats.org/officeDocument/2006/relationships" ref="R1831" display="https://www.sebi.gov.in/filings/public-issues/jun-2007/kamayani-patientscare-india-limited_9055.html" r:id="rId4573"/>
    <hyperlink xmlns:r="http://schemas.openxmlformats.org/officeDocument/2006/relationships" ref="AB1831" r:id="rId4574"/>
    <hyperlink xmlns:r="http://schemas.openxmlformats.org/officeDocument/2006/relationships" ref="Q1832" display="https://www.sebi.gov.in/sebi_data/attachdocs/1291868082798.pdf" r:id="rId4575"/>
    <hyperlink xmlns:r="http://schemas.openxmlformats.org/officeDocument/2006/relationships" ref="R1832" display="https://www.sebi.gov.in/filings/public-issues/jun-2007/spice-communications-limited-public-notice_9053.html" r:id="rId4576"/>
    <hyperlink xmlns:r="http://schemas.openxmlformats.org/officeDocument/2006/relationships" ref="AB1832" r:id="rId4577"/>
    <hyperlink xmlns:r="http://schemas.openxmlformats.org/officeDocument/2006/relationships" ref="Q1833" display="https://www.sebi.gov.in/sebi_data/attachdocs/1291867886736.pdf" r:id="rId4578"/>
    <hyperlink xmlns:r="http://schemas.openxmlformats.org/officeDocument/2006/relationships" ref="R1833" display="https://www.sebi.gov.in/filings/public-issues/jun-2007/consolidated-construction-consortium-limited_9049.html" r:id="rId4579"/>
    <hyperlink xmlns:r="http://schemas.openxmlformats.org/officeDocument/2006/relationships" ref="Q1834" display="https://www.sebi.gov.in/sebi_data/attachdocs/1291882729083.pdf" r:id="rId4580"/>
    <hyperlink xmlns:r="http://schemas.openxmlformats.org/officeDocument/2006/relationships" ref="R1834" display="https://www.sebi.gov.in/filings/public-issues/may-2007/central-bank-of-india_9326.html" r:id="rId4581"/>
    <hyperlink xmlns:r="http://schemas.openxmlformats.org/officeDocument/2006/relationships" ref="Q1835" display="https://www.sebi.gov.in/sebi_data/attachdocs/1291882513832.pdf" r:id="rId4582"/>
    <hyperlink xmlns:r="http://schemas.openxmlformats.org/officeDocument/2006/relationships" ref="R1835" display="https://www.sebi.gov.in/filings/public-issues/may-2007/kiri-dyes-and-chemcials-limited_9324.html" r:id="rId4583"/>
    <hyperlink xmlns:r="http://schemas.openxmlformats.org/officeDocument/2006/relationships" ref="Q1836" display="https://www.sebi.gov.in/sebi_data/attachdocs/1291881856923.pdf" r:id="rId4584"/>
    <hyperlink xmlns:r="http://schemas.openxmlformats.org/officeDocument/2006/relationships" ref="R1836" display="https://www.sebi.gov.in/filings/public-issues/may-2007/icici-bank-limited_9318.html" r:id="rId4585"/>
    <hyperlink xmlns:r="http://schemas.openxmlformats.org/officeDocument/2006/relationships" ref="AB1836" r:id="rId4586"/>
    <hyperlink xmlns:r="http://schemas.openxmlformats.org/officeDocument/2006/relationships" ref="Q1837" display="https://www.sebi.gov.in/sebi_data/attachdocs/1291881395305.pdf" r:id="rId4587"/>
    <hyperlink xmlns:r="http://schemas.openxmlformats.org/officeDocument/2006/relationships" ref="R1837" display="https://www.sebi.gov.in/filings/public-issues/may-2007/brahamputra-consortium-limited_9313.html" r:id="rId4588"/>
    <hyperlink xmlns:r="http://schemas.openxmlformats.org/officeDocument/2006/relationships" ref="AB1837" r:id="rId4589"/>
    <hyperlink xmlns:r="http://schemas.openxmlformats.org/officeDocument/2006/relationships" ref="Q1838" display="https://www.sebi.gov.in/sebi_data/attachdocs/1291881109493.pdf" r:id="rId4590"/>
    <hyperlink xmlns:r="http://schemas.openxmlformats.org/officeDocument/2006/relationships" ref="R1838" display="https://www.sebi.gov.in/filings/public-issues/may-2007/maytas-infra-limited_9310.html" r:id="rId4591"/>
    <hyperlink xmlns:r="http://schemas.openxmlformats.org/officeDocument/2006/relationships" ref="Q1839" display="https://www.sebi.gov.in/sebi_data/attachdocs/1291881005317.pdf" r:id="rId4592"/>
    <hyperlink xmlns:r="http://schemas.openxmlformats.org/officeDocument/2006/relationships" ref="R1839" display="https://www.sebi.gov.in/filings/public-issues/may-2007/svec-constructions-limited_9307.html" r:id="rId4593"/>
    <hyperlink xmlns:r="http://schemas.openxmlformats.org/officeDocument/2006/relationships" ref="AB1839" r:id="rId4594"/>
    <hyperlink xmlns:r="http://schemas.openxmlformats.org/officeDocument/2006/relationships" ref="Q1840" display="https://www.sebi.gov.in/sebi_data/attachdocs/1291880905375.pdf" r:id="rId4595"/>
    <hyperlink xmlns:r="http://schemas.openxmlformats.org/officeDocument/2006/relationships" ref="R1840" display="https://www.sebi.gov.in/filings/public-issues/may-2007/svpcl-limited_9304.html" r:id="rId4596"/>
    <hyperlink xmlns:r="http://schemas.openxmlformats.org/officeDocument/2006/relationships" ref="AB1840" r:id="rId4597"/>
    <hyperlink xmlns:r="http://schemas.openxmlformats.org/officeDocument/2006/relationships" ref="Q1841" display="https://www.sebi.gov.in/sebi_data/attachdocs/1291883153398.pdf" r:id="rId4598"/>
    <hyperlink xmlns:r="http://schemas.openxmlformats.org/officeDocument/2006/relationships" ref="R1841" display="https://www.sebi.gov.in/filings/public-issues/apr-2007/fortis-healthcare-limited-corrigendum-notice-19-04-2007_9332.html" r:id="rId4599"/>
    <hyperlink xmlns:r="http://schemas.openxmlformats.org/officeDocument/2006/relationships" ref="AB1841" r:id="rId4600"/>
    <hyperlink xmlns:r="http://schemas.openxmlformats.org/officeDocument/2006/relationships" ref="Q1842" display="https://www.sebi.gov.in/sebi_data/attachdocs/1291882977820.pdf" r:id="rId4601"/>
    <hyperlink xmlns:r="http://schemas.openxmlformats.org/officeDocument/2006/relationships" ref="R1842" display="https://www.sebi.gov.in/filings/public-issues/apr-2007/burnpur-cement-limited_9330.html" r:id="rId4602"/>
    <hyperlink xmlns:r="http://schemas.openxmlformats.org/officeDocument/2006/relationships" ref="Q1843" display="https://www.sebi.gov.in/sebi_data/attachdocs/1291882491312.pdf" r:id="rId4603"/>
    <hyperlink xmlns:r="http://schemas.openxmlformats.org/officeDocument/2006/relationships" ref="R1843" display="https://www.sebi.gov.in/filings/public-issues/apr-2007/fortis-healthcare-limited-corrigendum-notice-dated-17-04-2007_9323.html" r:id="rId4604"/>
    <hyperlink xmlns:r="http://schemas.openxmlformats.org/officeDocument/2006/relationships" ref="AB1843" r:id="rId4605"/>
    <hyperlink xmlns:r="http://schemas.openxmlformats.org/officeDocument/2006/relationships" ref="Q1844" display="https://www.sebi.gov.in/sebi_data/attachdocs/1291882878955.pdf" r:id="rId4606"/>
    <hyperlink xmlns:r="http://schemas.openxmlformats.org/officeDocument/2006/relationships" ref="R1844" display="https://www.sebi.gov.in/filings/public-issues/apr-2007/uma-precision-limited_9328.html" r:id="rId4607"/>
    <hyperlink xmlns:r="http://schemas.openxmlformats.org/officeDocument/2006/relationships" ref="AB1844" r:id="rId4608"/>
    <hyperlink xmlns:r="http://schemas.openxmlformats.org/officeDocument/2006/relationships" ref="Q1845" display="https://www.sebi.gov.in/sebi_data/attachdocs/1291882049009.pdf" r:id="rId4609"/>
    <hyperlink xmlns:r="http://schemas.openxmlformats.org/officeDocument/2006/relationships" ref="R1845" display="https://www.sebi.gov.in/filings/public-issues/apr-2007/koutons-retail-india-limited_9320.html" r:id="rId4610"/>
    <hyperlink xmlns:r="http://schemas.openxmlformats.org/officeDocument/2006/relationships" ref="AB1845" r:id="rId4611"/>
    <hyperlink xmlns:r="http://schemas.openxmlformats.org/officeDocument/2006/relationships" ref="Q1846" display="https://www.sebi.gov.in/sebi_data/attachdocs/1291882197681.pdf" r:id="rId4612"/>
    <hyperlink xmlns:r="http://schemas.openxmlformats.org/officeDocument/2006/relationships" ref="R1846" display="https://www.sebi.gov.in/filings/public-issues/apr-2007/power-grid-corporation-of-india-limited_9321.html" r:id="rId4613"/>
    <hyperlink xmlns:r="http://schemas.openxmlformats.org/officeDocument/2006/relationships" ref="Q1847" display="https://www.sebi.gov.in/sebi_data/attachdocs/1291881740000.pdf" r:id="rId4614"/>
    <hyperlink xmlns:r="http://schemas.openxmlformats.org/officeDocument/2006/relationships" ref="R1847" display="https://www.sebi.gov.in/filings/public-issues/apr-2007/saamya-biotech-india-limited_9316.html" r:id="rId4615"/>
    <hyperlink xmlns:r="http://schemas.openxmlformats.org/officeDocument/2006/relationships" ref="AB1847" r:id="rId4616"/>
    <hyperlink xmlns:r="http://schemas.openxmlformats.org/officeDocument/2006/relationships" ref="Q1848" display="https://www.sebi.gov.in/sebi_data/attachdocs/1291881646018.pdf" r:id="rId4617"/>
    <hyperlink xmlns:r="http://schemas.openxmlformats.org/officeDocument/2006/relationships" ref="R1848" display="https://www.sebi.gov.in/filings/public-issues/apr-2007/bharat-earth-movers-limited_9315.html" r:id="rId4618"/>
    <hyperlink xmlns:r="http://schemas.openxmlformats.org/officeDocument/2006/relationships" ref="AB1848" r:id="rId4619"/>
    <hyperlink xmlns:r="http://schemas.openxmlformats.org/officeDocument/2006/relationships" ref="Q1849" display="https://www.sebi.gov.in/sebi_data/attachdocs/1291881554389.pdf" r:id="rId4620"/>
    <hyperlink xmlns:r="http://schemas.openxmlformats.org/officeDocument/2006/relationships" ref="R1849" display="https://www.sebi.gov.in/filings/public-issues/apr-2007/veena-industries-limited_9314.html" r:id="rId4621"/>
    <hyperlink xmlns:r="http://schemas.openxmlformats.org/officeDocument/2006/relationships" ref="AB1849" r:id="rId4622"/>
    <hyperlink xmlns:r="http://schemas.openxmlformats.org/officeDocument/2006/relationships" ref="Q1850" display="https://www.sebi.gov.in/sebi_data/attachdocs/1291880817401.pdf" r:id="rId4623"/>
    <hyperlink xmlns:r="http://schemas.openxmlformats.org/officeDocument/2006/relationships" ref="R1850" display="https://www.sebi.gov.in/filings/public-issues/apr-2007/aries-agro-limited_9301.html" r:id="rId4624"/>
    <hyperlink xmlns:r="http://schemas.openxmlformats.org/officeDocument/2006/relationships" ref="Q1851" display="https://www.sebi.gov.in/sebi_data/attachdocs/1291881285618.pdf" r:id="rId4625"/>
    <hyperlink xmlns:r="http://schemas.openxmlformats.org/officeDocument/2006/relationships" ref="R1851" display="https://www.sebi.gov.in/filings/public-issues/apr-2007/national-hydroelectric-power-corporation-limited_9312.html" r:id="rId4626"/>
    <hyperlink xmlns:r="http://schemas.openxmlformats.org/officeDocument/2006/relationships" ref="AB1851" r:id="rId4627"/>
    <hyperlink xmlns:r="http://schemas.openxmlformats.org/officeDocument/2006/relationships" ref="Q1852" display="https://www.sebi.gov.in/sebi_data/attachdocs/1291880691361.pdf" r:id="rId4628"/>
    <hyperlink xmlns:r="http://schemas.openxmlformats.org/officeDocument/2006/relationships" ref="R1852" display="https://www.sebi.gov.in/filings/public-issues/apr-2007/niraj-cement-structurals-limited_9297.html" r:id="rId4629"/>
    <hyperlink xmlns:r="http://schemas.openxmlformats.org/officeDocument/2006/relationships" ref="Q1853" display="https://www.sebi.gov.in/sebi_data/attachdocs/1291880596632.pdf" r:id="rId4630"/>
    <hyperlink xmlns:r="http://schemas.openxmlformats.org/officeDocument/2006/relationships" ref="R1853" display="https://www.sebi.gov.in/filings/public-issues/apr-2007/motilal-oswal-financial-services-limited_9292.html" r:id="rId4631"/>
    <hyperlink xmlns:r="http://schemas.openxmlformats.org/officeDocument/2006/relationships" ref="Q1854" display="https://www.sebi.gov.in/sebi_data/attachdocs/1291880473356.pdf" r:id="rId4632"/>
    <hyperlink xmlns:r="http://schemas.openxmlformats.org/officeDocument/2006/relationships" ref="R1854" display="https://www.sebi.gov.in/filings/public-issues/apr-2007/m-s-khurana-engineering-limited-drhp_9288.html" r:id="rId4633"/>
    <hyperlink xmlns:r="http://schemas.openxmlformats.org/officeDocument/2006/relationships" ref="AB1854" r:id="rId4634"/>
    <hyperlink xmlns:r="http://schemas.openxmlformats.org/officeDocument/2006/relationships" ref="Q1855" display="https://www.sebi.gov.in/sebi_data/attachdocs/1294658125705.pdf" r:id="rId4635"/>
    <hyperlink xmlns:r="http://schemas.openxmlformats.org/officeDocument/2006/relationships" ref="R1855" display="https://www.sebi.gov.in/filings/public-issues/mar-2007/kaveri-seed-company-limited_14225.html" r:id="rId4636"/>
    <hyperlink xmlns:r="http://schemas.openxmlformats.org/officeDocument/2006/relationships" ref="Q1856" display="https://www.sebi.gov.in/sebi_data/attachdocs/1291873715619.pdf" r:id="rId4637"/>
    <hyperlink xmlns:r="http://schemas.openxmlformats.org/officeDocument/2006/relationships" ref="R1856" display="https://www.sebi.gov.in/filings/public-issues/mar-2007/order-against-m-s-shantanu-s-dhamankar_9135.html" r:id="rId4638"/>
    <hyperlink xmlns:r="http://schemas.openxmlformats.org/officeDocument/2006/relationships" ref="Q1857" display="https://www.sebi.gov.in/sebi_data/attachdocs/1291873587175.pdf" r:id="rId4639"/>
    <hyperlink xmlns:r="http://schemas.openxmlformats.org/officeDocument/2006/relationships" ref="R1857" display="https://www.sebi.gov.in/filings/public-issues/mar-2007/dhanus-technologies-limited_9128.html" r:id="rId4640"/>
    <hyperlink xmlns:r="http://schemas.openxmlformats.org/officeDocument/2006/relationships" ref="AB1857" r:id="rId4641"/>
    <hyperlink xmlns:r="http://schemas.openxmlformats.org/officeDocument/2006/relationships" ref="Q1858" display="https://www.sebi.gov.in/sebi_data/attachdocs/1291873248756.pdf" r:id="rId4642"/>
    <hyperlink xmlns:r="http://schemas.openxmlformats.org/officeDocument/2006/relationships" ref="R1858" display="https://www.sebi.gov.in/filings/public-issues/mar-2007/man-infra-construction-limited_9122.html" r:id="rId4643"/>
    <hyperlink xmlns:r="http://schemas.openxmlformats.org/officeDocument/2006/relationships" ref="AB1858" r:id="rId4644"/>
    <hyperlink xmlns:r="http://schemas.openxmlformats.org/officeDocument/2006/relationships" ref="Q1859" display="https://www.sebi.gov.in/sebi_data/attachdocs/1291872643363.pdf" r:id="rId4645"/>
    <hyperlink xmlns:r="http://schemas.openxmlformats.org/officeDocument/2006/relationships" ref="R1859" display="https://www.sebi.gov.in/filings/public-issues/mar-2007/dagger-forst-tools-limited-public-cum-rights_9104.html" r:id="rId4646"/>
    <hyperlink xmlns:r="http://schemas.openxmlformats.org/officeDocument/2006/relationships" ref="AB1859" r:id="rId4647"/>
    <hyperlink xmlns:r="http://schemas.openxmlformats.org/officeDocument/2006/relationships" ref="Q1860" display="https://www.sebi.gov.in/sebi_data/attachdocs/1291872958987.pdf" r:id="rId4648"/>
    <hyperlink xmlns:r="http://schemas.openxmlformats.org/officeDocument/2006/relationships" ref="R1860" display="https://www.sebi.gov.in/filings/public-issues/mar-2007/gss-america-infotech-limited_9114.html" r:id="rId4649"/>
    <hyperlink xmlns:r="http://schemas.openxmlformats.org/officeDocument/2006/relationships" ref="Q1861" display="https://www.sebi.gov.in/sebi_data/attachdocs/1291872241798.pdf" r:id="rId4650"/>
    <hyperlink xmlns:r="http://schemas.openxmlformats.org/officeDocument/2006/relationships" ref="R1861" display="https://www.sebi.gov.in/filings/public-issues/mar-2007/rathi-bars-limited_9094.html" r:id="rId4651"/>
    <hyperlink xmlns:r="http://schemas.openxmlformats.org/officeDocument/2006/relationships" ref="Q1862" display="https://www.sebi.gov.in/sebi_data/attachdocs/1291870536465.pdf" r:id="rId4652"/>
    <hyperlink xmlns:r="http://schemas.openxmlformats.org/officeDocument/2006/relationships" ref="R1862" display="https://www.sebi.gov.in/filings/public-issues/mar-2007/zylog-systems-limited_9078.html" r:id="rId4653"/>
    <hyperlink xmlns:r="http://schemas.openxmlformats.org/officeDocument/2006/relationships" ref="AB1862" r:id="rId4654"/>
    <hyperlink xmlns:r="http://schemas.openxmlformats.org/officeDocument/2006/relationships" ref="Q1863" display="https://www.sebi.gov.in/sebi_data/attachdocs/1291782896400.pdf" r:id="rId4655"/>
    <hyperlink xmlns:r="http://schemas.openxmlformats.org/officeDocument/2006/relationships" ref="R1863" display="https://www.sebi.gov.in/filings/public-issues/feb-2007/khaitan-weaving-mills-limited_8605.html" r:id="rId4656"/>
    <hyperlink xmlns:r="http://schemas.openxmlformats.org/officeDocument/2006/relationships" ref="AB1863" r:id="rId4657"/>
    <hyperlink xmlns:r="http://schemas.openxmlformats.org/officeDocument/2006/relationships" ref="Q1864" display="https://www.sebi.gov.in/sebi_data/attachdocs/1291782711938.pdf" r:id="rId4658"/>
    <hyperlink xmlns:r="http://schemas.openxmlformats.org/officeDocument/2006/relationships" ref="R1864" display="https://www.sebi.gov.in/filings/public-issues/feb-2007/magnum-ventures-limited_8604.html" r:id="rId4659"/>
    <hyperlink xmlns:r="http://schemas.openxmlformats.org/officeDocument/2006/relationships" ref="Q1865" display="https://www.sebi.gov.in/sebi_data/attachdocs/1291782087130.pdf" r:id="rId4660"/>
    <hyperlink xmlns:r="http://schemas.openxmlformats.org/officeDocument/2006/relationships" ref="R1865" display="https://www.sebi.gov.in/filings/public-issues/feb-2007/indowind-energy-limited_8602.html" r:id="rId4661"/>
    <hyperlink xmlns:r="http://schemas.openxmlformats.org/officeDocument/2006/relationships" ref="Q1866" display="https://www.sebi.gov.in/sebi_data/attachdocs/1291780399460.pdf" r:id="rId4662"/>
    <hyperlink xmlns:r="http://schemas.openxmlformats.org/officeDocument/2006/relationships" ref="R1866" display="https://www.sebi.gov.in/filings/public-issues/feb-2007/spice-communications-limited_8599.html" r:id="rId4663"/>
    <hyperlink xmlns:r="http://schemas.openxmlformats.org/officeDocument/2006/relationships" ref="AB1866" r:id="rId4664"/>
    <hyperlink xmlns:r="http://schemas.openxmlformats.org/officeDocument/2006/relationships" ref="Q1867" display="https://www.sebi.gov.in/sebi_data/attachdocs/1291777822076.pdf" r:id="rId4665"/>
    <hyperlink xmlns:r="http://schemas.openxmlformats.org/officeDocument/2006/relationships" ref="R1867" display="https://www.sebi.gov.in/filings/public-issues/feb-2007/it-people-india-limited_8595.html" r:id="rId4666"/>
    <hyperlink xmlns:r="http://schemas.openxmlformats.org/officeDocument/2006/relationships" ref="AB1867" r:id="rId4667"/>
    <hyperlink xmlns:r="http://schemas.openxmlformats.org/officeDocument/2006/relationships" ref="Q1868" display="https://www.sebi.gov.in/sebi_data/attachdocs/1291725191285.pdf" r:id="rId4668"/>
    <hyperlink xmlns:r="http://schemas.openxmlformats.org/officeDocument/2006/relationships" ref="R1868" display="https://www.sebi.gov.in/filings/public-issues/feb-2007/housing-development-and-infrastructure-limited_8592.html" r:id="rId4669"/>
    <hyperlink xmlns:r="http://schemas.openxmlformats.org/officeDocument/2006/relationships" ref="AB1868" r:id="rId4670"/>
    <hyperlink xmlns:r="http://schemas.openxmlformats.org/officeDocument/2006/relationships" ref="Q1869" display="https://www.sebi.gov.in/sebi_data/attachdocs/1294660457620.pdf" r:id="rId4671"/>
    <hyperlink xmlns:r="http://schemas.openxmlformats.org/officeDocument/2006/relationships" ref="R1869" display="https://www.sebi.gov.in/filings/public-issues/feb-2007/titagarh-wagons-limited_14226.html" r:id="rId4672"/>
    <hyperlink xmlns:r="http://schemas.openxmlformats.org/officeDocument/2006/relationships" ref="Q1870" display="https://www.sebi.gov.in/sebi_data/attachdocs/1291725069875.pdf" r:id="rId4673"/>
    <hyperlink xmlns:r="http://schemas.openxmlformats.org/officeDocument/2006/relationships" ref="R1870" display="https://www.sebi.gov.in/filings/public-issues/feb-2007/kolte-patil-developers-ltd_8591.html" r:id="rId4674"/>
    <hyperlink xmlns:r="http://schemas.openxmlformats.org/officeDocument/2006/relationships" ref="Q1871" display="https://www.sebi.gov.in/sebi_data/attachdocs/1291724964782.pdf" r:id="rId4675"/>
    <hyperlink xmlns:r="http://schemas.openxmlformats.org/officeDocument/2006/relationships" ref="R1871" display="https://www.sebi.gov.in/filings/public-issues/feb-2007/supreme-infrastructure-india-limited_8590.html" r:id="rId4676"/>
    <hyperlink xmlns:r="http://schemas.openxmlformats.org/officeDocument/2006/relationships" ref="Q1872" display="https://www.sebi.gov.in/sebi_data/attachdocs/1291724756955.pdf" r:id="rId4677"/>
    <hyperlink xmlns:r="http://schemas.openxmlformats.org/officeDocument/2006/relationships" ref="R1872" display="https://www.sebi.gov.in/filings/public-issues/feb-2007/asian-granito-india-limited_8589.html" r:id="rId4678"/>
    <hyperlink xmlns:r="http://schemas.openxmlformats.org/officeDocument/2006/relationships" ref="Q1873" display="https://www.sebi.gov.in/sebi_data/attachdocs/1291713036740.pdf" r:id="rId4679"/>
    <hyperlink xmlns:r="http://schemas.openxmlformats.org/officeDocument/2006/relationships" ref="R1873" display="https://www.sebi.gov.in/filings/public-issues/jan-2007/manaksia-limited_8446.html" r:id="rId4680"/>
    <hyperlink xmlns:r="http://schemas.openxmlformats.org/officeDocument/2006/relationships" ref="AB1873" r:id="rId4681"/>
    <hyperlink xmlns:r="http://schemas.openxmlformats.org/officeDocument/2006/relationships" ref="Q1874" display="https://www.sebi.gov.in/sebi_data/attachdocs/1291712889580.pdf" r:id="rId4682"/>
    <hyperlink xmlns:r="http://schemas.openxmlformats.org/officeDocument/2006/relationships" ref="R1874" display="https://www.sebi.gov.in/filings/public-issues/jan-2007/refex-refrigerants-limited_8442.html" r:id="rId4683"/>
    <hyperlink xmlns:r="http://schemas.openxmlformats.org/officeDocument/2006/relationships" ref="AB1874" r:id="rId4684"/>
    <hyperlink xmlns:r="http://schemas.openxmlformats.org/officeDocument/2006/relationships" ref="Q1875" display="https://www.sebi.gov.in/sebi_data/attachdocs/1291712644556.pdf" r:id="rId4685"/>
    <hyperlink xmlns:r="http://schemas.openxmlformats.org/officeDocument/2006/relationships" ref="R1875" display="https://www.sebi.gov.in/filings/public-issues/jan-2007/ivr-prime-urban-developers-limited_8438.html" r:id="rId4686"/>
    <hyperlink xmlns:r="http://schemas.openxmlformats.org/officeDocument/2006/relationships" ref="AB1875" r:id="rId4687"/>
    <hyperlink xmlns:r="http://schemas.openxmlformats.org/officeDocument/2006/relationships" ref="Q1876" display="https://www.sebi.gov.in/sebi_data/attachdocs/1291712342421.pdf" r:id="rId4688"/>
    <hyperlink xmlns:r="http://schemas.openxmlformats.org/officeDocument/2006/relationships" ref="R1876" display="https://www.sebi.gov.in/filings/public-issues/jan-2007/allied-digital-services-limited_8432.html" r:id="rId4689"/>
    <hyperlink xmlns:r="http://schemas.openxmlformats.org/officeDocument/2006/relationships" ref="Q1877" display="https://www.sebi.gov.in/sebi_data/attachdocs/1291711972380.pdf" r:id="rId4690"/>
    <hyperlink xmlns:r="http://schemas.openxmlformats.org/officeDocument/2006/relationships" ref="R1877" display="https://www.sebi.gov.in/filings/public-issues/jan-2007/decolight-ceramics-limited_8424.html" r:id="rId4691"/>
    <hyperlink xmlns:r="http://schemas.openxmlformats.org/officeDocument/2006/relationships" ref="AB1877" r:id="rId4692"/>
    <hyperlink xmlns:r="http://schemas.openxmlformats.org/officeDocument/2006/relationships" ref="Q1878" display="https://www.sebi.gov.in/sebi_data/attachdocs/1291712209852.pdf" r:id="rId4693"/>
    <hyperlink xmlns:r="http://schemas.openxmlformats.org/officeDocument/2006/relationships" ref="R1878" display="https://www.sebi.gov.in/filings/public-issues/jan-2007/hal-offshore-limited_8428.html" r:id="rId4694"/>
    <hyperlink xmlns:r="http://schemas.openxmlformats.org/officeDocument/2006/relationships" ref="AB1878" r:id="rId4695"/>
    <hyperlink xmlns:r="http://schemas.openxmlformats.org/officeDocument/2006/relationships" ref="Q1879" display="https://www.sebi.gov.in/sebi_data/attachdocs/1291711747084.pdf" r:id="rId4696"/>
    <hyperlink xmlns:r="http://schemas.openxmlformats.org/officeDocument/2006/relationships" ref="R1879" display="https://www.sebi.gov.in/filings/public-issues/jan-2007/corrigendum-in-the-matter-of-proposed-public-issue-of-technocraft-industries-india-limited_8421.html" r:id="rId4697"/>
    <hyperlink xmlns:r="http://schemas.openxmlformats.org/officeDocument/2006/relationships" ref="AB1879" r:id="rId4698"/>
    <hyperlink xmlns:r="http://schemas.openxmlformats.org/officeDocument/2006/relationships" ref="Q1880" display="https://www.sebi.gov.in/sebi_data/attachdocs/1291711573104.pdf" r:id="rId4699"/>
    <hyperlink xmlns:r="http://schemas.openxmlformats.org/officeDocument/2006/relationships" ref="R1880" display="https://www.sebi.gov.in/filings/public-issues/jan-2007/puravankara-projects-limited_8418.html" r:id="rId4700"/>
    <hyperlink xmlns:r="http://schemas.openxmlformats.org/officeDocument/2006/relationships" ref="Q1881" display="https://www.sebi.gov.in/sebi_data/attachdocs/1291711182894.pdf" r:id="rId4701"/>
    <hyperlink xmlns:r="http://schemas.openxmlformats.org/officeDocument/2006/relationships" ref="R1881" display="https://www.sebi.gov.in/filings/public-issues/jan-2007/cairn-india-ltd-public-notice_8414.html" r:id="rId4702"/>
    <hyperlink xmlns:r="http://schemas.openxmlformats.org/officeDocument/2006/relationships" ref="AB1881" r:id="rId4703"/>
    <hyperlink xmlns:r="http://schemas.openxmlformats.org/officeDocument/2006/relationships" ref="Q1882" display="https://www.sebi.gov.in/sebi_data/attachdocs/1291710711569.pdf" r:id="rId4704"/>
    <hyperlink xmlns:r="http://schemas.openxmlformats.org/officeDocument/2006/relationships" ref="R1882" display="https://www.sebi.gov.in/filings/public-issues/jan-2007/circuit-systems-india-ltd_8404.html" r:id="rId4705"/>
    <hyperlink xmlns:r="http://schemas.openxmlformats.org/officeDocument/2006/relationships" ref="AB1882" r:id="rId4706"/>
    <hyperlink xmlns:r="http://schemas.openxmlformats.org/officeDocument/2006/relationships" ref="Q1883" display="https://www.sebi.gov.in/sebi_data/attachdocs/1291710870084.pdf" r:id="rId4707"/>
    <hyperlink xmlns:r="http://schemas.openxmlformats.org/officeDocument/2006/relationships" ref="R1883" display="https://www.sebi.gov.in/filings/public-issues/jan-2007/dlf-limited_8408.html" r:id="rId4708"/>
    <hyperlink xmlns:r="http://schemas.openxmlformats.org/officeDocument/2006/relationships" ref="AB1883" r:id="rId4709"/>
    <hyperlink xmlns:r="http://schemas.openxmlformats.org/officeDocument/2006/relationships" ref="Q1884" display="https://www.sebi.gov.in/sebi_data/attachdocs/1291711068292.pdf" r:id="rId4710"/>
    <hyperlink xmlns:r="http://schemas.openxmlformats.org/officeDocument/2006/relationships" ref="R1884" display="https://www.sebi.gov.in/filings/public-issues/jan-2007/page-industries-limited_8412.html" r:id="rId4711"/>
    <hyperlink xmlns:r="http://schemas.openxmlformats.org/officeDocument/2006/relationships" ref="Q1885" display="https://www.sebi.gov.in/sebi_data/attachdocs/1293516192130.pdf" r:id="rId4712"/>
    <hyperlink xmlns:r="http://schemas.openxmlformats.org/officeDocument/2006/relationships" ref="R1885" display="https://www.sebi.gov.in/filings/public-issues/jan-2007/nitin-fire-protection-industries-limited_13593.html" r:id="rId4713"/>
    <hyperlink xmlns:r="http://schemas.openxmlformats.org/officeDocument/2006/relationships" ref="Q1886" display="https://www.sebi.gov.in/sebi_data/attachdocs/1292413404836.pdf" r:id="rId4714"/>
    <hyperlink xmlns:r="http://schemas.openxmlformats.org/officeDocument/2006/relationships" ref="R1886" display="https://www.sebi.gov.in/filings/public-issues/dec-2006/autoline-industries-limited_11106.html" r:id="rId4715"/>
    <hyperlink xmlns:r="http://schemas.openxmlformats.org/officeDocument/2006/relationships" ref="Q1887" display="https://www.sebi.gov.in/sebi_data/attachdocs/1292412905967.pdf" r:id="rId4716"/>
    <hyperlink xmlns:r="http://schemas.openxmlformats.org/officeDocument/2006/relationships" ref="R1887" display="https://www.sebi.gov.in/filings/public-issues/dec-2006/insecticides-india-limited-draft-red-herring-prospectus_11104.html" r:id="rId4717"/>
    <hyperlink xmlns:r="http://schemas.openxmlformats.org/officeDocument/2006/relationships" ref="Q1888" display="https://www.sebi.gov.in/sebi_data/attachdocs/1292413276140.pdf" r:id="rId4718"/>
    <hyperlink xmlns:r="http://schemas.openxmlformats.org/officeDocument/2006/relationships" ref="R1888" display="https://www.sebi.gov.in/filings/public-issues/dec-2006/oswal-woollen-mills-ltd-draft-red-herring-prospectus_11105.html" r:id="rId4719"/>
    <hyperlink xmlns:r="http://schemas.openxmlformats.org/officeDocument/2006/relationships" ref="AB1888" r:id="rId4720"/>
    <hyperlink xmlns:r="http://schemas.openxmlformats.org/officeDocument/2006/relationships" ref="Q1889" display="https://www.sebi.gov.in/sebi_data/attachdocs/1292412568332.pdf" r:id="rId4721"/>
    <hyperlink xmlns:r="http://schemas.openxmlformats.org/officeDocument/2006/relationships" ref="R1889" display="https://www.sebi.gov.in/filings/public-issues/dec-2006/time-technoplast-limittedtime-technoplast-limitted_11102.html" r:id="rId4722"/>
    <hyperlink xmlns:r="http://schemas.openxmlformats.org/officeDocument/2006/relationships" ref="Q1890" display="https://www.sebi.gov.in/sebi_data/attachdocs/1292411680546.pdf" r:id="rId4723"/>
    <hyperlink xmlns:r="http://schemas.openxmlformats.org/officeDocument/2006/relationships" ref="R1890" display="https://www.sebi.gov.in/filings/public-issues/dec-2006/asahi-songwon-colors-limited_11099.html" r:id="rId4724"/>
    <hyperlink xmlns:r="http://schemas.openxmlformats.org/officeDocument/2006/relationships" ref="Q1891" display="https://www.sebi.gov.in/sebi_data/attachdocs/1292411596558.pdf" r:id="rId4725"/>
    <hyperlink xmlns:r="http://schemas.openxmlformats.org/officeDocument/2006/relationships" ref="R1891" display="https://www.sebi.gov.in/filings/public-issues/dec-2006/barak-valley-cements-limited_11097.html" r:id="rId4726"/>
    <hyperlink xmlns:r="http://schemas.openxmlformats.org/officeDocument/2006/relationships" ref="AB1891" r:id="rId4727"/>
    <hyperlink xmlns:r="http://schemas.openxmlformats.org/officeDocument/2006/relationships" ref="Q1892" display="https://www.sebi.gov.in/sebi_data/attachdocs/1292411967634.pdf" r:id="rId4728"/>
    <hyperlink xmlns:r="http://schemas.openxmlformats.org/officeDocument/2006/relationships" ref="R1892" display="https://www.sebi.gov.in/filings/public-issues/dec-2006/omaxe-limited_11100.html" r:id="rId4729"/>
    <hyperlink xmlns:r="http://schemas.openxmlformats.org/officeDocument/2006/relationships" ref="Q1893" display="https://www.sebi.gov.in/sebi_data/attachdocs/1292411495468.pdf" r:id="rId4730"/>
    <hyperlink xmlns:r="http://schemas.openxmlformats.org/officeDocument/2006/relationships" ref="R1893" display="https://www.sebi.gov.in/filings/public-issues/dec-2006/shaily-engineering-plastics-limited_11095.html" r:id="rId4731"/>
    <hyperlink xmlns:r="http://schemas.openxmlformats.org/officeDocument/2006/relationships" ref="AB1893" r:id="rId4732"/>
    <hyperlink xmlns:r="http://schemas.openxmlformats.org/officeDocument/2006/relationships" ref="Q1894" display="https://www.sebi.gov.in/sebi_data/attachdocs/1292411322660.pdf" r:id="rId4733"/>
    <hyperlink xmlns:r="http://schemas.openxmlformats.org/officeDocument/2006/relationships" ref="R1894" display="https://www.sebi.gov.in/filings/public-issues/dec-2006/power-finance-corporation-limited_11091.html" r:id="rId4734"/>
    <hyperlink xmlns:r="http://schemas.openxmlformats.org/officeDocument/2006/relationships" ref="Q1895" display="https://www.sebi.gov.in/sebi_data/attachdocs/1292411010363.pdf" r:id="rId4735"/>
    <hyperlink xmlns:r="http://schemas.openxmlformats.org/officeDocument/2006/relationships" ref="R1895" display="https://www.sebi.gov.in/filings/public-issues/dec-2006/take-solution-limited_11088.html" r:id="rId4736"/>
    <hyperlink xmlns:r="http://schemas.openxmlformats.org/officeDocument/2006/relationships" ref="Q1896" display="https://www.sebi.gov.in/sebi_data/attachdocs/1292410583850.pdf" r:id="rId4737"/>
    <hyperlink xmlns:r="http://schemas.openxmlformats.org/officeDocument/2006/relationships" ref="R1896" display="https://www.sebi.gov.in/filings/public-issues/dec-2006/alpa-laboratories-limited_11086.html" r:id="rId4738"/>
    <hyperlink xmlns:r="http://schemas.openxmlformats.org/officeDocument/2006/relationships" ref="AB1896" r:id="rId4739"/>
    <hyperlink xmlns:r="http://schemas.openxmlformats.org/officeDocument/2006/relationships" ref="Q1897" display="https://www.sebi.gov.in/sebi_data/attachdocs/1292409535167.pdf" r:id="rId4740"/>
    <hyperlink xmlns:r="http://schemas.openxmlformats.org/officeDocument/2006/relationships" ref="R1897" display="https://www.sebi.gov.in/filings/public-issues/dec-2006/nelcast-limited_11083.html" r:id="rId4741"/>
    <hyperlink xmlns:r="http://schemas.openxmlformats.org/officeDocument/2006/relationships" ref="Q1898" display="https://www.sebi.gov.in/sebi_data/attachdocs/1292409363668.pdf" r:id="rId4742"/>
    <hyperlink xmlns:r="http://schemas.openxmlformats.org/officeDocument/2006/relationships" ref="R1898" display="https://www.sebi.gov.in/filings/public-issues/dec-2006/mind-tree-consulting-limited_11082.html" r:id="rId4743"/>
    <hyperlink xmlns:r="http://schemas.openxmlformats.org/officeDocument/2006/relationships" ref="Q1899" display="https://www.sebi.gov.in/sebi_data/attachdocs/1292409223983.pdf" r:id="rId4744"/>
    <hyperlink xmlns:r="http://schemas.openxmlformats.org/officeDocument/2006/relationships" ref="R1899" display="https://www.sebi.gov.in/filings/public-issues/dec-2006/cairn-india-ltd-public-notice_11081.html" r:id="rId4745"/>
    <hyperlink xmlns:r="http://schemas.openxmlformats.org/officeDocument/2006/relationships" ref="AB1899" r:id="rId4746"/>
    <hyperlink xmlns:r="http://schemas.openxmlformats.org/officeDocument/2006/relationships" ref="Q1900" display="https://www.sebi.gov.in/sebi_data/attachdocs/1292409159705.pdf" r:id="rId4747"/>
    <hyperlink xmlns:r="http://schemas.openxmlformats.org/officeDocument/2006/relationships" ref="R1900" display="https://www.sebi.gov.in/filings/public-issues/dec-2006/decolight-ceramics-limited_11079.html" r:id="rId4748"/>
    <hyperlink xmlns:r="http://schemas.openxmlformats.org/officeDocument/2006/relationships" ref="AB1900" r:id="rId4749"/>
    <hyperlink xmlns:r="http://schemas.openxmlformats.org/officeDocument/2006/relationships" ref="Q1901" display="https://www.sebi.gov.in/sebi_data/attachdocs/1292409007858.pdf" r:id="rId4750"/>
    <hyperlink xmlns:r="http://schemas.openxmlformats.org/officeDocument/2006/relationships" ref="R1901" display="https://www.sebi.gov.in/filings/public-issues/dec-2006/indian-bank_11077.html" r:id="rId4751"/>
    <hyperlink xmlns:r="http://schemas.openxmlformats.org/officeDocument/2006/relationships" ref="Q1902" display="https://www.sebi.gov.in/sebi_data/attachdocs/1292411419425.pdf" r:id="rId4752"/>
    <hyperlink xmlns:r="http://schemas.openxmlformats.org/officeDocument/2006/relationships" ref="R1902" display="https://www.sebi.gov.in/filings/public-issues/dec-2006/indus-fila-limited_11093.html" r:id="rId4753"/>
    <hyperlink xmlns:r="http://schemas.openxmlformats.org/officeDocument/2006/relationships" ref="AB1902" r:id="rId4754"/>
    <hyperlink xmlns:r="http://schemas.openxmlformats.org/officeDocument/2006/relationships" ref="Q1903" display="https://www.sebi.gov.in/sebi_data/attachdocs/1292408670151.pdf" r:id="rId4755"/>
    <hyperlink xmlns:r="http://schemas.openxmlformats.org/officeDocument/2006/relationships" ref="R1903" display="https://www.sebi.gov.in/filings/public-issues/dec-2006/kaushalya-infrastructure-development-corporation-limited_11074.html" r:id="rId4756"/>
    <hyperlink xmlns:r="http://schemas.openxmlformats.org/officeDocument/2006/relationships" ref="Q1904" display="https://www.sebi.gov.in/sebi_data/attachdocs/1292408542319.pdf" r:id="rId4757"/>
    <hyperlink xmlns:r="http://schemas.openxmlformats.org/officeDocument/2006/relationships" ref="R1904" display="https://www.sebi.gov.in/filings/public-issues/dec-2006/idea-cellular-limited_11072.html" r:id="rId4758"/>
    <hyperlink xmlns:r="http://schemas.openxmlformats.org/officeDocument/2006/relationships" ref="Q1905" display="https://www.sebi.gov.in/sebi_data/attachdocs/1292408435184.pdf" r:id="rId4759"/>
    <hyperlink xmlns:r="http://schemas.openxmlformats.org/officeDocument/2006/relationships" ref="R1905" display="https://www.sebi.gov.in/filings/public-issues/dec-2006/roman-tarmat-limited_11070.html" r:id="rId4760"/>
    <hyperlink xmlns:r="http://schemas.openxmlformats.org/officeDocument/2006/relationships" ref="AB1905" r:id="rId4761"/>
    <hyperlink xmlns:r="http://schemas.openxmlformats.org/officeDocument/2006/relationships" ref="Q1906" display="https://www.sebi.gov.in/sebi_data/attachdocs/1292408179450.pdf" r:id="rId4762"/>
    <hyperlink xmlns:r="http://schemas.openxmlformats.org/officeDocument/2006/relationships" ref="R1906" display="https://www.sebi.gov.in/filings/public-issues/dec-2006/vishal-retail-limited_11065.html" r:id="rId4763"/>
    <hyperlink xmlns:r="http://schemas.openxmlformats.org/officeDocument/2006/relationships" ref="AB1906" r:id="rId4764"/>
    <hyperlink xmlns:r="http://schemas.openxmlformats.org/officeDocument/2006/relationships" ref="Q1907" display="https://www.sebi.gov.in/sebi_data/attachdocs/1292407864122.pdf" r:id="rId4765"/>
    <hyperlink xmlns:r="http://schemas.openxmlformats.org/officeDocument/2006/relationships" ref="R1907" display="https://www.sebi.gov.in/filings/public-issues/dec-2006/allied-computers-international-asia-limited_11057.html" r:id="rId4766"/>
    <hyperlink xmlns:r="http://schemas.openxmlformats.org/officeDocument/2006/relationships" ref="AB1907" r:id="rId4767"/>
    <hyperlink xmlns:r="http://schemas.openxmlformats.org/officeDocument/2006/relationships" ref="Q1908" display="https://www.sebi.gov.in/sebi_data/attachdocs/1292383906305.pdf" r:id="rId4768"/>
    <hyperlink xmlns:r="http://schemas.openxmlformats.org/officeDocument/2006/relationships" ref="R1908" display="https://www.sebi.gov.in/filings/public-issues/nov-2006/sel-manufacturing-company-limited_10851.html" r:id="rId4769"/>
    <hyperlink xmlns:r="http://schemas.openxmlformats.org/officeDocument/2006/relationships" ref="AB1908" r:id="rId4770"/>
    <hyperlink xmlns:r="http://schemas.openxmlformats.org/officeDocument/2006/relationships" ref="Q1909" display="https://www.sebi.gov.in/sebi_data/attachdocs/1292383545390.pdf" r:id="rId4771"/>
    <hyperlink xmlns:r="http://schemas.openxmlformats.org/officeDocument/2006/relationships" ref="R1909" display="https://www.sebi.gov.in/filings/public-issues/nov-2006/astral-poly-technik-limited_10850.html" r:id="rId4772"/>
    <hyperlink xmlns:r="http://schemas.openxmlformats.org/officeDocument/2006/relationships" ref="Q1910" display="https://www.sebi.gov.in/sebi_data/attachdocs/1292383465793.pdf" r:id="rId4773"/>
    <hyperlink xmlns:r="http://schemas.openxmlformats.org/officeDocument/2006/relationships" ref="R1910" display="https://www.sebi.gov.in/filings/public-issues/nov-2006/mic-electronics-limited_10849.html" r:id="rId4774"/>
    <hyperlink xmlns:r="http://schemas.openxmlformats.org/officeDocument/2006/relationships" ref="Q1911" display="https://www.sebi.gov.in/sebi_data/attachdocs/1292382734730.pdf" r:id="rId4775"/>
    <hyperlink xmlns:r="http://schemas.openxmlformats.org/officeDocument/2006/relationships" ref="R1911" display="https://www.sebi.gov.in/filings/public-issues/nov-2006/first-source-solutions-limited_10845.html" r:id="rId4776"/>
    <hyperlink xmlns:r="http://schemas.openxmlformats.org/officeDocument/2006/relationships" ref="Q1912" display="https://www.sebi.gov.in/sebi_data/attachdocs/1292382626268.pdf" r:id="rId4777"/>
    <hyperlink xmlns:r="http://schemas.openxmlformats.org/officeDocument/2006/relationships" ref="R1912" display="https://www.sebi.gov.in/filings/public-issues/nov-2006/technocraft-industries-india-limited_10844.html" r:id="rId4778"/>
    <hyperlink xmlns:r="http://schemas.openxmlformats.org/officeDocument/2006/relationships" ref="Q1913" display="https://www.sebi.gov.in/sebi_data/attachdocs/1292382534562.pdf" r:id="rId4779"/>
    <hyperlink xmlns:r="http://schemas.openxmlformats.org/officeDocument/2006/relationships" ref="R1913" display="https://www.sebi.gov.in/filings/public-issues/nov-2006/shri-balkishan-agarwal-glass-industries-limited_10843.html" r:id="rId4780"/>
    <hyperlink xmlns:r="http://schemas.openxmlformats.org/officeDocument/2006/relationships" ref="AB1913" r:id="rId4781"/>
    <hyperlink xmlns:r="http://schemas.openxmlformats.org/officeDocument/2006/relationships" ref="Q1914" display="https://www.sebi.gov.in/sebi_data/attachdocs/1292329761512.pdf" r:id="rId4782"/>
    <hyperlink xmlns:r="http://schemas.openxmlformats.org/officeDocument/2006/relationships" ref="R1914" display="https://www.sebi.gov.in/filings/public-issues/nov-2006/binani-cements-limited_10842.html" r:id="rId4783"/>
    <hyperlink xmlns:r="http://schemas.openxmlformats.org/officeDocument/2006/relationships" ref="AB1914" r:id="rId4784"/>
    <hyperlink xmlns:r="http://schemas.openxmlformats.org/officeDocument/2006/relationships" ref="Q1915" display="https://www.sebi.gov.in/sebi_data/attachdocs/1292329672652.pdf" r:id="rId4785"/>
    <hyperlink xmlns:r="http://schemas.openxmlformats.org/officeDocument/2006/relationships" ref="R1915" display="https://www.sebi.gov.in/filings/public-issues/nov-2006/emmbros-autocomp-limited_10841.html" r:id="rId4786"/>
    <hyperlink xmlns:r="http://schemas.openxmlformats.org/officeDocument/2006/relationships" ref="AB1915" r:id="rId4787"/>
    <hyperlink xmlns:r="http://schemas.openxmlformats.org/officeDocument/2006/relationships" ref="Q1916" display="https://www.sebi.gov.in/sebi_data/attachdocs/1292329305053.pdf" r:id="rId4788"/>
    <hyperlink xmlns:r="http://schemas.openxmlformats.org/officeDocument/2006/relationships" ref="R1916" display="https://www.sebi.gov.in/filings/public-issues/nov-2006/megmani-organics-limited_10840.html" r:id="rId4789"/>
    <hyperlink xmlns:r="http://schemas.openxmlformats.org/officeDocument/2006/relationships" ref="Q1917" display="https://www.sebi.gov.in/sebi_data/attachdocs/1292329003133.pdf" r:id="rId4790"/>
    <hyperlink xmlns:r="http://schemas.openxmlformats.org/officeDocument/2006/relationships" ref="R1917" display="https://www.sebi.gov.in/filings/public-issues/nov-2006/house-of-pearl-fashions-limited_10839.html" r:id="rId4791"/>
    <hyperlink xmlns:r="http://schemas.openxmlformats.org/officeDocument/2006/relationships" ref="Q1918" display="https://www.sebi.gov.in/sebi_data/attachdocs/1292324489696.pdf" r:id="rId4792"/>
    <hyperlink xmlns:r="http://schemas.openxmlformats.org/officeDocument/2006/relationships" ref="R1918" display="https://www.sebi.gov.in/filings/public-issues/oct-2006/mudra-lifetyle-limited_10797.html" r:id="rId4793"/>
    <hyperlink xmlns:r="http://schemas.openxmlformats.org/officeDocument/2006/relationships" ref="Q1919" display="https://www.sebi.gov.in/sebi_data/attachdocs/1292324684257.pdf" r:id="rId4794"/>
    <hyperlink xmlns:r="http://schemas.openxmlformats.org/officeDocument/2006/relationships" ref="R1919" display="https://www.sebi.gov.in/filings/public-issues/oct-2006/raj-television-network-limited_10798.html" r:id="rId4795"/>
    <hyperlink xmlns:r="http://schemas.openxmlformats.org/officeDocument/2006/relationships" ref="Q1920" display="https://www.sebi.gov.in/sebi_data/attachdocs/1292324160473.pdf" r:id="rId4796"/>
    <hyperlink xmlns:r="http://schemas.openxmlformats.org/officeDocument/2006/relationships" ref="R1920" display="https://www.sebi.gov.in/filings/public-issues/oct-2006/vijayeswari-textiles-limited_10796.html" r:id="rId4797"/>
    <hyperlink xmlns:r="http://schemas.openxmlformats.org/officeDocument/2006/relationships" ref="AB1920" r:id="rId4798"/>
    <hyperlink xmlns:r="http://schemas.openxmlformats.org/officeDocument/2006/relationships" ref="Q1921" display="https://www.sebi.gov.in/sebi_data/attachdocs/1292323115043.pdf" r:id="rId4799"/>
    <hyperlink xmlns:r="http://schemas.openxmlformats.org/officeDocument/2006/relationships" ref="R1921" display="https://www.sebi.gov.in/filings/public-issues/oct-2006/cairn-india-limited_10788.html" r:id="rId4800"/>
    <hyperlink xmlns:r="http://schemas.openxmlformats.org/officeDocument/2006/relationships" ref="AB1921" r:id="rId4801"/>
    <hyperlink xmlns:r="http://schemas.openxmlformats.org/officeDocument/2006/relationships" ref="Q1922" display="https://www.sebi.gov.in/sebi_data/attachdocs/1292322784428.pdf" r:id="rId4802"/>
    <hyperlink xmlns:r="http://schemas.openxmlformats.org/officeDocument/2006/relationships" ref="R1922" display="https://www.sebi.gov.in/filings/public-issues/oct-2006/c-and-c-constructions-limited_10782.html" r:id="rId4803"/>
    <hyperlink xmlns:r="http://schemas.openxmlformats.org/officeDocument/2006/relationships" ref="Q1923" display="https://www.sebi.gov.in/sebi_data/attachdocs/1292322439150.pdf" r:id="rId4804"/>
    <hyperlink xmlns:r="http://schemas.openxmlformats.org/officeDocument/2006/relationships" ref="R1923" display="https://www.sebi.gov.in/filings/public-issues/oct-2006/advanta-india-limited_10778.html" r:id="rId4805"/>
    <hyperlink xmlns:r="http://schemas.openxmlformats.org/officeDocument/2006/relationships" ref="AB1923" r:id="rId4806"/>
    <hyperlink xmlns:r="http://schemas.openxmlformats.org/officeDocument/2006/relationships" ref="Q1924" display="https://www.sebi.gov.in/sebi_data/attachdocs/1294221653389.pdf" r:id="rId4807"/>
    <hyperlink xmlns:r="http://schemas.openxmlformats.org/officeDocument/2006/relationships" ref="R1924" display="https://www.sebi.gov.in/filings/public-issues/oct-2006/akruti-nirman-limited_14184.html" r:id="rId4808"/>
    <hyperlink xmlns:r="http://schemas.openxmlformats.org/officeDocument/2006/relationships" ref="Q1925" display="https://www.sebi.gov.in/sebi_data/attachdocs/1292322296658.pdf" r:id="rId4809"/>
    <hyperlink xmlns:r="http://schemas.openxmlformats.org/officeDocument/2006/relationships" ref="R1925" display="https://www.sebi.gov.in/filings/public-issues/oct-2006/asiatic-colour-chem-industries-limited_10777.html" r:id="rId4810"/>
    <hyperlink xmlns:r="http://schemas.openxmlformats.org/officeDocument/2006/relationships" ref="AB1925" r:id="rId4811"/>
    <hyperlink xmlns:r="http://schemas.openxmlformats.org/officeDocument/2006/relationships" ref="Q1926" display="https://www.sebi.gov.in/sebi_data/attachdocs/1292321782762.pdf" r:id="rId4812"/>
    <hyperlink xmlns:r="http://schemas.openxmlformats.org/officeDocument/2006/relationships" ref="R1926" display="https://www.sebi.gov.in/filings/public-issues/oct-2006/fortis-healthcare-limited_10769.html" r:id="rId4813"/>
    <hyperlink xmlns:r="http://schemas.openxmlformats.org/officeDocument/2006/relationships" ref="Q1927" display="https://www.sebi.gov.in/sebi_data/attachdocs/1292322201130.pdf" r:id="rId4814"/>
    <hyperlink xmlns:r="http://schemas.openxmlformats.org/officeDocument/2006/relationships" ref="R1927" display="https://www.sebi.gov.in/filings/public-issues/oct-2006/mbl-infrastructure-limited_10776.html" r:id="rId4815"/>
    <hyperlink xmlns:r="http://schemas.openxmlformats.org/officeDocument/2006/relationships" ref="AB1927" r:id="rId4816"/>
    <hyperlink xmlns:r="http://schemas.openxmlformats.org/officeDocument/2006/relationships" ref="Q1928" display="https://www.sebi.gov.in/sebi_data/attachdocs/1292321538540.pdf" r:id="rId4817"/>
    <hyperlink xmlns:r="http://schemas.openxmlformats.org/officeDocument/2006/relationships" ref="R1928" display="https://www.sebi.gov.in/filings/public-issues/oct-2006/essel-shyam-communication-limited_10761.html" r:id="rId4818"/>
    <hyperlink xmlns:r="http://schemas.openxmlformats.org/officeDocument/2006/relationships" ref="AB1928" r:id="rId4819"/>
    <hyperlink xmlns:r="http://schemas.openxmlformats.org/officeDocument/2006/relationships" ref="Q1929" display="https://www.sebi.gov.in/sebi_data/attachdocs/1292320898582.pdf" r:id="rId4820"/>
    <hyperlink xmlns:r="http://schemas.openxmlformats.org/officeDocument/2006/relationships" ref="R1929" display="https://www.sebi.gov.in/filings/public-issues/oct-2006/glory-polyfilms-limited_10745.html" r:id="rId4821"/>
    <hyperlink xmlns:r="http://schemas.openxmlformats.org/officeDocument/2006/relationships" ref="AB1929" r:id="rId4822"/>
    <hyperlink xmlns:r="http://schemas.openxmlformats.org/officeDocument/2006/relationships" ref="Q1930" display="https://www.sebi.gov.in/sebi_data/attachdocs/1292320760467.pdf" r:id="rId4823"/>
    <hyperlink xmlns:r="http://schemas.openxmlformats.org/officeDocument/2006/relationships" ref="R1930" display="https://www.sebi.gov.in/filings/public-issues/oct-2006/ind-synergy-limited_10740.html" r:id="rId4824"/>
    <hyperlink xmlns:r="http://schemas.openxmlformats.org/officeDocument/2006/relationships" ref="AB1930" r:id="rId4825"/>
    <hyperlink xmlns:r="http://schemas.openxmlformats.org/officeDocument/2006/relationships" ref="Q1931" display="https://www.sebi.gov.in/sebi_data/attachdocs/1292321402880.pdf" r:id="rId4826"/>
    <hyperlink xmlns:r="http://schemas.openxmlformats.org/officeDocument/2006/relationships" ref="R1931" display="https://www.sebi.gov.in/filings/public-issues/oct-2006/kirloskar-ferrous-industries-limited_10758.html" r:id="rId4827"/>
    <hyperlink xmlns:r="http://schemas.openxmlformats.org/officeDocument/2006/relationships" ref="AB1931" r:id="rId4828"/>
    <hyperlink xmlns:r="http://schemas.openxmlformats.org/officeDocument/2006/relationships" ref="Q1932" display="https://www.sebi.gov.in/sebi_data/attachdocs/1292321175133.pdf" r:id="rId4829"/>
    <hyperlink xmlns:r="http://schemas.openxmlformats.org/officeDocument/2006/relationships" ref="R1932" display="https://www.sebi.gov.in/filings/public-issues/oct-2006/omnitech-infosolutions-limited_10752.html" r:id="rId4830"/>
    <hyperlink xmlns:r="http://schemas.openxmlformats.org/officeDocument/2006/relationships" ref="AB1932" r:id="rId4831"/>
    <hyperlink xmlns:r="http://schemas.openxmlformats.org/officeDocument/2006/relationships" ref="Q1933" display="https://www.sebi.gov.in/sebi_data/attachdocs/1292319980323.pdf" r:id="rId4832"/>
    <hyperlink xmlns:r="http://schemas.openxmlformats.org/officeDocument/2006/relationships" ref="R1933" display="https://www.sebi.gov.in/filings/public-issues/oct-2006/accel-frontline-limited-notice_10719.html" r:id="rId4833"/>
    <hyperlink xmlns:r="http://schemas.openxmlformats.org/officeDocument/2006/relationships" ref="AB1933" r:id="rId4834"/>
    <hyperlink xmlns:r="http://schemas.openxmlformats.org/officeDocument/2006/relationships" ref="Q1934" display="https://www.sebi.gov.in/sebi_data/attachdocs/1292320525438.pdf" r:id="rId4835"/>
    <hyperlink xmlns:r="http://schemas.openxmlformats.org/officeDocument/2006/relationships" ref="R1934" display="https://www.sebi.gov.in/filings/public-issues/oct-2006/ankit-metal-and-power-limited_10734.html" r:id="rId4836"/>
    <hyperlink xmlns:r="http://schemas.openxmlformats.org/officeDocument/2006/relationships" ref="AB1934" r:id="rId4837"/>
    <hyperlink xmlns:r="http://schemas.openxmlformats.org/officeDocument/2006/relationships" ref="Q1935" display="https://www.sebi.gov.in/sebi_data/attachdocs/1292320126284.pdf" r:id="rId4838"/>
    <hyperlink xmlns:r="http://schemas.openxmlformats.org/officeDocument/2006/relationships" ref="R1935" display="https://www.sebi.gov.in/filings/public-issues/oct-2006/cinemax-india-limited_10722.html" r:id="rId4839"/>
    <hyperlink xmlns:r="http://schemas.openxmlformats.org/officeDocument/2006/relationships" ref="Q1936" display="https://www.sebi.gov.in/sebi_data/attachdocs/1292320242804.pdf" r:id="rId4840"/>
    <hyperlink xmlns:r="http://schemas.openxmlformats.org/officeDocument/2006/relationships" ref="R1936" display="https://www.sebi.gov.in/filings/public-issues/oct-2006/next-gen-publishing-limited_10724.html" r:id="rId4841"/>
    <hyperlink xmlns:r="http://schemas.openxmlformats.org/officeDocument/2006/relationships" ref="AB1936" r:id="rId4842"/>
    <hyperlink xmlns:r="http://schemas.openxmlformats.org/officeDocument/2006/relationships" ref="Q1937" display="https://www.sebi.gov.in/sebi_data/attachdocs/1292472717424.pdf" r:id="rId4843"/>
    <hyperlink xmlns:r="http://schemas.openxmlformats.org/officeDocument/2006/relationships" ref="R1937" display="https://www.sebi.gov.in/filings/public-issues/sep-2006/amd-metplast-limited_11130.html" r:id="rId4844"/>
    <hyperlink xmlns:r="http://schemas.openxmlformats.org/officeDocument/2006/relationships" ref="Q1938" display="https://www.sebi.gov.in/sebi_data/attachdocs/1294288535136.pdf" r:id="rId4845"/>
    <hyperlink xmlns:r="http://schemas.openxmlformats.org/officeDocument/2006/relationships" ref="R1938" display="https://www.sebi.gov.in/filings/public-issues/sep-2006/euro-ceramics-limited_11133.html" r:id="rId4846"/>
    <hyperlink xmlns:r="http://schemas.openxmlformats.org/officeDocument/2006/relationships" ref="AB1938" r:id="rId4847"/>
    <hyperlink xmlns:r="http://schemas.openxmlformats.org/officeDocument/2006/relationships" ref="Q1939" display="https://www.sebi.gov.in/sebi_data/attachdocs/1292471071769.pdf" r:id="rId4848"/>
    <hyperlink xmlns:r="http://schemas.openxmlformats.org/officeDocument/2006/relationships" ref="R1939" display="https://www.sebi.gov.in/filings/public-issues/sep-2006/vimal-oil-and-foods-limited_11129.html" r:id="rId4849"/>
    <hyperlink xmlns:r="http://schemas.openxmlformats.org/officeDocument/2006/relationships" ref="AB1939" r:id="rId4850"/>
    <hyperlink xmlns:r="http://schemas.openxmlformats.org/officeDocument/2006/relationships" ref="Q1940" display="https://www.sebi.gov.in/sebi_data/attachdocs/1292416094108.pdf" r:id="rId4851"/>
    <hyperlink xmlns:r="http://schemas.openxmlformats.org/officeDocument/2006/relationships" ref="R1940" display="https://www.sebi.gov.in/filings/public-issues/sep-2006/autoline-industries-limited_11128.html" r:id="rId4852"/>
    <hyperlink xmlns:r="http://schemas.openxmlformats.org/officeDocument/2006/relationships" ref="Q1941" display="https://www.sebi.gov.in/sebi_data/attachdocs/1292415983389.pdf" r:id="rId4853"/>
    <hyperlink xmlns:r="http://schemas.openxmlformats.org/officeDocument/2006/relationships" ref="R1941" display="https://www.sebi.gov.in/filings/public-issues/sep-2006/sms-pharmaceuticals-limited_11127.html" r:id="rId4854"/>
    <hyperlink xmlns:r="http://schemas.openxmlformats.org/officeDocument/2006/relationships" ref="Q1942" display="https://www.sebi.gov.in/sebi_data/attachdocs/1292415825649.pdf" r:id="rId4855"/>
    <hyperlink xmlns:r="http://schemas.openxmlformats.org/officeDocument/2006/relationships" ref="R1942" display="https://www.sebi.gov.in/filings/public-issues/sep-2006/hilton-metal-forging-limited_11125.html" r:id="rId4856"/>
    <hyperlink xmlns:r="http://schemas.openxmlformats.org/officeDocument/2006/relationships" ref="Q1943" display="https://www.sebi.gov.in/sebi_data/attachdocs/1292415901316.pdf" r:id="rId4857"/>
    <hyperlink xmlns:r="http://schemas.openxmlformats.org/officeDocument/2006/relationships" ref="R1943" display="https://www.sebi.gov.in/filings/public-issues/sep-2006/jagjanani-textile-limited_11126.html" r:id="rId4858"/>
    <hyperlink xmlns:r="http://schemas.openxmlformats.org/officeDocument/2006/relationships" ref="Q1944" display="https://www.sebi.gov.in/sebi_data/attachdocs/1292415711849.pdf" r:id="rId4859"/>
    <hyperlink xmlns:r="http://schemas.openxmlformats.org/officeDocument/2006/relationships" ref="R1944" display="https://www.sebi.gov.in/filings/public-issues/sep-2006/nissan-copper-limited_11124.html" r:id="rId4860"/>
    <hyperlink xmlns:r="http://schemas.openxmlformats.org/officeDocument/2006/relationships" ref="AB1944" r:id="rId4861"/>
    <hyperlink xmlns:r="http://schemas.openxmlformats.org/officeDocument/2006/relationships" ref="Q1945" display="https://www.sebi.gov.in/sebi_data/attachdocs/1292415604619.pdf" r:id="rId4862"/>
    <hyperlink xmlns:r="http://schemas.openxmlformats.org/officeDocument/2006/relationships" ref="R1945" display="https://www.sebi.gov.in/filings/public-issues/sep-2006/parsvnath-developers-limited_11123.html" r:id="rId4863"/>
    <hyperlink xmlns:r="http://schemas.openxmlformats.org/officeDocument/2006/relationships" ref="Q1946" display="https://www.sebi.gov.in/sebi_data/attachdocs/1292307509958.pdf" r:id="rId4864"/>
    <hyperlink xmlns:r="http://schemas.openxmlformats.org/officeDocument/2006/relationships" ref="R1946" display="https://www.sebi.gov.in/filings/public-issues/aug-2006/ess-dee-aluminium-limited_10545.html" r:id="rId4865"/>
    <hyperlink xmlns:r="http://schemas.openxmlformats.org/officeDocument/2006/relationships" ref="AB1946" r:id="rId4866"/>
    <hyperlink xmlns:r="http://schemas.openxmlformats.org/officeDocument/2006/relationships" ref="Q1947" display="https://www.sebi.gov.in/sebi_data/attachdocs/1292306485446.pdf" r:id="rId4867"/>
    <hyperlink xmlns:r="http://schemas.openxmlformats.org/officeDocument/2006/relationships" ref="R1947" display="https://www.sebi.gov.in/filings/public-issues/aug-2006/everonn-systems-india-limited_10523.html" r:id="rId4868"/>
    <hyperlink xmlns:r="http://schemas.openxmlformats.org/officeDocument/2006/relationships" ref="AB1947" r:id="rId4869"/>
    <hyperlink xmlns:r="http://schemas.openxmlformats.org/officeDocument/2006/relationships" ref="Q1948" display="https://www.sebi.gov.in/sebi_data/attachdocs/1292307240659.pdf" r:id="rId4870"/>
    <hyperlink xmlns:r="http://schemas.openxmlformats.org/officeDocument/2006/relationships" ref="R1948" display="https://www.sebi.gov.in/filings/public-issues/aug-2006/global-broadcast-news-limited_10537.html" r:id="rId4871"/>
    <hyperlink xmlns:r="http://schemas.openxmlformats.org/officeDocument/2006/relationships" ref="Q1949" display="https://www.sebi.gov.in/sebi_data/attachdocs/1292307092350.pdf" r:id="rId4872"/>
    <hyperlink xmlns:r="http://schemas.openxmlformats.org/officeDocument/2006/relationships" ref="R1949" display="https://www.sebi.gov.in/filings/public-issues/aug-2006/sarju-international-limited_10534.html" r:id="rId4873"/>
    <hyperlink xmlns:r="http://schemas.openxmlformats.org/officeDocument/2006/relationships" ref="Q1950" display="https://www.sebi.gov.in/sebi_data/attachdocs/1292306318004.pdf" r:id="rId4874"/>
    <hyperlink xmlns:r="http://schemas.openxmlformats.org/officeDocument/2006/relationships" ref="R1950" display="https://www.sebi.gov.in/filings/public-issues/aug-2006/orbit-corporation-limited_10520.html" r:id="rId4875"/>
    <hyperlink xmlns:r="http://schemas.openxmlformats.org/officeDocument/2006/relationships" ref="AB1950" r:id="rId4876"/>
    <hyperlink xmlns:r="http://schemas.openxmlformats.org/officeDocument/2006/relationships" ref="Q1951" display="https://www.sebi.gov.in/sebi_data/attachdocs/1292305618293.pdf" r:id="rId4877"/>
    <hyperlink xmlns:r="http://schemas.openxmlformats.org/officeDocument/2006/relationships" ref="R1951" display="https://www.sebi.gov.in/filings/public-issues/aug-2006/lumax-auto-technologies-limited_10511.html" r:id="rId4878"/>
    <hyperlink xmlns:r="http://schemas.openxmlformats.org/officeDocument/2006/relationships" ref="Q1952" display="https://www.sebi.gov.in/sebi_data/attachdocs/1292305454138.pdf" r:id="rId4879"/>
    <hyperlink xmlns:r="http://schemas.openxmlformats.org/officeDocument/2006/relationships" ref="R1952" display="https://www.sebi.gov.in/filings/public-issues/aug-2006/development-credit-bank-limited_10509.html" r:id="rId4880"/>
    <hyperlink xmlns:r="http://schemas.openxmlformats.org/officeDocument/2006/relationships" ref="Q1953" display="https://www.sebi.gov.in/sebi_data/attachdocs/1292305203329.pdf" r:id="rId4881"/>
    <hyperlink xmlns:r="http://schemas.openxmlformats.org/officeDocument/2006/relationships" ref="R1953" display="https://www.sebi.gov.in/filings/public-issues/aug-2006/icra-limited_10503.html" r:id="rId4882"/>
    <hyperlink xmlns:r="http://schemas.openxmlformats.org/officeDocument/2006/relationships" ref="Q1954" display="https://www.sebi.gov.in/sebi_data/attachdocs/1292304430321.pdf" r:id="rId4883"/>
    <hyperlink xmlns:r="http://schemas.openxmlformats.org/officeDocument/2006/relationships" ref="R1954" display="https://www.sebi.gov.in/filings/public-issues/aug-2006/lanco-infratech-limited_10484.html" r:id="rId4884"/>
    <hyperlink xmlns:r="http://schemas.openxmlformats.org/officeDocument/2006/relationships" ref="AB1954" r:id="rId4885"/>
    <hyperlink xmlns:r="http://schemas.openxmlformats.org/officeDocument/2006/relationships" ref="Q1955" display="https://www.sebi.gov.in/sebi_data/attachdocs/1292303873443.pdf" r:id="rId4886"/>
    <hyperlink xmlns:r="http://schemas.openxmlformats.org/officeDocument/2006/relationships" ref="R1955" display="https://www.sebi.gov.in/filings/public-issues/aug-2006/sobha-developers-limited_10472.html" r:id="rId4887"/>
    <hyperlink xmlns:r="http://schemas.openxmlformats.org/officeDocument/2006/relationships" ref="Q1956" display="https://www.sebi.gov.in/sebi_data/attachdocs/1292303392771.pdf" r:id="rId4888"/>
    <hyperlink xmlns:r="http://schemas.openxmlformats.org/officeDocument/2006/relationships" ref="R1956" display="https://www.sebi.gov.in/filings/public-issues/aug-2006/oriental-trimex-limited_10467.html" r:id="rId4889"/>
    <hyperlink xmlns:r="http://schemas.openxmlformats.org/officeDocument/2006/relationships" ref="Q1957" display="https://www.sebi.gov.in/sebi_data/attachdocs/1292302973053.pdf" r:id="rId4890"/>
    <hyperlink xmlns:r="http://schemas.openxmlformats.org/officeDocument/2006/relationships" ref="R1957" display="https://www.sebi.gov.in/filings/public-issues/aug-2006/pyramid-saimira-theatre-limited_10462.html" r:id="rId4891"/>
    <hyperlink xmlns:r="http://schemas.openxmlformats.org/officeDocument/2006/relationships" ref="AB1957" r:id="rId4892"/>
    <hyperlink xmlns:r="http://schemas.openxmlformats.org/officeDocument/2006/relationships" ref="Q1958" display="https://www.sebi.gov.in/sebi_data/attachdocs/1292299536769.pdf" r:id="rId4893"/>
    <hyperlink xmlns:r="http://schemas.openxmlformats.org/officeDocument/2006/relationships" ref="R1958" display="https://www.sebi.gov.in/filings/public-issues/jul-2006/icici-bank-limited_10410.html" r:id="rId4894"/>
    <hyperlink xmlns:r="http://schemas.openxmlformats.org/officeDocument/2006/relationships" ref="AB1958" r:id="rId4895"/>
    <hyperlink xmlns:r="http://schemas.openxmlformats.org/officeDocument/2006/relationships" ref="Q1959" display="https://www.sebi.gov.in/sebi_data/attachdocs/1292299428893.pdf" r:id="rId4896"/>
    <hyperlink xmlns:r="http://schemas.openxmlformats.org/officeDocument/2006/relationships" ref="R1959" display="https://www.sebi.gov.in/filings/public-issues/jul-2006/bhagwati-banquets-and-hotels-limited_10409.html" r:id="rId4897"/>
    <hyperlink xmlns:r="http://schemas.openxmlformats.org/officeDocument/2006/relationships" ref="Q1960" display="https://www.sebi.gov.in/sebi_data/attachdocs/1292298906787.pdf" r:id="rId4898"/>
    <hyperlink xmlns:r="http://schemas.openxmlformats.org/officeDocument/2006/relationships" ref="R1960" display="https://www.sebi.gov.in/filings/public-issues/jul-2006/synergies-castings-limited_10408.html" r:id="rId4899"/>
    <hyperlink xmlns:r="http://schemas.openxmlformats.org/officeDocument/2006/relationships" ref="AB1960" r:id="rId4900"/>
    <hyperlink xmlns:r="http://schemas.openxmlformats.org/officeDocument/2006/relationships" ref="Q1961" display="https://www.sebi.gov.in/sebi_data/attachdocs/1292298808582.pdf" r:id="rId4901"/>
    <hyperlink xmlns:r="http://schemas.openxmlformats.org/officeDocument/2006/relationships" ref="R1961" display="https://www.sebi.gov.in/filings/public-issues/jul-2006/saag-rr-infra-limited_10407.html" r:id="rId4902"/>
    <hyperlink xmlns:r="http://schemas.openxmlformats.org/officeDocument/2006/relationships" ref="AB1961" r:id="rId4903"/>
    <hyperlink xmlns:r="http://schemas.openxmlformats.org/officeDocument/2006/relationships" ref="Q1962" display="https://www.sebi.gov.in/sebi_data/attachdocs/1292298622523.pdf" r:id="rId4904"/>
    <hyperlink xmlns:r="http://schemas.openxmlformats.org/officeDocument/2006/relationships" ref="R1962" display="https://www.sebi.gov.in/filings/public-issues/jul-2006/ruchira-papers-limited_10405.html" r:id="rId4905"/>
    <hyperlink xmlns:r="http://schemas.openxmlformats.org/officeDocument/2006/relationships" ref="Q1963" display="https://www.sebi.gov.in/sebi_data/attachdocs/1292298750434.pdf" r:id="rId4906"/>
    <hyperlink xmlns:r="http://schemas.openxmlformats.org/officeDocument/2006/relationships" ref="R1963" display="https://www.sebi.gov.in/filings/public-issues/jul-2006/yogindera-worsted-limited_10406.html" r:id="rId4907"/>
    <hyperlink xmlns:r="http://schemas.openxmlformats.org/officeDocument/2006/relationships" ref="AB1963" r:id="rId4908"/>
    <hyperlink xmlns:r="http://schemas.openxmlformats.org/officeDocument/2006/relationships" ref="Q1964" display="https://www.sebi.gov.in/sebi_data/attachdocs/1292298440608.pdf" r:id="rId4909"/>
    <hyperlink xmlns:r="http://schemas.openxmlformats.org/officeDocument/2006/relationships" ref="R1964" display="https://www.sebi.gov.in/filings/public-issues/jul-2006/fiem-industries-limited_10404.html" r:id="rId4910"/>
    <hyperlink xmlns:r="http://schemas.openxmlformats.org/officeDocument/2006/relationships" ref="Q1965" display="https://www.sebi.gov.in/sebi_data/attachdocs/1292298181745.pdf" r:id="rId4911"/>
    <hyperlink xmlns:r="http://schemas.openxmlformats.org/officeDocument/2006/relationships" ref="R1965" display="https://www.sebi.gov.in/filings/public-issues/jul-2006/lt-overseas-limited_10403.html" r:id="rId4912"/>
    <hyperlink xmlns:r="http://schemas.openxmlformats.org/officeDocument/2006/relationships" ref="Q1966" display="https://www.sebi.gov.in/sebi_data/attachdocs/1292237987678.pdf" r:id="rId4913"/>
    <hyperlink xmlns:r="http://schemas.openxmlformats.org/officeDocument/2006/relationships" ref="R1966" display="https://www.sebi.gov.in/filings/public-issues/jun-2006/blue-bird-india-limited_10344.html" r:id="rId4914"/>
    <hyperlink xmlns:r="http://schemas.openxmlformats.org/officeDocument/2006/relationships" ref="AB1966" r:id="rId4915"/>
    <hyperlink xmlns:r="http://schemas.openxmlformats.org/officeDocument/2006/relationships" ref="Q1967" display="https://www.sebi.gov.in/sebi_data/attachdocs/1292237779970.pdf" r:id="rId4916"/>
    <hyperlink xmlns:r="http://schemas.openxmlformats.org/officeDocument/2006/relationships" ref="R1967" display="https://www.sebi.gov.in/filings/public-issues/jun-2006/celestial-labs-limited_10341.html" r:id="rId4917"/>
    <hyperlink xmlns:r="http://schemas.openxmlformats.org/officeDocument/2006/relationships" ref="AB1967" r:id="rId4918"/>
    <hyperlink xmlns:r="http://schemas.openxmlformats.org/officeDocument/2006/relationships" ref="Q1968" display="https://www.sebi.gov.in/sebi_data/attachdocs/1292227363464.pdf" r:id="rId4919"/>
    <hyperlink xmlns:r="http://schemas.openxmlformats.org/officeDocument/2006/relationships" ref="R1968" display="https://www.sebi.gov.in/filings/public-issues/jun-2006/pochiraju-industries-limited_10174.html" r:id="rId4920"/>
    <hyperlink xmlns:r="http://schemas.openxmlformats.org/officeDocument/2006/relationships" ref="AB1968" r:id="rId4921"/>
    <hyperlink xmlns:r="http://schemas.openxmlformats.org/officeDocument/2006/relationships" ref="Q1969" display="https://www.sebi.gov.in/sebi_data/attachdocs/1292226592418.pdf" r:id="rId4922"/>
    <hyperlink xmlns:r="http://schemas.openxmlformats.org/officeDocument/2006/relationships" ref="R1969" display="https://www.sebi.gov.in/filings/public-issues/jun-2006/tech-mahindra-limited_10173.html" r:id="rId4923"/>
    <hyperlink xmlns:r="http://schemas.openxmlformats.org/officeDocument/2006/relationships" ref="AB1969" r:id="rId4924"/>
    <hyperlink xmlns:r="http://schemas.openxmlformats.org/officeDocument/2006/relationships" ref="Q1970" display="https://www.sebi.gov.in/sebi_data/attachdocs/1292222618234.pdf" r:id="rId4925"/>
    <hyperlink xmlns:r="http://schemas.openxmlformats.org/officeDocument/2006/relationships" ref="R1970" display="https://www.sebi.gov.in/filings/public-issues/jun-2006/jas-toll-company-limited_10129.html" r:id="rId4926"/>
    <hyperlink xmlns:r="http://schemas.openxmlformats.org/officeDocument/2006/relationships" ref="AB1970" r:id="rId4927"/>
    <hyperlink xmlns:r="http://schemas.openxmlformats.org/officeDocument/2006/relationships" ref="Q1971" display="https://www.sebi.gov.in/sebi_data/attachdocs/1292222209587.pdf" r:id="rId4928"/>
    <hyperlink xmlns:r="http://schemas.openxmlformats.org/officeDocument/2006/relationships" ref="R1971" display="https://www.sebi.gov.in/filings/public-issues/jun-2006/gayatri-projects-limited_10122.html" r:id="rId4929"/>
    <hyperlink xmlns:r="http://schemas.openxmlformats.org/officeDocument/2006/relationships" ref="Q1972" display="https://www.sebi.gov.in/sebi_data/attachdocs/1292221604182.pdf" r:id="rId4930"/>
    <hyperlink xmlns:r="http://schemas.openxmlformats.org/officeDocument/2006/relationships" ref="R1972" display="https://www.sebi.gov.in/filings/public-issues/jun-2006/gulshan-sugars-and-chemicals-limited_10106.html" r:id="rId4931"/>
    <hyperlink xmlns:r="http://schemas.openxmlformats.org/officeDocument/2006/relationships" ref="Q1973" display="https://www.sebi.gov.in/sebi_data/attachdocs/1292221788841.pdf" r:id="rId4932"/>
    <hyperlink xmlns:r="http://schemas.openxmlformats.org/officeDocument/2006/relationships" ref="R1973" display="https://www.sebi.gov.in/filings/public-issues/jun-2006/transwarranty-finance-limited_10111.html" r:id="rId4933"/>
    <hyperlink xmlns:r="http://schemas.openxmlformats.org/officeDocument/2006/relationships" ref="Q1974" display="https://www.sebi.gov.in/sebi_data/attachdocs/1292221468907.pdf" r:id="rId4934"/>
    <hyperlink xmlns:r="http://schemas.openxmlformats.org/officeDocument/2006/relationships" ref="R1974" display="https://www.sebi.gov.in/filings/public-issues/jun-2006/mspl-limited_10103.html" r:id="rId4935"/>
    <hyperlink xmlns:r="http://schemas.openxmlformats.org/officeDocument/2006/relationships" ref="AB1974" r:id="rId4936"/>
    <hyperlink xmlns:r="http://schemas.openxmlformats.org/officeDocument/2006/relationships" ref="Q1975" display="https://www.sebi.gov.in/sebi_data/attachdocs/1292221214648.pdf" r:id="rId4937"/>
    <hyperlink xmlns:r="http://schemas.openxmlformats.org/officeDocument/2006/relationships" ref="R1975" display="https://www.sebi.gov.in/filings/public-issues/jun-2006/power-finance-corporation-limited_10099.html" r:id="rId4938"/>
    <hyperlink xmlns:r="http://schemas.openxmlformats.org/officeDocument/2006/relationships" ref="Q1976" display="https://www.sebi.gov.in/sebi_data/attachdocs/1292220805123.pdf" r:id="rId4939"/>
    <hyperlink xmlns:r="http://schemas.openxmlformats.org/officeDocument/2006/relationships" ref="R1976" display="https://www.sebi.gov.in/filings/public-issues/jun-2006/suryachakra-power-corporation-limited_10094.html" r:id="rId4940"/>
    <hyperlink xmlns:r="http://schemas.openxmlformats.org/officeDocument/2006/relationships" ref="AB1976" r:id="rId4941"/>
    <hyperlink xmlns:r="http://schemas.openxmlformats.org/officeDocument/2006/relationships" ref="Q1977" display="https://www.sebi.gov.in/sebi_data/attachdocs/1292218549422.pdf" r:id="rId4942"/>
    <hyperlink xmlns:r="http://schemas.openxmlformats.org/officeDocument/2006/relationships" ref="R1977" display="https://www.sebi.gov.in/filings/public-issues/jun-2006/abhishek-mills-limited_10057.html" r:id="rId4943"/>
    <hyperlink xmlns:r="http://schemas.openxmlformats.org/officeDocument/2006/relationships" ref="AB1977" r:id="rId4944"/>
    <hyperlink xmlns:r="http://schemas.openxmlformats.org/officeDocument/2006/relationships" ref="Q1978" display="https://www.sebi.gov.in/sebi_data/attachdocs/1292219185915.pdf" r:id="rId4945"/>
    <hyperlink xmlns:r="http://schemas.openxmlformats.org/officeDocument/2006/relationships" ref="R1978" display="https://www.sebi.gov.in/filings/public-issues/jun-2006/cambridge-technology-enterprises-limited_10069.html" r:id="rId4946"/>
    <hyperlink xmlns:r="http://schemas.openxmlformats.org/officeDocument/2006/relationships" ref="Q1979" display="https://www.sebi.gov.in/sebi_data/attachdocs/1292218213210.pdf" r:id="rId4947"/>
    <hyperlink xmlns:r="http://schemas.openxmlformats.org/officeDocument/2006/relationships" ref="R1979" display="https://www.sebi.gov.in/filings/public-issues/jun-2006/evinix-accessories-limited-pdf_10054.html" r:id="rId4948"/>
    <hyperlink xmlns:r="http://schemas.openxmlformats.org/officeDocument/2006/relationships" ref="AB1979" r:id="rId4949"/>
    <hyperlink xmlns:r="http://schemas.openxmlformats.org/officeDocument/2006/relationships" ref="Q1980" display="https://www.sebi.gov.in/sebi_data/attachdocs/1292218037337.pdf" r:id="rId4950"/>
    <hyperlink xmlns:r="http://schemas.openxmlformats.org/officeDocument/2006/relationships" ref="R1980" display="https://www.sebi.gov.in/filings/public-issues/jun-2006/ammana-bio-pharma-limited_10051.html" r:id="rId4951"/>
    <hyperlink xmlns:r="http://schemas.openxmlformats.org/officeDocument/2006/relationships" ref="AB1980" r:id="rId4952"/>
    <hyperlink xmlns:r="http://schemas.openxmlformats.org/officeDocument/2006/relationships" ref="Q1981" display="https://www.sebi.gov.in/sebi_data/attachdocs/1292211165378.pdf" r:id="rId4953"/>
    <hyperlink xmlns:r="http://schemas.openxmlformats.org/officeDocument/2006/relationships" ref="R1981" display="https://www.sebi.gov.in/filings/public-issues/may-2006/info-edge-india-limited_10000.html" r:id="rId4954"/>
    <hyperlink xmlns:r="http://schemas.openxmlformats.org/officeDocument/2006/relationships" ref="Q1982" display="https://www.sebi.gov.in/sebi_data/attachdocs/1292211061471.pdf" r:id="rId4955"/>
    <hyperlink xmlns:r="http://schemas.openxmlformats.org/officeDocument/2006/relationships" ref="R1982" display="https://www.sebi.gov.in/filings/public-issues/may-2006/broadcast-initiatives-limited_9999.html" r:id="rId4956"/>
    <hyperlink xmlns:r="http://schemas.openxmlformats.org/officeDocument/2006/relationships" ref="AB1982" r:id="rId4957"/>
    <hyperlink xmlns:r="http://schemas.openxmlformats.org/officeDocument/2006/relationships" ref="Q1983" display="https://www.sebi.gov.in/sebi_data/attachdocs/1292210825039.pdf" r:id="rId4958"/>
    <hyperlink xmlns:r="http://schemas.openxmlformats.org/officeDocument/2006/relationships" ref="R1983" display="https://www.sebi.gov.in/filings/public-issues/may-2006/ahluwalia-contracts-india-limited_9998.html" r:id="rId4959"/>
    <hyperlink xmlns:r="http://schemas.openxmlformats.org/officeDocument/2006/relationships" ref="AB1983" r:id="rId4960"/>
    <hyperlink xmlns:r="http://schemas.openxmlformats.org/officeDocument/2006/relationships" ref="Q1984" display="https://www.sebi.gov.in/sebi_data/attachdocs/1292210631649.pdf" r:id="rId4961"/>
    <hyperlink xmlns:r="http://schemas.openxmlformats.org/officeDocument/2006/relationships" ref="R1984" display="https://www.sebi.gov.in/filings/public-issues/may-2006/global-vectra-helicorp-limited_9997.html" r:id="rId4962"/>
    <hyperlink xmlns:r="http://schemas.openxmlformats.org/officeDocument/2006/relationships" ref="Q1985" display="https://www.sebi.gov.in/sebi_data/attachdocs/1292210558656.pdf" r:id="rId4963"/>
    <hyperlink xmlns:r="http://schemas.openxmlformats.org/officeDocument/2006/relationships" ref="R1985" display="https://www.sebi.gov.in/filings/public-issues/may-2006/tubeknit-fashions-limited_9996.html" r:id="rId4964"/>
    <hyperlink xmlns:r="http://schemas.openxmlformats.org/officeDocument/2006/relationships" ref="AB1985" r:id="rId4965"/>
    <hyperlink xmlns:r="http://schemas.openxmlformats.org/officeDocument/2006/relationships" ref="Q1986" display="https://www.sebi.gov.in/sebi_data/attachdocs/1292210488890.pdf" r:id="rId4966"/>
    <hyperlink xmlns:r="http://schemas.openxmlformats.org/officeDocument/2006/relationships" ref="R1986" display="https://www.sebi.gov.in/filings/public-issues/may-2006/indo-asia-leisure-services-limited_9995.html" r:id="rId4967"/>
    <hyperlink xmlns:r="http://schemas.openxmlformats.org/officeDocument/2006/relationships" ref="AB1986" r:id="rId4968"/>
    <hyperlink xmlns:r="http://schemas.openxmlformats.org/officeDocument/2006/relationships" ref="Q1987" display="https://www.sebi.gov.in/sebi_data/attachdocs/1292210291709.pdf" r:id="rId4969"/>
    <hyperlink xmlns:r="http://schemas.openxmlformats.org/officeDocument/2006/relationships" ref="R1987" display="https://www.sebi.gov.in/filings/public-issues/may-2006/miniar-international-limited_9994.html" r:id="rId4970"/>
    <hyperlink xmlns:r="http://schemas.openxmlformats.org/officeDocument/2006/relationships" ref="AB1987" r:id="rId4971"/>
    <hyperlink xmlns:r="http://schemas.openxmlformats.org/officeDocument/2006/relationships" ref="Q1988" display="https://www.sebi.gov.in/sebi_data/attachdocs/1292067710662.pdf" r:id="rId4972"/>
    <hyperlink xmlns:r="http://schemas.openxmlformats.org/officeDocument/2006/relationships" ref="R1988" display="https://www.sebi.gov.in/filings/public-issues/may-2006/dlf-universal-limited_9993.html" r:id="rId4973"/>
    <hyperlink xmlns:r="http://schemas.openxmlformats.org/officeDocument/2006/relationships" ref="AB1988" r:id="rId4974"/>
    <hyperlink xmlns:r="http://schemas.openxmlformats.org/officeDocument/2006/relationships" ref="Q1989" display="https://www.sebi.gov.in/sebi_data/attachdocs/1292067193511.pdf" r:id="rId4975"/>
    <hyperlink xmlns:r="http://schemas.openxmlformats.org/officeDocument/2006/relationships" ref="R1989" display="https://www.sebi.gov.in/filings/public-issues/may-2006/aviva-industries-limited_9990.html" r:id="rId4976"/>
    <hyperlink xmlns:r="http://schemas.openxmlformats.org/officeDocument/2006/relationships" ref="AB1989" r:id="rId4977"/>
    <hyperlink xmlns:r="http://schemas.openxmlformats.org/officeDocument/2006/relationships" ref="Q1990" display="https://www.sebi.gov.in/sebi_data/attachdocs/1292067272510.pdf" r:id="rId4978"/>
    <hyperlink xmlns:r="http://schemas.openxmlformats.org/officeDocument/2006/relationships" ref="R1990" display="https://www.sebi.gov.in/filings/public-issues/may-2006/xl-telecom-limited_9991.html" r:id="rId4979"/>
    <hyperlink xmlns:r="http://schemas.openxmlformats.org/officeDocument/2006/relationships" ref="Q1991" display="https://www.sebi.gov.in/sebi_data/attachdocs/1292067560603.pdf" r:id="rId4980"/>
    <hyperlink xmlns:r="http://schemas.openxmlformats.org/officeDocument/2006/relationships" ref="R1991" display="https://www.sebi.gov.in/filings/public-issues/may-2006/zenith-birla-india-limited_9992.html" r:id="rId4981"/>
    <hyperlink xmlns:r="http://schemas.openxmlformats.org/officeDocument/2006/relationships" ref="Q1992" display="https://www.sebi.gov.in/sebi_data/attachdocs/1292066877621.pdf" r:id="rId4982"/>
    <hyperlink xmlns:r="http://schemas.openxmlformats.org/officeDocument/2006/relationships" ref="R1992" display="https://www.sebi.gov.in/filings/public-issues/may-2006/malwa-industries-limited_9989.html" r:id="rId4983"/>
    <hyperlink xmlns:r="http://schemas.openxmlformats.org/officeDocument/2006/relationships" ref="AB1992" r:id="rId4984"/>
    <hyperlink xmlns:r="http://schemas.openxmlformats.org/officeDocument/2006/relationships" ref="Q1993" display="https://www.sebi.gov.in/sebi_data/attachdocs/1292066709122.pdf" r:id="rId4985"/>
    <hyperlink xmlns:r="http://schemas.openxmlformats.org/officeDocument/2006/relationships" ref="R1993" display="https://www.sebi.gov.in/filings/public-issues/may-2006/shree-ashtavinayak-cine-vision-limited_9988.html" r:id="rId4986"/>
    <hyperlink xmlns:r="http://schemas.openxmlformats.org/officeDocument/2006/relationships" ref="AB1993" r:id="rId4987"/>
    <hyperlink xmlns:r="http://schemas.openxmlformats.org/officeDocument/2006/relationships" ref="Q1994" display="https://www.sebi.gov.in/sebi_data/attachdocs/1292063676433.pdf" r:id="rId4988"/>
    <hyperlink xmlns:r="http://schemas.openxmlformats.org/officeDocument/2006/relationships" ref="R1994" display="https://www.sebi.gov.in/filings/public-issues/may-2006/accel-frontline-limited_9986.html" r:id="rId4989"/>
    <hyperlink xmlns:r="http://schemas.openxmlformats.org/officeDocument/2006/relationships" ref="Q1995" display="https://www.sebi.gov.in/sebi_data/attachdocs/1292065827354.pdf" r:id="rId4990"/>
    <hyperlink xmlns:r="http://schemas.openxmlformats.org/officeDocument/2006/relationships" ref="R1995" display="https://www.sebi.gov.in/filings/public-issues/may-2006/gmr-infrastructure-limited-pdf_9987.html" r:id="rId4991"/>
    <hyperlink xmlns:r="http://schemas.openxmlformats.org/officeDocument/2006/relationships" ref="AB1995" r:id="rId4992"/>
    <hyperlink xmlns:r="http://schemas.openxmlformats.org/officeDocument/2006/relationships" ref="Q1996" display="https://www.sebi.gov.in/sebi_data/attachdocs/1292063457439.pdf" r:id="rId4993"/>
    <hyperlink xmlns:r="http://schemas.openxmlformats.org/officeDocument/2006/relationships" ref="R1996" display="https://www.sebi.gov.in/filings/public-issues/may-2006/reliance-petroleum-limited-notice-to-investors_9984.html" r:id="rId4994"/>
    <hyperlink xmlns:r="http://schemas.openxmlformats.org/officeDocument/2006/relationships" ref="AB1996" r:id="rId4995"/>
    <hyperlink xmlns:r="http://schemas.openxmlformats.org/officeDocument/2006/relationships" ref="Q1997" display="https://www.sebi.gov.in/sebi_data/attachdocs/1292063574833.pdf" r:id="rId4996"/>
    <hyperlink xmlns:r="http://schemas.openxmlformats.org/officeDocument/2006/relationships" ref="R1997" display="https://www.sebi.gov.in/filings/public-issues/may-2006/renaissance-jewellery-limited-pdf_9985.html" r:id="rId4997"/>
    <hyperlink xmlns:r="http://schemas.openxmlformats.org/officeDocument/2006/relationships" ref="Q1998" display="https://www.sebi.gov.in/sebi_data/attachdocs/1292302495320.pdf" r:id="rId4998"/>
    <hyperlink xmlns:r="http://schemas.openxmlformats.org/officeDocument/2006/relationships" ref="R1998" display="https://www.sebi.gov.in/filings/public-issues/apr-2006/svp-industries-limited_10448.html" r:id="rId4999"/>
    <hyperlink xmlns:r="http://schemas.openxmlformats.org/officeDocument/2006/relationships" ref="AB1998" r:id="rId5000"/>
    <hyperlink xmlns:r="http://schemas.openxmlformats.org/officeDocument/2006/relationships" ref="Q1999" display="https://www.sebi.gov.in/sebi_data/attachdocs/1292302139398.pdf" r:id="rId5001"/>
    <hyperlink xmlns:r="http://schemas.openxmlformats.org/officeDocument/2006/relationships" ref="R1999" display="https://www.sebi.gov.in/filings/public-issues/apr-2006/reliance-petroleum-limited-notice-to-investors_10442.html" r:id="rId5002"/>
    <hyperlink xmlns:r="http://schemas.openxmlformats.org/officeDocument/2006/relationships" ref="AB1999" r:id="rId5003"/>
    <hyperlink xmlns:r="http://schemas.openxmlformats.org/officeDocument/2006/relationships" ref="Q2000" display="https://www.sebi.gov.in/sebi_data/attachdocs/1292317442412.pdf" r:id="rId5004"/>
    <hyperlink xmlns:r="http://schemas.openxmlformats.org/officeDocument/2006/relationships" ref="R2000" display="https://www.sebi.gov.in/filings/public-issues/apr-2006/parsvnath-development-limited_10671.html" r:id="rId5005"/>
    <hyperlink xmlns:r="http://schemas.openxmlformats.org/officeDocument/2006/relationships" ref="AB2000" r:id="rId5006"/>
    <hyperlink xmlns:r="http://schemas.openxmlformats.org/officeDocument/2006/relationships" ref="Q2001" display="https://www.sebi.gov.in/sebi_data/attachdocs/1292302025873.pdf" r:id="rId5007"/>
    <hyperlink xmlns:r="http://schemas.openxmlformats.org/officeDocument/2006/relationships" ref="R2001" display="https://www.sebi.gov.in/filings/public-issues/apr-2006/voltamp-transformers-limited-pdf_10440.html" r:id="rId5008"/>
    <hyperlink xmlns:r="http://schemas.openxmlformats.org/officeDocument/2006/relationships" ref="Q2002" display="https://www.sebi.gov.in/sebi_data/attachdocs/1292301191922.pdf" r:id="rId5009"/>
    <hyperlink xmlns:r="http://schemas.openxmlformats.org/officeDocument/2006/relationships" ref="R2002" display="https://www.sebi.gov.in/filings/public-issues/apr-2006/chemcel-bio-tech-limited_10430.html" r:id="rId5010"/>
    <hyperlink xmlns:r="http://schemas.openxmlformats.org/officeDocument/2006/relationships" ref="AB2002" r:id="rId5011"/>
    <hyperlink xmlns:r="http://schemas.openxmlformats.org/officeDocument/2006/relationships" ref="Q2003" display="https://www.sebi.gov.in/sebi_data/attachdocs/1292300756949.pdf" r:id="rId5012"/>
    <hyperlink xmlns:r="http://schemas.openxmlformats.org/officeDocument/2006/relationships" ref="R2003" display="https://www.sebi.gov.in/filings/public-issues/apr-2006/hov-services-limited-pdf_10423.html" r:id="rId5013"/>
    <hyperlink xmlns:r="http://schemas.openxmlformats.org/officeDocument/2006/relationships" ref="Q2004" display="https://www.sebi.gov.in/sebi_data/attachdocs/1292300352764.pdf" r:id="rId5014"/>
    <hyperlink xmlns:r="http://schemas.openxmlformats.org/officeDocument/2006/relationships" ref="R2004" display="https://www.sebi.gov.in/filings/public-issues/apr-2006/odyssey-india-limited_10419.html" r:id="rId5015"/>
    <hyperlink xmlns:r="http://schemas.openxmlformats.org/officeDocument/2006/relationships" ref="AB2004" r:id="rId5016"/>
    <hyperlink xmlns:r="http://schemas.openxmlformats.org/officeDocument/2006/relationships" ref="Q2005" display="https://www.sebi.gov.in/sebi_data/attachdocs/1292300175424.pdf" r:id="rId5017"/>
    <hyperlink xmlns:r="http://schemas.openxmlformats.org/officeDocument/2006/relationships" ref="R2005" display="https://www.sebi.gov.in/filings/public-issues/apr-2006/chemcel-bio-tech-ltd_10418.html" r:id="rId5018"/>
    <hyperlink xmlns:r="http://schemas.openxmlformats.org/officeDocument/2006/relationships" ref="AB2005" r:id="rId5019"/>
    <hyperlink xmlns:r="http://schemas.openxmlformats.org/officeDocument/2006/relationships" ref="Q2006" display="https://www.sebi.gov.in/sebi_data/attachdocs/1292300053647.pdf" r:id="rId5020"/>
    <hyperlink xmlns:r="http://schemas.openxmlformats.org/officeDocument/2006/relationships" ref="R2006" display="https://www.sebi.gov.in/filings/public-issues/apr-2006/aml-steel-limited_10417.html" r:id="rId5021"/>
    <hyperlink xmlns:r="http://schemas.openxmlformats.org/officeDocument/2006/relationships" ref="AB2006" r:id="rId5022"/>
    <hyperlink xmlns:r="http://schemas.openxmlformats.org/officeDocument/2006/relationships" ref="Q2007" display="https://www.sebi.gov.in/sebi_data/attachdocs/1292299686896.pdf" r:id="rId5023"/>
    <hyperlink xmlns:r="http://schemas.openxmlformats.org/officeDocument/2006/relationships" ref="R2007" display="https://www.sebi.gov.in/filings/public-issues/apr-2006/gayatri-projects-limited-pdf_10413.html" r:id="rId5024"/>
    <hyperlink xmlns:r="http://schemas.openxmlformats.org/officeDocument/2006/relationships" ref="Q2008" display="https://www.sebi.gov.in/sebi_data/attachdocs/1292299578790.pdf" r:id="rId5025"/>
    <hyperlink xmlns:r="http://schemas.openxmlformats.org/officeDocument/2006/relationships" ref="R2008" display="https://www.sebi.gov.in/filings/public-issues/apr-2006/action-construction-equipments-limited_10411.html" r:id="rId5026"/>
    <hyperlink xmlns:r="http://schemas.openxmlformats.org/officeDocument/2006/relationships" ref="Q2009" display="https://www.sebi.gov.in/sebi_data/attachdocs/1292319939683.pdf" r:id="rId5027"/>
    <hyperlink xmlns:r="http://schemas.openxmlformats.org/officeDocument/2006/relationships" ref="R2009" display="https://www.sebi.gov.in/filings/public-issues/mar-2006/gammon-infrastructure-projects-limited_10717.html" r:id="rId5028"/>
    <hyperlink xmlns:r="http://schemas.openxmlformats.org/officeDocument/2006/relationships" ref="Q2010" display="https://www.sebi.gov.in/sebi_data/attachdocs/1292319845532.pdf" r:id="rId5029"/>
    <hyperlink xmlns:r="http://schemas.openxmlformats.org/officeDocument/2006/relationships" ref="R2010" display="https://www.sebi.gov.in/filings/public-issues/mar-2006/unity-infraprojects-ltd_10714.html" r:id="rId5030"/>
    <hyperlink xmlns:r="http://schemas.openxmlformats.org/officeDocument/2006/relationships" ref="AB2010" r:id="rId5031"/>
    <hyperlink xmlns:r="http://schemas.openxmlformats.org/officeDocument/2006/relationships" ref="Q2011" display="https://www.sebi.gov.in/sebi_data/attachdocs/1292319720675.pdf" r:id="rId5032"/>
    <hyperlink xmlns:r="http://schemas.openxmlformats.org/officeDocument/2006/relationships" ref="R2011" display="https://www.sebi.gov.in/filings/public-issues/mar-2006/allcargo-global-logistics-limited_10713.html" r:id="rId5033"/>
    <hyperlink xmlns:r="http://schemas.openxmlformats.org/officeDocument/2006/relationships" ref="AB2011" r:id="rId5034"/>
    <hyperlink xmlns:r="http://schemas.openxmlformats.org/officeDocument/2006/relationships" ref="Q2012" display="https://www.sebi.gov.in/sebi_data/attachdocs/1292319629451.pdf" r:id="rId5035"/>
    <hyperlink xmlns:r="http://schemas.openxmlformats.org/officeDocument/2006/relationships" ref="R2012" display="https://www.sebi.gov.in/filings/public-issues/mar-2006/bharat-hotels-limited-pdf_10712.html" r:id="rId5036"/>
    <hyperlink xmlns:r="http://schemas.openxmlformats.org/officeDocument/2006/relationships" ref="AB2012" r:id="rId5037"/>
    <hyperlink xmlns:r="http://schemas.openxmlformats.org/officeDocument/2006/relationships" ref="Q2013" display="https://www.sebi.gov.in/sebi_data/attachdocs/1292319322885.pdf" r:id="rId5038"/>
    <hyperlink xmlns:r="http://schemas.openxmlformats.org/officeDocument/2006/relationships" ref="R2013" display="https://www.sebi.gov.in/filings/public-issues/mar-2006/industrial-organics-limited-pdf_10706.html" r:id="rId5039"/>
    <hyperlink xmlns:r="http://schemas.openxmlformats.org/officeDocument/2006/relationships" ref="AB2013" r:id="rId5040"/>
    <hyperlink xmlns:r="http://schemas.openxmlformats.org/officeDocument/2006/relationships" ref="Q2014" display="https://www.sebi.gov.in/sebi_data/attachdocs/1292319020478.pdf" r:id="rId5041"/>
    <hyperlink xmlns:r="http://schemas.openxmlformats.org/officeDocument/2006/relationships" ref="R2014" display="https://www.sebi.gov.in/filings/public-issues/mar-2006/jhs-svendgaard-laboratories-limited-pdf_10701.html" r:id="rId5042"/>
    <hyperlink xmlns:r="http://schemas.openxmlformats.org/officeDocument/2006/relationships" ref="Q2015" display="https://www.sebi.gov.in/sebi_data/attachdocs/1292318913217.pdf" r:id="rId5043"/>
    <hyperlink xmlns:r="http://schemas.openxmlformats.org/officeDocument/2006/relationships" ref="R2015" display="https://www.sebi.gov.in/filings/public-issues/mar-2006/parabolic-drugs-ltd_10697.html" r:id="rId5044"/>
    <hyperlink xmlns:r="http://schemas.openxmlformats.org/officeDocument/2006/relationships" ref="AB2015" r:id="rId5045"/>
    <hyperlink xmlns:r="http://schemas.openxmlformats.org/officeDocument/2006/relationships" ref="Q2016" display="https://www.sebi.gov.in/sebi_data/attachdocs/1292319518948.pdf" r:id="rId5046"/>
    <hyperlink xmlns:r="http://schemas.openxmlformats.org/officeDocument/2006/relationships" ref="R2016" display="https://www.sebi.gov.in/filings/public-issues/mar-2006/richa-knits-limited-pdf_10710.html" r:id="rId5047"/>
    <hyperlink xmlns:r="http://schemas.openxmlformats.org/officeDocument/2006/relationships" ref="Q2017" display="https://www.sebi.gov.in/sebi_data/attachdocs/1292318779779.pdf" r:id="rId5048"/>
    <hyperlink xmlns:r="http://schemas.openxmlformats.org/officeDocument/2006/relationships" ref="R2017" display="https://www.sebi.gov.in/filings/public-issues/mar-2006/atlanta-limited_10693.html" r:id="rId5049"/>
    <hyperlink xmlns:r="http://schemas.openxmlformats.org/officeDocument/2006/relationships" ref="Q2018" display="https://www.sebi.gov.in/sebi_data/attachdocs/1292318466291.pdf" r:id="rId5050"/>
    <hyperlink xmlns:r="http://schemas.openxmlformats.org/officeDocument/2006/relationships" ref="R2018" display="https://www.sebi.gov.in/filings/public-issues/mar-2006/gwalior-chemical-industries-limited-pdf_10687.html" r:id="rId5051"/>
    <hyperlink xmlns:r="http://schemas.openxmlformats.org/officeDocument/2006/relationships" ref="Q2019" display="https://www.sebi.gov.in/sebi_data/attachdocs/1292318308796.pdf" r:id="rId5052"/>
    <hyperlink xmlns:r="http://schemas.openxmlformats.org/officeDocument/2006/relationships" ref="R2019" display="https://www.sebi.gov.in/filings/public-issues/mar-2006/patel-engineering-limited_10684.html" r:id="rId5053"/>
    <hyperlink xmlns:r="http://schemas.openxmlformats.org/officeDocument/2006/relationships" ref="AB2019" r:id="rId5054"/>
    <hyperlink xmlns:r="http://schemas.openxmlformats.org/officeDocument/2006/relationships" ref="Q2020" display="https://www.sebi.gov.in/sebi_data/attachdocs/1292317865612.pdf" r:id="rId5055"/>
    <hyperlink xmlns:r="http://schemas.openxmlformats.org/officeDocument/2006/relationships" ref="R2020" display="https://www.sebi.gov.in/filings/public-issues/mar-2006/technocraft-industries-india-limited-pdf_10677.html" r:id="rId5056"/>
    <hyperlink xmlns:r="http://schemas.openxmlformats.org/officeDocument/2006/relationships" ref="Q2021" display="https://www.sebi.gov.in/sebi_data/attachdocs/1294372662225.pdf" r:id="rId5057"/>
    <hyperlink xmlns:r="http://schemas.openxmlformats.org/officeDocument/2006/relationships" ref="R2021" display="https://www.sebi.gov.in/filings/public-issues/mar-2006/hanung-toys-and-textiles-limited_14198.html" r:id="rId5058"/>
    <hyperlink xmlns:r="http://schemas.openxmlformats.org/officeDocument/2006/relationships" ref="AB2021" r:id="rId5059"/>
    <hyperlink xmlns:r="http://schemas.openxmlformats.org/officeDocument/2006/relationships" ref="Q2022" display="https://www.sebi.gov.in/sebi_data/attachdocs/1292316257308.pdf" r:id="rId5060"/>
    <hyperlink xmlns:r="http://schemas.openxmlformats.org/officeDocument/2006/relationships" ref="R2022" display="https://www.sebi.gov.in/filings/public-issues/mar-2006/jhs-svendgaard-laboratories-ltd_10640.html" r:id="rId5061"/>
    <hyperlink xmlns:r="http://schemas.openxmlformats.org/officeDocument/2006/relationships" ref="Q2023" display="https://www.sebi.gov.in/sebi_data/attachdocs/1292316725665.pdf" r:id="rId5062"/>
    <hyperlink xmlns:r="http://schemas.openxmlformats.org/officeDocument/2006/relationships" ref="R2023" display="https://www.sebi.gov.in/filings/public-issues/mar-2006/multi-commodity-exchange-of-india-ltd_10649.html" r:id="rId5063"/>
    <hyperlink xmlns:r="http://schemas.openxmlformats.org/officeDocument/2006/relationships" ref="AB2023" r:id="rId5064"/>
    <hyperlink xmlns:r="http://schemas.openxmlformats.org/officeDocument/2006/relationships" ref="Q2024" display="https://www.sebi.gov.in/sebi_data/attachdocs/1294374256880.pdf" r:id="rId5065"/>
    <hyperlink xmlns:r="http://schemas.openxmlformats.org/officeDocument/2006/relationships" ref="R2024" display="https://www.sebi.gov.in/filings/public-issues/mar-2006/deep-industries-limited_14199.html" r:id="rId5066"/>
    <hyperlink xmlns:r="http://schemas.openxmlformats.org/officeDocument/2006/relationships" ref="Q2025" display="https://www.sebi.gov.in/sebi_data/attachdocs/1292316090294.pdf" r:id="rId5067"/>
    <hyperlink xmlns:r="http://schemas.openxmlformats.org/officeDocument/2006/relationships" ref="R2025" display="https://www.sebi.gov.in/filings/public-issues/mar-2006/changes-in-drhp_10637.html" r:id="rId5068"/>
    <hyperlink xmlns:r="http://schemas.openxmlformats.org/officeDocument/2006/relationships" ref="Q2026" display="https://www.sebi.gov.in/sebi_data/attachdocs/1292315967431.pdf" r:id="rId5069"/>
    <hyperlink xmlns:r="http://schemas.openxmlformats.org/officeDocument/2006/relationships" ref="R2026" display="https://www.sebi.gov.in/filings/public-issues/mar-2006/reliance-petroleum-limited-pdf_10632.html" r:id="rId5070"/>
    <hyperlink xmlns:r="http://schemas.openxmlformats.org/officeDocument/2006/relationships" ref="AB2026" r:id="rId5071"/>
    <hyperlink xmlns:r="http://schemas.openxmlformats.org/officeDocument/2006/relationships" ref="Q2027" display="https://www.sebi.gov.in/sebi_data/attachdocs/1292315792208.pdf" r:id="rId5072"/>
    <hyperlink xmlns:r="http://schemas.openxmlformats.org/officeDocument/2006/relationships" ref="R2027" display="https://www.sebi.gov.in/filings/public-issues/mar-2006/saamya-biotech-india-limited-pdf_10629.html" r:id="rId5073"/>
    <hyperlink xmlns:r="http://schemas.openxmlformats.org/officeDocument/2006/relationships" ref="AB2027" r:id="rId5074"/>
    <hyperlink xmlns:r="http://schemas.openxmlformats.org/officeDocument/2006/relationships" ref="Q2028" display="https://www.sebi.gov.in/sebi_data/attachdocs/1292315667460.pdf" r:id="rId5075"/>
    <hyperlink xmlns:r="http://schemas.openxmlformats.org/officeDocument/2006/relationships" ref="R2028" display="https://www.sebi.gov.in/filings/public-issues/mar-2006/usher-agro-limited-pdf_10626.html" r:id="rId5076"/>
    <hyperlink xmlns:r="http://schemas.openxmlformats.org/officeDocument/2006/relationships" ref="AB2028" r:id="rId5077"/>
    <hyperlink xmlns:r="http://schemas.openxmlformats.org/officeDocument/2006/relationships" ref="Q2029" display="https://www.sebi.gov.in/sebi_data/attachdocs/1292314085224.pdf" r:id="rId5078"/>
    <hyperlink xmlns:r="http://schemas.openxmlformats.org/officeDocument/2006/relationships" ref="R2029" display="https://www.sebi.gov.in/filings/public-issues/mar-2006/odyssey-india-limited-pdf_10613.html" r:id="rId5079"/>
    <hyperlink xmlns:r="http://schemas.openxmlformats.org/officeDocument/2006/relationships" ref="AB2029" r:id="rId5080"/>
    <hyperlink xmlns:r="http://schemas.openxmlformats.org/officeDocument/2006/relationships" ref="Q2030" display="https://www.sebi.gov.in/sebi_data/attachdocs/1292389241839.pdf" r:id="rId5081"/>
    <hyperlink xmlns:r="http://schemas.openxmlformats.org/officeDocument/2006/relationships" ref="R2030" display="https://www.sebi.gov.in/filings/public-issues/feb-2006/glory-polyfilms-limited_10878.html" r:id="rId5082"/>
    <hyperlink xmlns:r="http://schemas.openxmlformats.org/officeDocument/2006/relationships" ref="AB2030" r:id="rId5083"/>
    <hyperlink xmlns:r="http://schemas.openxmlformats.org/officeDocument/2006/relationships" ref="Q2031" display="https://www.sebi.gov.in/sebi_data/attachdocs/1294375817212.pdf" r:id="rId5084"/>
    <hyperlink xmlns:r="http://schemas.openxmlformats.org/officeDocument/2006/relationships" ref="R2031" display="https://www.sebi.gov.in/filings/public-issues/feb-2006/atlanta-limited_14201.html" r:id="rId5085"/>
    <hyperlink xmlns:r="http://schemas.openxmlformats.org/officeDocument/2006/relationships" ref="Q2032" display="https://www.sebi.gov.in/sebi_data/attachdocs/1292388678557.pdf" r:id="rId5086"/>
    <hyperlink xmlns:r="http://schemas.openxmlformats.org/officeDocument/2006/relationships" ref="R2032" display="https://www.sebi.gov.in/filings/public-issues/feb-2006/kovilpatti-lakshmi-roller-flour-mills-ltd_10877.html" r:id="rId5087"/>
    <hyperlink xmlns:r="http://schemas.openxmlformats.org/officeDocument/2006/relationships" ref="Q2033" display="https://www.sebi.gov.in/sebi_data/attachdocs/1292388532106.pdf" r:id="rId5088"/>
    <hyperlink xmlns:r="http://schemas.openxmlformats.org/officeDocument/2006/relationships" ref="R2033" display="https://www.sebi.gov.in/filings/public-issues/feb-2006/vigneshwara-exports-limited-pdf_10876.html" r:id="rId5089"/>
    <hyperlink xmlns:r="http://schemas.openxmlformats.org/officeDocument/2006/relationships" ref="AB2033" r:id="rId5090"/>
    <hyperlink xmlns:r="http://schemas.openxmlformats.org/officeDocument/2006/relationships" ref="Q2034" display="https://www.sebi.gov.in/sebi_data/attachdocs/1292387288627.pdf" r:id="rId5091"/>
    <hyperlink xmlns:r="http://schemas.openxmlformats.org/officeDocument/2006/relationships" ref="R2034" display="https://www.sebi.gov.in/filings/public-issues/feb-2006/development-credit-bank-limited-pdf_10872.html" r:id="rId5092"/>
    <hyperlink xmlns:r="http://schemas.openxmlformats.org/officeDocument/2006/relationships" ref="Q2035" display="https://www.sebi.gov.in/sebi_data/attachdocs/1292387932391.pdf" r:id="rId5093"/>
    <hyperlink xmlns:r="http://schemas.openxmlformats.org/officeDocument/2006/relationships" ref="R2035" display="https://www.sebi.gov.in/filings/public-issues/feb-2006/gremach-infrastructure-equipments-and-projects-limited-pdf_10873.html" r:id="rId5094"/>
    <hyperlink xmlns:r="http://schemas.openxmlformats.org/officeDocument/2006/relationships" ref="AB2035" r:id="rId5095"/>
    <hyperlink xmlns:r="http://schemas.openxmlformats.org/officeDocument/2006/relationships" ref="Q2036" display="https://www.sebi.gov.in/sebi_data/attachdocs/1292388222177.pdf" r:id="rId5096"/>
    <hyperlink xmlns:r="http://schemas.openxmlformats.org/officeDocument/2006/relationships" ref="R2036" display="https://www.sebi.gov.in/filings/public-issues/feb-2006/lumax-automotive-systems-limited-pdf_10875.html" r:id="rId5097"/>
    <hyperlink xmlns:r="http://schemas.openxmlformats.org/officeDocument/2006/relationships" ref="AB2036" r:id="rId5098"/>
    <hyperlink xmlns:r="http://schemas.openxmlformats.org/officeDocument/2006/relationships" ref="Q2037" display="https://www.sebi.gov.in/sebi_data/attachdocs/1292388068467.pdf" r:id="rId5099"/>
    <hyperlink xmlns:r="http://schemas.openxmlformats.org/officeDocument/2006/relationships" ref="R2037" display="https://www.sebi.gov.in/filings/public-issues/feb-2006/steel-city-securities-limited-pdf_10874.html" r:id="rId5100"/>
    <hyperlink xmlns:r="http://schemas.openxmlformats.org/officeDocument/2006/relationships" ref="AB2037" r:id="rId5101"/>
    <hyperlink xmlns:r="http://schemas.openxmlformats.org/officeDocument/2006/relationships" ref="Q2038" display="https://www.sebi.gov.in/sebi_data/attachdocs/1292387084115.pdf" r:id="rId5102"/>
    <hyperlink xmlns:r="http://schemas.openxmlformats.org/officeDocument/2006/relationships" ref="R2038" display="https://www.sebi.gov.in/filings/public-issues/feb-2006/binani-cement-ltd_10871.html" r:id="rId5103"/>
    <hyperlink xmlns:r="http://schemas.openxmlformats.org/officeDocument/2006/relationships" ref="AB2038" r:id="rId5104"/>
    <hyperlink xmlns:r="http://schemas.openxmlformats.org/officeDocument/2006/relationships" ref="Q2039" display="https://www.sebi.gov.in/sebi_data/attachdocs/1292386686081.pdf" r:id="rId5105"/>
    <hyperlink xmlns:r="http://schemas.openxmlformats.org/officeDocument/2006/relationships" ref="R2039" display="https://www.sebi.gov.in/filings/public-issues/feb-2006/plethico-pharmaceuticals-ltd_10870.html" r:id="rId5106"/>
    <hyperlink xmlns:r="http://schemas.openxmlformats.org/officeDocument/2006/relationships" ref="AB2039" r:id="rId5107"/>
    <hyperlink xmlns:r="http://schemas.openxmlformats.org/officeDocument/2006/relationships" ref="Q2040" display="https://www.sebi.gov.in/sebi_data/attachdocs/1292386545586.pdf" r:id="rId5108"/>
    <hyperlink xmlns:r="http://schemas.openxmlformats.org/officeDocument/2006/relationships" ref="R2040" display="https://www.sebi.gov.in/filings/public-issues/feb-2006/brahma-interactive-limited_10869.html" r:id="rId5109"/>
    <hyperlink xmlns:r="http://schemas.openxmlformats.org/officeDocument/2006/relationships" ref="Q2041" display="https://www.sebi.gov.in/sebi_data/attachdocs/1292385686437.pdf" r:id="rId5110"/>
    <hyperlink xmlns:r="http://schemas.openxmlformats.org/officeDocument/2006/relationships" ref="R2041" display="https://www.sebi.gov.in/filings/public-issues/feb-2006/emkay-share-and-stock-brokers-limited_10864.html" r:id="rId5111"/>
    <hyperlink xmlns:r="http://schemas.openxmlformats.org/officeDocument/2006/relationships" ref="AB2041" r:id="rId5112"/>
    <hyperlink xmlns:r="http://schemas.openxmlformats.org/officeDocument/2006/relationships" ref="Q2042" display="https://www.sebi.gov.in/sebi_data/attachdocs/1292386435598.pdf" r:id="rId5113"/>
    <hyperlink xmlns:r="http://schemas.openxmlformats.org/officeDocument/2006/relationships" ref="R2042" display="https://www.sebi.gov.in/filings/public-issues/feb-2006/mspl-limited_10868.html" r:id="rId5114"/>
    <hyperlink xmlns:r="http://schemas.openxmlformats.org/officeDocument/2006/relationships" ref="AB2042" r:id="rId5115"/>
    <hyperlink xmlns:r="http://schemas.openxmlformats.org/officeDocument/2006/relationships" ref="Q2043" display="https://www.sebi.gov.in/sebi_data/attachdocs/1292386175148.pdf" r:id="rId5116"/>
    <hyperlink xmlns:r="http://schemas.openxmlformats.org/officeDocument/2006/relationships" ref="R2043" display="https://www.sebi.gov.in/filings/public-issues/feb-2006/sun-tv-limited_10867.html" r:id="rId5117"/>
    <hyperlink xmlns:r="http://schemas.openxmlformats.org/officeDocument/2006/relationships" ref="AB2043" r:id="rId5118"/>
    <hyperlink xmlns:r="http://schemas.openxmlformats.org/officeDocument/2006/relationships" ref="Q2044" display="https://www.sebi.gov.in/sebi_data/attachdocs/1292385133799.pdf" r:id="rId5119"/>
    <hyperlink xmlns:r="http://schemas.openxmlformats.org/officeDocument/2006/relationships" ref="R2044" display="https://www.sebi.gov.in/filings/public-issues/feb-2006/godawari-power-and-ispat-limited-pdf_10862.html" r:id="rId5120"/>
    <hyperlink xmlns:r="http://schemas.openxmlformats.org/officeDocument/2006/relationships" ref="AB2044" r:id="rId5121"/>
    <hyperlink xmlns:r="http://schemas.openxmlformats.org/officeDocument/2006/relationships" ref="Q2045" display="https://www.sebi.gov.in/sebi_data/attachdocs/1292385060887.pdf" r:id="rId5122"/>
    <hyperlink xmlns:r="http://schemas.openxmlformats.org/officeDocument/2006/relationships" ref="R2045" display="https://www.sebi.gov.in/filings/public-issues/feb-2006/manga-capsules-limited-pdf_10861.html" r:id="rId5123"/>
    <hyperlink xmlns:r="http://schemas.openxmlformats.org/officeDocument/2006/relationships" ref="AB2045" r:id="rId5124"/>
    <hyperlink xmlns:r="http://schemas.openxmlformats.org/officeDocument/2006/relationships" ref="Q2046" display="https://www.sebi.gov.in/sebi_data/attachdocs/1292384961613.pdf" r:id="rId5125"/>
    <hyperlink xmlns:r="http://schemas.openxmlformats.org/officeDocument/2006/relationships" ref="R2046" display="https://www.sebi.gov.in/filings/public-issues/feb-2006/r-systems-international-limited-pdf_10859.html" r:id="rId5126"/>
    <hyperlink xmlns:r="http://schemas.openxmlformats.org/officeDocument/2006/relationships" ref="AB2046" r:id="rId5127"/>
    <hyperlink xmlns:r="http://schemas.openxmlformats.org/officeDocument/2006/relationships" ref="Q2047" display="https://www.sebi.gov.in/sebi_data/attachdocs/1292384635241.pdf" r:id="rId5128"/>
    <hyperlink xmlns:r="http://schemas.openxmlformats.org/officeDocument/2006/relationships" ref="R2047" display="https://www.sebi.gov.in/filings/public-issues/feb-2006/indowind-energy-limited_10855.html" r:id="rId5129"/>
    <hyperlink xmlns:r="http://schemas.openxmlformats.org/officeDocument/2006/relationships" ref="Q2048" display="https://www.sebi.gov.in/sebi_data/attachdocs/1292384025598.pdf" r:id="rId5130"/>
    <hyperlink xmlns:r="http://schemas.openxmlformats.org/officeDocument/2006/relationships" ref="R2048" display="https://www.sebi.gov.in/filings/public-issues/feb-2006/gayatri-projects-ltd_10852.html" r:id="rId5131"/>
    <hyperlink xmlns:r="http://schemas.openxmlformats.org/officeDocument/2006/relationships" ref="Q2049" display="https://www.sebi.gov.in/sebi_data/attachdocs/1292383426550.pdf" r:id="rId5132"/>
    <hyperlink xmlns:r="http://schemas.openxmlformats.org/officeDocument/2006/relationships" ref="R2049" display="https://www.sebi.gov.in/filings/public-issues/feb-2006/lawreshwar-polymers-ltd_10848.html" r:id="rId5133"/>
    <hyperlink xmlns:r="http://schemas.openxmlformats.org/officeDocument/2006/relationships" ref="Q2050" display="https://www.sebi.gov.in/sebi_data/attachdocs/1292383179128.pdf" r:id="rId5134"/>
    <hyperlink xmlns:r="http://schemas.openxmlformats.org/officeDocument/2006/relationships" ref="R2050" display="https://www.sebi.gov.in/filings/public-issues/feb-2006/janki-corp-limited_10846.html" r:id="rId5135"/>
    <hyperlink xmlns:r="http://schemas.openxmlformats.org/officeDocument/2006/relationships" ref="AB2050" r:id="rId5136"/>
    <hyperlink xmlns:r="http://schemas.openxmlformats.org/officeDocument/2006/relationships" ref="Q2051" display="https://www.sebi.gov.in/sebi_data/attachdocs/1292383281348.pdf" r:id="rId5137"/>
    <hyperlink xmlns:r="http://schemas.openxmlformats.org/officeDocument/2006/relationships" ref="R2051" display="https://www.sebi.gov.in/filings/public-issues/feb-2006/sunstar-overseas-ltd_10847.html" r:id="rId5138"/>
    <hyperlink xmlns:r="http://schemas.openxmlformats.org/officeDocument/2006/relationships" ref="AB2051" r:id="rId5139"/>
    <hyperlink xmlns:r="http://schemas.openxmlformats.org/officeDocument/2006/relationships" ref="Q2052" display="https://www.sebi.gov.in/sebi_data/attachdocs/1292413982354.pdf" r:id="rId5140"/>
    <hyperlink xmlns:r="http://schemas.openxmlformats.org/officeDocument/2006/relationships" ref="R2052" display="https://www.sebi.gov.in/filings/public-issues/jan-2006/deccan-aviation-limited_11110.html" r:id="rId5141"/>
    <hyperlink xmlns:r="http://schemas.openxmlformats.org/officeDocument/2006/relationships" ref="AB2052" r:id="rId5142"/>
    <hyperlink xmlns:r="http://schemas.openxmlformats.org/officeDocument/2006/relationships" ref="Q2053" display="https://www.sebi.gov.in/sebi_data/attachdocs/1292413783985.pdf" r:id="rId5143"/>
    <hyperlink xmlns:r="http://schemas.openxmlformats.org/officeDocument/2006/relationships" ref="R2053" display="https://www.sebi.gov.in/filings/public-issues/jan-2006/gangotri-textiles-ltd_11107.html" r:id="rId5144"/>
    <hyperlink xmlns:r="http://schemas.openxmlformats.org/officeDocument/2006/relationships" ref="AB2053" r:id="rId5145"/>
    <hyperlink xmlns:r="http://schemas.openxmlformats.org/officeDocument/2006/relationships" ref="Q2054" display="https://www.sebi.gov.in/sebi_data/attachdocs/1292413889728.pdf" r:id="rId5146"/>
    <hyperlink xmlns:r="http://schemas.openxmlformats.org/officeDocument/2006/relationships" ref="R2054" display="https://www.sebi.gov.in/filings/public-issues/jan-2006/supreme-infrastructure-india-ltd_11108.html" r:id="rId5147"/>
    <hyperlink xmlns:r="http://schemas.openxmlformats.org/officeDocument/2006/relationships" ref="Q2055" display="https://www.sebi.gov.in/sebi_data/attachdocs/1292412123395.pdf" r:id="rId5148"/>
    <hyperlink xmlns:r="http://schemas.openxmlformats.org/officeDocument/2006/relationships" ref="R2055" display="https://www.sebi.gov.in/filings/public-issues/jan-2006/tantia-constructions-ltd_11101.html" r:id="rId5149"/>
    <hyperlink xmlns:r="http://schemas.openxmlformats.org/officeDocument/2006/relationships" ref="AB2055" r:id="rId5150"/>
    <hyperlink xmlns:r="http://schemas.openxmlformats.org/officeDocument/2006/relationships" ref="Q2056" display="https://www.sebi.gov.in/sebi_data/attachdocs/1292412693461.pdf" r:id="rId5151"/>
    <hyperlink xmlns:r="http://schemas.openxmlformats.org/officeDocument/2006/relationships" ref="R2056" display="https://www.sebi.gov.in/filings/public-issues/jan-2006/uttam-sugar-mills-ltd_11103.html" r:id="rId5152"/>
    <hyperlink xmlns:r="http://schemas.openxmlformats.org/officeDocument/2006/relationships" ref="AB2056" r:id="rId5153"/>
    <hyperlink xmlns:r="http://schemas.openxmlformats.org/officeDocument/2006/relationships" ref="Q2057" display="https://www.sebi.gov.in/sebi_data/attachdocs/1292411489984.pdf" r:id="rId5154"/>
    <hyperlink xmlns:r="http://schemas.openxmlformats.org/officeDocument/2006/relationships" ref="R2057" display="https://www.sebi.gov.in/filings/public-issues/jan-2006/shirdi-industries-ltd_11096.html" r:id="rId5155"/>
    <hyperlink xmlns:r="http://schemas.openxmlformats.org/officeDocument/2006/relationships" ref="AB2057" r:id="rId5156"/>
    <hyperlink xmlns:r="http://schemas.openxmlformats.org/officeDocument/2006/relationships" ref="Q2058" display="https://www.sebi.gov.in/sebi_data/attachdocs/1292409704873.pdf" r:id="rId5157"/>
    <hyperlink xmlns:r="http://schemas.openxmlformats.org/officeDocument/2006/relationships" ref="R2058" display="https://www.sebi.gov.in/filings/public-issues/jan-2006/bluplast-industries-ltd_11085.html" r:id="rId5158"/>
    <hyperlink xmlns:r="http://schemas.openxmlformats.org/officeDocument/2006/relationships" ref="AB2058" r:id="rId5159"/>
    <hyperlink xmlns:r="http://schemas.openxmlformats.org/officeDocument/2006/relationships" ref="Q2059" display="https://www.sebi.gov.in/sebi_data/attachdocs/1292408839809.pdf" r:id="rId5160"/>
    <hyperlink xmlns:r="http://schemas.openxmlformats.org/officeDocument/2006/relationships" ref="R2059" display="https://www.sebi.gov.in/filings/public-issues/jan-2006/lokesh-machines-ltd_11076.html" r:id="rId5161"/>
    <hyperlink xmlns:r="http://schemas.openxmlformats.org/officeDocument/2006/relationships" ref="AB2059" r:id="rId5162"/>
    <hyperlink xmlns:r="http://schemas.openxmlformats.org/officeDocument/2006/relationships" ref="Q2060" display="https://www.sebi.gov.in/sebi_data/attachdocs/1292409032195.pdf" r:id="rId5163"/>
    <hyperlink xmlns:r="http://schemas.openxmlformats.org/officeDocument/2006/relationships" ref="R2060" display="https://www.sebi.gov.in/filings/public-issues/jan-2006/opto-circuits-india-ltd_11078.html" r:id="rId5164"/>
    <hyperlink xmlns:r="http://schemas.openxmlformats.org/officeDocument/2006/relationships" ref="AB2060" r:id="rId5165"/>
    <hyperlink xmlns:r="http://schemas.openxmlformats.org/officeDocument/2006/relationships" ref="Q2061" display="https://www.sebi.gov.in/sebi_data/attachdocs/1292409210154.pdf" r:id="rId5166"/>
    <hyperlink xmlns:r="http://schemas.openxmlformats.org/officeDocument/2006/relationships" ref="R2061" display="https://www.sebi.gov.in/filings/public-issues/jan-2006/today-s-writing-products-ltd_11080.html" r:id="rId5167"/>
    <hyperlink xmlns:r="http://schemas.openxmlformats.org/officeDocument/2006/relationships" ref="AB2061" r:id="rId5168"/>
    <hyperlink xmlns:r="http://schemas.openxmlformats.org/officeDocument/2006/relationships" ref="Q2062" display="https://www.sebi.gov.in/sebi_data/attachdocs/1292408742863.pdf" r:id="rId5169"/>
    <hyperlink xmlns:r="http://schemas.openxmlformats.org/officeDocument/2006/relationships" ref="R2062" display="https://www.sebi.gov.in/filings/public-issues/jan-2006/d-s-kulkarni-developers-ltd_11075.html" r:id="rId5170"/>
    <hyperlink xmlns:r="http://schemas.openxmlformats.org/officeDocument/2006/relationships" ref="AB2062" r:id="rId5171"/>
    <hyperlink xmlns:r="http://schemas.openxmlformats.org/officeDocument/2006/relationships" ref="Q2063" display="https://www.sebi.gov.in/sebi_data/attachdocs/1294386762957.pdf" r:id="rId5172"/>
    <hyperlink xmlns:r="http://schemas.openxmlformats.org/officeDocument/2006/relationships" ref="R2063" display="https://www.sebi.gov.in/filings/public-issues/jan-2006/prime-focus-ltd_14205.html" r:id="rId5173"/>
    <hyperlink xmlns:r="http://schemas.openxmlformats.org/officeDocument/2006/relationships" ref="AB2063" r:id="rId5174"/>
    <hyperlink xmlns:r="http://schemas.openxmlformats.org/officeDocument/2006/relationships" ref="Q2064" display="https://www.sebi.gov.in/sebi_data/attachdocs/1292408503767.pdf" r:id="rId5175"/>
    <hyperlink xmlns:r="http://schemas.openxmlformats.org/officeDocument/2006/relationships" ref="R2064" display="https://www.sebi.gov.in/filings/public-issues/jan-2006/celestial-labs-ltd_11071.html" r:id="rId5176"/>
    <hyperlink xmlns:r="http://schemas.openxmlformats.org/officeDocument/2006/relationships" ref="AB2064" r:id="rId5177"/>
    <hyperlink xmlns:r="http://schemas.openxmlformats.org/officeDocument/2006/relationships" ref="Q2065" display="https://www.sebi.gov.in/sebi_data/attachdocs/1292408586645.pdf" r:id="rId5178"/>
    <hyperlink xmlns:r="http://schemas.openxmlformats.org/officeDocument/2006/relationships" ref="R2065" display="https://www.sebi.gov.in/filings/public-issues/jan-2006/kewal-kiran-clothing-ltd_11073.html" r:id="rId5179"/>
    <hyperlink xmlns:r="http://schemas.openxmlformats.org/officeDocument/2006/relationships" ref="AB2065" r:id="rId5180"/>
    <hyperlink xmlns:r="http://schemas.openxmlformats.org/officeDocument/2006/relationships" ref="Q2066" display="https://www.sebi.gov.in/sebi_data/attachdocs/1292408061954.pdf" r:id="rId5181"/>
    <hyperlink xmlns:r="http://schemas.openxmlformats.org/officeDocument/2006/relationships" ref="R2066" display="https://www.sebi.gov.in/filings/public-issues/jan-2006/adhunik-metalinks-limited-pdf_11062.html" r:id="rId5182"/>
    <hyperlink xmlns:r="http://schemas.openxmlformats.org/officeDocument/2006/relationships" ref="AB2066" r:id="rId5183"/>
    <hyperlink xmlns:r="http://schemas.openxmlformats.org/officeDocument/2006/relationships" ref="Q2067" display="https://www.sebi.gov.in/sebi_data/attachdocs/1292407284287.pdf" r:id="rId5184"/>
    <hyperlink xmlns:r="http://schemas.openxmlformats.org/officeDocument/2006/relationships" ref="R2067" display="https://www.sebi.gov.in/filings/public-issues/jan-2006/mahindra-and-mahindra-financial-services-ltd_11050.html" r:id="rId5185"/>
    <hyperlink xmlns:r="http://schemas.openxmlformats.org/officeDocument/2006/relationships" ref="AB2067" r:id="rId5186"/>
    <hyperlink xmlns:r="http://schemas.openxmlformats.org/officeDocument/2006/relationships" ref="Q2068" display="https://www.sebi.gov.in/sebi_data/attachdocs/1292406099876.pdf" r:id="rId5187"/>
    <hyperlink xmlns:r="http://schemas.openxmlformats.org/officeDocument/2006/relationships" ref="R2068" display="https://www.sebi.gov.in/filings/public-issues/jan-2006/solar-explosives-ltd_11035.html" r:id="rId5188"/>
    <hyperlink xmlns:r="http://schemas.openxmlformats.org/officeDocument/2006/relationships" ref="AB2068" r:id="rId5189"/>
    <hyperlink xmlns:r="http://schemas.openxmlformats.org/officeDocument/2006/relationships" ref="Q2069" display="https://www.sebi.gov.in/sebi_data/attachdocs/1292403719557.pdf" r:id="rId5190"/>
    <hyperlink xmlns:r="http://schemas.openxmlformats.org/officeDocument/2006/relationships" ref="R2069" display="https://www.sebi.gov.in/filings/public-issues/jan-2006/visa-steel-ltd_11017.html" r:id="rId5191"/>
    <hyperlink xmlns:r="http://schemas.openxmlformats.org/officeDocument/2006/relationships" ref="AB2069" r:id="rId5192"/>
    <hyperlink xmlns:r="http://schemas.openxmlformats.org/officeDocument/2006/relationships" ref="Q2070" display="https://www.sebi.gov.in/sebi_data/attachdocs/1292402819105.pdf" r:id="rId5193"/>
    <hyperlink xmlns:r="http://schemas.openxmlformats.org/officeDocument/2006/relationships" ref="R2070" display="https://www.sebi.gov.in/filings/public-issues/jan-2006/birla-power-solutions-ltd_11008.html" r:id="rId5194"/>
    <hyperlink xmlns:r="http://schemas.openxmlformats.org/officeDocument/2006/relationships" ref="AB2070" r:id="rId5195"/>
    <hyperlink xmlns:r="http://schemas.openxmlformats.org/officeDocument/2006/relationships" ref="Q2071" display="https://www.sebi.gov.in/sebi_data/attachdocs/1292402955323.pdf" r:id="rId5196"/>
    <hyperlink xmlns:r="http://schemas.openxmlformats.org/officeDocument/2006/relationships" ref="R2071" display="https://www.sebi.gov.in/filings/public-issues/jan-2006/nitco-tiles-ltd_11010.html" r:id="rId5197"/>
    <hyperlink xmlns:r="http://schemas.openxmlformats.org/officeDocument/2006/relationships" ref="AB2071" r:id="rId5198"/>
    <hyperlink xmlns:r="http://schemas.openxmlformats.org/officeDocument/2006/relationships" ref="Q2072" display="https://www.sebi.gov.in/sebi_data/attachdocs/1292402267245.pdf" r:id="rId5199"/>
    <hyperlink xmlns:r="http://schemas.openxmlformats.org/officeDocument/2006/relationships" ref="R2072" display="https://www.sebi.gov.in/filings/public-issues/jan-2006/gallantt-metal-limited_10998.html" r:id="rId5200"/>
    <hyperlink xmlns:r="http://schemas.openxmlformats.org/officeDocument/2006/relationships" ref="AB2072" r:id="rId5201"/>
    <hyperlink xmlns:r="http://schemas.openxmlformats.org/officeDocument/2006/relationships" ref="Q2073" display="https://www.sebi.gov.in/sebi_data/attachdocs/1292990159086.pdf" r:id="rId5202"/>
    <hyperlink xmlns:r="http://schemas.openxmlformats.org/officeDocument/2006/relationships" ref="R2073" display="https://www.sebi.gov.in/filings/public-issues/dec-2005/hfcl-infotel-ltd-pdf_12451.html" r:id="rId5203"/>
    <hyperlink xmlns:r="http://schemas.openxmlformats.org/officeDocument/2006/relationships" ref="Q2074" display="https://www.sebi.gov.in/sebi_data/attachdocs/1292990066616.pdf" r:id="rId5204"/>
    <hyperlink xmlns:r="http://schemas.openxmlformats.org/officeDocument/2006/relationships" ref="R2074" display="https://www.sebi.gov.in/filings/public-issues/dec-2005/idbi-flexibond-series-2005-06_12450.html" r:id="rId5205"/>
    <hyperlink xmlns:r="http://schemas.openxmlformats.org/officeDocument/2006/relationships" ref="AB2074" r:id="rId5206"/>
    <hyperlink xmlns:r="http://schemas.openxmlformats.org/officeDocument/2006/relationships" ref="Q2075" display="https://www.sebi.gov.in/sebi_data/attachdocs/1292989984373.pdf" r:id="rId5207"/>
    <hyperlink xmlns:r="http://schemas.openxmlformats.org/officeDocument/2006/relationships" ref="R2075" display="https://www.sebi.gov.in/filings/public-issues/dec-2005/malu-paper-mills-ltd_12448.html" r:id="rId5208"/>
    <hyperlink xmlns:r="http://schemas.openxmlformats.org/officeDocument/2006/relationships" ref="AB2075" r:id="rId5209"/>
    <hyperlink xmlns:r="http://schemas.openxmlformats.org/officeDocument/2006/relationships" ref="Q2076" display="https://www.sebi.gov.in/sebi_data/attachdocs/1292989815165.pdf" r:id="rId5210"/>
    <hyperlink xmlns:r="http://schemas.openxmlformats.org/officeDocument/2006/relationships" ref="R2076" display="https://www.sebi.gov.in/filings/public-issues/dec-2005/union-bank-of-india_12445.html" r:id="rId5211"/>
    <hyperlink xmlns:r="http://schemas.openxmlformats.org/officeDocument/2006/relationships" ref="AB2076" r:id="rId5212"/>
    <hyperlink xmlns:r="http://schemas.openxmlformats.org/officeDocument/2006/relationships" ref="Q2077" display="https://www.sebi.gov.in/sebi_data/attachdocs/1292989708571.pdf" r:id="rId5213"/>
    <hyperlink xmlns:r="http://schemas.openxmlformats.org/officeDocument/2006/relationships" ref="R2077" display="https://www.sebi.gov.in/filings/public-issues/dec-2005/gitanajli-gems-ltd_12443.html" r:id="rId5214"/>
    <hyperlink xmlns:r="http://schemas.openxmlformats.org/officeDocument/2006/relationships" ref="AB2077" r:id="rId5215"/>
    <hyperlink xmlns:r="http://schemas.openxmlformats.org/officeDocument/2006/relationships" ref="Q2078" display="https://www.sebi.gov.in/sebi_data/attachdocs/1292989615626.pdf" r:id="rId5216"/>
    <hyperlink xmlns:r="http://schemas.openxmlformats.org/officeDocument/2006/relationships" ref="R2078" display="https://www.sebi.gov.in/filings/public-issues/dec-2005/south-indian-bank-limited-pdf_12441.html" r:id="rId5217"/>
    <hyperlink xmlns:r="http://schemas.openxmlformats.org/officeDocument/2006/relationships" ref="AB2078" r:id="rId5218"/>
    <hyperlink xmlns:r="http://schemas.openxmlformats.org/officeDocument/2006/relationships" ref="Q2079" display="https://www.sebi.gov.in/sebi_data/attachdocs/1292989496367.pdf" r:id="rId5219"/>
    <hyperlink xmlns:r="http://schemas.openxmlformats.org/officeDocument/2006/relationships" ref="R2079" display="https://www.sebi.gov.in/filings/public-issues/dec-2005/jrg-securities-ltd_12439.html" r:id="rId5220"/>
    <hyperlink xmlns:r="http://schemas.openxmlformats.org/officeDocument/2006/relationships" ref="AB2079" r:id="rId5221"/>
    <hyperlink xmlns:r="http://schemas.openxmlformats.org/officeDocument/2006/relationships" ref="Q2080" display="https://www.sebi.gov.in/sebi_data/attachdocs/1292989425401.pdf" r:id="rId5222"/>
    <hyperlink xmlns:r="http://schemas.openxmlformats.org/officeDocument/2006/relationships" ref="R2080" display="https://www.sebi.gov.in/filings/public-issues/dec-2005/tanla-solutions-ltd_12437.html" r:id="rId5223"/>
    <hyperlink xmlns:r="http://schemas.openxmlformats.org/officeDocument/2006/relationships" ref="Q2081" display="https://www.sebi.gov.in/sebi_data/attachdocs/1292989012842.pdf" r:id="rId5224"/>
    <hyperlink xmlns:r="http://schemas.openxmlformats.org/officeDocument/2006/relationships" ref="R2081" display="https://www.sebi.gov.in/filings/public-issues/dec-2005/jk-cement-ltd_12433.html" r:id="rId5225"/>
    <hyperlink xmlns:r="http://schemas.openxmlformats.org/officeDocument/2006/relationships" ref="AB2081" r:id="rId5226"/>
    <hyperlink xmlns:r="http://schemas.openxmlformats.org/officeDocument/2006/relationships" ref="Q2082" display="https://www.sebi.gov.in/sebi_data/attachdocs/1292988841748.pdf" r:id="rId5227"/>
    <hyperlink xmlns:r="http://schemas.openxmlformats.org/officeDocument/2006/relationships" ref="R2082" display="https://www.sebi.gov.in/filings/public-issues/dec-2005/jagran-prakashan-limited-pdf_12430.html" r:id="rId5228"/>
    <hyperlink xmlns:r="http://schemas.openxmlformats.org/officeDocument/2006/relationships" ref="AB2082" r:id="rId5229"/>
    <hyperlink xmlns:r="http://schemas.openxmlformats.org/officeDocument/2006/relationships" ref="Q2083" display="https://www.sebi.gov.in/sebi_data/attachdocs/1292988693107.pdf" r:id="rId5230"/>
    <hyperlink xmlns:r="http://schemas.openxmlformats.org/officeDocument/2006/relationships" ref="R2083" display="https://www.sebi.gov.in/filings/public-issues/dec-2005/sakuma-exports-limited-pdf_12428.html" r:id="rId5231"/>
    <hyperlink xmlns:r="http://schemas.openxmlformats.org/officeDocument/2006/relationships" ref="AB2083" r:id="rId5232"/>
    <hyperlink xmlns:r="http://schemas.openxmlformats.org/officeDocument/2006/relationships" ref="Q2084" display="https://www.sebi.gov.in/sebi_data/attachdocs/1292930674033.pdf" r:id="rId5233"/>
    <hyperlink xmlns:r="http://schemas.openxmlformats.org/officeDocument/2006/relationships" ref="R2084" display="https://www.sebi.gov.in/filings/public-issues/nov-2005/andhra-bank-pdf_12368.html" r:id="rId5234"/>
    <hyperlink xmlns:r="http://schemas.openxmlformats.org/officeDocument/2006/relationships" ref="AB2084" r:id="rId5235"/>
    <hyperlink xmlns:r="http://schemas.openxmlformats.org/officeDocument/2006/relationships" ref="Q2085" display="https://www.sebi.gov.in/sebi_data/attachdocs/1292930890405.pdf" r:id="rId5236"/>
    <hyperlink xmlns:r="http://schemas.openxmlformats.org/officeDocument/2006/relationships" ref="R2085" display="https://www.sebi.gov.in/filings/public-issues/nov-2005/indo-tech-transformers-limited-pdf_12374.html" r:id="rId5237"/>
    <hyperlink xmlns:r="http://schemas.openxmlformats.org/officeDocument/2006/relationships" ref="AB2085" r:id="rId5238"/>
    <hyperlink xmlns:r="http://schemas.openxmlformats.org/officeDocument/2006/relationships" ref="Q2086" display="https://www.sebi.gov.in/sebi_data/attachdocs/1292930801748.pdf" r:id="rId5239"/>
    <hyperlink xmlns:r="http://schemas.openxmlformats.org/officeDocument/2006/relationships" ref="R2086" display="https://www.sebi.gov.in/filings/public-issues/nov-2005/rathi-udyog-limited-pdf_12371.html" r:id="rId5240"/>
    <hyperlink xmlns:r="http://schemas.openxmlformats.org/officeDocument/2006/relationships" ref="Q2087" display="https://www.sebi.gov.in/sebi_data/attachdocs/1292930521239.pdf" r:id="rId5241"/>
    <hyperlink xmlns:r="http://schemas.openxmlformats.org/officeDocument/2006/relationships" ref="R2087" display="https://www.sebi.gov.in/filings/public-issues/nov-2005/inox-leisure-limited_12365.html" r:id="rId5242"/>
    <hyperlink xmlns:r="http://schemas.openxmlformats.org/officeDocument/2006/relationships" ref="AB2087" r:id="rId5243"/>
    <hyperlink xmlns:r="http://schemas.openxmlformats.org/officeDocument/2006/relationships" ref="Q2088" display="https://www.sebi.gov.in/sebi_data/attachdocs/1292930413573.pdf" r:id="rId5244"/>
    <hyperlink xmlns:r="http://schemas.openxmlformats.org/officeDocument/2006/relationships" ref="R2088" display="https://www.sebi.gov.in/filings/public-issues/nov-2005/kew-industries-ltd_12363.html" r:id="rId5245"/>
    <hyperlink xmlns:r="http://schemas.openxmlformats.org/officeDocument/2006/relationships" ref="AB2088" r:id="rId5246"/>
    <hyperlink xmlns:r="http://schemas.openxmlformats.org/officeDocument/2006/relationships" ref="Q2089" display="https://www.sebi.gov.in/sebi_data/attachdocs/1292930269387.pdf" r:id="rId5247"/>
    <hyperlink xmlns:r="http://schemas.openxmlformats.org/officeDocument/2006/relationships" ref="R2089" display="https://www.sebi.gov.in/filings/public-issues/nov-2005/space-computer-and-systems-ltd_12360.html" r:id="rId5248"/>
    <hyperlink xmlns:r="http://schemas.openxmlformats.org/officeDocument/2006/relationships" ref="Q2090" display="https://www.sebi.gov.in/sebi_data/attachdocs/1292929809139.pdf" r:id="rId5249"/>
    <hyperlink xmlns:r="http://schemas.openxmlformats.org/officeDocument/2006/relationships" ref="R2090" display="https://www.sebi.gov.in/filings/public-issues/nov-2005/ammana-bio-pharma-ltd_12355.html" r:id="rId5250"/>
    <hyperlink xmlns:r="http://schemas.openxmlformats.org/officeDocument/2006/relationships" ref="AB2090" r:id="rId5251"/>
    <hyperlink xmlns:r="http://schemas.openxmlformats.org/officeDocument/2006/relationships" ref="Q2091" display="https://www.sebi.gov.in/sebi_data/attachdocs/1292929597904.pdf" r:id="rId5252"/>
    <hyperlink xmlns:r="http://schemas.openxmlformats.org/officeDocument/2006/relationships" ref="R2091" display="https://www.sebi.gov.in/filings/public-issues/nov-2005/shirt-company-india-ltd_12354.html" r:id="rId5253"/>
    <hyperlink xmlns:r="http://schemas.openxmlformats.org/officeDocument/2006/relationships" ref="Q2092" display="https://www.sebi.gov.in/sebi_data/attachdocs/1292929363771.pdf" r:id="rId5254"/>
    <hyperlink xmlns:r="http://schemas.openxmlformats.org/officeDocument/2006/relationships" ref="R2092" display="https://www.sebi.gov.in/filings/public-issues/nov-2005/sunil-hitech-engineers-ltd_12353.html" r:id="rId5255"/>
    <hyperlink xmlns:r="http://schemas.openxmlformats.org/officeDocument/2006/relationships" ref="AB2092" r:id="rId5256"/>
    <hyperlink xmlns:r="http://schemas.openxmlformats.org/officeDocument/2006/relationships" ref="Q2093" display="https://www.sebi.gov.in/sebi_data/attachdocs/1292928921777.pdf" r:id="rId5257"/>
    <hyperlink xmlns:r="http://schemas.openxmlformats.org/officeDocument/2006/relationships" ref="R2093" display="https://www.sebi.gov.in/filings/public-issues/nov-2005/kamdhenu-ispat-limited-pdf_12348.html" r:id="rId5258"/>
    <hyperlink xmlns:r="http://schemas.openxmlformats.org/officeDocument/2006/relationships" ref="AB2093" r:id="rId5259"/>
    <hyperlink xmlns:r="http://schemas.openxmlformats.org/officeDocument/2006/relationships" ref="Q2094" display="https://www.sebi.gov.in/sebi_data/attachdocs/1292928786756.pdf" r:id="rId5260"/>
    <hyperlink xmlns:r="http://schemas.openxmlformats.org/officeDocument/2006/relationships" ref="R2094" display="https://www.sebi.gov.in/filings/public-issues/nov-2005/entertainment-network-india-limited-pdf_12347.html" r:id="rId5261"/>
    <hyperlink xmlns:r="http://schemas.openxmlformats.org/officeDocument/2006/relationships" ref="AB2094" r:id="rId5262"/>
    <hyperlink xmlns:r="http://schemas.openxmlformats.org/officeDocument/2006/relationships" ref="Q2095" display="https://www.sebi.gov.in/sebi_data/attachdocs/1292927619135.pdf" r:id="rId5263"/>
    <hyperlink xmlns:r="http://schemas.openxmlformats.org/officeDocument/2006/relationships" ref="R2095" display="https://www.sebi.gov.in/filings/public-issues/nov-2005/soma-textiles-and-industries-limited-pdf_12332.html" r:id="rId5264"/>
    <hyperlink xmlns:r="http://schemas.openxmlformats.org/officeDocument/2006/relationships" ref="Q2096" display="https://www.sebi.gov.in/sebi_data/attachdocs/1292928098695.pdf" r:id="rId5265"/>
    <hyperlink xmlns:r="http://schemas.openxmlformats.org/officeDocument/2006/relationships" ref="R2096" display="https://www.sebi.gov.in/filings/public-issues/nov-2005/shivalikglobal-limited_12340.html" r:id="rId5266"/>
    <hyperlink xmlns:r="http://schemas.openxmlformats.org/officeDocument/2006/relationships" ref="AB2096" r:id="rId5267"/>
    <hyperlink xmlns:r="http://schemas.openxmlformats.org/officeDocument/2006/relationships" ref="Q2097" display="https://www.sebi.gov.in/sebi_data/attachdocs/1292927493103.pdf" r:id="rId5268"/>
    <hyperlink xmlns:r="http://schemas.openxmlformats.org/officeDocument/2006/relationships" ref="R2097" display="https://www.sebi.gov.in/filings/public-issues/nov-2005/rohit-ferro-tech-ltd_12330.html" r:id="rId5269"/>
    <hyperlink xmlns:r="http://schemas.openxmlformats.org/officeDocument/2006/relationships" ref="AB2097" r:id="rId5270"/>
    <hyperlink xmlns:r="http://schemas.openxmlformats.org/officeDocument/2006/relationships" ref="Q2098" display="https://www.sebi.gov.in/sebi_data/attachdocs/1292925597425.pdf" r:id="rId5271"/>
    <hyperlink xmlns:r="http://schemas.openxmlformats.org/officeDocument/2006/relationships" ref="R2098" display="https://www.sebi.gov.in/filings/public-issues/nov-2005/royal-orchid-hotels-ltd_12291.html" r:id="rId5272"/>
    <hyperlink xmlns:r="http://schemas.openxmlformats.org/officeDocument/2006/relationships" ref="AB2098" r:id="rId5273"/>
    <hyperlink xmlns:r="http://schemas.openxmlformats.org/officeDocument/2006/relationships" ref="Q2099" display="https://www.sebi.gov.in/sebi_data/attachdocs/1292925064369.pdf" r:id="rId5274"/>
    <hyperlink xmlns:r="http://schemas.openxmlformats.org/officeDocument/2006/relationships" ref="R2099" display="https://www.sebi.gov.in/filings/public-issues/nov-2005/celebrity-fashions-limited-pdf_12284.html" r:id="rId5275"/>
    <hyperlink xmlns:r="http://schemas.openxmlformats.org/officeDocument/2006/relationships" ref="AB2099" r:id="rId5276"/>
    <hyperlink xmlns:r="http://schemas.openxmlformats.org/officeDocument/2006/relationships" ref="Q2100" display="https://www.sebi.gov.in/sebi_data/attachdocs/1292920704409.pdf" r:id="rId5277"/>
    <hyperlink xmlns:r="http://schemas.openxmlformats.org/officeDocument/2006/relationships" ref="R2100" display="https://www.sebi.gov.in/filings/public-issues/oct-2005/gvk-power-and-infrastructure-ltd_12208.html" r:id="rId5278"/>
    <hyperlink xmlns:r="http://schemas.openxmlformats.org/officeDocument/2006/relationships" ref="AB2100" r:id="rId5279"/>
    <hyperlink xmlns:r="http://schemas.openxmlformats.org/officeDocument/2006/relationships" ref="Q2101" display="https://www.sebi.gov.in/sebi_data/attachdocs/1292919748432.pdf" r:id="rId5280"/>
    <hyperlink xmlns:r="http://schemas.openxmlformats.org/officeDocument/2006/relationships" ref="R2101" display="https://www.sebi.gov.in/filings/public-issues/oct-2005/icici-bank-ltd_12192.html" r:id="rId5281"/>
    <hyperlink xmlns:r="http://schemas.openxmlformats.org/officeDocument/2006/relationships" ref="AB2101" r:id="rId5282"/>
    <hyperlink xmlns:r="http://schemas.openxmlformats.org/officeDocument/2006/relationships" ref="Q2102" display="https://www.sebi.gov.in/sebi_data/attachdocs/1292918569133.pdf" r:id="rId5283"/>
    <hyperlink xmlns:r="http://schemas.openxmlformats.org/officeDocument/2006/relationships" ref="R2102" display="https://www.sebi.gov.in/filings/public-issues/oct-2005/dynemic-products-ltd_12190.html" r:id="rId5284"/>
    <hyperlink xmlns:r="http://schemas.openxmlformats.org/officeDocument/2006/relationships" ref="AB2102" r:id="rId5285"/>
    <hyperlink xmlns:r="http://schemas.openxmlformats.org/officeDocument/2006/relationships" ref="Q2103" display="https://www.sebi.gov.in/sebi_data/attachdocs/1292919374966.pdf" r:id="rId5286"/>
    <hyperlink xmlns:r="http://schemas.openxmlformats.org/officeDocument/2006/relationships" ref="R2103" display="https://www.sebi.gov.in/filings/public-issues/oct-2005/gujarat-state-petronet-ltd_12191.html" r:id="rId5287"/>
    <hyperlink xmlns:r="http://schemas.openxmlformats.org/officeDocument/2006/relationships" ref="AB2103" r:id="rId5288"/>
    <hyperlink xmlns:r="http://schemas.openxmlformats.org/officeDocument/2006/relationships" ref="Q2104" display="https://www.sebi.gov.in/sebi_data/attachdocs/1292918090232.pdf" r:id="rId5289"/>
    <hyperlink xmlns:r="http://schemas.openxmlformats.org/officeDocument/2006/relationships" ref="R2104" display="https://www.sebi.gov.in/filings/public-issues/oct-2005/bank-of-baroda_12188.html" r:id="rId5290"/>
    <hyperlink xmlns:r="http://schemas.openxmlformats.org/officeDocument/2006/relationships" ref="AB2104" r:id="rId5291"/>
    <hyperlink xmlns:r="http://schemas.openxmlformats.org/officeDocument/2006/relationships" ref="Q2105" display="https://www.sebi.gov.in/sebi_data/attachdocs/1292918374499.pdf" r:id="rId5292"/>
    <hyperlink xmlns:r="http://schemas.openxmlformats.org/officeDocument/2006/relationships" ref="R2105" display="https://www.sebi.gov.in/filings/public-issues/oct-2005/punj-lloyd-ltd_12189.html" r:id="rId5293"/>
    <hyperlink xmlns:r="http://schemas.openxmlformats.org/officeDocument/2006/relationships" ref="AB2105" r:id="rId5294"/>
    <hyperlink xmlns:r="http://schemas.openxmlformats.org/officeDocument/2006/relationships" ref="Q2106" display="https://www.sebi.gov.in/sebi_data/attachdocs/1292917736698.pdf" r:id="rId5295"/>
    <hyperlink xmlns:r="http://schemas.openxmlformats.org/officeDocument/2006/relationships" ref="R2106" display="https://www.sebi.gov.in/filings/public-issues/oct-2005/shree-renuka-sugars-limited-notice-to-investors_12185.html" r:id="rId5296"/>
    <hyperlink xmlns:r="http://schemas.openxmlformats.org/officeDocument/2006/relationships" ref="AB2106" r:id="rId5297"/>
    <hyperlink xmlns:r="http://schemas.openxmlformats.org/officeDocument/2006/relationships" ref="Q2107" display="https://www.sebi.gov.in/sebi_data/attachdocs/1292917845393.pdf" r:id="rId5298"/>
    <hyperlink xmlns:r="http://schemas.openxmlformats.org/officeDocument/2006/relationships" ref="R2107" display="https://www.sebi.gov.in/filings/public-issues/oct-2005/sree-sakthi-paper-mills-ltd-draft-prospectus_12186.html" r:id="rId5299"/>
    <hyperlink xmlns:r="http://schemas.openxmlformats.org/officeDocument/2006/relationships" ref="AB2107" r:id="rId5300"/>
    <hyperlink xmlns:r="http://schemas.openxmlformats.org/officeDocument/2006/relationships" ref="Q2108" display="https://www.sebi.gov.in/sebi_data/attachdocs/1292917638871.pdf" r:id="rId5301"/>
    <hyperlink xmlns:r="http://schemas.openxmlformats.org/officeDocument/2006/relationships" ref="R2108" display="https://www.sebi.gov.in/filings/public-issues/oct-2005/pvr-limited-pdf_12184.html" r:id="rId5302"/>
    <hyperlink xmlns:r="http://schemas.openxmlformats.org/officeDocument/2006/relationships" ref="AB2108" r:id="rId5303"/>
    <hyperlink xmlns:r="http://schemas.openxmlformats.org/officeDocument/2006/relationships" ref="Q2109" display="https://www.sebi.gov.in/sebi_data/attachdocs/1292917424495.pdf" r:id="rId5304"/>
    <hyperlink xmlns:r="http://schemas.openxmlformats.org/officeDocument/2006/relationships" ref="R2109" display="https://www.sebi.gov.in/filings/public-issues/oct-2005/sadbhav-engineering-limited-pdf_12181.html" r:id="rId5305"/>
    <hyperlink xmlns:r="http://schemas.openxmlformats.org/officeDocument/2006/relationships" ref="AB2109" r:id="rId5306"/>
    <hyperlink xmlns:r="http://schemas.openxmlformats.org/officeDocument/2006/relationships" ref="Q2110" display="https://www.sebi.gov.in/sebi_data/attachdocs/1292917286293.pdf" r:id="rId5307"/>
    <hyperlink xmlns:r="http://schemas.openxmlformats.org/officeDocument/2006/relationships" ref="R2110" display="https://www.sebi.gov.in/filings/public-issues/oct-2005/sakuma-exports-limited-pdf_12180.html" r:id="rId5308"/>
    <hyperlink xmlns:r="http://schemas.openxmlformats.org/officeDocument/2006/relationships" ref="AB2110" r:id="rId5309"/>
    <hyperlink xmlns:r="http://schemas.openxmlformats.org/officeDocument/2006/relationships" ref="Q2111" display="https://www.sebi.gov.in/sebi_data/attachdocs/1292916812000.pdf" r:id="rId5310"/>
    <hyperlink xmlns:r="http://schemas.openxmlformats.org/officeDocument/2006/relationships" ref="R2111" display="https://www.sebi.gov.in/filings/public-issues/oct-2005/ginni-filaments-limited-pdf_12178.html" r:id="rId5311"/>
    <hyperlink xmlns:r="http://schemas.openxmlformats.org/officeDocument/2006/relationships" ref="AB2111" r:id="rId5312"/>
    <hyperlink xmlns:r="http://schemas.openxmlformats.org/officeDocument/2006/relationships" ref="Q2112" display="https://www.sebi.gov.in/sebi_data/attachdocs/1292917064202.pdf" r:id="rId5313"/>
    <hyperlink xmlns:r="http://schemas.openxmlformats.org/officeDocument/2006/relationships" ref="R2112" display="https://www.sebi.gov.in/filings/public-issues/oct-2005/k-sera-sera-productions-limited-pdf_12179.html" r:id="rId5314"/>
    <hyperlink xmlns:r="http://schemas.openxmlformats.org/officeDocument/2006/relationships" ref="AB2112" r:id="rId5315"/>
    <hyperlink xmlns:r="http://schemas.openxmlformats.org/officeDocument/2006/relationships" ref="Q2113" display="https://www.sebi.gov.in/sebi_data/attachdocs/1292907711819.pdf" r:id="rId5316"/>
    <hyperlink xmlns:r="http://schemas.openxmlformats.org/officeDocument/2006/relationships" ref="R2113" display="https://www.sebi.gov.in/filings/public-issues/sep-2005/bartronics-india-limited_11990.html" r:id="rId5317"/>
    <hyperlink xmlns:r="http://schemas.openxmlformats.org/officeDocument/2006/relationships" ref="AB2113" r:id="rId5318"/>
    <hyperlink xmlns:r="http://schemas.openxmlformats.org/officeDocument/2006/relationships" ref="Q2114" display="https://www.sebi.gov.in/sebi_data/attachdocs/1292907444944.pdf" r:id="rId5319"/>
    <hyperlink xmlns:r="http://schemas.openxmlformats.org/officeDocument/2006/relationships" ref="R2114" display="https://www.sebi.gov.in/filings/public-issues/sep-2005/stesalit-limited_11982.html" r:id="rId5320"/>
    <hyperlink xmlns:r="http://schemas.openxmlformats.org/officeDocument/2006/relationships" ref="AB2114" r:id="rId5321"/>
    <hyperlink xmlns:r="http://schemas.openxmlformats.org/officeDocument/2006/relationships" ref="Q2115" display="https://www.sebi.gov.in/sebi_data/attachdocs/1292906909054.pdf" r:id="rId5322"/>
    <hyperlink xmlns:r="http://schemas.openxmlformats.org/officeDocument/2006/relationships" ref="R2115" display="https://www.sebi.gov.in/filings/public-issues/sep-2005/pratibha-industries-limited-pdf_11964.html" r:id="rId5323"/>
    <hyperlink xmlns:r="http://schemas.openxmlformats.org/officeDocument/2006/relationships" ref="AB2115" r:id="rId5324"/>
    <hyperlink xmlns:r="http://schemas.openxmlformats.org/officeDocument/2006/relationships" ref="Q2116" display="https://www.sebi.gov.in/sebi_data/attachdocs/1292906750811.pdf" r:id="rId5325"/>
    <hyperlink xmlns:r="http://schemas.openxmlformats.org/officeDocument/2006/relationships" ref="R2116" display="https://www.sebi.gov.in/filings/public-issues/sep-2005/repro-india-limited-pdf_11961.html" r:id="rId5326"/>
    <hyperlink xmlns:r="http://schemas.openxmlformats.org/officeDocument/2006/relationships" ref="AB2116" r:id="rId5327"/>
    <hyperlink xmlns:r="http://schemas.openxmlformats.org/officeDocument/2006/relationships" ref="Q2117" display="https://www.sebi.gov.in/sebi_data/attachdocs/1292906420698.pdf" r:id="rId5328"/>
    <hyperlink xmlns:r="http://schemas.openxmlformats.org/officeDocument/2006/relationships" ref="R2117" display="https://www.sebi.gov.in/filings/public-issues/sep-2005/aia-engineering-ltd_11952.html" r:id="rId5329"/>
    <hyperlink xmlns:r="http://schemas.openxmlformats.org/officeDocument/2006/relationships" ref="AB2117" r:id="rId5330"/>
    <hyperlink xmlns:r="http://schemas.openxmlformats.org/officeDocument/2006/relationships" ref="Q2118" display="https://www.sebi.gov.in/sebi_data/attachdocs/1292906172140.pdf" r:id="rId5331"/>
    <hyperlink xmlns:r="http://schemas.openxmlformats.org/officeDocument/2006/relationships" ref="R2118" display="https://www.sebi.gov.in/filings/public-issues/sep-2005/tulip-it-services-limited-pdf_11944.html" r:id="rId5332"/>
    <hyperlink xmlns:r="http://schemas.openxmlformats.org/officeDocument/2006/relationships" ref="AB2118" r:id="rId5333"/>
    <hyperlink xmlns:r="http://schemas.openxmlformats.org/officeDocument/2006/relationships" ref="Q2119" display="https://www.sebi.gov.in/sebi_data/attachdocs/1292905985855.pdf" r:id="rId5334"/>
    <hyperlink xmlns:r="http://schemas.openxmlformats.org/officeDocument/2006/relationships" ref="R2119" display="https://www.sebi.gov.in/filings/public-issues/sep-2005/piramyd-retail-limited-pdf_11939.html" r:id="rId5335"/>
    <hyperlink xmlns:r="http://schemas.openxmlformats.org/officeDocument/2006/relationships" ref="AB2119" r:id="rId5336"/>
    <hyperlink xmlns:r="http://schemas.openxmlformats.org/officeDocument/2006/relationships" ref="Q2120" display="https://www.sebi.gov.in/sebi_data/attachdocs/1292905452736.pdf" r:id="rId5337"/>
    <hyperlink xmlns:r="http://schemas.openxmlformats.org/officeDocument/2006/relationships" ref="R2120" display="https://www.sebi.gov.in/filings/public-issues/sep-2005/educomp-solutions-ltd_11924.html" r:id="rId5338"/>
    <hyperlink xmlns:r="http://schemas.openxmlformats.org/officeDocument/2006/relationships" ref="AB2120" r:id="rId5339"/>
    <hyperlink xmlns:r="http://schemas.openxmlformats.org/officeDocument/2006/relationships" ref="Q2121" display="https://www.sebi.gov.in/sebi_data/attachdocs/1292905880903.pdf" r:id="rId5340"/>
    <hyperlink xmlns:r="http://schemas.openxmlformats.org/officeDocument/2006/relationships" ref="R2121" display="https://www.sebi.gov.in/filings/public-issues/sep-2005/srs-entertainment-ltd_11935.html" r:id="rId5341"/>
    <hyperlink xmlns:r="http://schemas.openxmlformats.org/officeDocument/2006/relationships" ref="AB2121" r:id="rId5342"/>
    <hyperlink xmlns:r="http://schemas.openxmlformats.org/officeDocument/2006/relationships" ref="Q2122" display="https://www.sebi.gov.in/sebi_data/attachdocs/1292905231845.pdf" r:id="rId5343"/>
    <hyperlink xmlns:r="http://schemas.openxmlformats.org/officeDocument/2006/relationships" ref="R2122" display="https://www.sebi.gov.in/filings/public-issues/sep-2005/godawari-power-and-ispat-limited-pdf_11919.html" r:id="rId5344"/>
    <hyperlink xmlns:r="http://schemas.openxmlformats.org/officeDocument/2006/relationships" ref="AB2122" r:id="rId5345"/>
    <hyperlink xmlns:r="http://schemas.openxmlformats.org/officeDocument/2006/relationships" ref="Q2123" display="https://www.sebi.gov.in/sebi_data/attachdocs/1294131269132.pdf" r:id="rId5346"/>
    <hyperlink xmlns:r="http://schemas.openxmlformats.org/officeDocument/2006/relationships" ref="R2123" display="https://www.sebi.gov.in/filings/public-issues/sep-2005/everest-kanto-cylinders-ltd_14169.html" r:id="rId5347"/>
    <hyperlink xmlns:r="http://schemas.openxmlformats.org/officeDocument/2006/relationships" ref="AB2123" r:id="rId5348"/>
    <hyperlink xmlns:r="http://schemas.openxmlformats.org/officeDocument/2006/relationships" ref="Q2124" display="https://www.sebi.gov.in/sebi_data/attachdocs/1292847989010.pdf" r:id="rId5349"/>
    <hyperlink xmlns:r="http://schemas.openxmlformats.org/officeDocument/2006/relationships" ref="R2124" display="https://www.sebi.gov.in/filings/public-issues/aug-2005/powersoft-global-solutions-ltd_11867.html" r:id="rId5350"/>
    <hyperlink xmlns:r="http://schemas.openxmlformats.org/officeDocument/2006/relationships" ref="AB2124" r:id="rId5351"/>
    <hyperlink xmlns:r="http://schemas.openxmlformats.org/officeDocument/2006/relationships" ref="Q2125" display="https://www.sebi.gov.in/sebi_data/attachdocs/1292847755187.pdf" r:id="rId5352"/>
    <hyperlink xmlns:r="http://schemas.openxmlformats.org/officeDocument/2006/relationships" ref="R2125" display="https://www.sebi.gov.in/filings/public-issues/aug-2005/prithvi-information-solutions-ltd_11862.html" r:id="rId5353"/>
    <hyperlink xmlns:r="http://schemas.openxmlformats.org/officeDocument/2006/relationships" ref="AB2125" r:id="rId5354"/>
    <hyperlink xmlns:r="http://schemas.openxmlformats.org/officeDocument/2006/relationships" ref="Q2126" display="https://www.sebi.gov.in/sebi_data/attachdocs/1292847835215.pdf" r:id="rId5355"/>
    <hyperlink xmlns:r="http://schemas.openxmlformats.org/officeDocument/2006/relationships" ref="R2126" display="https://www.sebi.gov.in/filings/public-issues/aug-2005/radha-madhav-corporation-ltd_11864.html" r:id="rId5356"/>
    <hyperlink xmlns:r="http://schemas.openxmlformats.org/officeDocument/2006/relationships" ref="AB2126" r:id="rId5357"/>
    <hyperlink xmlns:r="http://schemas.openxmlformats.org/officeDocument/2006/relationships" ref="Q2127" display="https://www.sebi.gov.in/sebi_data/attachdocs/1292847648863.pdf" r:id="rId5358"/>
    <hyperlink xmlns:r="http://schemas.openxmlformats.org/officeDocument/2006/relationships" ref="R2127" display="https://www.sebi.gov.in/filings/public-issues/aug-2005/bannari-amman-spinning-mills-ltd_11861.html" r:id="rId5359"/>
    <hyperlink xmlns:r="http://schemas.openxmlformats.org/officeDocument/2006/relationships" ref="AB2127" r:id="rId5360"/>
    <hyperlink xmlns:r="http://schemas.openxmlformats.org/officeDocument/2006/relationships" ref="Q2128" display="https://www.sebi.gov.in/sebi_data/attachdocs/1292846748050.pdf" r:id="rId5361"/>
    <hyperlink xmlns:r="http://schemas.openxmlformats.org/officeDocument/2006/relationships" ref="R2128" display="https://www.sebi.gov.in/filings/public-issues/aug-2005/nitin-spinning-limited-pdf_11857.html" r:id="rId5362"/>
    <hyperlink xmlns:r="http://schemas.openxmlformats.org/officeDocument/2006/relationships" ref="AB2128" r:id="rId5363"/>
    <hyperlink xmlns:r="http://schemas.openxmlformats.org/officeDocument/2006/relationships" ref="Q2129" display="https://www.sebi.gov.in/sebi_data/attachdocs/1292846621897.pdf" r:id="rId5364"/>
    <hyperlink xmlns:r="http://schemas.openxmlformats.org/officeDocument/2006/relationships" ref="R2129" display="https://www.sebi.gov.in/filings/public-issues/aug-2005/bombay-rayon-fashions-limited-pdf_11856.html" r:id="rId5365"/>
    <hyperlink xmlns:r="http://schemas.openxmlformats.org/officeDocument/2006/relationships" ref="AB2129" r:id="rId5366"/>
    <hyperlink xmlns:r="http://schemas.openxmlformats.org/officeDocument/2006/relationships" ref="Q2130" display="https://www.sebi.gov.in/sebi_data/attachdocs/1292846335646.pdf" r:id="rId5367"/>
    <hyperlink xmlns:r="http://schemas.openxmlformats.org/officeDocument/2006/relationships" ref="R2130" display="https://www.sebi.gov.in/filings/public-issues/aug-2005/abg-shipyard-ltd_11855.html" r:id="rId5368"/>
    <hyperlink xmlns:r="http://schemas.openxmlformats.org/officeDocument/2006/relationships" ref="AB2130" r:id="rId5369"/>
    <hyperlink xmlns:r="http://schemas.openxmlformats.org/officeDocument/2006/relationships" ref="Q2131" display="https://www.sebi.gov.in/sebi_data/attachdocs/1292846217760.pdf" r:id="rId5370"/>
    <hyperlink xmlns:r="http://schemas.openxmlformats.org/officeDocument/2006/relationships" ref="R2131" display="https://www.sebi.gov.in/filings/public-issues/aug-2005/gujarat-industries-power-company-limited-pdf_11852.html" r:id="rId5371"/>
    <hyperlink xmlns:r="http://schemas.openxmlformats.org/officeDocument/2006/relationships" ref="AB2131" r:id="rId5372"/>
    <hyperlink xmlns:r="http://schemas.openxmlformats.org/officeDocument/2006/relationships" ref="Q2132" display="https://www.sebi.gov.in/sebi_data/attachdocs/1292845923450.pdf" r:id="rId5373"/>
    <hyperlink xmlns:r="http://schemas.openxmlformats.org/officeDocument/2006/relationships" ref="R2132" display="https://www.sebi.gov.in/filings/public-issues/aug-2005/kernex-microsystems-india-limited-pdf_11849.html" r:id="rId5374"/>
    <hyperlink xmlns:r="http://schemas.openxmlformats.org/officeDocument/2006/relationships" ref="AB2132" r:id="rId5375"/>
    <hyperlink xmlns:r="http://schemas.openxmlformats.org/officeDocument/2006/relationships" ref="Q2133" display="https://www.sebi.gov.in/sebi_data/attachdocs/1292845622636.pdf" r:id="rId5376"/>
    <hyperlink xmlns:r="http://schemas.openxmlformats.org/officeDocument/2006/relationships" ref="R2133" display="https://www.sebi.gov.in/filings/public-issues/aug-2005/ramsarup-industries-limited-pdf_11845.html" r:id="rId5377"/>
    <hyperlink xmlns:r="http://schemas.openxmlformats.org/officeDocument/2006/relationships" ref="AB2133" r:id="rId5378"/>
    <hyperlink xmlns:r="http://schemas.openxmlformats.org/officeDocument/2006/relationships" ref="Q2134" display="https://www.sebi.gov.in/sebi_data/attachdocs/1292844341331.pdf" r:id="rId5379"/>
    <hyperlink xmlns:r="http://schemas.openxmlformats.org/officeDocument/2006/relationships" ref="R2134" display="https://www.sebi.gov.in/filings/public-issues/aug-2005/rohit-ferro-tech-ltd_11836.html" r:id="rId5380"/>
    <hyperlink xmlns:r="http://schemas.openxmlformats.org/officeDocument/2006/relationships" ref="AB2134" r:id="rId5381"/>
    <hyperlink xmlns:r="http://schemas.openxmlformats.org/officeDocument/2006/relationships" ref="Q2135" display="https://www.sebi.gov.in/sebi_data/attachdocs/1292844501157.pdf" r:id="rId5382"/>
    <hyperlink xmlns:r="http://schemas.openxmlformats.org/officeDocument/2006/relationships" ref="R2135" display="https://www.sebi.gov.in/filings/public-issues/aug-2005/shree-renuka-sugars-limited_11838.html" r:id="rId5383"/>
    <hyperlink xmlns:r="http://schemas.openxmlformats.org/officeDocument/2006/relationships" ref="AB2135" r:id="rId5384"/>
    <hyperlink xmlns:r="http://schemas.openxmlformats.org/officeDocument/2006/relationships" ref="Q2136" display="https://www.sebi.gov.in/sebi_data/attachdocs/1292826786393.pdf" r:id="rId5385"/>
    <hyperlink xmlns:r="http://schemas.openxmlformats.org/officeDocument/2006/relationships" ref="R2136" display="https://www.sebi.gov.in/filings/public-issues/jul-2005/suzlon-energy-limited-pdf_11597.html" r:id="rId5386"/>
    <hyperlink xmlns:r="http://schemas.openxmlformats.org/officeDocument/2006/relationships" ref="AB2136" r:id="rId5387"/>
    <hyperlink xmlns:r="http://schemas.openxmlformats.org/officeDocument/2006/relationships" ref="Q2137" display="https://www.sebi.gov.in/sebi_data/attachdocs/1292826600397.pdf" r:id="rId5388"/>
    <hyperlink xmlns:r="http://schemas.openxmlformats.org/officeDocument/2006/relationships" ref="R2137" display="https://www.sebi.gov.in/filings/public-issues/jul-2005/compulink-systems-limited-pdf_11593.html" r:id="rId5389"/>
    <hyperlink xmlns:r="http://schemas.openxmlformats.org/officeDocument/2006/relationships" ref="AB2137" r:id="rId5390"/>
    <hyperlink xmlns:r="http://schemas.openxmlformats.org/officeDocument/2006/relationships" ref="Q2138" display="https://www.sebi.gov.in/sebi_data/attachdocs/1292826657331.pdf" r:id="rId5391"/>
    <hyperlink xmlns:r="http://schemas.openxmlformats.org/officeDocument/2006/relationships" ref="R2138" display="https://www.sebi.gov.in/filings/public-issues/jul-2005/shree-precoated-steels-limited-pdf_11594.html" r:id="rId5392"/>
    <hyperlink xmlns:r="http://schemas.openxmlformats.org/officeDocument/2006/relationships" ref="AB2138" r:id="rId5393"/>
    <hyperlink xmlns:r="http://schemas.openxmlformats.org/officeDocument/2006/relationships" ref="Q2139" display="https://www.sebi.gov.in/sebi_data/attachdocs/1292907549188.pdf" r:id="rId5394"/>
    <hyperlink xmlns:r="http://schemas.openxmlformats.org/officeDocument/2006/relationships" ref="R2139" display="https://www.sebi.gov.in/filings/public-issues/jun-2005/m-s-kamayani-patients-care-india-ltd-pdf_11984.html" r:id="rId5395"/>
    <hyperlink xmlns:r="http://schemas.openxmlformats.org/officeDocument/2006/relationships" ref="AB2139" r:id="rId5396"/>
    <hyperlink xmlns:r="http://schemas.openxmlformats.org/officeDocument/2006/relationships" ref="Q2140" display="https://www.sebi.gov.in/sebi_data/attachdocs/1292907429200.pdf" r:id="rId5397"/>
    <hyperlink xmlns:r="http://schemas.openxmlformats.org/officeDocument/2006/relationships" ref="R2140" display="https://www.sebi.gov.in/filings/public-issues/jun-2005/km-sugar-mills-limited_11981.html" r:id="rId5398"/>
    <hyperlink xmlns:r="http://schemas.openxmlformats.org/officeDocument/2006/relationships" ref="AB2140" r:id="rId5399"/>
    <hyperlink xmlns:r="http://schemas.openxmlformats.org/officeDocument/2006/relationships" ref="Q2141" display="https://www.sebi.gov.in/sebi_data/attachdocs/1292906799549.pdf" r:id="rId5400"/>
    <hyperlink xmlns:r="http://schemas.openxmlformats.org/officeDocument/2006/relationships" ref="R2141" display="https://www.sebi.gov.in/filings/public-issues/jun-2005/pba-infrastructure-ltd_11962.html" r:id="rId5401"/>
    <hyperlink xmlns:r="http://schemas.openxmlformats.org/officeDocument/2006/relationships" ref="AB2141" r:id="rId5402"/>
    <hyperlink xmlns:r="http://schemas.openxmlformats.org/officeDocument/2006/relationships" ref="Q2142" display="https://www.sebi.gov.in/sebi_data/attachdocs/1292906951972.pdf" r:id="rId5403"/>
    <hyperlink xmlns:r="http://schemas.openxmlformats.org/officeDocument/2006/relationships" ref="R2142" display="https://www.sebi.gov.in/filings/public-issues/jun-2005/pyramid-saimira-theatre-ltd_11967.html" r:id="rId5404"/>
    <hyperlink xmlns:r="http://schemas.openxmlformats.org/officeDocument/2006/relationships" ref="AB2142" r:id="rId5405"/>
    <hyperlink xmlns:r="http://schemas.openxmlformats.org/officeDocument/2006/relationships" ref="Q2143" display="https://www.sebi.gov.in/sebi_data/attachdocs/1292906671290.pdf" r:id="rId5406"/>
    <hyperlink xmlns:r="http://schemas.openxmlformats.org/officeDocument/2006/relationships" ref="R2143" display="https://www.sebi.gov.in/filings/public-issues/jun-2005/aurionpro-solutions-limited-pdf_11959.html" r:id="rId5407"/>
    <hyperlink xmlns:r="http://schemas.openxmlformats.org/officeDocument/2006/relationships" ref="AB2143" r:id="rId5408"/>
    <hyperlink xmlns:r="http://schemas.openxmlformats.org/officeDocument/2006/relationships" ref="Q2144" display="https://www.sebi.gov.in/sebi_data/attachdocs/1292906563120.pdf" r:id="rId5409"/>
    <hyperlink xmlns:r="http://schemas.openxmlformats.org/officeDocument/2006/relationships" ref="R2144" display="https://www.sebi.gov.in/filings/public-issues/jun-2005/triveni-engineering-and-industries-limited-pdf_11956.html" r:id="rId5410"/>
    <hyperlink xmlns:r="http://schemas.openxmlformats.org/officeDocument/2006/relationships" ref="AB2144" r:id="rId5411"/>
    <hyperlink xmlns:r="http://schemas.openxmlformats.org/officeDocument/2006/relationships" ref="Q2145" display="https://www.sebi.gov.in/sebi_data/attachdocs/1292906488819.pdf" r:id="rId5412"/>
    <hyperlink xmlns:r="http://schemas.openxmlformats.org/officeDocument/2006/relationships" ref="R2145" display="https://www.sebi.gov.in/filings/public-issues/jun-2005/raj-rayon-limited-pdf_11954.html" r:id="rId5413"/>
    <hyperlink xmlns:r="http://schemas.openxmlformats.org/officeDocument/2006/relationships" ref="AB2145" r:id="rId5414"/>
    <hyperlink xmlns:r="http://schemas.openxmlformats.org/officeDocument/2006/relationships" ref="Q2146" display="https://www.sebi.gov.in/sebi_data/attachdocs/1292903712025.pdf" r:id="rId5415"/>
    <hyperlink xmlns:r="http://schemas.openxmlformats.org/officeDocument/2006/relationships" ref="R2146" display="https://www.sebi.gov.in/filings/public-issues/may-2005/vikas-metal-and-power-limited-pdf_11894.html" r:id="rId5416"/>
    <hyperlink xmlns:r="http://schemas.openxmlformats.org/officeDocument/2006/relationships" ref="AB2146" r:id="rId5417"/>
    <hyperlink xmlns:r="http://schemas.openxmlformats.org/officeDocument/2006/relationships" ref="Q2147" display="https://www.sebi.gov.in/sebi_data/attachdocs/1292903574573.pdf" r:id="rId5418"/>
    <hyperlink xmlns:r="http://schemas.openxmlformats.org/officeDocument/2006/relationships" ref="R2147" display="https://www.sebi.gov.in/filings/public-issues/may-2005/sasken-communication-technologies-ltd_11892.html" r:id="rId5419"/>
    <hyperlink xmlns:r="http://schemas.openxmlformats.org/officeDocument/2006/relationships" ref="AB2147" r:id="rId5420"/>
    <hyperlink xmlns:r="http://schemas.openxmlformats.org/officeDocument/2006/relationships" ref="Q2148" display="https://www.sebi.gov.in/sebi_data/attachdocs/1292903503350.pdf" r:id="rId5421"/>
    <hyperlink xmlns:r="http://schemas.openxmlformats.org/officeDocument/2006/relationships" ref="R2148" display="https://www.sebi.gov.in/filings/public-issues/may-2005/net-4-india-limited_11890.html" r:id="rId5422"/>
    <hyperlink xmlns:r="http://schemas.openxmlformats.org/officeDocument/2006/relationships" ref="AB2148" r:id="rId5423"/>
    <hyperlink xmlns:r="http://schemas.openxmlformats.org/officeDocument/2006/relationships" ref="Q2149" display="https://www.sebi.gov.in/sebi_data/attachdocs/1292903428724.pdf" r:id="rId5424"/>
    <hyperlink xmlns:r="http://schemas.openxmlformats.org/officeDocument/2006/relationships" ref="R2149" display="https://www.sebi.gov.in/filings/public-issues/may-2005/infrastructure-development-finance-company-limited-pdf_11889.html" r:id="rId5425"/>
    <hyperlink xmlns:r="http://schemas.openxmlformats.org/officeDocument/2006/relationships" ref="AB2149" r:id="rId5426"/>
    <hyperlink xmlns:r="http://schemas.openxmlformats.org/officeDocument/2006/relationships" ref="Q2150" display="https://www.sebi.gov.in/sebi_data/attachdocs/1292903362993.pdf" r:id="rId5427"/>
    <hyperlink xmlns:r="http://schemas.openxmlformats.org/officeDocument/2006/relationships" ref="R2150" display="https://www.sebi.gov.in/filings/public-issues/may-2005/tilaknagar-industries-limited-pdf_11888.html" r:id="rId5428"/>
    <hyperlink xmlns:r="http://schemas.openxmlformats.org/officeDocument/2006/relationships" ref="AB2150" r:id="rId5429"/>
    <hyperlink xmlns:r="http://schemas.openxmlformats.org/officeDocument/2006/relationships" ref="Q2151" display="https://www.sebi.gov.in/sebi_data/attachdocs/1292903217184.pdf" r:id="rId5430"/>
    <hyperlink xmlns:r="http://schemas.openxmlformats.org/officeDocument/2006/relationships" ref="R2151" display="https://www.sebi.gov.in/filings/public-issues/may-2005/shoppers-stop-limited-public-announcement-pdf_11885.html" r:id="rId5431"/>
    <hyperlink xmlns:r="http://schemas.openxmlformats.org/officeDocument/2006/relationships" ref="AB2151" r:id="rId5432"/>
    <hyperlink xmlns:r="http://schemas.openxmlformats.org/officeDocument/2006/relationships" ref="Q2152" display="https://www.sebi.gov.in/sebi_data/attachdocs/1292903268730.pdf" r:id="rId5433"/>
    <hyperlink xmlns:r="http://schemas.openxmlformats.org/officeDocument/2006/relationships" ref="R2152" display="https://www.sebi.gov.in/filings/public-issues/may-2005/southern-online-bio-technologies-limited-pdf_11886.html" r:id="rId5434"/>
    <hyperlink xmlns:r="http://schemas.openxmlformats.org/officeDocument/2006/relationships" ref="AB2152" r:id="rId5435"/>
    <hyperlink xmlns:r="http://schemas.openxmlformats.org/officeDocument/2006/relationships" ref="Q2153" display="https://www.sebi.gov.in/sebi_data/attachdocs/1292843481601.pdf" r:id="rId5436"/>
    <hyperlink xmlns:r="http://schemas.openxmlformats.org/officeDocument/2006/relationships" ref="R2153" display="https://www.sebi.gov.in/filings/public-issues/apr-2005/ht-media-ltd_11825.html" r:id="rId5437"/>
    <hyperlink xmlns:r="http://schemas.openxmlformats.org/officeDocument/2006/relationships" ref="AB2153" r:id="rId5438"/>
    <hyperlink xmlns:r="http://schemas.openxmlformats.org/officeDocument/2006/relationships" ref="Q2154" display="https://www.sebi.gov.in/sebi_data/attachdocs/1292843365441.pdf" r:id="rId5439"/>
    <hyperlink xmlns:r="http://schemas.openxmlformats.org/officeDocument/2006/relationships" ref="R2154" display="https://www.sebi.gov.in/filings/public-issues/apr-2005/ilandfs-investsmart-ltd_11823.html" r:id="rId5440"/>
    <hyperlink xmlns:r="http://schemas.openxmlformats.org/officeDocument/2006/relationships" ref="AB2154" r:id="rId5441"/>
    <hyperlink xmlns:r="http://schemas.openxmlformats.org/officeDocument/2006/relationships" ref="Q2155" display="https://www.sebi.gov.in/sebi_data/attachdocs/1292843065459.pdf" r:id="rId5442"/>
    <hyperlink xmlns:r="http://schemas.openxmlformats.org/officeDocument/2006/relationships" ref="R2155" display="https://www.sebi.gov.in/filings/public-issues/apr-2005/shopper-s-stop-limited-public-announcement_11821.html" r:id="rId5443"/>
    <hyperlink xmlns:r="http://schemas.openxmlformats.org/officeDocument/2006/relationships" ref="AB2155" r:id="rId5444"/>
    <hyperlink xmlns:r="http://schemas.openxmlformats.org/officeDocument/2006/relationships" ref="Q2156" display="https://www.sebi.gov.in/sebi_data/attachdocs/1292842705609.pdf" r:id="rId5445"/>
    <hyperlink xmlns:r="http://schemas.openxmlformats.org/officeDocument/2006/relationships" ref="R2156" display="https://www.sebi.gov.in/filings/public-issues/apr-2005/syndicate-bank-pdf_11817.html" r:id="rId5446"/>
    <hyperlink xmlns:r="http://schemas.openxmlformats.org/officeDocument/2006/relationships" ref="AB2156" r:id="rId5447"/>
    <hyperlink xmlns:r="http://schemas.openxmlformats.org/officeDocument/2006/relationships" ref="Q2157" display="https://www.sebi.gov.in/sebi_data/attachdocs/1292841941754.pdf" r:id="rId5448"/>
    <hyperlink xmlns:r="http://schemas.openxmlformats.org/officeDocument/2006/relationships" ref="R2157" display="https://www.sebi.gov.in/filings/public-issues/apr-2005/provogue-india-limited-pdf_11812.html" r:id="rId5449"/>
    <hyperlink xmlns:r="http://schemas.openxmlformats.org/officeDocument/2006/relationships" ref="AB2157" r:id="rId5450"/>
    <hyperlink xmlns:r="http://schemas.openxmlformats.org/officeDocument/2006/relationships" ref="Q2158" display="https://www.sebi.gov.in/sebi_data/attachdocs/1292841583140.pdf" r:id="rId5451"/>
    <hyperlink xmlns:r="http://schemas.openxmlformats.org/officeDocument/2006/relationships" ref="R2158" display="https://www.sebi.gov.in/filings/public-issues/apr-2005/jindal-poly-films-limited-pdf_11806.html" r:id="rId5452"/>
    <hyperlink xmlns:r="http://schemas.openxmlformats.org/officeDocument/2006/relationships" ref="AB2158" r:id="rId5453"/>
    <hyperlink xmlns:r="http://schemas.openxmlformats.org/officeDocument/2006/relationships" ref="Q2159" display="https://www.sebi.gov.in/sebi_data/attachdocs/1292841477239.pdf" r:id="rId5454"/>
    <hyperlink xmlns:r="http://schemas.openxmlformats.org/officeDocument/2006/relationships" ref="R2159" display="https://www.sebi.gov.in/filings/public-issues/apr-2005/spl-industries-limited-pdf_11804.html" r:id="rId5455"/>
    <hyperlink xmlns:r="http://schemas.openxmlformats.org/officeDocument/2006/relationships" ref="AB2159" r:id="rId5456"/>
    <hyperlink xmlns:r="http://schemas.openxmlformats.org/officeDocument/2006/relationships" ref="Q2160" display="https://www.sebi.gov.in/sebi_data/attachdocs/1292841356125.pdf" r:id="rId5457"/>
    <hyperlink xmlns:r="http://schemas.openxmlformats.org/officeDocument/2006/relationships" ref="R2160" display="https://www.sebi.gov.in/filings/public-issues/apr-2005/saksoft-limited-addemdum-dated-march-25-2005_11800.html" r:id="rId5458"/>
    <hyperlink xmlns:r="http://schemas.openxmlformats.org/officeDocument/2006/relationships" ref="AB2160" r:id="rId5459"/>
    <hyperlink xmlns:r="http://schemas.openxmlformats.org/officeDocument/2006/relationships" ref="Q2161" display="https://www.sebi.gov.in/sebi_data/attachdocs/1292841272787.pdf" r:id="rId5460"/>
    <hyperlink xmlns:r="http://schemas.openxmlformats.org/officeDocument/2006/relationships" ref="R2161" display="https://www.sebi.gov.in/filings/public-issues/apr-2005/nectar-lifesciences-ltd_11796.html" r:id="rId5461"/>
    <hyperlink xmlns:r="http://schemas.openxmlformats.org/officeDocument/2006/relationships" ref="AB2161" r:id="rId5462"/>
    <hyperlink xmlns:r="http://schemas.openxmlformats.org/officeDocument/2006/relationships" ref="Q2162" display="https://www.sebi.gov.in/sebi_data/attachdocs/1292827827960.pdf" r:id="rId5463"/>
    <hyperlink xmlns:r="http://schemas.openxmlformats.org/officeDocument/2006/relationships" ref="R2162" display="https://www.sebi.gov.in/filings/public-issues/mar-2005/yash-papers-limited_11611.html" r:id="rId5464"/>
    <hyperlink xmlns:r="http://schemas.openxmlformats.org/officeDocument/2006/relationships" ref="AB2162" r:id="rId5465"/>
    <hyperlink xmlns:r="http://schemas.openxmlformats.org/officeDocument/2006/relationships" ref="Q2163" display="https://www.sebi.gov.in/sebi_data/attachdocs/1292826999106.pdf" r:id="rId5466"/>
    <hyperlink xmlns:r="http://schemas.openxmlformats.org/officeDocument/2006/relationships" ref="R2163" display="https://www.sebi.gov.in/filings/public-issues/mar-2005/century-extrusions-ltd_11601.html" r:id="rId5467"/>
    <hyperlink xmlns:r="http://schemas.openxmlformats.org/officeDocument/2006/relationships" ref="AB2163" r:id="rId5468"/>
    <hyperlink xmlns:r="http://schemas.openxmlformats.org/officeDocument/2006/relationships" ref="Q2164" display="https://www.sebi.gov.in/sebi_data/attachdocs/1292827272402.pdf" r:id="rId5469"/>
    <hyperlink xmlns:r="http://schemas.openxmlformats.org/officeDocument/2006/relationships" ref="R2164" display="https://www.sebi.gov.in/filings/public-issues/mar-2005/the-oudh-sugar-mills-limited_11607.html" r:id="rId5470"/>
    <hyperlink xmlns:r="http://schemas.openxmlformats.org/officeDocument/2006/relationships" ref="AB2164" r:id="rId5471"/>
    <hyperlink xmlns:r="http://schemas.openxmlformats.org/officeDocument/2006/relationships" ref="Q2165" display="https://www.sebi.gov.in/sebi_data/attachdocs/1292826307499.pdf" r:id="rId5472"/>
    <hyperlink xmlns:r="http://schemas.openxmlformats.org/officeDocument/2006/relationships" ref="R2165" display="https://www.sebi.gov.in/filings/public-issues/mar-2005/talbros-automotive-components-limited-pdf_11586.html" r:id="rId5473"/>
    <hyperlink xmlns:r="http://schemas.openxmlformats.org/officeDocument/2006/relationships" ref="AB2165" r:id="rId5474"/>
    <hyperlink xmlns:r="http://schemas.openxmlformats.org/officeDocument/2006/relationships" ref="Q2166" display="https://www.sebi.gov.in/sebi_data/attachdocs/1292826233895.pdf" r:id="rId5475"/>
    <hyperlink xmlns:r="http://schemas.openxmlformats.org/officeDocument/2006/relationships" ref="R2166" display="https://www.sebi.gov.in/filings/public-issues/mar-2005/yes-bank-ltd_11583.html" r:id="rId5476"/>
    <hyperlink xmlns:r="http://schemas.openxmlformats.org/officeDocument/2006/relationships" ref="Q2167" display="https://www.sebi.gov.in/sebi_data/attachdocs/1292825864031.pdf" r:id="rId5477"/>
    <hyperlink xmlns:r="http://schemas.openxmlformats.org/officeDocument/2006/relationships" ref="R2167" display="https://www.sebi.gov.in/filings/public-issues/mar-2005/oriental-bank-of-commerce_11575.html" r:id="rId5478"/>
    <hyperlink xmlns:r="http://schemas.openxmlformats.org/officeDocument/2006/relationships" ref="AB2167" r:id="rId5479"/>
    <hyperlink xmlns:r="http://schemas.openxmlformats.org/officeDocument/2006/relationships" ref="Q2168" display="https://www.sebi.gov.in/sebi_data/attachdocs/1292825583545.pdf" r:id="rId5480"/>
    <hyperlink xmlns:r="http://schemas.openxmlformats.org/officeDocument/2006/relationships" ref="R2168" display="https://www.sebi.gov.in/filings/public-issues/mar-2005/color-chips-india-ltd_11571.html" r:id="rId5481"/>
    <hyperlink xmlns:r="http://schemas.openxmlformats.org/officeDocument/2006/relationships" ref="AB2168" r:id="rId5482"/>
    <hyperlink xmlns:r="http://schemas.openxmlformats.org/officeDocument/2006/relationships" ref="Q2169" display="https://www.sebi.gov.in/sebi_data/attachdocs/1292825335951.pdf" r:id="rId5483"/>
    <hyperlink xmlns:r="http://schemas.openxmlformats.org/officeDocument/2006/relationships" ref="R2169" display="https://www.sebi.gov.in/filings/public-issues/mar-2005/gwalior-chemical-industries-ltd_11568.html" r:id="rId5484"/>
    <hyperlink xmlns:r="http://schemas.openxmlformats.org/officeDocument/2006/relationships" ref="Q2170" display="https://www.sebi.gov.in/sebi_data/attachdocs/1292825041727.pdf" r:id="rId5485"/>
    <hyperlink xmlns:r="http://schemas.openxmlformats.org/officeDocument/2006/relationships" ref="R2170" display="https://www.sebi.gov.in/filings/public-issues/mar-2005/era-constructions-india-limited_11564.html" r:id="rId5486"/>
    <hyperlink xmlns:r="http://schemas.openxmlformats.org/officeDocument/2006/relationships" ref="AB2170" r:id="rId5487"/>
    <hyperlink xmlns:r="http://schemas.openxmlformats.org/officeDocument/2006/relationships" ref="Q2171" display="https://www.sebi.gov.in/sebi_data/attachdocs/1292820809409.pdf" r:id="rId5488"/>
    <hyperlink xmlns:r="http://schemas.openxmlformats.org/officeDocument/2006/relationships" ref="R2171" display="https://www.sebi.gov.in/filings/public-issues/feb-2005/india-infoline-limited-pdf_11506.html" r:id="rId5489"/>
    <hyperlink xmlns:r="http://schemas.openxmlformats.org/officeDocument/2006/relationships" ref="AB2171" r:id="rId5490"/>
    <hyperlink xmlns:r="http://schemas.openxmlformats.org/officeDocument/2006/relationships" ref="Q2172" display="https://www.sebi.gov.in/sebi_data/attachdocs/1292820511226.pdf" r:id="rId5491"/>
    <hyperlink xmlns:r="http://schemas.openxmlformats.org/officeDocument/2006/relationships" ref="R2172" display="https://www.sebi.gov.in/filings/public-issues/feb-2005/alps-industries-limited-pdf_11505.html" r:id="rId5492"/>
    <hyperlink xmlns:r="http://schemas.openxmlformats.org/officeDocument/2006/relationships" ref="AB2172" r:id="rId5493"/>
    <hyperlink xmlns:r="http://schemas.openxmlformats.org/officeDocument/2006/relationships" ref="Q2173" display="https://www.sebi.gov.in/sebi_data/attachdocs/1292820329626.pdf" r:id="rId5494"/>
    <hyperlink xmlns:r="http://schemas.openxmlformats.org/officeDocument/2006/relationships" ref="R2173" display="https://www.sebi.gov.in/filings/public-issues/feb-2005/allahabad-bank_11504.html" r:id="rId5495"/>
    <hyperlink xmlns:r="http://schemas.openxmlformats.org/officeDocument/2006/relationships" ref="AB2173" r:id="rId5496"/>
    <hyperlink xmlns:r="http://schemas.openxmlformats.org/officeDocument/2006/relationships" ref="Q2174" display="https://www.sebi.gov.in/sebi_data/attachdocs/1292820198339.pdf" r:id="rId5497"/>
    <hyperlink xmlns:r="http://schemas.openxmlformats.org/officeDocument/2006/relationships" ref="R2174" display="https://www.sebi.gov.in/filings/public-issues/feb-2005/alps-industries-ltd_11503.html" r:id="rId5498"/>
    <hyperlink xmlns:r="http://schemas.openxmlformats.org/officeDocument/2006/relationships" ref="AB2174" r:id="rId5499"/>
    <hyperlink xmlns:r="http://schemas.openxmlformats.org/officeDocument/2006/relationships" ref="Q2175" display="https://www.sebi.gov.in/sebi_data/attachdocs/1292820126112.pdf" r:id="rId5500"/>
    <hyperlink xmlns:r="http://schemas.openxmlformats.org/officeDocument/2006/relationships" ref="R2175" display="https://www.sebi.gov.in/filings/public-issues/feb-2005/southern-iron-and-steel-co-limited_11502.html" r:id="rId5501"/>
    <hyperlink xmlns:r="http://schemas.openxmlformats.org/officeDocument/2006/relationships" ref="Q2176" display="https://www.sebi.gov.in/sebi_data/attachdocs/1292819945096.pdf" r:id="rId5502"/>
    <hyperlink xmlns:r="http://schemas.openxmlformats.org/officeDocument/2006/relationships" ref="R2176" display="https://www.sebi.gov.in/filings/public-issues/feb-2005/3i-infotech-limited_11501.html" r:id="rId5503"/>
    <hyperlink xmlns:r="http://schemas.openxmlformats.org/officeDocument/2006/relationships" ref="AB2176" r:id="rId5504"/>
    <hyperlink xmlns:r="http://schemas.openxmlformats.org/officeDocument/2006/relationships" ref="Q2177" display="https://www.sebi.gov.in/sebi_data/attachdocs/1292819603104.pdf" r:id="rId5505"/>
    <hyperlink xmlns:r="http://schemas.openxmlformats.org/officeDocument/2006/relationships" ref="R2177" display="https://www.sebi.gov.in/filings/public-issues/feb-2005/allsec-technologies-limited-pdf_11500.html" r:id="rId5506"/>
    <hyperlink xmlns:r="http://schemas.openxmlformats.org/officeDocument/2006/relationships" ref="AB2177" r:id="rId5507"/>
    <hyperlink xmlns:r="http://schemas.openxmlformats.org/officeDocument/2006/relationships" ref="Q2178" display="https://www.sebi.gov.in/sebi_data/attachdocs/1292819152783.pdf" r:id="rId5508"/>
    <hyperlink xmlns:r="http://schemas.openxmlformats.org/officeDocument/2006/relationships" ref="R2178" display="https://www.sebi.gov.in/filings/public-issues/feb-2005/gokaldas-exports-ltd_11498.html" r:id="rId5509"/>
    <hyperlink xmlns:r="http://schemas.openxmlformats.org/officeDocument/2006/relationships" ref="AB2178" r:id="rId5510"/>
    <hyperlink xmlns:r="http://schemas.openxmlformats.org/officeDocument/2006/relationships" ref="Q2179" display="https://www.sebi.gov.in/sebi_data/attachdocs/1292819429819.pdf" r:id="rId5511"/>
    <hyperlink xmlns:r="http://schemas.openxmlformats.org/officeDocument/2006/relationships" ref="R2179" display="https://www.sebi.gov.in/filings/public-issues/feb-2005/jaiprakash-hydro-power-ltd_11499.html" r:id="rId5512"/>
    <hyperlink xmlns:r="http://schemas.openxmlformats.org/officeDocument/2006/relationships" ref="AB2179" r:id="rId5513"/>
    <hyperlink xmlns:r="http://schemas.openxmlformats.org/officeDocument/2006/relationships" ref="Q2180" display="https://www.sebi.gov.in/sebi_data/attachdocs/1292819060030.pdf" r:id="rId5514"/>
    <hyperlink xmlns:r="http://schemas.openxmlformats.org/officeDocument/2006/relationships" ref="R2180" display="https://www.sebi.gov.in/filings/public-issues/feb-2005/uniply-industries-limited_11497.html" r:id="rId5515"/>
    <hyperlink xmlns:r="http://schemas.openxmlformats.org/officeDocument/2006/relationships" ref="AB2180" r:id="rId5516"/>
    <hyperlink xmlns:r="http://schemas.openxmlformats.org/officeDocument/2006/relationships" ref="Q2181" display="https://www.sebi.gov.in/sebi_data/attachdocs/1292818962364.pdf" r:id="rId5517"/>
    <hyperlink xmlns:r="http://schemas.openxmlformats.org/officeDocument/2006/relationships" ref="R2181" display="https://www.sebi.gov.in/filings/public-issues/feb-2005/shri-ramrupai-balaji-steels-limited_11496.html" r:id="rId5518"/>
    <hyperlink xmlns:r="http://schemas.openxmlformats.org/officeDocument/2006/relationships" ref="AB2181" r:id="rId5519"/>
    <hyperlink xmlns:r="http://schemas.openxmlformats.org/officeDocument/2006/relationships" ref="Q2182" display="https://www.sebi.gov.in/sebi_data/attachdocs/1292818541592.pdf" r:id="rId5520"/>
    <hyperlink xmlns:r="http://schemas.openxmlformats.org/officeDocument/2006/relationships" ref="R2182" display="https://www.sebi.gov.in/filings/public-issues/feb-2005/ivrcl-infrastructure-and-projects-ltd_11495.html" r:id="rId5521"/>
    <hyperlink xmlns:r="http://schemas.openxmlformats.org/officeDocument/2006/relationships" ref="AB2182" r:id="rId5522"/>
    <hyperlink xmlns:r="http://schemas.openxmlformats.org/officeDocument/2006/relationships" ref="Q2183" display="https://www.sebi.gov.in/sebi_data/attachdocs/1292585905359.pdf" r:id="rId5523"/>
    <hyperlink xmlns:r="http://schemas.openxmlformats.org/officeDocument/2006/relationships" ref="R2183" display="https://www.sebi.gov.in/filings/public-issues/jan-2005/paradyne-infotech-limited-pdf_11465.html" r:id="rId5524"/>
    <hyperlink xmlns:r="http://schemas.openxmlformats.org/officeDocument/2006/relationships" ref="AB2183" r:id="rId5525"/>
    <hyperlink xmlns:r="http://schemas.openxmlformats.org/officeDocument/2006/relationships" ref="Q2184" display="https://www.sebi.gov.in/sebi_data/attachdocs/1292585823104.pdf" r:id="rId5526"/>
    <hyperlink xmlns:r="http://schemas.openxmlformats.org/officeDocument/2006/relationships" ref="R2184" display="https://www.sebi.gov.in/filings/public-issues/jan-2005/shringar-cinemas-limited_11464.html" r:id="rId5527"/>
    <hyperlink xmlns:r="http://schemas.openxmlformats.org/officeDocument/2006/relationships" ref="AB2184" r:id="rId5528"/>
    <hyperlink xmlns:r="http://schemas.openxmlformats.org/officeDocument/2006/relationships" ref="Q2185" display="https://www.sebi.gov.in/sebi_data/attachdocs/1292585729311.pdf" r:id="rId5529"/>
    <hyperlink xmlns:r="http://schemas.openxmlformats.org/officeDocument/2006/relationships" ref="R2185" display="https://www.sebi.gov.in/filings/public-issues/jan-2005/punjab-national-bank-pdf_11463.html" r:id="rId5530"/>
    <hyperlink xmlns:r="http://schemas.openxmlformats.org/officeDocument/2006/relationships" ref="AB2185" r:id="rId5531"/>
    <hyperlink xmlns:r="http://schemas.openxmlformats.org/officeDocument/2006/relationships" ref="Q2186" display="https://www.sebi.gov.in/sebi_data/attachdocs/1292585658020.pdf" r:id="rId5532"/>
    <hyperlink xmlns:r="http://schemas.openxmlformats.org/officeDocument/2006/relationships" ref="R2186" display="https://www.sebi.gov.in/filings/public-issues/jan-2005/shree-ganesh-forgings-limited_11462.html" r:id="rId5533"/>
    <hyperlink xmlns:r="http://schemas.openxmlformats.org/officeDocument/2006/relationships" ref="AB2186" r:id="rId5534"/>
    <hyperlink xmlns:r="http://schemas.openxmlformats.org/officeDocument/2006/relationships" ref="Q2187" display="https://www.sebi.gov.in/sebi_data/attachdocs/1292585594248.pdf" r:id="rId5535"/>
    <hyperlink xmlns:r="http://schemas.openxmlformats.org/officeDocument/2006/relationships" ref="R2187" display="https://www.sebi.gov.in/filings/public-issues/jan-2005/jet-airways-india-ltd-pdf_11461.html" r:id="rId5536"/>
    <hyperlink xmlns:r="http://schemas.openxmlformats.org/officeDocument/2006/relationships" ref="AB2187" r:id="rId5537"/>
    <hyperlink xmlns:r="http://schemas.openxmlformats.org/officeDocument/2006/relationships" ref="Q2188" display="https://www.sebi.gov.in/sebi_data/attachdocs/1292585497043.pdf" r:id="rId5538"/>
    <hyperlink xmlns:r="http://schemas.openxmlformats.org/officeDocument/2006/relationships" ref="R2188" display="https://www.sebi.gov.in/filings/public-issues/jan-2005/beeyu-overseas-ltd-pdf_11460.html" r:id="rId5539"/>
    <hyperlink xmlns:r="http://schemas.openxmlformats.org/officeDocument/2006/relationships" ref="AB2188" r:id="rId5540"/>
    <hyperlink xmlns:r="http://schemas.openxmlformats.org/officeDocument/2006/relationships" ref="Q2189" display="https://www.sebi.gov.in/sebi_data/attachdocs/1293431041396.pdf" r:id="rId5541"/>
    <hyperlink xmlns:r="http://schemas.openxmlformats.org/officeDocument/2006/relationships" ref="R2189" display="https://www.sebi.gov.in/filings/public-issues/dec-2004/emami-limited_13483.html" r:id="rId5542"/>
    <hyperlink xmlns:r="http://schemas.openxmlformats.org/officeDocument/2006/relationships" ref="AB2189" r:id="rId5543"/>
    <hyperlink xmlns:r="http://schemas.openxmlformats.org/officeDocument/2006/relationships" ref="Q2190" display="https://www.sebi.gov.in/sebi_data/attachdocs/1293430907268.pdf" r:id="rId5544"/>
    <hyperlink xmlns:r="http://schemas.openxmlformats.org/officeDocument/2006/relationships" ref="R2190" display="https://www.sebi.gov.in/filings/public-issues/dec-2004/draft-prospectus-fcs-software-solutions-limited_13482.html" r:id="rId5545"/>
    <hyperlink xmlns:r="http://schemas.openxmlformats.org/officeDocument/2006/relationships" ref="AB2190" r:id="rId5546"/>
    <hyperlink xmlns:r="http://schemas.openxmlformats.org/officeDocument/2006/relationships" ref="Q2191" display="https://www.sebi.gov.in/sebi_data/attachdocs/1293430106550.pdf" r:id="rId5547"/>
    <hyperlink xmlns:r="http://schemas.openxmlformats.org/officeDocument/2006/relationships" ref="R2191" display="https://www.sebi.gov.in/filings/public-issues/dec-2004/amar-remedies-limited_13478.html" r:id="rId5548"/>
    <hyperlink xmlns:r="http://schemas.openxmlformats.org/officeDocument/2006/relationships" ref="AB2191" r:id="rId5549"/>
    <hyperlink xmlns:r="http://schemas.openxmlformats.org/officeDocument/2006/relationships" ref="Q2192" display="https://www.sebi.gov.in/sebi_data/attachdocs/1293428682728.pdf" r:id="rId5550"/>
    <hyperlink xmlns:r="http://schemas.openxmlformats.org/officeDocument/2006/relationships" ref="R2192" display="https://www.sebi.gov.in/filings/public-issues/dec-2004/nandan-exim-limited_13471.html" r:id="rId5551"/>
    <hyperlink xmlns:r="http://schemas.openxmlformats.org/officeDocument/2006/relationships" ref="AB2192" r:id="rId5552"/>
    <hyperlink xmlns:r="http://schemas.openxmlformats.org/officeDocument/2006/relationships" ref="Q2193" display="https://www.sebi.gov.in/sebi_data/attachdocs/1293425223480.pdf" r:id="rId5553"/>
    <hyperlink xmlns:r="http://schemas.openxmlformats.org/officeDocument/2006/relationships" ref="R2193" display="https://www.sebi.gov.in/filings/public-issues/dec-2004/vivimed-labs-ltd-pdf_13453.html" r:id="rId5554"/>
    <hyperlink xmlns:r="http://schemas.openxmlformats.org/officeDocument/2006/relationships" ref="AB2193" r:id="rId5555"/>
    <hyperlink xmlns:r="http://schemas.openxmlformats.org/officeDocument/2006/relationships" ref="Q2194" display="https://www.sebi.gov.in/sebi_data/attachdocs/1293428589258.pdf" r:id="rId5556"/>
    <hyperlink xmlns:r="http://schemas.openxmlformats.org/officeDocument/2006/relationships" ref="R2194" display="https://www.sebi.gov.in/filings/public-issues/dec-2004/beeyu-overseas-ltd-pdf_13468.html" r:id="rId5557"/>
    <hyperlink xmlns:r="http://schemas.openxmlformats.org/officeDocument/2006/relationships" ref="AB2194" r:id="rId5558"/>
    <hyperlink xmlns:r="http://schemas.openxmlformats.org/officeDocument/2006/relationships" ref="Q2195" display="https://www.sebi.gov.in/sebi_data/attachdocs/1293427681401.pdf" r:id="rId5559"/>
    <hyperlink xmlns:r="http://schemas.openxmlformats.org/officeDocument/2006/relationships" ref="R2195" display="https://www.sebi.gov.in/filings/public-issues/dec-2004/utv-software-communications-limited-pdf_13466.html" r:id="rId5560"/>
    <hyperlink xmlns:r="http://schemas.openxmlformats.org/officeDocument/2006/relationships" ref="AB2195" r:id="rId5561"/>
    <hyperlink xmlns:r="http://schemas.openxmlformats.org/officeDocument/2006/relationships" ref="Q2196" display="https://www.sebi.gov.in/sebi_data/attachdocs/1293427440754.pdf" r:id="rId5562"/>
    <hyperlink xmlns:r="http://schemas.openxmlformats.org/officeDocument/2006/relationships" ref="R2196" display="https://www.sebi.gov.in/filings/public-issues/dec-2004/sms-pharmaceuticals-limited_13465.html" r:id="rId5563"/>
    <hyperlink xmlns:r="http://schemas.openxmlformats.org/officeDocument/2006/relationships" ref="Q2197" display="https://www.sebi.gov.in/sebi_data/attachdocs/1300086403381.pdf" r:id="rId5564"/>
    <hyperlink xmlns:r="http://schemas.openxmlformats.org/officeDocument/2006/relationships" ref="R2197" display="https://www.sebi.gov.in/filings/public-issues/dec-2004/capricorn-systems-global-solutions-limited_16124.html" r:id="rId5565"/>
    <hyperlink xmlns:r="http://schemas.openxmlformats.org/officeDocument/2006/relationships" ref="Q2198" display="https://www.sebi.gov.in/sebi_data/attachdocs/1293427310084.pdf" r:id="rId5566"/>
    <hyperlink xmlns:r="http://schemas.openxmlformats.org/officeDocument/2006/relationships" ref="R2198" display="https://www.sebi.gov.in/filings/public-issues/dec-2004/saksoft-limited_13464.html" r:id="rId5567"/>
    <hyperlink xmlns:r="http://schemas.openxmlformats.org/officeDocument/2006/relationships" ref="AB2198" r:id="rId5568"/>
    <hyperlink xmlns:r="http://schemas.openxmlformats.org/officeDocument/2006/relationships" ref="Q2199" display="https://www.sebi.gov.in/sebi_data/attachdocs/1293426062977.pdf" r:id="rId5569"/>
    <hyperlink xmlns:r="http://schemas.openxmlformats.org/officeDocument/2006/relationships" ref="R2199" display="https://www.sebi.gov.in/filings/public-issues/dec-2004/dena-bank_13461.html" r:id="rId5570"/>
    <hyperlink xmlns:r="http://schemas.openxmlformats.org/officeDocument/2006/relationships" ref="AB2199" r:id="rId5571"/>
    <hyperlink xmlns:r="http://schemas.openxmlformats.org/officeDocument/2006/relationships" ref="Q2200" display="https://www.sebi.gov.in/sebi_data/attachdocs/1293426145632.pdf" r:id="rId5572"/>
    <hyperlink xmlns:r="http://schemas.openxmlformats.org/officeDocument/2006/relationships" ref="R2200" display="https://www.sebi.gov.in/filings/public-issues/dec-2004/the-coonoor-tea-estates-co-ltd-pdf_13462.html" r:id="rId5573"/>
    <hyperlink xmlns:r="http://schemas.openxmlformats.org/officeDocument/2006/relationships" ref="Q2201" display="https://www.sebi.gov.in/sebi_data/attachdocs/1293192546276.pdf" r:id="rId5574"/>
    <hyperlink xmlns:r="http://schemas.openxmlformats.org/officeDocument/2006/relationships" ref="R2201" display="https://www.sebi.gov.in/filings/public-issues/nov-2004/mangalam-drugs-and-organics-limited_13381.html" r:id="rId5575"/>
    <hyperlink xmlns:r="http://schemas.openxmlformats.org/officeDocument/2006/relationships" ref="AB2201" r:id="rId5576"/>
    <hyperlink xmlns:r="http://schemas.openxmlformats.org/officeDocument/2006/relationships" ref="Q2202" display="https://www.sebi.gov.in/sebi_data/attachdocs/1293191628528.pdf" r:id="rId5577"/>
    <hyperlink xmlns:r="http://schemas.openxmlformats.org/officeDocument/2006/relationships" ref="R2202" display="https://www.sebi.gov.in/filings/public-issues/nov-2004/icici-bank-limited-part-1_13372.html" r:id="rId5578"/>
    <hyperlink xmlns:r="http://schemas.openxmlformats.org/officeDocument/2006/relationships" ref="Q2203" display="https://www.sebi.gov.in/sebi_data/attachdocs/1293191265811.pdf" r:id="rId5579"/>
    <hyperlink xmlns:r="http://schemas.openxmlformats.org/officeDocument/2006/relationships" ref="R2203" display="https://www.sebi.gov.in/filings/public-issues/nov-2004/icici-bank-limited-part-2_13371.html" r:id="rId5580"/>
    <hyperlink xmlns:r="http://schemas.openxmlformats.org/officeDocument/2006/relationships" ref="Q2204" display="https://www.sebi.gov.in/sebi_data/attachdocs/1293191207819.pdf" r:id="rId5581"/>
    <hyperlink xmlns:r="http://schemas.openxmlformats.org/officeDocument/2006/relationships" ref="R2204" display="https://www.sebi.gov.in/filings/public-issues/nov-2004/icici-bank-limited-part-3_13370.html" r:id="rId5582"/>
    <hyperlink xmlns:r="http://schemas.openxmlformats.org/officeDocument/2006/relationships" ref="Q2205" display="https://www.sebi.gov.in/sebi_data/attachdocs/1293191151198.pdf" r:id="rId5583"/>
    <hyperlink xmlns:r="http://schemas.openxmlformats.org/officeDocument/2006/relationships" ref="R2205" display="https://www.sebi.gov.in/filings/public-issues/nov-2004/plus-paper-foodpac-limited_13369.html" r:id="rId5584"/>
    <hyperlink xmlns:r="http://schemas.openxmlformats.org/officeDocument/2006/relationships" ref="Q2206" display="https://www.sebi.gov.in/sebi_data/attachdocs/1293190921015.pdf" r:id="rId5585"/>
    <hyperlink xmlns:r="http://schemas.openxmlformats.org/officeDocument/2006/relationships" ref="R2206" display="https://www.sebi.gov.in/filings/public-issues/nov-2004/sunil-synchem-limited_13367.html" r:id="rId5586"/>
    <hyperlink xmlns:r="http://schemas.openxmlformats.org/officeDocument/2006/relationships" ref="Q2207" display="https://www.sebi.gov.in/sebi_data/attachdocs/1293176642506.pdf" r:id="rId5587"/>
    <hyperlink xmlns:r="http://schemas.openxmlformats.org/officeDocument/2006/relationships" ref="R2207" display="https://www.sebi.gov.in/filings/public-issues/oct-2004/cyber-media-india-ltd-pdf_13211.html" r:id="rId5588"/>
    <hyperlink xmlns:r="http://schemas.openxmlformats.org/officeDocument/2006/relationships" ref="AB2207" r:id="rId5589"/>
    <hyperlink xmlns:r="http://schemas.openxmlformats.org/officeDocument/2006/relationships" ref="Q2208" display="https://www.sebi.gov.in/sebi_data/attachdocs/1300086582467.pdf" r:id="rId5590"/>
    <hyperlink xmlns:r="http://schemas.openxmlformats.org/officeDocument/2006/relationships" ref="R2208" display="https://www.sebi.gov.in/filings/public-issues/oct-2004/net-vision-web-technologies-limtied-offer-for-sale_16129.html" r:id="rId5591"/>
    <hyperlink xmlns:r="http://schemas.openxmlformats.org/officeDocument/2006/relationships" ref="Q2209" display="https://www.sebi.gov.in/sebi_data/attachdocs/1293172782476.pdf" r:id="rId5592"/>
    <hyperlink xmlns:r="http://schemas.openxmlformats.org/officeDocument/2006/relationships" ref="R2209" display="https://www.sebi.gov.in/filings/public-issues/oct-2004/usher-agro-limited_13191.html" r:id="rId5593"/>
    <hyperlink xmlns:r="http://schemas.openxmlformats.org/officeDocument/2006/relationships" ref="AB2209" r:id="rId5594"/>
    <hyperlink xmlns:r="http://schemas.openxmlformats.org/officeDocument/2006/relationships" ref="Q2210" display="https://www.sebi.gov.in/sebi_data/attachdocs/1293163070751.pdf" r:id="rId5595"/>
    <hyperlink xmlns:r="http://schemas.openxmlformats.org/officeDocument/2006/relationships" ref="R2210" display="https://www.sebi.gov.in/filings/public-issues/sep-2004/idbi-flexibond-series-2004-2005-part-a-pdf_13100.html" r:id="rId5596"/>
    <hyperlink xmlns:r="http://schemas.openxmlformats.org/officeDocument/2006/relationships" ref="Q2211" display="https://www.sebi.gov.in/sebi_data/attachdocs/1293163950446.pdf" r:id="rId5597"/>
    <hyperlink xmlns:r="http://schemas.openxmlformats.org/officeDocument/2006/relationships" ref="R2211" display="https://www.sebi.gov.in/filings/public-issues/sep-2004/idbi-flexibond-series-2004-2005-part-b-pdf_13105.html" r:id="rId5598"/>
    <hyperlink xmlns:r="http://schemas.openxmlformats.org/officeDocument/2006/relationships" ref="Q2212" display="https://www.sebi.gov.in/sebi_data/attachdocs/1293164121884.pdf" r:id="rId5599"/>
    <hyperlink xmlns:r="http://schemas.openxmlformats.org/officeDocument/2006/relationships" ref="R2212" display="https://www.sebi.gov.in/filings/public-issues/sep-2004/idbi-flexibond-series-2004-2005-part-c-pdf_13109.html" r:id="rId5600"/>
    <hyperlink xmlns:r="http://schemas.openxmlformats.org/officeDocument/2006/relationships" ref="Q2213" display="https://www.sebi.gov.in/sebi_data/attachdocs/1293162306719.pdf" r:id="rId5601"/>
    <hyperlink xmlns:r="http://schemas.openxmlformats.org/officeDocument/2006/relationships" ref="R2213" display="https://www.sebi.gov.in/filings/public-issues/sep-2004/bharati-shipyard-limited-pdf_13098.html" r:id="rId5602"/>
    <hyperlink xmlns:r="http://schemas.openxmlformats.org/officeDocument/2006/relationships" ref="AB2213" r:id="rId5603"/>
    <hyperlink xmlns:r="http://schemas.openxmlformats.org/officeDocument/2006/relationships" ref="Q2214" display="https://www.sebi.gov.in/sebi_data/attachdocs/1293106430692.pdf" r:id="rId5604"/>
    <hyperlink xmlns:r="http://schemas.openxmlformats.org/officeDocument/2006/relationships" ref="R2214" display="https://www.sebi.gov.in/filings/public-issues/sep-2004/dwarikesh-sugar-industries-limited_13097.html" r:id="rId5605"/>
    <hyperlink xmlns:r="http://schemas.openxmlformats.org/officeDocument/2006/relationships" ref="AB2214" r:id="rId5606"/>
    <hyperlink xmlns:r="http://schemas.openxmlformats.org/officeDocument/2006/relationships" ref="Q2215" display="https://www.sebi.gov.in/sebi_data/attachdocs/1293105915197.pdf" r:id="rId5607"/>
    <hyperlink xmlns:r="http://schemas.openxmlformats.org/officeDocument/2006/relationships" ref="R2215" display="https://www.sebi.gov.in/filings/public-issues/sep-2004/hfcl-infotel-limited-pdf_13096.html" r:id="rId5608"/>
    <hyperlink xmlns:r="http://schemas.openxmlformats.org/officeDocument/2006/relationships" ref="Q2216" display="https://www.sebi.gov.in/sebi_data/attachdocs/1293083301000.pdf" r:id="rId5609"/>
    <hyperlink xmlns:r="http://schemas.openxmlformats.org/officeDocument/2006/relationships" ref="R2216" display="https://www.sebi.gov.in/filings/public-issues/aug-2004/national-thermal-power-corporation-limited_12905.html" r:id="rId5610"/>
    <hyperlink xmlns:r="http://schemas.openxmlformats.org/officeDocument/2006/relationships" ref="AB2216" r:id="rId5611"/>
    <hyperlink xmlns:r="http://schemas.openxmlformats.org/officeDocument/2006/relationships" ref="Q2217" display="https://www.sebi.gov.in/sebi_data/attachdocs/1293083112551.pdf" r:id="rId5612"/>
    <hyperlink xmlns:r="http://schemas.openxmlformats.org/officeDocument/2006/relationships" ref="R2217" display="https://www.sebi.gov.in/filings/public-issues/aug-2004/mars-restaurants-limited_12903.html" r:id="rId5613"/>
    <hyperlink xmlns:r="http://schemas.openxmlformats.org/officeDocument/2006/relationships" ref="Q2218" display="https://www.sebi.gov.in/sebi_data/attachdocs/1293082881081.pdf" r:id="rId5614"/>
    <hyperlink xmlns:r="http://schemas.openxmlformats.org/officeDocument/2006/relationships" ref="R2218" display="https://www.sebi.gov.in/filings/public-issues/aug-2004/shopper-s-stop-limited_12900.html" r:id="rId5615"/>
    <hyperlink xmlns:r="http://schemas.openxmlformats.org/officeDocument/2006/relationships" ref="AB2218" r:id="rId5616"/>
    <hyperlink xmlns:r="http://schemas.openxmlformats.org/officeDocument/2006/relationships" ref="Q2219" display="https://www.sebi.gov.in/sebi_data/attachdocs/1295591742876.pdf" r:id="rId5617"/>
    <hyperlink xmlns:r="http://schemas.openxmlformats.org/officeDocument/2006/relationships" ref="R2219" display="https://www.sebi.gov.in/filings/public-issues/jul-2004/utv-software-communications-limited-pdf_14387.html" r:id="rId5618"/>
    <hyperlink xmlns:r="http://schemas.openxmlformats.org/officeDocument/2006/relationships" ref="AB2219" r:id="rId5619"/>
    <hyperlink xmlns:r="http://schemas.openxmlformats.org/officeDocument/2006/relationships" ref="Q2220" display="https://www.sebi.gov.in/sebi_data/attachdocs/1293077763420.pdf" r:id="rId5620"/>
    <hyperlink xmlns:r="http://schemas.openxmlformats.org/officeDocument/2006/relationships" ref="R2220" display="https://www.sebi.gov.in/filings/public-issues/jun-2004/sunil-synchem-limited_12823.html" r:id="rId5621"/>
    <hyperlink xmlns:r="http://schemas.openxmlformats.org/officeDocument/2006/relationships" ref="Q2221" display="https://www.sebi.gov.in/sebi_data/attachdocs/1293077677108.pdf" r:id="rId5622"/>
    <hyperlink xmlns:r="http://schemas.openxmlformats.org/officeDocument/2006/relationships" ref="R2221" display="https://www.sebi.gov.in/filings/public-issues/jun-2004/impex-ferro-tech-ltd-pdf_12821.html" r:id="rId5623"/>
    <hyperlink xmlns:r="http://schemas.openxmlformats.org/officeDocument/2006/relationships" ref="AB2221" r:id="rId5624"/>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25"/>
  <sheetViews>
    <sheetView showFormulas="0" showGridLines="0"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customHeight="0" zeroHeight="0" outlineLevelRow="0"/>
  <cols>
    <col width="16" customWidth="1" style="11" min="1" max="8"/>
  </cols>
  <sheetData>
    <row r="1" ht="42" customHeight="1" s="12">
      <c r="A1" s="13" t="inlineStr">
        <is>
          <t>Filing Year</t>
        </is>
      </c>
      <c r="B1" s="13" t="inlineStr">
        <is>
          <t>All Filings</t>
        </is>
      </c>
      <c r="C1" s="13" t="inlineStr">
        <is>
          <t>DRHP</t>
        </is>
      </c>
      <c r="D1" s="13" t="inlineStr">
        <is>
          <t>UDRHP-I</t>
        </is>
      </c>
      <c r="E1" s="13" t="inlineStr">
        <is>
          <t>Addenda / Corrigenda / Other</t>
        </is>
      </c>
      <c r="F1" s="13" t="inlineStr">
        <is>
          <t>Linked to Launched IPO</t>
        </is>
      </c>
      <c r="G1" s="13" t="inlineStr">
        <is>
          <t>Upcoming — Not Yet Opened</t>
        </is>
      </c>
      <c r="H1" s="13" t="inlineStr">
        <is>
          <t>No Launched IPO Found</t>
        </is>
      </c>
    </row>
    <row r="2" ht="15" customHeight="1" s="12">
      <c r="A2" s="15" t="n">
        <v>2026</v>
      </c>
      <c r="B2" s="14">
        <f>COUNTIFS('All DRHP Filings'!$C$2:$C$2221,$A2)</f>
        <v/>
      </c>
      <c r="C2" s="14">
        <f>COUNTIFS('All DRHP Filings'!$C$2:$C$2221,$A2,'All DRHP Filings'!$E$2:$E$2221,"DRHP")</f>
        <v/>
      </c>
      <c r="D2" s="14">
        <f>COUNTIFS('All DRHP Filings'!$C$2:$C$2221,$A2,'All DRHP Filings'!$E$2:$E$2221,"UDRHP-I")</f>
        <v/>
      </c>
      <c r="E2" s="14">
        <f>B2-C2-D2</f>
        <v/>
      </c>
      <c r="F2" s="14">
        <f>COUNTIFS('All DRHP Filings'!$C$2:$C$2221,$A2,'All DRHP Filings'!$G$2:$G$2221,"IPO launched")</f>
        <v/>
      </c>
      <c r="G2" s="14">
        <f>COUNTIFS('All DRHP Filings'!$C$2:$C$2221,$A2,'All DRHP Filings'!$G$2:$G$2221,"Upcoming*")</f>
        <v/>
      </c>
      <c r="H2" s="14">
        <f>COUNTIFS('All DRHP Filings'!$C$2:$C$2221,$A2,'All DRHP Filings'!$G$2:$G$2221,"No launched*")</f>
        <v/>
      </c>
    </row>
    <row r="3" ht="15" customHeight="1" s="12">
      <c r="A3" s="15" t="n">
        <v>2025</v>
      </c>
      <c r="B3" s="14">
        <f>COUNTIFS('All DRHP Filings'!$C$2:$C$2221,$A3)</f>
        <v/>
      </c>
      <c r="C3" s="14">
        <f>COUNTIFS('All DRHP Filings'!$C$2:$C$2221,$A3,'All DRHP Filings'!$E$2:$E$2221,"DRHP")</f>
        <v/>
      </c>
      <c r="D3" s="14">
        <f>COUNTIFS('All DRHP Filings'!$C$2:$C$2221,$A3,'All DRHP Filings'!$E$2:$E$2221,"UDRHP-I")</f>
        <v/>
      </c>
      <c r="E3" s="14">
        <f>B3-C3-D3</f>
        <v/>
      </c>
      <c r="F3" s="14">
        <f>COUNTIFS('All DRHP Filings'!$C$2:$C$2221,$A3,'All DRHP Filings'!$G$2:$G$2221,"IPO launched")</f>
        <v/>
      </c>
      <c r="G3" s="14">
        <f>COUNTIFS('All DRHP Filings'!$C$2:$C$2221,$A3,'All DRHP Filings'!$G$2:$G$2221,"Upcoming*")</f>
        <v/>
      </c>
      <c r="H3" s="14">
        <f>COUNTIFS('All DRHP Filings'!$C$2:$C$2221,$A3,'All DRHP Filings'!$G$2:$G$2221,"No launched*")</f>
        <v/>
      </c>
    </row>
    <row r="4" ht="15" customHeight="1" s="12">
      <c r="A4" s="15" t="n">
        <v>2024</v>
      </c>
      <c r="B4" s="14">
        <f>COUNTIFS('All DRHP Filings'!$C$2:$C$2221,$A4)</f>
        <v/>
      </c>
      <c r="C4" s="14">
        <f>COUNTIFS('All DRHP Filings'!$C$2:$C$2221,$A4,'All DRHP Filings'!$E$2:$E$2221,"DRHP")</f>
        <v/>
      </c>
      <c r="D4" s="14">
        <f>COUNTIFS('All DRHP Filings'!$C$2:$C$2221,$A4,'All DRHP Filings'!$E$2:$E$2221,"UDRHP-I")</f>
        <v/>
      </c>
      <c r="E4" s="14">
        <f>B4-C4-D4</f>
        <v/>
      </c>
      <c r="F4" s="14">
        <f>COUNTIFS('All DRHP Filings'!$C$2:$C$2221,$A4,'All DRHP Filings'!$G$2:$G$2221,"IPO launched")</f>
        <v/>
      </c>
      <c r="G4" s="14">
        <f>COUNTIFS('All DRHP Filings'!$C$2:$C$2221,$A4,'All DRHP Filings'!$G$2:$G$2221,"Upcoming*")</f>
        <v/>
      </c>
      <c r="H4" s="14">
        <f>COUNTIFS('All DRHP Filings'!$C$2:$C$2221,$A4,'All DRHP Filings'!$G$2:$G$2221,"No launched*")</f>
        <v/>
      </c>
    </row>
    <row r="5" ht="15" customHeight="1" s="12">
      <c r="A5" s="15" t="n">
        <v>2023</v>
      </c>
      <c r="B5" s="14">
        <f>COUNTIFS('All DRHP Filings'!$C$2:$C$2221,$A5)</f>
        <v/>
      </c>
      <c r="C5" s="14">
        <f>COUNTIFS('All DRHP Filings'!$C$2:$C$2221,$A5,'All DRHP Filings'!$E$2:$E$2221,"DRHP")</f>
        <v/>
      </c>
      <c r="D5" s="14">
        <f>COUNTIFS('All DRHP Filings'!$C$2:$C$2221,$A5,'All DRHP Filings'!$E$2:$E$2221,"UDRHP-I")</f>
        <v/>
      </c>
      <c r="E5" s="14">
        <f>B5-C5-D5</f>
        <v/>
      </c>
      <c r="F5" s="14">
        <f>COUNTIFS('All DRHP Filings'!$C$2:$C$2221,$A5,'All DRHP Filings'!$G$2:$G$2221,"IPO launched")</f>
        <v/>
      </c>
      <c r="G5" s="14">
        <f>COUNTIFS('All DRHP Filings'!$C$2:$C$2221,$A5,'All DRHP Filings'!$G$2:$G$2221,"Upcoming*")</f>
        <v/>
      </c>
      <c r="H5" s="14">
        <f>COUNTIFS('All DRHP Filings'!$C$2:$C$2221,$A5,'All DRHP Filings'!$G$2:$G$2221,"No launched*")</f>
        <v/>
      </c>
    </row>
    <row r="6" ht="15" customHeight="1" s="12">
      <c r="A6" s="15" t="n">
        <v>2022</v>
      </c>
      <c r="B6" s="14">
        <f>COUNTIFS('All DRHP Filings'!$C$2:$C$2221,$A6)</f>
        <v/>
      </c>
      <c r="C6" s="14">
        <f>COUNTIFS('All DRHP Filings'!$C$2:$C$2221,$A6,'All DRHP Filings'!$E$2:$E$2221,"DRHP")</f>
        <v/>
      </c>
      <c r="D6" s="14">
        <f>COUNTIFS('All DRHP Filings'!$C$2:$C$2221,$A6,'All DRHP Filings'!$E$2:$E$2221,"UDRHP-I")</f>
        <v/>
      </c>
      <c r="E6" s="14">
        <f>B6-C6-D6</f>
        <v/>
      </c>
      <c r="F6" s="14">
        <f>COUNTIFS('All DRHP Filings'!$C$2:$C$2221,$A6,'All DRHP Filings'!$G$2:$G$2221,"IPO launched")</f>
        <v/>
      </c>
      <c r="G6" s="14">
        <f>COUNTIFS('All DRHP Filings'!$C$2:$C$2221,$A6,'All DRHP Filings'!$G$2:$G$2221,"Upcoming*")</f>
        <v/>
      </c>
      <c r="H6" s="14">
        <f>COUNTIFS('All DRHP Filings'!$C$2:$C$2221,$A6,'All DRHP Filings'!$G$2:$G$2221,"No launched*")</f>
        <v/>
      </c>
    </row>
    <row r="7" ht="15" customHeight="1" s="12">
      <c r="A7" s="15" t="n">
        <v>2021</v>
      </c>
      <c r="B7" s="14">
        <f>COUNTIFS('All DRHP Filings'!$C$2:$C$2221,$A7)</f>
        <v/>
      </c>
      <c r="C7" s="14">
        <f>COUNTIFS('All DRHP Filings'!$C$2:$C$2221,$A7,'All DRHP Filings'!$E$2:$E$2221,"DRHP")</f>
        <v/>
      </c>
      <c r="D7" s="14">
        <f>COUNTIFS('All DRHP Filings'!$C$2:$C$2221,$A7,'All DRHP Filings'!$E$2:$E$2221,"UDRHP-I")</f>
        <v/>
      </c>
      <c r="E7" s="14">
        <f>B7-C7-D7</f>
        <v/>
      </c>
      <c r="F7" s="14">
        <f>COUNTIFS('All DRHP Filings'!$C$2:$C$2221,$A7,'All DRHP Filings'!$G$2:$G$2221,"IPO launched")</f>
        <v/>
      </c>
      <c r="G7" s="14">
        <f>COUNTIFS('All DRHP Filings'!$C$2:$C$2221,$A7,'All DRHP Filings'!$G$2:$G$2221,"Upcoming*")</f>
        <v/>
      </c>
      <c r="H7" s="14">
        <f>COUNTIFS('All DRHP Filings'!$C$2:$C$2221,$A7,'All DRHP Filings'!$G$2:$G$2221,"No launched*")</f>
        <v/>
      </c>
    </row>
    <row r="8" ht="15" customHeight="1" s="12">
      <c r="A8" s="15" t="n">
        <v>2020</v>
      </c>
      <c r="B8" s="14">
        <f>COUNTIFS('All DRHP Filings'!$C$2:$C$2221,$A8)</f>
        <v/>
      </c>
      <c r="C8" s="14">
        <f>COUNTIFS('All DRHP Filings'!$C$2:$C$2221,$A8,'All DRHP Filings'!$E$2:$E$2221,"DRHP")</f>
        <v/>
      </c>
      <c r="D8" s="14">
        <f>COUNTIFS('All DRHP Filings'!$C$2:$C$2221,$A8,'All DRHP Filings'!$E$2:$E$2221,"UDRHP-I")</f>
        <v/>
      </c>
      <c r="E8" s="14">
        <f>B8-C8-D8</f>
        <v/>
      </c>
      <c r="F8" s="14">
        <f>COUNTIFS('All DRHP Filings'!$C$2:$C$2221,$A8,'All DRHP Filings'!$G$2:$G$2221,"IPO launched")</f>
        <v/>
      </c>
      <c r="G8" s="14">
        <f>COUNTIFS('All DRHP Filings'!$C$2:$C$2221,$A8,'All DRHP Filings'!$G$2:$G$2221,"Upcoming*")</f>
        <v/>
      </c>
      <c r="H8" s="14">
        <f>COUNTIFS('All DRHP Filings'!$C$2:$C$2221,$A8,'All DRHP Filings'!$G$2:$G$2221,"No launched*")</f>
        <v/>
      </c>
    </row>
    <row r="9" ht="15" customHeight="1" s="12">
      <c r="A9" s="15" t="n">
        <v>2019</v>
      </c>
      <c r="B9" s="14">
        <f>COUNTIFS('All DRHP Filings'!$C$2:$C$2221,$A9)</f>
        <v/>
      </c>
      <c r="C9" s="14">
        <f>COUNTIFS('All DRHP Filings'!$C$2:$C$2221,$A9,'All DRHP Filings'!$E$2:$E$2221,"DRHP")</f>
        <v/>
      </c>
      <c r="D9" s="14">
        <f>COUNTIFS('All DRHP Filings'!$C$2:$C$2221,$A9,'All DRHP Filings'!$E$2:$E$2221,"UDRHP-I")</f>
        <v/>
      </c>
      <c r="E9" s="14">
        <f>B9-C9-D9</f>
        <v/>
      </c>
      <c r="F9" s="14">
        <f>COUNTIFS('All DRHP Filings'!$C$2:$C$2221,$A9,'All DRHP Filings'!$G$2:$G$2221,"IPO launched")</f>
        <v/>
      </c>
      <c r="G9" s="14">
        <f>COUNTIFS('All DRHP Filings'!$C$2:$C$2221,$A9,'All DRHP Filings'!$G$2:$G$2221,"Upcoming*")</f>
        <v/>
      </c>
      <c r="H9" s="14">
        <f>COUNTIFS('All DRHP Filings'!$C$2:$C$2221,$A9,'All DRHP Filings'!$G$2:$G$2221,"No launched*")</f>
        <v/>
      </c>
    </row>
    <row r="10" ht="15" customHeight="1" s="12">
      <c r="A10" s="15" t="n">
        <v>2018</v>
      </c>
      <c r="B10" s="14">
        <f>COUNTIFS('All DRHP Filings'!$C$2:$C$2221,$A10)</f>
        <v/>
      </c>
      <c r="C10" s="14">
        <f>COUNTIFS('All DRHP Filings'!$C$2:$C$2221,$A10,'All DRHP Filings'!$E$2:$E$2221,"DRHP")</f>
        <v/>
      </c>
      <c r="D10" s="14">
        <f>COUNTIFS('All DRHP Filings'!$C$2:$C$2221,$A10,'All DRHP Filings'!$E$2:$E$2221,"UDRHP-I")</f>
        <v/>
      </c>
      <c r="E10" s="14">
        <f>B10-C10-D10</f>
        <v/>
      </c>
      <c r="F10" s="14">
        <f>COUNTIFS('All DRHP Filings'!$C$2:$C$2221,$A10,'All DRHP Filings'!$G$2:$G$2221,"IPO launched")</f>
        <v/>
      </c>
      <c r="G10" s="14">
        <f>COUNTIFS('All DRHP Filings'!$C$2:$C$2221,$A10,'All DRHP Filings'!$G$2:$G$2221,"Upcoming*")</f>
        <v/>
      </c>
      <c r="H10" s="14">
        <f>COUNTIFS('All DRHP Filings'!$C$2:$C$2221,$A10,'All DRHP Filings'!$G$2:$G$2221,"No launched*")</f>
        <v/>
      </c>
    </row>
    <row r="11" ht="15" customHeight="1" s="12">
      <c r="A11" s="15" t="n">
        <v>2017</v>
      </c>
      <c r="B11" s="14">
        <f>COUNTIFS('All DRHP Filings'!$C$2:$C$2221,$A11)</f>
        <v/>
      </c>
      <c r="C11" s="14">
        <f>COUNTIFS('All DRHP Filings'!$C$2:$C$2221,$A11,'All DRHP Filings'!$E$2:$E$2221,"DRHP")</f>
        <v/>
      </c>
      <c r="D11" s="14">
        <f>COUNTIFS('All DRHP Filings'!$C$2:$C$2221,$A11,'All DRHP Filings'!$E$2:$E$2221,"UDRHP-I")</f>
        <v/>
      </c>
      <c r="E11" s="14">
        <f>B11-C11-D11</f>
        <v/>
      </c>
      <c r="F11" s="14">
        <f>COUNTIFS('All DRHP Filings'!$C$2:$C$2221,$A11,'All DRHP Filings'!$G$2:$G$2221,"IPO launched")</f>
        <v/>
      </c>
      <c r="G11" s="14">
        <f>COUNTIFS('All DRHP Filings'!$C$2:$C$2221,$A11,'All DRHP Filings'!$G$2:$G$2221,"Upcoming*")</f>
        <v/>
      </c>
      <c r="H11" s="14">
        <f>COUNTIFS('All DRHP Filings'!$C$2:$C$2221,$A11,'All DRHP Filings'!$G$2:$G$2221,"No launched*")</f>
        <v/>
      </c>
    </row>
    <row r="12" ht="15" customHeight="1" s="12">
      <c r="A12" s="15" t="n">
        <v>2016</v>
      </c>
      <c r="B12" s="14">
        <f>COUNTIFS('All DRHP Filings'!$C$2:$C$2221,$A12)</f>
        <v/>
      </c>
      <c r="C12" s="14">
        <f>COUNTIFS('All DRHP Filings'!$C$2:$C$2221,$A12,'All DRHP Filings'!$E$2:$E$2221,"DRHP")</f>
        <v/>
      </c>
      <c r="D12" s="14">
        <f>COUNTIFS('All DRHP Filings'!$C$2:$C$2221,$A12,'All DRHP Filings'!$E$2:$E$2221,"UDRHP-I")</f>
        <v/>
      </c>
      <c r="E12" s="14">
        <f>B12-C12-D12</f>
        <v/>
      </c>
      <c r="F12" s="14">
        <f>COUNTIFS('All DRHP Filings'!$C$2:$C$2221,$A12,'All DRHP Filings'!$G$2:$G$2221,"IPO launched")</f>
        <v/>
      </c>
      <c r="G12" s="14">
        <f>COUNTIFS('All DRHP Filings'!$C$2:$C$2221,$A12,'All DRHP Filings'!$G$2:$G$2221,"Upcoming*")</f>
        <v/>
      </c>
      <c r="H12" s="14">
        <f>COUNTIFS('All DRHP Filings'!$C$2:$C$2221,$A12,'All DRHP Filings'!$G$2:$G$2221,"No launched*")</f>
        <v/>
      </c>
    </row>
    <row r="13" ht="15" customHeight="1" s="12">
      <c r="A13" s="15" t="n">
        <v>2015</v>
      </c>
      <c r="B13" s="14">
        <f>COUNTIFS('All DRHP Filings'!$C$2:$C$2221,$A13)</f>
        <v/>
      </c>
      <c r="C13" s="14">
        <f>COUNTIFS('All DRHP Filings'!$C$2:$C$2221,$A13,'All DRHP Filings'!$E$2:$E$2221,"DRHP")</f>
        <v/>
      </c>
      <c r="D13" s="14">
        <f>COUNTIFS('All DRHP Filings'!$C$2:$C$2221,$A13,'All DRHP Filings'!$E$2:$E$2221,"UDRHP-I")</f>
        <v/>
      </c>
      <c r="E13" s="14">
        <f>B13-C13-D13</f>
        <v/>
      </c>
      <c r="F13" s="14">
        <f>COUNTIFS('All DRHP Filings'!$C$2:$C$2221,$A13,'All DRHP Filings'!$G$2:$G$2221,"IPO launched")</f>
        <v/>
      </c>
      <c r="G13" s="14">
        <f>COUNTIFS('All DRHP Filings'!$C$2:$C$2221,$A13,'All DRHP Filings'!$G$2:$G$2221,"Upcoming*")</f>
        <v/>
      </c>
      <c r="H13" s="14">
        <f>COUNTIFS('All DRHP Filings'!$C$2:$C$2221,$A13,'All DRHP Filings'!$G$2:$G$2221,"No launched*")</f>
        <v/>
      </c>
    </row>
    <row r="14" ht="15" customHeight="1" s="12">
      <c r="A14" s="15" t="n">
        <v>2014</v>
      </c>
      <c r="B14" s="14">
        <f>COUNTIFS('All DRHP Filings'!$C$2:$C$2221,$A14)</f>
        <v/>
      </c>
      <c r="C14" s="14">
        <f>COUNTIFS('All DRHP Filings'!$C$2:$C$2221,$A14,'All DRHP Filings'!$E$2:$E$2221,"DRHP")</f>
        <v/>
      </c>
      <c r="D14" s="14">
        <f>COUNTIFS('All DRHP Filings'!$C$2:$C$2221,$A14,'All DRHP Filings'!$E$2:$E$2221,"UDRHP-I")</f>
        <v/>
      </c>
      <c r="E14" s="14">
        <f>B14-C14-D14</f>
        <v/>
      </c>
      <c r="F14" s="14">
        <f>COUNTIFS('All DRHP Filings'!$C$2:$C$2221,$A14,'All DRHP Filings'!$G$2:$G$2221,"IPO launched")</f>
        <v/>
      </c>
      <c r="G14" s="14">
        <f>COUNTIFS('All DRHP Filings'!$C$2:$C$2221,$A14,'All DRHP Filings'!$G$2:$G$2221,"Upcoming*")</f>
        <v/>
      </c>
      <c r="H14" s="14">
        <f>COUNTIFS('All DRHP Filings'!$C$2:$C$2221,$A14,'All DRHP Filings'!$G$2:$G$2221,"No launched*")</f>
        <v/>
      </c>
    </row>
    <row r="15" ht="15" customHeight="1" s="12">
      <c r="A15" s="15" t="n">
        <v>2013</v>
      </c>
      <c r="B15" s="14">
        <f>COUNTIFS('All DRHP Filings'!$C$2:$C$2221,$A15)</f>
        <v/>
      </c>
      <c r="C15" s="14">
        <f>COUNTIFS('All DRHP Filings'!$C$2:$C$2221,$A15,'All DRHP Filings'!$E$2:$E$2221,"DRHP")</f>
        <v/>
      </c>
      <c r="D15" s="14">
        <f>COUNTIFS('All DRHP Filings'!$C$2:$C$2221,$A15,'All DRHP Filings'!$E$2:$E$2221,"UDRHP-I")</f>
        <v/>
      </c>
      <c r="E15" s="14">
        <f>B15-C15-D15</f>
        <v/>
      </c>
      <c r="F15" s="14">
        <f>COUNTIFS('All DRHP Filings'!$C$2:$C$2221,$A15,'All DRHP Filings'!$G$2:$G$2221,"IPO launched")</f>
        <v/>
      </c>
      <c r="G15" s="14">
        <f>COUNTIFS('All DRHP Filings'!$C$2:$C$2221,$A15,'All DRHP Filings'!$G$2:$G$2221,"Upcoming*")</f>
        <v/>
      </c>
      <c r="H15" s="14">
        <f>COUNTIFS('All DRHP Filings'!$C$2:$C$2221,$A15,'All DRHP Filings'!$G$2:$G$2221,"No launched*")</f>
        <v/>
      </c>
    </row>
    <row r="16" ht="15" customHeight="1" s="12">
      <c r="A16" s="15" t="n">
        <v>2012</v>
      </c>
      <c r="B16" s="14">
        <f>COUNTIFS('All DRHP Filings'!$C$2:$C$2221,$A16)</f>
        <v/>
      </c>
      <c r="C16" s="14">
        <f>COUNTIFS('All DRHP Filings'!$C$2:$C$2221,$A16,'All DRHP Filings'!$E$2:$E$2221,"DRHP")</f>
        <v/>
      </c>
      <c r="D16" s="14">
        <f>COUNTIFS('All DRHP Filings'!$C$2:$C$2221,$A16,'All DRHP Filings'!$E$2:$E$2221,"UDRHP-I")</f>
        <v/>
      </c>
      <c r="E16" s="14">
        <f>B16-C16-D16</f>
        <v/>
      </c>
      <c r="F16" s="14">
        <f>COUNTIFS('All DRHP Filings'!$C$2:$C$2221,$A16,'All DRHP Filings'!$G$2:$G$2221,"IPO launched")</f>
        <v/>
      </c>
      <c r="G16" s="14">
        <f>COUNTIFS('All DRHP Filings'!$C$2:$C$2221,$A16,'All DRHP Filings'!$G$2:$G$2221,"Upcoming*")</f>
        <v/>
      </c>
      <c r="H16" s="14">
        <f>COUNTIFS('All DRHP Filings'!$C$2:$C$2221,$A16,'All DRHP Filings'!$G$2:$G$2221,"No launched*")</f>
        <v/>
      </c>
    </row>
    <row r="17" ht="15" customHeight="1" s="12">
      <c r="A17" s="15" t="n">
        <v>2011</v>
      </c>
      <c r="B17" s="14">
        <f>COUNTIFS('All DRHP Filings'!$C$2:$C$2221,$A17)</f>
        <v/>
      </c>
      <c r="C17" s="14">
        <f>COUNTIFS('All DRHP Filings'!$C$2:$C$2221,$A17,'All DRHP Filings'!$E$2:$E$2221,"DRHP")</f>
        <v/>
      </c>
      <c r="D17" s="14">
        <f>COUNTIFS('All DRHP Filings'!$C$2:$C$2221,$A17,'All DRHP Filings'!$E$2:$E$2221,"UDRHP-I")</f>
        <v/>
      </c>
      <c r="E17" s="14">
        <f>B17-C17-D17</f>
        <v/>
      </c>
      <c r="F17" s="14">
        <f>COUNTIFS('All DRHP Filings'!$C$2:$C$2221,$A17,'All DRHP Filings'!$G$2:$G$2221,"IPO launched")</f>
        <v/>
      </c>
      <c r="G17" s="14">
        <f>COUNTIFS('All DRHP Filings'!$C$2:$C$2221,$A17,'All DRHP Filings'!$G$2:$G$2221,"Upcoming*")</f>
        <v/>
      </c>
      <c r="H17" s="14">
        <f>COUNTIFS('All DRHP Filings'!$C$2:$C$2221,$A17,'All DRHP Filings'!$G$2:$G$2221,"No launched*")</f>
        <v/>
      </c>
    </row>
    <row r="18" ht="15" customHeight="1" s="12">
      <c r="A18" s="15" t="n">
        <v>2010</v>
      </c>
      <c r="B18" s="14">
        <f>COUNTIFS('All DRHP Filings'!$C$2:$C$2221,$A18)</f>
        <v/>
      </c>
      <c r="C18" s="14">
        <f>COUNTIFS('All DRHP Filings'!$C$2:$C$2221,$A18,'All DRHP Filings'!$E$2:$E$2221,"DRHP")</f>
        <v/>
      </c>
      <c r="D18" s="14">
        <f>COUNTIFS('All DRHP Filings'!$C$2:$C$2221,$A18,'All DRHP Filings'!$E$2:$E$2221,"UDRHP-I")</f>
        <v/>
      </c>
      <c r="E18" s="14">
        <f>B18-C18-D18</f>
        <v/>
      </c>
      <c r="F18" s="14">
        <f>COUNTIFS('All DRHP Filings'!$C$2:$C$2221,$A18,'All DRHP Filings'!$G$2:$G$2221,"IPO launched")</f>
        <v/>
      </c>
      <c r="G18" s="14">
        <f>COUNTIFS('All DRHP Filings'!$C$2:$C$2221,$A18,'All DRHP Filings'!$G$2:$G$2221,"Upcoming*")</f>
        <v/>
      </c>
      <c r="H18" s="14">
        <f>COUNTIFS('All DRHP Filings'!$C$2:$C$2221,$A18,'All DRHP Filings'!$G$2:$G$2221,"No launched*")</f>
        <v/>
      </c>
    </row>
    <row r="19" ht="15" customHeight="1" s="12">
      <c r="A19" s="15" t="n">
        <v>2009</v>
      </c>
      <c r="B19" s="14">
        <f>COUNTIFS('All DRHP Filings'!$C$2:$C$2221,$A19)</f>
        <v/>
      </c>
      <c r="C19" s="14">
        <f>COUNTIFS('All DRHP Filings'!$C$2:$C$2221,$A19,'All DRHP Filings'!$E$2:$E$2221,"DRHP")</f>
        <v/>
      </c>
      <c r="D19" s="14">
        <f>COUNTIFS('All DRHP Filings'!$C$2:$C$2221,$A19,'All DRHP Filings'!$E$2:$E$2221,"UDRHP-I")</f>
        <v/>
      </c>
      <c r="E19" s="14">
        <f>B19-C19-D19</f>
        <v/>
      </c>
      <c r="F19" s="14">
        <f>COUNTIFS('All DRHP Filings'!$C$2:$C$2221,$A19,'All DRHP Filings'!$G$2:$G$2221,"IPO launched")</f>
        <v/>
      </c>
      <c r="G19" s="14">
        <f>COUNTIFS('All DRHP Filings'!$C$2:$C$2221,$A19,'All DRHP Filings'!$G$2:$G$2221,"Upcoming*")</f>
        <v/>
      </c>
      <c r="H19" s="14">
        <f>COUNTIFS('All DRHP Filings'!$C$2:$C$2221,$A19,'All DRHP Filings'!$G$2:$G$2221,"No launched*")</f>
        <v/>
      </c>
    </row>
    <row r="20" ht="15" customHeight="1" s="12">
      <c r="A20" s="15" t="n">
        <v>2008</v>
      </c>
      <c r="B20" s="14">
        <f>COUNTIFS('All DRHP Filings'!$C$2:$C$2221,$A20)</f>
        <v/>
      </c>
      <c r="C20" s="14">
        <f>COUNTIFS('All DRHP Filings'!$C$2:$C$2221,$A20,'All DRHP Filings'!$E$2:$E$2221,"DRHP")</f>
        <v/>
      </c>
      <c r="D20" s="14">
        <f>COUNTIFS('All DRHP Filings'!$C$2:$C$2221,$A20,'All DRHP Filings'!$E$2:$E$2221,"UDRHP-I")</f>
        <v/>
      </c>
      <c r="E20" s="14">
        <f>B20-C20-D20</f>
        <v/>
      </c>
      <c r="F20" s="14">
        <f>COUNTIFS('All DRHP Filings'!$C$2:$C$2221,$A20,'All DRHP Filings'!$G$2:$G$2221,"IPO launched")</f>
        <v/>
      </c>
      <c r="G20" s="14">
        <f>COUNTIFS('All DRHP Filings'!$C$2:$C$2221,$A20,'All DRHP Filings'!$G$2:$G$2221,"Upcoming*")</f>
        <v/>
      </c>
      <c r="H20" s="14">
        <f>COUNTIFS('All DRHP Filings'!$C$2:$C$2221,$A20,'All DRHP Filings'!$G$2:$G$2221,"No launched*")</f>
        <v/>
      </c>
    </row>
    <row r="21" ht="15" customHeight="1" s="12">
      <c r="A21" s="15" t="n">
        <v>2007</v>
      </c>
      <c r="B21" s="14">
        <f>COUNTIFS('All DRHP Filings'!$C$2:$C$2221,$A21)</f>
        <v/>
      </c>
      <c r="C21" s="14">
        <f>COUNTIFS('All DRHP Filings'!$C$2:$C$2221,$A21,'All DRHP Filings'!$E$2:$E$2221,"DRHP")</f>
        <v/>
      </c>
      <c r="D21" s="14">
        <f>COUNTIFS('All DRHP Filings'!$C$2:$C$2221,$A21,'All DRHP Filings'!$E$2:$E$2221,"UDRHP-I")</f>
        <v/>
      </c>
      <c r="E21" s="14">
        <f>B21-C21-D21</f>
        <v/>
      </c>
      <c r="F21" s="14">
        <f>COUNTIFS('All DRHP Filings'!$C$2:$C$2221,$A21,'All DRHP Filings'!$G$2:$G$2221,"IPO launched")</f>
        <v/>
      </c>
      <c r="G21" s="14">
        <f>COUNTIFS('All DRHP Filings'!$C$2:$C$2221,$A21,'All DRHP Filings'!$G$2:$G$2221,"Upcoming*")</f>
        <v/>
      </c>
      <c r="H21" s="14">
        <f>COUNTIFS('All DRHP Filings'!$C$2:$C$2221,$A21,'All DRHP Filings'!$G$2:$G$2221,"No launched*")</f>
        <v/>
      </c>
    </row>
    <row r="22" ht="15" customHeight="1" s="12">
      <c r="A22" s="15" t="n">
        <v>2006</v>
      </c>
      <c r="B22" s="14">
        <f>COUNTIFS('All DRHP Filings'!$C$2:$C$2221,$A22)</f>
        <v/>
      </c>
      <c r="C22" s="14">
        <f>COUNTIFS('All DRHP Filings'!$C$2:$C$2221,$A22,'All DRHP Filings'!$E$2:$E$2221,"DRHP")</f>
        <v/>
      </c>
      <c r="D22" s="14">
        <f>COUNTIFS('All DRHP Filings'!$C$2:$C$2221,$A22,'All DRHP Filings'!$E$2:$E$2221,"UDRHP-I")</f>
        <v/>
      </c>
      <c r="E22" s="14">
        <f>B22-C22-D22</f>
        <v/>
      </c>
      <c r="F22" s="14">
        <f>COUNTIFS('All DRHP Filings'!$C$2:$C$2221,$A22,'All DRHP Filings'!$G$2:$G$2221,"IPO launched")</f>
        <v/>
      </c>
      <c r="G22" s="14">
        <f>COUNTIFS('All DRHP Filings'!$C$2:$C$2221,$A22,'All DRHP Filings'!$G$2:$G$2221,"Upcoming*")</f>
        <v/>
      </c>
      <c r="H22" s="14">
        <f>COUNTIFS('All DRHP Filings'!$C$2:$C$2221,$A22,'All DRHP Filings'!$G$2:$G$2221,"No launched*")</f>
        <v/>
      </c>
    </row>
    <row r="23" ht="15" customHeight="1" s="12">
      <c r="A23" s="15" t="n">
        <v>2005</v>
      </c>
      <c r="B23" s="14">
        <f>COUNTIFS('All DRHP Filings'!$C$2:$C$2221,$A23)</f>
        <v/>
      </c>
      <c r="C23" s="14">
        <f>COUNTIFS('All DRHP Filings'!$C$2:$C$2221,$A23,'All DRHP Filings'!$E$2:$E$2221,"DRHP")</f>
        <v/>
      </c>
      <c r="D23" s="14">
        <f>COUNTIFS('All DRHP Filings'!$C$2:$C$2221,$A23,'All DRHP Filings'!$E$2:$E$2221,"UDRHP-I")</f>
        <v/>
      </c>
      <c r="E23" s="14">
        <f>B23-C23-D23</f>
        <v/>
      </c>
      <c r="F23" s="14">
        <f>COUNTIFS('All DRHP Filings'!$C$2:$C$2221,$A23,'All DRHP Filings'!$G$2:$G$2221,"IPO launched")</f>
        <v/>
      </c>
      <c r="G23" s="14">
        <f>COUNTIFS('All DRHP Filings'!$C$2:$C$2221,$A23,'All DRHP Filings'!$G$2:$G$2221,"Upcoming*")</f>
        <v/>
      </c>
      <c r="H23" s="14">
        <f>COUNTIFS('All DRHP Filings'!$C$2:$C$2221,$A23,'All DRHP Filings'!$G$2:$G$2221,"No launched*")</f>
        <v/>
      </c>
    </row>
    <row r="24" ht="15" customHeight="1" s="12">
      <c r="A24" s="15" t="n">
        <v>2004</v>
      </c>
      <c r="B24" s="14">
        <f>COUNTIFS('All DRHP Filings'!$C$2:$C$2221,$A24)</f>
        <v/>
      </c>
      <c r="C24" s="14">
        <f>COUNTIFS('All DRHP Filings'!$C$2:$C$2221,$A24,'All DRHP Filings'!$E$2:$E$2221,"DRHP")</f>
        <v/>
      </c>
      <c r="D24" s="14">
        <f>COUNTIFS('All DRHP Filings'!$C$2:$C$2221,$A24,'All DRHP Filings'!$E$2:$E$2221,"UDRHP-I")</f>
        <v/>
      </c>
      <c r="E24" s="14">
        <f>B24-C24-D24</f>
        <v/>
      </c>
      <c r="F24" s="14">
        <f>COUNTIFS('All DRHP Filings'!$C$2:$C$2221,$A24,'All DRHP Filings'!$G$2:$G$2221,"IPO launched")</f>
        <v/>
      </c>
      <c r="G24" s="14">
        <f>COUNTIFS('All DRHP Filings'!$C$2:$C$2221,$A24,'All DRHP Filings'!$G$2:$G$2221,"Upcoming*")</f>
        <v/>
      </c>
      <c r="H24" s="14">
        <f>COUNTIFS('All DRHP Filings'!$C$2:$C$2221,$A24,'All DRHP Filings'!$G$2:$G$2221,"No launched*")</f>
        <v/>
      </c>
    </row>
    <row r="25" ht="15" customHeight="1" s="12">
      <c r="A25" s="21" t="inlineStr">
        <is>
          <t>TOTAL</t>
        </is>
      </c>
      <c r="B25" s="21">
        <f>SUM(B2:B24)</f>
        <v/>
      </c>
      <c r="C25" s="21">
        <f>SUM(C2:C24)</f>
        <v/>
      </c>
      <c r="D25" s="21">
        <f>SUM(D2:D24)</f>
        <v/>
      </c>
      <c r="E25" s="21">
        <f>SUM(E2:E24)</f>
        <v/>
      </c>
      <c r="F25" s="21">
        <f>SUM(F2:F24)</f>
        <v/>
      </c>
      <c r="G25" s="21">
        <f>SUM(G2:G24)</f>
        <v/>
      </c>
      <c r="H25" s="21">
        <f>SUM(H2:H24)</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11" min="1" max="1"/>
    <col width="104" customWidth="1" style="11" min="2" max="2"/>
  </cols>
  <sheetData>
    <row r="1" ht="15" customHeight="1" s="12">
      <c r="A1" s="22" t="inlineStr">
        <is>
          <t>SEBI draft offer documents — upcoming IPO pipeline and full filing register</t>
        </is>
      </c>
    </row>
    <row r="2"/>
    <row r="3" ht="23.85" customHeight="1" s="12">
      <c r="A3" s="23" t="inlineStr">
        <is>
          <t>Source page</t>
        </is>
      </c>
      <c r="B3" s="24" t="inlineStr">
        <is>
          <t>SEBI &gt; Filings &gt; Public Issues &gt; Draft Offer Documents filed with SEBI — https://www.sebi.gov.in/sebiweb/home/HomeAction.do?doListing=yes&amp;sid=3&amp;ssid=15&amp;smid=10</t>
        </is>
      </c>
    </row>
    <row r="4" ht="23.85" customHeight="1" s="12">
      <c r="A4" s="23" t="inlineStr">
        <is>
          <t>Coverage</t>
        </is>
      </c>
      <c r="B4" s="24" t="inlineStr">
        <is>
          <t>All 2,220 entries on that page, 08-Jun-2004 to 30-Sep-2026: 1,988 DRHP, 135 Addendum, 45 Corrigendum, 27 UDRHP-I, 13 Notice, 7 Addendum cum Corrigendum, 4 Other, 1 RHP. 'All DRHP Filings' has one row per entry.</t>
        </is>
      </c>
    </row>
    <row r="5" ht="35.05" customHeight="1" s="12">
      <c r="A5" s="23" t="inlineStr">
        <is>
          <t>What the page is</t>
        </is>
      </c>
      <c r="B5" s="24" t="inlineStr">
        <is>
          <t>A register of draft documents, not a list of upcoming IPOs. Recent entries are the pipeline; older ones have since listed, lapsed or been withdrawn. It carries mainboard issues; SME IPO drafts are filed with the exchanges and mostly do not appear here.</t>
        </is>
      </c>
    </row>
    <row r="6" ht="23.85" customHeight="1" s="12">
      <c r="A6" s="23" t="inlineStr">
        <is>
          <t>Filing date</t>
        </is>
      </c>
      <c r="B6" s="24" t="inlineStr">
        <is>
          <t>The date SEBI shows against the entry (its publication date on the site). The date printed on the DRHP itself is usually a few days earlier.</t>
        </is>
      </c>
    </row>
    <row r="7" ht="23.85" customHeight="1" s="12">
      <c r="A7" s="23" t="inlineStr">
        <is>
          <t>Document type</t>
        </is>
      </c>
      <c r="B7" s="24" t="inlineStr">
        <is>
          <t>Read from the title SEBI gives the entry. A title with no suffix is treated as the DRHP. UDRHP-I is the updated draft published after a confidential pre-filing.</t>
        </is>
      </c>
    </row>
    <row r="8" ht="35.05" customHeight="1" s="12">
      <c r="A8" s="23" t="inlineStr">
        <is>
          <t>Upcoming IPOs sheet</t>
        </is>
      </c>
      <c r="B8" s="24" t="inlineStr">
        <is>
          <t>194 companies: a DRHP or UDRHP-I filed on or after 01-Apr-2025 (18 months) and no launched IPO found for the company. One row per company, showing its first and latest draft. SEBI does not publish issue dates at draft stage, so 'IPO Issue (Open) Date' is blank until the RHP / price-band announcement.</t>
        </is>
      </c>
    </row>
    <row r="9" ht="35.05" customHeight="1" s="12">
      <c r="A9" s="23" t="inlineStr">
        <is>
          <t>Upcoming — caveat</t>
        </is>
      </c>
      <c r="B9" s="24" t="inlineStr">
        <is>
          <t>'Not yet opened' is inferred from the absence of a launched-IPO record in ipoplatform.com as of the retrieval date. It does not tell you whether SEBI has issued observations, or whether the company has withdrawn; older drafts in the list may have lapsed (SEBI observations are valid 12 months, 18 months on the confidential route).</t>
        </is>
      </c>
    </row>
    <row r="10" ht="35.05" customHeight="1" s="12">
      <c r="A10" s="23" t="inlineStr">
        <is>
          <t>IPO size — upcoming</t>
        </is>
      </c>
      <c r="B10" s="24" t="inlineStr">
        <is>
          <t>Read from the offer paragraph on each DRHP cover page, in ₹ Crore (DRHPs state ₹ million; ÷10). 15 companies state the full size in ₹; 21 state one leg in ₹ and the other only as a share count; 26 state share counts only, so the ₹ size depends on a price band not yet set; 132 could not be read. These are 'up to' draft figures and routinely change by the RHP.</t>
        </is>
      </c>
    </row>
    <row r="11" ht="23.85" customHeight="1" s="12">
      <c r="A11" s="23" t="inlineStr">
        <is>
          <t>IPO size / dates — launched</t>
        </is>
      </c>
      <c r="B11" s="24" t="inlineStr">
        <is>
          <t>1,037 filings are linked to a launched IPO; issue open/close, listing date and final size (₹ Crore) are from ipoplatform.com (JSON behind https://www.ipoplatform.com/main-board/index, 842 mainboard and 1,575 SME records).</t>
        </is>
      </c>
    </row>
    <row r="12" ht="23.85" customHeight="1" s="12">
      <c r="A12" s="23" t="inlineStr">
        <is>
          <t>How filings were linked</t>
        </is>
      </c>
      <c r="B12" s="24" t="inlineStr">
        <is>
          <t>612 by the SEBI filing link the source stores for the IPO; 408 by company name; 17 by a close spelling of the name. Name links are made only when the IPO opened 0–730 days after the filing, so an old lapsed draft is not tied to a much later IPO.</t>
        </is>
      </c>
    </row>
    <row r="13" ht="35.05" customHeight="1" s="12">
      <c r="A13" s="23" t="inlineStr">
        <is>
          <t>No launched IPO found</t>
        </is>
      </c>
      <c r="B13" s="24" t="inlineStr">
        <is>
          <t>937 filings before 01-Apr-2025 have no linked IPO: lapsed or withdrawn drafts, FPOs and offers for sale by listed companies, and IPOs the source does not carry (its mainboard coverage starts in 2006 and is thin before 2010). Blank does not prove the IPO never happened.</t>
        </is>
      </c>
    </row>
    <row r="14" ht="35.05" customHeight="1" s="12">
      <c r="A14" s="23" t="inlineStr">
        <is>
          <t>Corrections</t>
        </is>
      </c>
      <c r="B14" s="24" t="inlineStr">
        <is>
          <t>Opening dates corrected for 8 IPOs where the source value contradicted its own closing/listing date (e.g. Polycab shown as 2005, Vibhor Steel Tubes as 2023) — each is flagged in Notes. Close/listing dates that fail the same check are left blank and flagged CHECK. Aegis Vopak Terminals size ₹3,500 Cr -&gt; ₹2,800 Cr as verified for the earlier workbook.</t>
        </is>
      </c>
    </row>
    <row r="15" ht="23.85" customHeight="1" s="12">
      <c r="A15" s="23" t="inlineStr">
        <is>
          <t>CAUTION — Fresh/OFS</t>
        </is>
      </c>
      <c r="B15" s="24" t="inlineStr">
        <is>
          <t>For launched IPOs the source encodes an unknown split as OFS = 0 with Fresh = full size, so some pure-OFS deals show as 100% fresh. Do not aggregate fresh-vs-OFS from this file.</t>
        </is>
      </c>
    </row>
    <row r="16" ht="23.85" customHeight="1" s="12">
      <c r="A16" s="23" t="inlineStr">
        <is>
          <t>Links</t>
        </is>
      </c>
      <c r="B16" s="24" t="inlineStr">
        <is>
          <t>'DRHP PDF' is the document SEBI serves in the viewer on the filing page. One entry has no document attached and one PDF on SEBI is a 22-byte stub (J B Ecotex, 30-Sep-2026).</t>
        </is>
      </c>
    </row>
    <row r="17" ht="15" customHeight="1" s="12">
      <c r="A17" s="23" t="inlineStr">
        <is>
          <t>Summary sheet</t>
        </is>
      </c>
      <c r="B17" s="24" t="inlineStr">
        <is>
          <t>Counts by calendar year of SEBI filing date, computed with COUNTIFS on 'All DRHP Filings'; TOTAL row uses =SUM.</t>
        </is>
      </c>
    </row>
    <row r="18" ht="15" customHeight="1" s="12">
      <c r="A18" s="23" t="inlineStr">
        <is>
          <t>Not a primary source</t>
        </is>
      </c>
      <c r="B18" s="24" t="inlineStr">
        <is>
          <t>Issue dates and final sizes come from an aggregator (ipoplatform.com), not an exchange. Units are as published.</t>
        </is>
      </c>
    </row>
    <row r="19" ht="15" customHeight="1" s="12">
      <c r="A19" s="23" t="inlineStr">
        <is>
          <t>Retrieved</t>
        </is>
      </c>
      <c r="B19" s="24" t="inlineStr">
        <is>
          <t>SEBI listing and documents 01-Oct-2026; ipoplatform 01-Oct-2026 10:11.</t>
        </is>
      </c>
    </row>
    <row r="20">
      <c r="A20" s="23" t="inlineStr">
        <is>
          <t>Issue dates — web search (cols U–Z)</t>
        </is>
      </c>
      <c r="B20" s="24" t="inlineStr">
        <is>
          <t>Added 01-Oct-2026. Every company on 'Upcoming IPOs' was web-searched for an IPO opening after its DRHP. Results: 9 have issue dates (green cells) — 8 opened 25–30 Sep 2026 and Amir Chand Jagdish Kumar Exports opened 24-Mar-2026 (missed by the original name match); 6 DRHPs withdrawn; 8 SEBI approvals lapsed with no IPO (several inferred from the 12-month validity); 171 have no dates announced. Opened dates are confirmed on chittorgarh.com or a second tracker (ipowatch.in, ipoji.com); 'Dates not announced' rows were checked against each company's chittorgarh page where one exists. Listing dates after 01-Oct-2026 are tentative. Column G (from ipoplatform.com) is left as it was.</t>
        </is>
      </c>
    </row>
    <row r="21">
      <c r="A21" s="23" t="inlineStr">
        <is>
          <t>Issue dates — 'All DRHP Filings' (cols W–AB)</t>
        </is>
      </c>
      <c r="B21" s="24" t="inlineStr">
        <is>
          <t>Added 01-Oct-2026 for the 1,183 rows with no issue date in column I (columns A–V unchanged). Sources in order: (1) every chittorgarh.com IPO page (ids 1–3329, mainboard + SME) matched by company name; (2) another row of this sheet for the same company; (3) the web search done for 'Upcoming IPOs'; (4) Business Standard IPO pages (sitemap ipo-1.xml) matched by name; (5) web search — about 210 companies in the first pass, the remaining 102 companies (115 rows) in a follow-up pass. A match counts as 'Issue opened' (green) only if the issue opened 0–3 years after this row's SEBI filing date — the same rule as column I uses (0–2 yrs) loosened by one year. 'Later IPO — not from this draft' (yellow) is the company's IPO opening more than 3 years later, under a fresh draft. Results: 344 issue opened; 4 closed, listing pending; 80 later IPO; 202 upcoming with dates not announced; 68 withdrawn or lapsed; 479 no issue found; 6 not offer documents. Name matching was checked against the 827 rows that already had a date: 823 agree to within a day.</t>
        </is>
      </c>
    </row>
    <row r="22">
      <c r="A22" s="23" t="inlineStr">
        <is>
          <t>Issue dates — follow-up web search</t>
        </is>
      </c>
      <c r="B22" s="24" t="inlineStr">
        <is>
          <t>Added 01-Oct-2026. The 115 rows (102 companies) left as 'Not found — not web-searched' were web-searched, checking renamed companies (e.g. DLF Universal -&gt; DLF, Nitin Spinning -&gt; Nitin Spinners, Catholic Syrian Bank -&gt; CSB Bank), FPOs, SEBI's draft-processing status lists and its 2010-19 observations list. Rights issues and QIB-only placements are recorded as 'No issue found' with their dates in the note, and an issue that opened before the SEBI entry's date is not linked to it — both as elsewhere on this sheet. 'No issue found' for an obscure company often rests on it still being unlisted (MCA/registry sites), not on a withdrawal notice.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en-IN</dc:language>
  <dcterms:created xsi:type="dcterms:W3CDTF">2026-10-01T05:52:15Z</dcterms:created>
  <dcterms:modified xsi:type="dcterms:W3CDTF">2026-10-01T07:35:07Z</dcterms:modified>
  <cp:revision>0</cp:revision>
</cp:coreProperties>
</file>